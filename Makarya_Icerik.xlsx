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sıl Kullanılır" sheetId="1" state="visible" r:id="rId1"/>
    <sheet xmlns:r="http://schemas.openxmlformats.org/officeDocument/2006/relationships" name="Özet" sheetId="2" state="visible" r:id="rId2"/>
    <sheet xmlns:r="http://schemas.openxmlformats.org/officeDocument/2006/relationships" name="Olaylar" sheetId="3" state="visible" r:id="rId3"/>
    <sheet xmlns:r="http://schemas.openxmlformats.org/officeDocument/2006/relationships" name="Seçimler" sheetId="4" state="visible" r:id="rId4"/>
    <sheet xmlns:r="http://schemas.openxmlformats.org/officeDocument/2006/relationships" name="İç Sesler" sheetId="5" state="visible" r:id="rId5"/>
    <sheet xmlns:r="http://schemas.openxmlformats.org/officeDocument/2006/relationships" name="Geçmişten" sheetId="6" state="visible" r:id="rId6"/>
    <sheet xmlns:r="http://schemas.openxmlformats.org/officeDocument/2006/relationships" name="Özellikler" sheetId="7" state="visible" r:id="rId7"/>
    <sheet xmlns:r="http://schemas.openxmlformats.org/officeDocument/2006/relationships" name="Hafıza" sheetId="8" state="visible" r:id="rId8"/>
    <sheet xmlns:r="http://schemas.openxmlformats.org/officeDocument/2006/relationships" name="Ölüm Sebepleri" sheetId="9" state="visible" r:id="rId9"/>
    <sheet xmlns:r="http://schemas.openxmlformats.org/officeDocument/2006/relationships" name="Bölümler" sheetId="10" state="visible" r:id="rId10"/>
  </sheets>
  <definedNames>
    <definedName name="_xlnm._FilterDatabase" localSheetId="2" hidden="1">'Olaylar'!$A$1:$T$330</definedName>
    <definedName name="_xlnm._FilterDatabase" localSheetId="3" hidden="1">'Seçimler'!$A$1:$Z$1219</definedName>
    <definedName name="_xlnm._FilterDatabase" localSheetId="4" hidden="1">'İç Sesler'!$A$1:$F$582</definedName>
    <definedName name="_xlnm._FilterDatabase" localSheetId="5" hidden="1">'Geçmişten'!$A$1:$C$268</definedName>
    <definedName name="_xlnm._FilterDatabase" localSheetId="6" hidden="1">'Özellikler'!$A$1:$D$53</definedName>
    <definedName name="_xlnm._FilterDatabase" localSheetId="7" hidden="1">'Hafıza'!$A$1:$B$82</definedName>
    <definedName name="_xlnm._FilterDatabase" localSheetId="8" hidden="1">'Ölüm Sebepleri'!$A$1:$D$46</definedName>
    <definedName name="_xlnm._FilterDatabase" localSheetId="9" hidden="1">'Bölümler'!$A$1:$I$11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1915"/>
      </patternFill>
    </fill>
  </fills>
  <borders count="2">
    <border>
      <left/>
      <right/>
      <top/>
      <bottom/>
      <diagonal/>
    </border>
    <border>
      <bottom style="thin">
        <color rgb="00D8C9A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MAKARYA · İÇERİK TABLOSU</t>
        </is>
      </c>
    </row>
    <row r="2">
      <c r="A2" t="inlineStr"/>
    </row>
    <row r="3">
      <c r="A3" t="inlineStr">
        <is>
          <t>Bu dosya oyunun bütün içeriğinin ana kaynağıdır. Burada yapılan değişiklikler oyuna şöyle geçer:</t>
        </is>
      </c>
    </row>
    <row r="4">
      <c r="A4" t="inlineStr">
        <is>
          <t>1) Dosyayı düzenle ve kaydet (adını değiştirme: Makarya_Icerik.xlsx).</t>
        </is>
      </c>
    </row>
    <row r="5">
      <c r="A5" t="inlineStr">
        <is>
          <t>2) GitHub'da depoya yükle (Add file → Upload files) ya da Claude'a gönder.</t>
        </is>
      </c>
    </row>
    <row r="6">
      <c r="A6" t="inlineStr">
        <is>
          <t>3) Dosya oyunun formatına dönüştürülür ve birkaç dakika içinde oyunda görünür.</t>
        </is>
      </c>
    </row>
    <row r="7">
      <c r="A7" t="inlineStr"/>
    </row>
    <row r="8">
      <c r="A8" s="2" t="inlineStr">
        <is>
          <t>SAYFALAR</t>
        </is>
      </c>
    </row>
    <row r="9">
      <c r="A9" t="inlineStr">
        <is>
          <t>Olaylar: Her satır bir olay. Olay ID benzersiz olmalı (küçük harf ve tire). Bölüm 1–10. Yaş örn. '12 yaş 6 ay'.</t>
        </is>
      </c>
    </row>
    <row r="10">
      <c r="A10" t="inlineStr">
        <is>
          <t>Seçimler: Her satır bir seçim; Olay ID ile olaya bağlanır, Sıra ile dizilir. Bir olayda 2–5 seçim olur.</t>
        </is>
      </c>
    </row>
    <row r="11">
      <c r="A11" t="inlineStr">
        <is>
          <t xml:space="preserve">   • Kesin sonuçlu seçim: 'Kesin etki' (ör. Vicdan +2, Çene +1) ve 'Kesin sonuç metni' doldurulur.</t>
        </is>
      </c>
    </row>
    <row r="12">
      <c r="A12" t="inlineStr">
        <is>
          <t xml:space="preserve">   • Zarlı seçim: Stat + Zorluk + dört sonuç metni (Başarı, Kritik başarı, Başarısız, Kritik hata).</t>
        </is>
      </c>
    </row>
    <row r="13">
      <c r="A13" t="inlineStr">
        <is>
          <t xml:space="preserve">   • Mini oyunlu seçim: zarlı seçim + Mini oyun türü + başlık + ipucu + 'Yarım (mini oyun)' metni.</t>
        </is>
      </c>
    </row>
    <row r="14">
      <c r="A14" t="inlineStr">
        <is>
          <t xml:space="preserve">   • Ölüm riski yalnızca Bölüm 6 ve sonrası (18+). Yüzde olarak yaz (ör. 3). Oyuncu bu yüzdeyi görür.</t>
        </is>
      </c>
    </row>
    <row r="15">
      <c r="A15" t="inlineStr">
        <is>
          <t>İç Sesler: Olayın başında araya giren stat yorumları. 'Seçenek açar' = E ise, 'İç ses açar' sütununda aynı stat yazan seçim ancak bu ses başarılı olursa görünür.</t>
        </is>
      </c>
    </row>
    <row r="16">
      <c r="A16" t="inlineStr">
        <is>
          <t>Geçmişten: Oyuncunun hafızasında o kayıt varsa olayda gösterilen hatırlatma cümlesi.</t>
        </is>
      </c>
    </row>
    <row r="17">
      <c r="A17" t="inlineStr">
        <is>
          <t>Özellikler: Kazanılabilir özellikler; Bonus ilgili stat kontrollerinde zar hedefini düşürür (ör. Çene +1, Kurnazlık +1).</t>
        </is>
      </c>
    </row>
    <row r="18">
      <c r="A18" t="inlineStr">
        <is>
          <t>Hafıza: Seçimlerin yazdığı kayıtlar ve final kartındaki açıklamaları.</t>
        </is>
      </c>
    </row>
    <row r="19">
      <c r="A19" t="inlineStr">
        <is>
          <t>Ölüm Sebepleri: 18 yaş sonrası yaşla artan arka plan riskinden ölünce mezar taşına yazılır.</t>
        </is>
      </c>
    </row>
    <row r="20">
      <c r="A20" t="inlineStr">
        <is>
          <t>Bölümler: Her bölümde bir hayatta kaç olay görüleceği (Seçilecek olay), zorluk ayarı (Beklenen stat) ve bölüm sonu ekranı.</t>
        </is>
      </c>
    </row>
    <row r="21">
      <c r="A21" t="inlineStr">
        <is>
          <t>Özet: Bölüm başına olay, mini oyun ve risk sayıları (otomatik hesaplanır).</t>
        </is>
      </c>
    </row>
    <row r="22">
      <c r="A22" t="inlineStr"/>
    </row>
    <row r="23">
      <c r="A23" t="inlineStr">
        <is>
          <t>KURALLAR (yazım yönergesinin özeti)</t>
        </is>
      </c>
    </row>
    <row r="24">
      <c r="A24" s="2" t="inlineStr">
        <is>
          <t>• Makarya, Türkiye'ye benzeyen kurgusal bir ülkedir ve günümüzde geçer.</t>
        </is>
      </c>
    </row>
    <row r="25">
      <c r="A25" t="inlineStr">
        <is>
          <t>• Marka, uygulama, kulüp, ünlü, gerçek kişi, gerçek şehir/semt/anıt, gerçek sınav ve kurum adı YOK.</t>
        </is>
      </c>
    </row>
    <row r="26">
      <c r="A26" t="inlineStr">
        <is>
          <t>• Din ve siyaset espri konusu değildir; siyasetçi yalnızca isimsiz ve genel olarak geçebilir.</t>
        </is>
      </c>
    </row>
    <row r="27">
      <c r="A27" t="inlineStr">
        <is>
          <t>• Ölüm yalnızca 18 yaşından sonra; şiddet sahne dışında; hastalık, yoksulluk, engellilik alay konusu değildir.</t>
        </is>
      </c>
    </row>
    <row r="28">
      <c r="A28" t="inlineStr">
        <is>
          <t>• Sonuç metinleri 1–2 cümle; espri son kelimede patlasın. Oyuncuya 'sen' diye hitap edilir.</t>
        </is>
      </c>
    </row>
    <row r="29">
      <c r="A29" t="inlineStr">
        <is>
          <t>• Açılır listeli sütunlarda yalnızca listedeki değerleri kullan.</t>
        </is>
      </c>
    </row>
    <row r="30">
      <c r="A30" t="inlineStr"/>
    </row>
    <row r="31">
      <c r="A31" s="2" t="inlineStr">
        <is>
          <t>DEĞERLER</t>
        </is>
      </c>
    </row>
    <row r="32">
      <c r="A32" t="inlineStr">
        <is>
          <t>Stat: Akıl, Çene, Kurnazlık, Cesaret, Pişkinlik, Vicdan, Dayanıklılık, Sosyal Radar</t>
        </is>
      </c>
    </row>
    <row r="33">
      <c r="A33" t="inlineStr">
        <is>
          <t>Zorluk: Çok Kolay, Kolay, Orta, Zor, Çok Zor</t>
        </is>
      </c>
    </row>
    <row r="34">
      <c r="A34" t="inlineStr">
        <is>
          <t>Aile türü: ev, para, sosyal, okul-iş</t>
        </is>
      </c>
    </row>
    <row r="35">
      <c r="A35" t="inlineStr">
        <is>
          <t>Mini oyun: timing, hold, collect, race, memory, cups, doors, rhythm, lanes, simon, poker, trace, bargain, swipe, breath, balance</t>
        </is>
      </c>
    </row>
    <row r="36">
      <c r="A36" t="inlineStr">
        <is>
          <t>Mekân: ev, mutfak, cocuk-odasi, okul, sinif, okul-bahcesi, sokak, park, bakkal, market, carsi, ofis, dukkan, devlet-dairesi, hastane, dugun-salonu, kafe, toplu-tasima, trafik, universite, kisla, banka, apartman, sahil, huzurevi, mezarlik, yazlik, stadyum, sahne, mahkeme</t>
        </is>
      </c>
    </row>
    <row r="37">
      <c r="A37" t="inlineStr">
        <is>
          <t>Aileler: Yalçın, Erdem, Keskin, Tan, Varlı, Şen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8" customWidth="1" min="4" max="4"/>
    <col width="12" customWidth="1" min="5" max="5"/>
    <col width="18" customWidth="1" min="6" max="6"/>
    <col width="18" customWidth="1" min="7" max="7"/>
  </cols>
  <sheetData>
    <row r="1">
      <c r="A1" s="3" t="inlineStr">
        <is>
          <t>Bölüm</t>
        </is>
      </c>
      <c r="B1" s="3" t="inlineStr">
        <is>
          <t>Olay sayısı</t>
        </is>
      </c>
      <c r="C1" s="3" t="inlineStr">
        <is>
          <t>Sabit olay</t>
        </is>
      </c>
      <c r="D1" s="3" t="inlineStr">
        <is>
          <t>Bir hayatta görülen</t>
        </is>
      </c>
      <c r="E1" s="3" t="inlineStr">
        <is>
          <t>Seçim sayısı</t>
        </is>
      </c>
      <c r="F1" s="3" t="inlineStr">
        <is>
          <t>Mini oyunlu seçim</t>
        </is>
      </c>
      <c r="G1" s="3" t="inlineStr">
        <is>
          <t>Ölüm riskli seçim</t>
        </is>
      </c>
    </row>
    <row r="2">
      <c r="A2" t="n">
        <v>1</v>
      </c>
      <c r="B2">
        <f>COUNTIF(Olaylar!B:B,1)</f>
        <v/>
      </c>
      <c r="C2">
        <f>COUNTIFS(Olaylar!B:B,1,Olaylar!I:I,"E")</f>
        <v/>
      </c>
      <c r="D2">
        <f>VLOOKUP(1,Bölümler!A:C,3,FALSE)</f>
        <v/>
      </c>
      <c r="E2">
        <f>SUMPRODUCT((COUNTIFS(Seçimler!A:A,Olaylar!A$2:A$330)&gt;0)*(Olaylar!B$2:B$330=1)*COUNTIFS(Seçimler!A:A,Olaylar!A$2:A$330))</f>
        <v/>
      </c>
      <c r="F2" t="inlineStr"/>
      <c r="G2" t="inlineStr"/>
    </row>
    <row r="3">
      <c r="A3" t="n">
        <v>2</v>
      </c>
      <c r="B3">
        <f>COUNTIF(Olaylar!B:B,2)</f>
        <v/>
      </c>
      <c r="C3">
        <f>COUNTIFS(Olaylar!B:B,2,Olaylar!I:I,"E")</f>
        <v/>
      </c>
      <c r="D3">
        <f>VLOOKUP(2,Bölümler!A:C,3,FALSE)</f>
        <v/>
      </c>
      <c r="E3">
        <f>SUMPRODUCT((COUNTIFS(Seçimler!A:A,Olaylar!A$2:A$330)&gt;0)*(Olaylar!B$2:B$330=2)*COUNTIFS(Seçimler!A:A,Olaylar!A$2:A$330))</f>
        <v/>
      </c>
      <c r="F3" t="inlineStr"/>
      <c r="G3" t="inlineStr"/>
    </row>
    <row r="4">
      <c r="A4" t="n">
        <v>3</v>
      </c>
      <c r="B4">
        <f>COUNTIF(Olaylar!B:B,3)</f>
        <v/>
      </c>
      <c r="C4">
        <f>COUNTIFS(Olaylar!B:B,3,Olaylar!I:I,"E")</f>
        <v/>
      </c>
      <c r="D4">
        <f>VLOOKUP(3,Bölümler!A:C,3,FALSE)</f>
        <v/>
      </c>
      <c r="E4">
        <f>SUMPRODUCT((COUNTIFS(Seçimler!A:A,Olaylar!A$2:A$330)&gt;0)*(Olaylar!B$2:B$330=3)*COUNTIFS(Seçimler!A:A,Olaylar!A$2:A$330))</f>
        <v/>
      </c>
      <c r="F4" t="inlineStr"/>
      <c r="G4" t="inlineStr"/>
    </row>
    <row r="5">
      <c r="A5" t="n">
        <v>4</v>
      </c>
      <c r="B5">
        <f>COUNTIF(Olaylar!B:B,4)</f>
        <v/>
      </c>
      <c r="C5">
        <f>COUNTIFS(Olaylar!B:B,4,Olaylar!I:I,"E")</f>
        <v/>
      </c>
      <c r="D5">
        <f>VLOOKUP(4,Bölümler!A:C,3,FALSE)</f>
        <v/>
      </c>
      <c r="E5">
        <f>SUMPRODUCT((COUNTIFS(Seçimler!A:A,Olaylar!A$2:A$330)&gt;0)*(Olaylar!B$2:B$330=4)*COUNTIFS(Seçimler!A:A,Olaylar!A$2:A$330))</f>
        <v/>
      </c>
      <c r="F5" t="inlineStr"/>
      <c r="G5" t="inlineStr"/>
    </row>
    <row r="6">
      <c r="A6" t="n">
        <v>5</v>
      </c>
      <c r="B6">
        <f>COUNTIF(Olaylar!B:B,5)</f>
        <v/>
      </c>
      <c r="C6">
        <f>COUNTIFS(Olaylar!B:B,5,Olaylar!I:I,"E")</f>
        <v/>
      </c>
      <c r="D6">
        <f>VLOOKUP(5,Bölümler!A:C,3,FALSE)</f>
        <v/>
      </c>
      <c r="E6">
        <f>SUMPRODUCT((COUNTIFS(Seçimler!A:A,Olaylar!A$2:A$330)&gt;0)*(Olaylar!B$2:B$330=5)*COUNTIFS(Seçimler!A:A,Olaylar!A$2:A$330))</f>
        <v/>
      </c>
      <c r="F6" t="inlineStr"/>
      <c r="G6" t="inlineStr"/>
    </row>
    <row r="7">
      <c r="A7" t="n">
        <v>6</v>
      </c>
      <c r="B7">
        <f>COUNTIF(Olaylar!B:B,6)</f>
        <v/>
      </c>
      <c r="C7">
        <f>COUNTIFS(Olaylar!B:B,6,Olaylar!I:I,"E")</f>
        <v/>
      </c>
      <c r="D7">
        <f>VLOOKUP(6,Bölümler!A:C,3,FALSE)</f>
        <v/>
      </c>
      <c r="E7">
        <f>SUMPRODUCT((COUNTIFS(Seçimler!A:A,Olaylar!A$2:A$330)&gt;0)*(Olaylar!B$2:B$330=6)*COUNTIFS(Seçimler!A:A,Olaylar!A$2:A$330))</f>
        <v/>
      </c>
      <c r="F7" t="inlineStr"/>
      <c r="G7" t="inlineStr"/>
    </row>
    <row r="8">
      <c r="A8" t="n">
        <v>7</v>
      </c>
      <c r="B8">
        <f>COUNTIF(Olaylar!B:B,7)</f>
        <v/>
      </c>
      <c r="C8">
        <f>COUNTIFS(Olaylar!B:B,7,Olaylar!I:I,"E")</f>
        <v/>
      </c>
      <c r="D8">
        <f>VLOOKUP(7,Bölümler!A:C,3,FALSE)</f>
        <v/>
      </c>
      <c r="E8">
        <f>SUMPRODUCT((COUNTIFS(Seçimler!A:A,Olaylar!A$2:A$330)&gt;0)*(Olaylar!B$2:B$330=7)*COUNTIFS(Seçimler!A:A,Olaylar!A$2:A$330))</f>
        <v/>
      </c>
      <c r="F8" t="inlineStr"/>
      <c r="G8" t="inlineStr"/>
    </row>
    <row r="9">
      <c r="A9" t="n">
        <v>8</v>
      </c>
      <c r="B9">
        <f>COUNTIF(Olaylar!B:B,8)</f>
        <v/>
      </c>
      <c r="C9">
        <f>COUNTIFS(Olaylar!B:B,8,Olaylar!I:I,"E")</f>
        <v/>
      </c>
      <c r="D9">
        <f>VLOOKUP(8,Bölümler!A:C,3,FALSE)</f>
        <v/>
      </c>
      <c r="E9">
        <f>SUMPRODUCT((COUNTIFS(Seçimler!A:A,Olaylar!A$2:A$330)&gt;0)*(Olaylar!B$2:B$330=8)*COUNTIFS(Seçimler!A:A,Olaylar!A$2:A$330))</f>
        <v/>
      </c>
      <c r="F9" t="inlineStr"/>
      <c r="G9" t="inlineStr"/>
    </row>
    <row r="10">
      <c r="A10" t="n">
        <v>9</v>
      </c>
      <c r="B10">
        <f>COUNTIF(Olaylar!B:B,9)</f>
        <v/>
      </c>
      <c r="C10">
        <f>COUNTIFS(Olaylar!B:B,9,Olaylar!I:I,"E")</f>
        <v/>
      </c>
      <c r="D10">
        <f>VLOOKUP(9,Bölümler!A:C,3,FALSE)</f>
        <v/>
      </c>
      <c r="E10">
        <f>SUMPRODUCT((COUNTIFS(Seçimler!A:A,Olaylar!A$2:A$330)&gt;0)*(Olaylar!B$2:B$330=9)*COUNTIFS(Seçimler!A:A,Olaylar!A$2:A$330))</f>
        <v/>
      </c>
      <c r="F10" t="inlineStr"/>
      <c r="G10" t="inlineStr"/>
    </row>
    <row r="11">
      <c r="A11" t="n">
        <v>10</v>
      </c>
      <c r="B11">
        <f>COUNTIF(Olaylar!B:B,10)</f>
        <v/>
      </c>
      <c r="C11">
        <f>COUNTIFS(Olaylar!B:B,10,Olaylar!I:I,"E")</f>
        <v/>
      </c>
      <c r="D11">
        <f>VLOOKUP(10,Bölümler!A:C,3,FALSE)</f>
        <v/>
      </c>
      <c r="E11">
        <f>SUMPRODUCT((COUNTIFS(Seçimler!A:A,Olaylar!A$2:A$330)&gt;0)*(Olaylar!B$2:B$330=10)*COUNTIFS(Seçimler!A:A,Olaylar!A$2:A$330))</f>
        <v/>
      </c>
      <c r="F11" t="inlineStr"/>
      <c r="G11" t="inlineStr"/>
    </row>
    <row r="12">
      <c r="A12" s="2" t="inlineStr">
        <is>
          <t>Toplam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COUNTIF(Seçimler!M:M,"?*")-1</f>
        <v/>
      </c>
      <c r="G12">
        <f>COUNTIF(Seçimler!Y:Y,"&gt;0")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8" customWidth="1" min="2" max="2"/>
    <col width="12" customWidth="1" min="3" max="3"/>
    <col width="7" customWidth="1" min="4" max="4"/>
    <col width="26" customWidth="1" min="5" max="5"/>
    <col width="60" customWidth="1" min="6" max="6"/>
    <col width="14" customWidth="1" min="7" max="7"/>
    <col width="10" customWidth="1" min="8" max="8"/>
    <col width="7" customWidth="1" min="9" max="9"/>
    <col width="8" customWidth="1" min="10" max="10"/>
    <col width="20" customWidth="1" min="11" max="11"/>
    <col width="20" customWidth="1" min="12" max="12"/>
    <col width="18" customWidth="1" min="13" max="13"/>
    <col width="9" customWidth="1" min="14" max="14"/>
    <col width="14" customWidth="1" min="15" max="15"/>
    <col width="14" customWidth="1" min="16" max="16"/>
    <col width="9" customWidth="1" min="17" max="17"/>
    <col width="50" customWidth="1" min="18" max="18"/>
    <col width="22" customWidth="1" min="19" max="19"/>
    <col width="22" customWidth="1" min="20" max="20"/>
  </cols>
  <sheetData>
    <row r="1" ht="32" customHeight="1">
      <c r="A1" s="4" t="inlineStr">
        <is>
          <t>Olay ID</t>
        </is>
      </c>
      <c r="B1" s="4" t="inlineStr">
        <is>
          <t>Bölüm</t>
        </is>
      </c>
      <c r="C1" s="4" t="inlineStr">
        <is>
          <t>Yaş</t>
        </is>
      </c>
      <c r="D1" s="4" t="inlineStr">
        <is>
          <t>Simge</t>
        </is>
      </c>
      <c r="E1" s="4" t="inlineStr">
        <is>
          <t>Başlık</t>
        </is>
      </c>
      <c r="F1" s="4" t="inlineStr">
        <is>
          <t>Olay metni</t>
        </is>
      </c>
      <c r="G1" s="4" t="inlineStr">
        <is>
          <t>Mekân</t>
        </is>
      </c>
      <c r="H1" s="4" t="inlineStr">
        <is>
          <t>Aile türü</t>
        </is>
      </c>
      <c r="I1" s="4" t="inlineStr">
        <is>
          <t>Sabit</t>
        </is>
      </c>
      <c r="J1" s="4" t="inlineStr">
        <is>
          <t>Ağırlık</t>
        </is>
      </c>
      <c r="K1" s="4" t="inlineStr">
        <is>
          <t>Gereken hafızalar</t>
        </is>
      </c>
      <c r="L1" s="4" t="inlineStr">
        <is>
          <t>Olmaması gereken hafızalar</t>
        </is>
      </c>
      <c r="M1" s="4" t="inlineStr">
        <is>
          <t>Gereken özellik</t>
        </is>
      </c>
      <c r="N1" s="4" t="inlineStr">
        <is>
          <t>Cinsiyet</t>
        </is>
      </c>
      <c r="O1" s="4" t="inlineStr">
        <is>
          <t>Sadece aileler</t>
        </is>
      </c>
      <c r="P1" s="4" t="inlineStr">
        <is>
          <t>Asgari stat</t>
        </is>
      </c>
      <c r="Q1" s="4" t="inlineStr">
        <is>
          <t>Kavşak no</t>
        </is>
      </c>
      <c r="R1" s="4" t="inlineStr">
        <is>
          <t>Kavşak girişi</t>
        </is>
      </c>
      <c r="S1" s="4" t="inlineStr">
        <is>
          <t>Kazanırsan</t>
        </is>
      </c>
      <c r="T1" s="4" t="inlineStr">
        <is>
          <t>Kazanamazsan</t>
        </is>
      </c>
    </row>
    <row r="2">
      <c r="A2" s="5" t="inlineStr">
        <is>
          <t>dogum</t>
        </is>
      </c>
      <c r="B2" s="5" t="n">
        <v>1</v>
      </c>
      <c r="C2" s="5" t="inlineStr">
        <is>
          <t>0 yaş</t>
        </is>
      </c>
      <c r="D2" s="5" t="inlineStr">
        <is>
          <t>👶</t>
        </is>
      </c>
      <c r="E2" s="6" t="inlineStr">
        <is>
          <t>Ortam Fazla Aydınlık</t>
        </is>
      </c>
      <c r="F2" s="6" t="inlineStr">
        <is>
          <t>Makarya'ya yeni indin. Işıklar fazla parlak, oda fazla kalabalık, herkes ilk açıklamanı bekliyor.</t>
        </is>
      </c>
      <c r="G2" s="5" t="inlineStr"/>
      <c r="H2" s="5" t="inlineStr"/>
      <c r="I2" s="5" t="inlineStr">
        <is>
          <t>E</t>
        </is>
      </c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6" t="inlineStr"/>
      <c r="S2" s="5" t="inlineStr"/>
      <c r="T2" s="5" t="inlineStr"/>
    </row>
    <row r="3">
      <c r="A3" s="5" t="inlineStr">
        <is>
          <t>gece-vardiyasi</t>
        </is>
      </c>
      <c r="B3" s="5" t="n">
        <v>1</v>
      </c>
      <c r="C3" s="5" t="inlineStr">
        <is>
          <t>3 ay</t>
        </is>
      </c>
      <c r="D3" s="5" t="inlineStr">
        <is>
          <t>🌙</t>
        </is>
      </c>
      <c r="E3" s="6" t="inlineStr">
        <is>
          <t>Gece Vardiyası</t>
        </is>
      </c>
      <c r="F3" s="6" t="inlineStr">
        <is>
          <t>Saat 03:00. Ev halkı pes etmiş, uyumaya çalışıyor. Senin vardiyan daha yeni başlıyor.</t>
        </is>
      </c>
      <c r="G3" s="5" t="inlineStr"/>
      <c r="H3" s="5" t="inlineStr">
        <is>
          <t>ev</t>
        </is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6" t="inlineStr"/>
      <c r="S3" s="5" t="inlineStr"/>
      <c r="T3" s="5" t="inlineStr"/>
    </row>
    <row r="4">
      <c r="A4" s="5" t="inlineStr">
        <is>
          <t>yabanci-krizi</t>
        </is>
      </c>
      <c r="B4" s="5" t="n">
        <v>1</v>
      </c>
      <c r="C4" s="5" t="inlineStr">
        <is>
          <t>8 ay</t>
        </is>
      </c>
      <c r="D4" s="5" t="inlineStr">
        <is>
          <t>🤓</t>
        </is>
      </c>
      <c r="E4" s="6" t="inlineStr">
        <is>
          <t>Yabancı Krizi</t>
        </is>
      </c>
      <c r="F4" s="6" t="inlineStr">
        <is>
          <t>Tanımadığın biri sana fazla hızlı, fazla gülümseyerek yaklaştı. Sosyal protokol bu yaşta henüz yayımlanmadı.</t>
        </is>
      </c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6" t="inlineStr"/>
      <c r="S4" s="5" t="inlineStr"/>
      <c r="T4" s="5" t="inlineStr"/>
    </row>
    <row r="5">
      <c r="A5" s="5" t="inlineStr">
        <is>
          <t>yasak-nesne</t>
        </is>
      </c>
      <c r="B5" s="5" t="n">
        <v>1</v>
      </c>
      <c r="C5" s="5" t="inlineStr">
        <is>
          <t>10 ay</t>
        </is>
      </c>
      <c r="D5" s="5" t="inlineStr">
        <is>
          <t>💎</t>
        </is>
      </c>
      <c r="E5" s="6" t="inlineStr">
        <is>
          <t>Yasak Nesne</t>
        </is>
      </c>
      <c r="F5" s="6" t="inlineStr">
        <is>
          <t>Masada dokunmaman gereken parlak bir şey var. Bu bilgi nesneyi daha çekici yaptı.</t>
        </is>
      </c>
      <c r="G5" s="5" t="inlineStr"/>
      <c r="H5" s="5" t="inlineStr">
        <is>
          <t>ev</t>
        </is>
      </c>
      <c r="I5" s="5" t="inlineStr"/>
      <c r="J5" s="5" t="inlineStr"/>
      <c r="K5" s="5" t="inlineStr"/>
      <c r="L5" s="5" t="inlineStr"/>
      <c r="M5" s="5" t="inlineStr"/>
      <c r="N5" s="5" t="inlineStr"/>
      <c r="O5" s="5" t="inlineStr"/>
      <c r="P5" s="5" t="inlineStr"/>
      <c r="Q5" s="5" t="inlineStr"/>
      <c r="R5" s="6" t="inlineStr"/>
      <c r="S5" s="5" t="inlineStr"/>
      <c r="T5" s="5" t="inlineStr"/>
    </row>
    <row r="6">
      <c r="A6" s="5" t="inlineStr">
        <is>
          <t>ilk-kelime</t>
        </is>
      </c>
      <c r="B6" s="5" t="n">
        <v>1</v>
      </c>
      <c r="C6" s="5" t="inlineStr">
        <is>
          <t>1 yaş</t>
        </is>
      </c>
      <c r="D6" s="5" t="inlineStr">
        <is>
          <t>💬</t>
        </is>
      </c>
      <c r="E6" s="6" t="inlineStr">
        <is>
          <t>İlk Kelime</t>
        </is>
      </c>
      <c r="F6" s="6" t="inlineStr">
        <is>
          <t>Salon sessizleşti. Herkes ağzından çıkacak ilk anlamlı kelimeyi bekliyor.</t>
        </is>
      </c>
      <c r="G6" s="5" t="inlineStr"/>
      <c r="H6" s="5" t="inlineStr">
        <is>
          <t>ev</t>
        </is>
      </c>
      <c r="I6" s="5" t="inlineStr">
        <is>
          <t>E</t>
        </is>
      </c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6" t="inlineStr"/>
      <c r="S6" s="5" t="inlineStr"/>
      <c r="T6" s="5" t="inlineStr"/>
    </row>
    <row r="7">
      <c r="A7" s="5" t="inlineStr">
        <is>
          <t>ilk-adimlar</t>
        </is>
      </c>
      <c r="B7" s="5" t="n">
        <v>1</v>
      </c>
      <c r="C7" s="5" t="inlineStr">
        <is>
          <t>15 ay</t>
        </is>
      </c>
      <c r="D7" s="5" t="inlineStr">
        <is>
          <t>👣</t>
        </is>
      </c>
      <c r="E7" s="6" t="inlineStr">
        <is>
          <t>İlk Adımlar</t>
        </is>
      </c>
      <c r="F7" s="6" t="inlineStr">
        <is>
          <t>Ayaktasın. Bu, teoride ilerleme sayılıyor.</t>
        </is>
      </c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6" t="inlineStr"/>
      <c r="S7" s="5" t="inlineStr"/>
      <c r="T7" s="5" t="inlineStr"/>
    </row>
    <row r="8">
      <c r="A8" s="5" t="inlineStr">
        <is>
          <t>masadaki-telefon</t>
        </is>
      </c>
      <c r="B8" s="5" t="n">
        <v>1</v>
      </c>
      <c r="C8" s="5" t="inlineStr">
        <is>
          <t>17 ay</t>
        </is>
      </c>
      <c r="D8" s="5" t="inlineStr">
        <is>
          <t>📱</t>
        </is>
      </c>
      <c r="E8" s="6" t="inlineStr">
        <is>
          <t>Masadaki Telefon</t>
        </is>
      </c>
      <c r="F8" s="6" t="inlineStr">
        <is>
          <t>Ekran parlıyor. Yetişkinler bu nesneye günün önemli bölümünü ayırıyor.</t>
        </is>
      </c>
      <c r="G8" s="5" t="inlineStr"/>
      <c r="H8" s="5" t="inlineStr"/>
      <c r="I8" s="5" t="inlineStr"/>
      <c r="J8" s="5" t="inlineStr"/>
      <c r="K8" s="5" t="inlineStr"/>
      <c r="L8" s="5" t="inlineStr"/>
      <c r="M8" s="5" t="inlineStr"/>
      <c r="N8" s="5" t="inlineStr"/>
      <c r="O8" s="5" t="inlineStr"/>
      <c r="P8" s="5" t="inlineStr"/>
      <c r="Q8" s="5" t="inlineStr"/>
      <c r="R8" s="6" t="inlineStr"/>
      <c r="S8" s="5" t="inlineStr"/>
      <c r="T8" s="5" t="inlineStr"/>
    </row>
    <row r="9">
      <c r="A9" s="5" t="inlineStr">
        <is>
          <t>dogum-gunu-pastasi</t>
        </is>
      </c>
      <c r="B9" s="5" t="n">
        <v>1</v>
      </c>
      <c r="C9" s="5" t="inlineStr">
        <is>
          <t>19 ay</t>
        </is>
      </c>
      <c r="D9" s="5" t="inlineStr">
        <is>
          <t>🎂</t>
        </is>
      </c>
      <c r="E9" s="6" t="inlineStr">
        <is>
          <t>Doğum Günü Pastası</t>
        </is>
      </c>
      <c r="F9" s="6" t="inlineStr">
        <is>
          <t>Bir pasta, bir mum ve çok sayıda gereksiz sosyal kural.</t>
        </is>
      </c>
      <c r="G9" s="5" t="inlineStr"/>
      <c r="H9" s="5" t="inlineStr">
        <is>
          <t>sosyal</t>
        </is>
      </c>
      <c r="I9" s="5" t="inlineStr"/>
      <c r="J9" s="5" t="inlineStr"/>
      <c r="K9" s="5" t="inlineStr"/>
      <c r="L9" s="5" t="inlineStr"/>
      <c r="M9" s="5" t="inlineStr"/>
      <c r="N9" s="5" t="inlineStr"/>
      <c r="O9" s="5" t="inlineStr"/>
      <c r="P9" s="5" t="inlineStr"/>
      <c r="Q9" s="5" t="inlineStr"/>
      <c r="R9" s="6" t="inlineStr"/>
      <c r="S9" s="5" t="inlineStr"/>
      <c r="T9" s="5" t="inlineStr"/>
    </row>
    <row r="10">
      <c r="A10" s="5" t="inlineStr">
        <is>
          <t>vazo-kirildi</t>
        </is>
      </c>
      <c r="B10" s="5" t="n">
        <v>1</v>
      </c>
      <c r="C10" s="5" t="inlineStr">
        <is>
          <t>2 yaş</t>
        </is>
      </c>
      <c r="D10" s="5" t="inlineStr">
        <is>
          <t>🏺</t>
        </is>
      </c>
      <c r="E10" s="6" t="inlineStr">
        <is>
          <t>Vazo Kırıldı</t>
        </is>
      </c>
      <c r="F10" s="6" t="inlineStr">
        <is>
          <t>Vazo yerde. Sessizlik ağır. Kedi sana bakıyor.</t>
        </is>
      </c>
      <c r="G10" s="5" t="inlineStr"/>
      <c r="H10" s="5" t="inlineStr">
        <is>
          <t>ev</t>
        </is>
      </c>
      <c r="I10" s="5" t="inlineStr">
        <is>
          <t>E</t>
        </is>
      </c>
      <c r="J10" s="5" t="inlineStr"/>
      <c r="K10" s="5" t="inlineStr"/>
      <c r="L10" s="5" t="inlineStr"/>
      <c r="M10" s="5" t="inlineStr"/>
      <c r="N10" s="5" t="inlineStr"/>
      <c r="O10" s="5" t="inlineStr"/>
      <c r="P10" s="5" t="inlineStr"/>
      <c r="Q10" s="5" t="inlineStr"/>
      <c r="R10" s="6" t="inlineStr"/>
      <c r="S10" s="5" t="inlineStr"/>
      <c r="T10" s="5" t="inlineStr"/>
    </row>
    <row r="11">
      <c r="A11" s="5" t="inlineStr">
        <is>
          <t>ilk-harclik</t>
        </is>
      </c>
      <c r="B11" s="5" t="n">
        <v>1</v>
      </c>
      <c r="C11" s="5" t="inlineStr">
        <is>
          <t>2 yaş 2 ay</t>
        </is>
      </c>
      <c r="D11" s="5" t="inlineStr">
        <is>
          <t>🪙</t>
        </is>
      </c>
      <c r="E11" s="6" t="inlineStr">
        <is>
          <t>İlk Harçlık</t>
        </is>
      </c>
      <c r="F11" s="6" t="inlineStr">
        <is>
          <t>Avucuna birkaç bozuk para bırakıldı. Finansal sistemle ilk temas.</t>
        </is>
      </c>
      <c r="G11" s="5" t="inlineStr"/>
      <c r="H11" s="5" t="inlineStr">
        <is>
          <t>para</t>
        </is>
      </c>
      <c r="I11" s="5" t="inlineStr"/>
      <c r="J11" s="5" t="n">
        <v>2</v>
      </c>
      <c r="K11" s="5" t="inlineStr"/>
      <c r="L11" s="5" t="inlineStr"/>
      <c r="M11" s="5" t="inlineStr"/>
      <c r="N11" s="5" t="inlineStr"/>
      <c r="O11" s="5" t="inlineStr"/>
      <c r="P11" s="5" t="inlineStr"/>
      <c r="Q11" s="5" t="inlineStr"/>
      <c r="R11" s="6" t="inlineStr"/>
      <c r="S11" s="5" t="inlineStr"/>
      <c r="T11" s="5" t="inlineStr"/>
    </row>
    <row r="12">
      <c r="A12" s="5" t="inlineStr">
        <is>
          <t>oyuncak-krizi</t>
        </is>
      </c>
      <c r="B12" s="5" t="n">
        <v>1</v>
      </c>
      <c r="C12" s="5" t="inlineStr">
        <is>
          <t>2 yaş 4 ay</t>
        </is>
      </c>
      <c r="D12" s="5" t="inlineStr">
        <is>
          <t>🧸</t>
        </is>
      </c>
      <c r="E12" s="6" t="inlineStr">
        <is>
          <t>Oyuncak Krizi</t>
        </is>
      </c>
      <c r="F12" s="6" t="inlineStr">
        <is>
          <t>Başka bir çocuk senin oyuncağını aldı. Park diplomatik ilişkileri kesti; uluslararası bir kriz başladı.</t>
        </is>
      </c>
      <c r="G12" s="5" t="inlineStr"/>
      <c r="H12" s="5" t="inlineStr">
        <is>
          <t>sosyal</t>
        </is>
      </c>
      <c r="I12" s="5" t="inlineStr"/>
      <c r="J12" s="5" t="inlineStr"/>
      <c r="K12" s="5" t="inlineStr"/>
      <c r="L12" s="5" t="inlineStr"/>
      <c r="M12" s="5" t="inlineStr"/>
      <c r="N12" s="5" t="inlineStr"/>
      <c r="O12" s="5" t="inlineStr"/>
      <c r="P12" s="5" t="inlineStr"/>
      <c r="Q12" s="5" t="inlineStr"/>
      <c r="R12" s="6" t="inlineStr"/>
      <c r="S12" s="5" t="inlineStr"/>
      <c r="T12" s="5" t="inlineStr"/>
    </row>
    <row r="13">
      <c r="A13" s="5" t="inlineStr">
        <is>
          <t>aile-toplantisi</t>
        </is>
      </c>
      <c r="B13" s="5" t="n">
        <v>1</v>
      </c>
      <c r="C13" s="5" t="inlineStr">
        <is>
          <t>2 yaş 7 ay</t>
        </is>
      </c>
      <c r="D13" s="5" t="inlineStr">
        <is>
          <t>🛋️</t>
        </is>
      </c>
      <c r="E13" s="6" t="inlineStr">
        <is>
          <t>Aile Toplantısı</t>
        </is>
      </c>
      <c r="F13" s="6" t="inlineStr">
        <is>
          <t>Yetişkinler konuşuyor. Konu senden daha sıkıcı ama sonuçları daha büyük olabilir.</t>
        </is>
      </c>
      <c r="G13" s="5" t="inlineStr"/>
      <c r="H13" s="5" t="inlineStr">
        <is>
          <t>ev</t>
        </is>
      </c>
      <c r="I13" s="5" t="inlineStr"/>
      <c r="J13" s="5" t="inlineStr"/>
      <c r="K13" s="5" t="inlineStr"/>
      <c r="L13" s="5" t="inlineStr"/>
      <c r="M13" s="5" t="inlineStr"/>
      <c r="N13" s="5" t="inlineStr"/>
      <c r="O13" s="5" t="inlineStr"/>
      <c r="P13" s="5" t="inlineStr"/>
      <c r="Q13" s="5" t="inlineStr"/>
      <c r="R13" s="6" t="inlineStr"/>
      <c r="S13" s="5" t="inlineStr"/>
      <c r="T13" s="5" t="inlineStr"/>
    </row>
    <row r="14">
      <c r="A14" s="5" t="inlineStr">
        <is>
          <t>parkta-sira</t>
        </is>
      </c>
      <c r="B14" s="5" t="n">
        <v>1</v>
      </c>
      <c r="C14" s="5" t="inlineStr">
        <is>
          <t>2 yaş 10 ay</t>
        </is>
      </c>
      <c r="D14" s="5" t="inlineStr">
        <is>
          <t>🛝</t>
        </is>
      </c>
      <c r="E14" s="6" t="inlineStr">
        <is>
          <t>Parkta Sıra</t>
        </is>
      </c>
      <c r="F14" s="6" t="inlineStr">
        <is>
          <t>Kaydırakta sıra var. Sistem basit görünüyor. İnsanlar yüzünden değil.</t>
        </is>
      </c>
      <c r="G14" s="5" t="inlineStr"/>
      <c r="H14" s="5" t="inlineStr"/>
      <c r="I14" s="5" t="inlineStr"/>
      <c r="J14" s="5" t="inlineStr"/>
      <c r="K14" s="5" t="inlineStr"/>
      <c r="L14" s="5" t="inlineStr"/>
      <c r="M14" s="5" t="inlineStr"/>
      <c r="N14" s="5" t="inlineStr"/>
      <c r="O14" s="5" t="inlineStr"/>
      <c r="P14" s="5" t="inlineStr"/>
      <c r="Q14" s="5" t="inlineStr"/>
      <c r="R14" s="6" t="inlineStr"/>
      <c r="S14" s="5" t="inlineStr"/>
      <c r="T14" s="5" t="inlineStr"/>
    </row>
    <row r="15">
      <c r="A15" s="5" t="inlineStr">
        <is>
          <t>kim-yapti</t>
        </is>
      </c>
      <c r="B15" s="5" t="n">
        <v>1</v>
      </c>
      <c r="C15" s="5" t="inlineStr">
        <is>
          <t>2 yaş 11 ay</t>
        </is>
      </c>
      <c r="D15" s="5" t="inlineStr">
        <is>
          <t>🔍</t>
        </is>
      </c>
      <c r="E15" s="6" t="inlineStr">
        <is>
          <t>Kim Yaptı?</t>
        </is>
      </c>
      <c r="F15" s="6" t="inlineStr">
        <is>
          <t>Bir şey oldu. Bir yetişkin tek soru soruyor. Oda sessiz.</t>
        </is>
      </c>
      <c r="G15" s="5" t="inlineStr"/>
      <c r="H15" s="5" t="inlineStr">
        <is>
          <t>ev</t>
        </is>
      </c>
      <c r="I15" s="5" t="inlineStr"/>
      <c r="J15" s="5" t="n">
        <v>2</v>
      </c>
      <c r="K15" s="5" t="inlineStr"/>
      <c r="L15" s="5" t="inlineStr"/>
      <c r="M15" s="5" t="inlineStr"/>
      <c r="N15" s="5" t="inlineStr"/>
      <c r="O15" s="5" t="inlineStr"/>
      <c r="P15" s="5" t="inlineStr"/>
      <c r="Q15" s="5" t="inlineStr"/>
      <c r="R15" s="6" t="inlineStr"/>
      <c r="S15" s="5" t="inlineStr"/>
      <c r="T15" s="5" t="inlineStr"/>
    </row>
    <row r="16">
      <c r="A16" s="5" t="inlineStr">
        <is>
          <t>kres-kapisi</t>
        </is>
      </c>
      <c r="B16" s="5" t="n">
        <v>1</v>
      </c>
      <c r="C16" s="5" t="inlineStr">
        <is>
          <t>3 yaş</t>
        </is>
      </c>
      <c r="D16" s="5" t="inlineStr">
        <is>
          <t>🏫</t>
        </is>
      </c>
      <c r="E16" s="6" t="inlineStr">
        <is>
          <t>Kreş Kapısı</t>
        </is>
      </c>
      <c r="F16" s="6" t="inlineStr">
        <is>
          <t>Kapının arkasında başka çocuklar, katı kurallar ve paylaşılması gereken oyuncaklar var. Ailen ilk kez birkaç saatliğine gerçek dünyada kalacak, sensiz.</t>
        </is>
      </c>
      <c r="G16" s="5" t="inlineStr"/>
      <c r="H16" s="5" t="inlineStr">
        <is>
          <t>okul-iş</t>
        </is>
      </c>
      <c r="I16" s="5" t="inlineStr">
        <is>
          <t>E</t>
        </is>
      </c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6" t="inlineStr"/>
      <c r="S16" s="5" t="inlineStr"/>
      <c r="T16" s="5" t="inlineStr"/>
    </row>
    <row r="17">
      <c r="A17" s="5" t="inlineStr">
        <is>
          <t>ilk-arkadas</t>
        </is>
      </c>
      <c r="B17" s="5" t="n">
        <v>2</v>
      </c>
      <c r="C17" s="5" t="inlineStr">
        <is>
          <t>3 yaş 1 ay</t>
        </is>
      </c>
      <c r="D17" s="5" t="inlineStr">
        <is>
          <t>🤝</t>
        </is>
      </c>
      <c r="E17" s="6" t="inlineStr">
        <is>
          <t>İlk Arkadaş</t>
        </is>
      </c>
      <c r="F17" s="6" t="inlineStr">
        <is>
          <t>Yanında bir çocuk var. İkiniz de ne yapacağınızı tam bilmiyorsunuz.</t>
        </is>
      </c>
      <c r="G17" s="5" t="inlineStr"/>
      <c r="H17" s="5" t="inlineStr"/>
      <c r="I17" s="5" t="inlineStr"/>
      <c r="J17" s="5" t="inlineStr"/>
      <c r="K17" s="5" t="inlineStr"/>
      <c r="L17" s="5" t="inlineStr"/>
      <c r="M17" s="5" t="inlineStr"/>
      <c r="N17" s="5" t="inlineStr"/>
      <c r="O17" s="5" t="inlineStr"/>
      <c r="P17" s="5" t="inlineStr"/>
      <c r="Q17" s="5" t="inlineStr"/>
      <c r="R17" s="6" t="inlineStr"/>
      <c r="S17" s="5" t="inlineStr"/>
      <c r="T17" s="5" t="inlineStr"/>
    </row>
    <row r="18">
      <c r="A18" s="5" t="inlineStr">
        <is>
          <t>oyuncagimi-aldi</t>
        </is>
      </c>
      <c r="B18" s="5" t="n">
        <v>2</v>
      </c>
      <c r="C18" s="5" t="inlineStr">
        <is>
          <t>3 yaş 2 ay</t>
        </is>
      </c>
      <c r="D18" s="5" t="inlineStr">
        <is>
          <t>😤</t>
        </is>
      </c>
      <c r="E18" s="6" t="inlineStr">
        <is>
          <t>Oyuncağımı Aldı</t>
        </is>
      </c>
      <c r="F18" s="6" t="inlineStr">
        <is>
          <t>Bir çocuk oyuncağını aldı ve bunun tamamen normal olduğuna inanıyor.</t>
        </is>
      </c>
      <c r="G18" s="5" t="inlineStr"/>
      <c r="H18" s="5" t="inlineStr">
        <is>
          <t>sosyal</t>
        </is>
      </c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6" t="inlineStr"/>
      <c r="S18" s="5" t="inlineStr"/>
      <c r="T18" s="5" t="inlineStr"/>
    </row>
    <row r="19">
      <c r="A19" s="5" t="inlineStr">
        <is>
          <t>ogretmen-yanlis-anladi</t>
        </is>
      </c>
      <c r="B19" s="5" t="n">
        <v>2</v>
      </c>
      <c r="C19" s="5" t="inlineStr">
        <is>
          <t>3 yaş 4 ay</t>
        </is>
      </c>
      <c r="D19" s="5" t="inlineStr">
        <is>
          <t>👩‍🏫</t>
        </is>
      </c>
      <c r="E19" s="6" t="inlineStr">
        <is>
          <t>Öğretmen Seni Yanlış Anladı</t>
        </is>
      </c>
      <c r="F19" s="6" t="inlineStr">
        <is>
          <t>Öğretmen başka bir şey olduğunu sanıyor. İlk kez otorite de hata yapabiliyor.</t>
        </is>
      </c>
      <c r="G19" s="5" t="inlineStr"/>
      <c r="H19" s="5" t="inlineStr">
        <is>
          <t>okul-iş</t>
        </is>
      </c>
      <c r="I19" s="5" t="inlineStr"/>
      <c r="J19" s="5" t="inlineStr"/>
      <c r="K19" s="5" t="inlineStr"/>
      <c r="L19" s="5" t="inlineStr"/>
      <c r="M19" s="5" t="inlineStr"/>
      <c r="N19" s="5" t="inlineStr"/>
      <c r="O19" s="5" t="inlineStr"/>
      <c r="P19" s="5" t="inlineStr"/>
      <c r="Q19" s="5" t="inlineStr"/>
      <c r="R19" s="6" t="inlineStr"/>
      <c r="S19" s="5" t="inlineStr"/>
      <c r="T19" s="5" t="inlineStr"/>
    </row>
    <row r="20">
      <c r="A20" s="5" t="inlineStr">
        <is>
          <t>parkin-buyuk-cocugu</t>
        </is>
      </c>
      <c r="B20" s="5" t="n">
        <v>2</v>
      </c>
      <c r="C20" s="5" t="inlineStr">
        <is>
          <t>3 yaş 6 ay</t>
        </is>
      </c>
      <c r="D20" s="5" t="inlineStr">
        <is>
          <t>🧗</t>
        </is>
      </c>
      <c r="E20" s="6" t="inlineStr">
        <is>
          <t>Parkın Büyük Çocuğu</t>
        </is>
      </c>
      <c r="F20" s="6" t="inlineStr">
        <is>
          <t>Kaydırağın tepesinde senden büyük biri alanı sahiplenmiş görünüyor.</t>
        </is>
      </c>
      <c r="G20" s="5" t="inlineStr"/>
      <c r="H20" s="5" t="inlineStr"/>
      <c r="I20" s="5" t="inlineStr"/>
      <c r="J20" s="5" t="inlineStr"/>
      <c r="K20" s="5" t="inlineStr"/>
      <c r="L20" s="5" t="inlineStr"/>
      <c r="M20" s="5" t="inlineStr"/>
      <c r="N20" s="5" t="inlineStr"/>
      <c r="O20" s="5" t="inlineStr"/>
      <c r="P20" s="5" t="inlineStr"/>
      <c r="Q20" s="5" t="inlineStr"/>
      <c r="R20" s="6" t="inlineStr"/>
      <c r="S20" s="5" t="inlineStr"/>
      <c r="T20" s="5" t="inlineStr"/>
    </row>
    <row r="21">
      <c r="A21" s="5" t="inlineStr">
        <is>
          <t>market-kasasi</t>
        </is>
      </c>
      <c r="B21" s="5" t="n">
        <v>2</v>
      </c>
      <c r="C21" s="5" t="inlineStr">
        <is>
          <t>3 yaş 8 ay</t>
        </is>
      </c>
      <c r="D21" s="5" t="inlineStr">
        <is>
          <t>🍬</t>
        </is>
      </c>
      <c r="E21" s="6" t="inlineStr">
        <is>
          <t>Market Kasası</t>
        </is>
      </c>
      <c r="F21" s="6" t="inlineStr">
        <is>
          <t>Kasada göz hizanda şekerler var. Bu tesadüf olamayacak kadar iyi tasarlanmış.</t>
        </is>
      </c>
      <c r="G21" s="5" t="inlineStr"/>
      <c r="H21" s="5" t="inlineStr">
        <is>
          <t>para</t>
        </is>
      </c>
      <c r="I21" s="5" t="inlineStr"/>
      <c r="J21" s="5" t="inlineStr"/>
      <c r="K21" s="5" t="inlineStr"/>
      <c r="L21" s="5" t="inlineStr"/>
      <c r="M21" s="5" t="inlineStr"/>
      <c r="N21" s="5" t="inlineStr"/>
      <c r="O21" s="5" t="inlineStr"/>
      <c r="P21" s="5" t="inlineStr"/>
      <c r="Q21" s="5" t="inlineStr"/>
      <c r="R21" s="6" t="inlineStr"/>
      <c r="S21" s="5" t="inlineStr"/>
      <c r="T21" s="5" t="inlineStr"/>
    </row>
    <row r="22">
      <c r="A22" s="5" t="inlineStr">
        <is>
          <t>baskasinin-dogum-gunu</t>
        </is>
      </c>
      <c r="B22" s="5" t="n">
        <v>2</v>
      </c>
      <c r="C22" s="5" t="inlineStr">
        <is>
          <t>4 yaş</t>
        </is>
      </c>
      <c r="D22" s="5" t="inlineStr">
        <is>
          <t>🎁</t>
        </is>
      </c>
      <c r="E22" s="6" t="inlineStr">
        <is>
          <t>Başkasının Doğum Günü</t>
        </is>
      </c>
      <c r="F22" s="6" t="inlineStr">
        <is>
          <t>Pasta onun. Hediyeler onun. İlgi de teoride onun.</t>
        </is>
      </c>
      <c r="G22" s="5" t="inlineStr"/>
      <c r="H22" s="5" t="inlineStr">
        <is>
          <t>sosyal</t>
        </is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6" t="inlineStr"/>
      <c r="S22" s="5" t="inlineStr"/>
      <c r="T22" s="5" t="inlineStr"/>
    </row>
    <row r="23">
      <c r="A23" s="5" t="inlineStr">
        <is>
          <t>en-guzel-oyuncak</t>
        </is>
      </c>
      <c r="B23" s="5" t="n">
        <v>2</v>
      </c>
      <c r="C23" s="5" t="inlineStr">
        <is>
          <t>4 yaş 1 ay</t>
        </is>
      </c>
      <c r="D23" s="5" t="inlineStr">
        <is>
          <t>🤖</t>
        </is>
      </c>
      <c r="E23" s="6" t="inlineStr">
        <is>
          <t>En Güzel Oyuncak</t>
        </is>
      </c>
      <c r="F23" s="6" t="inlineStr">
        <is>
          <t>Odada herkesin baktığı tek oyuncak var.</t>
        </is>
      </c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  <c r="R23" s="6" t="inlineStr"/>
      <c r="S23" s="5" t="inlineStr"/>
      <c r="T23" s="5" t="inlineStr"/>
    </row>
    <row r="24">
      <c r="A24" s="5" t="inlineStr">
        <is>
          <t>ilk-gercek-yalan</t>
        </is>
      </c>
      <c r="B24" s="5" t="n">
        <v>2</v>
      </c>
      <c r="C24" s="5" t="inlineStr">
        <is>
          <t>4 yaş 2 ay</t>
        </is>
      </c>
      <c r="D24" s="5" t="inlineStr">
        <is>
          <t>🤥</t>
        </is>
      </c>
      <c r="E24" s="6" t="inlineStr">
        <is>
          <t>İlk Gerçek Yalan</t>
        </is>
      </c>
      <c r="F24" s="6" t="inlineStr">
        <is>
          <t>Bu kez ne olduğunu biliyorsun. Karşındaki yetişkin de bildiğini düşünüyor.</t>
        </is>
      </c>
      <c r="G24" s="5" t="inlineStr"/>
      <c r="H24" s="5" t="inlineStr">
        <is>
          <t>ev</t>
        </is>
      </c>
      <c r="I24" s="5" t="inlineStr"/>
      <c r="J24" s="5" t="inlineStr"/>
      <c r="K24" s="5" t="inlineStr"/>
      <c r="L24" s="5" t="inlineStr"/>
      <c r="M24" s="5" t="inlineStr"/>
      <c r="N24" s="5" t="inlineStr"/>
      <c r="O24" s="5" t="inlineStr"/>
      <c r="P24" s="5" t="inlineStr"/>
      <c r="Q24" s="5" t="inlineStr"/>
      <c r="R24" s="6" t="inlineStr"/>
      <c r="S24" s="5" t="inlineStr"/>
      <c r="T24" s="5" t="inlineStr"/>
    </row>
    <row r="25">
      <c r="A25" s="5" t="inlineStr">
        <is>
          <t>mahalle-bakkali</t>
        </is>
      </c>
      <c r="B25" s="5" t="n">
        <v>2</v>
      </c>
      <c r="C25" s="5" t="inlineStr">
        <is>
          <t>4 yaş 4 ay</t>
        </is>
      </c>
      <c r="D25" s="5" t="inlineStr">
        <is>
          <t>🏪</t>
        </is>
      </c>
      <c r="E25" s="6" t="inlineStr">
        <is>
          <t>Mahalle Bakkalı</t>
        </is>
      </c>
      <c r="F25" s="6" t="inlineStr">
        <is>
          <t>Liste elinde. Para cebinde. Bakkal her şeyi biliyor gibi bakıyor.</t>
        </is>
      </c>
      <c r="G25" s="5" t="inlineStr"/>
      <c r="H25" s="5" t="inlineStr">
        <is>
          <t>para</t>
        </is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6" t="inlineStr"/>
      <c r="S25" s="5" t="inlineStr"/>
      <c r="T25" s="5" t="inlineStr"/>
    </row>
    <row r="26">
      <c r="A26" s="5" t="inlineStr">
        <is>
          <t>kaybolan-bozuk-para</t>
        </is>
      </c>
      <c r="B26" s="5" t="n">
        <v>2</v>
      </c>
      <c r="C26" s="5" t="inlineStr">
        <is>
          <t>4 yaş 5 ay</t>
        </is>
      </c>
      <c r="D26" s="5" t="inlineStr">
        <is>
          <t>🔎</t>
        </is>
      </c>
      <c r="E26" s="6" t="inlineStr">
        <is>
          <t>Kaybolan Bozuk Para</t>
        </is>
      </c>
      <c r="F26" s="6" t="inlineStr">
        <is>
          <t>Yerde bir bozuk para var. Sahibi görünmüyor. Vicdan departmanı toplantıya çağrıldı.</t>
        </is>
      </c>
      <c r="G26" s="5" t="inlineStr"/>
      <c r="H26" s="5" t="inlineStr">
        <is>
          <t>para</t>
        </is>
      </c>
      <c r="I26" s="5" t="inlineStr"/>
      <c r="J26" s="5" t="inlineStr"/>
      <c r="K26" s="5" t="inlineStr"/>
      <c r="L26" s="5" t="inlineStr"/>
      <c r="M26" s="5" t="inlineStr"/>
      <c r="N26" s="5" t="inlineStr"/>
      <c r="O26" s="5" t="inlineStr"/>
      <c r="P26" s="5" t="inlineStr"/>
      <c r="Q26" s="5" t="inlineStr"/>
      <c r="R26" s="6" t="inlineStr"/>
      <c r="S26" s="5" t="inlineStr"/>
      <c r="T26" s="5" t="inlineStr"/>
    </row>
    <row r="27">
      <c r="A27" s="5" t="inlineStr">
        <is>
          <t>takim-seciliyor</t>
        </is>
      </c>
      <c r="B27" s="5" t="n">
        <v>2</v>
      </c>
      <c r="C27" s="5" t="inlineStr">
        <is>
          <t>4 yaş 7 ay</t>
        </is>
      </c>
      <c r="D27" s="5" t="inlineStr">
        <is>
          <t>⚽</t>
        </is>
      </c>
      <c r="E27" s="6" t="inlineStr">
        <is>
          <t>Takım Seçiliyor</t>
        </is>
      </c>
      <c r="F27" s="6" t="inlineStr">
        <is>
          <t>İki takım kuruluyor. Herkes hızlıca değer biçiyor.</t>
        </is>
      </c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6" t="inlineStr"/>
      <c r="S27" s="5" t="inlineStr"/>
      <c r="T27" s="5" t="inlineStr"/>
    </row>
    <row r="28">
      <c r="A28" s="5" t="inlineStr">
        <is>
          <t>sana-guluyorlar</t>
        </is>
      </c>
      <c r="B28" s="5" t="n">
        <v>2</v>
      </c>
      <c r="C28" s="5" t="inlineStr">
        <is>
          <t>4 yaş 9 ay</t>
        </is>
      </c>
      <c r="D28" s="5" t="inlineStr">
        <is>
          <t>😅</t>
        </is>
      </c>
      <c r="E28" s="6" t="inlineStr">
        <is>
          <t>Sana Gülüyorlar</t>
        </is>
      </c>
      <c r="F28" s="6" t="inlineStr">
        <is>
          <t>Bir şey söyledin. Birkaç çocuk güldü. Neye güldükleri tam belli değil.</t>
        </is>
      </c>
      <c r="G28" s="5" t="inlineStr"/>
      <c r="H28" s="5" t="inlineStr">
        <is>
          <t>sosyal</t>
        </is>
      </c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inlineStr"/>
      <c r="Q28" s="5" t="inlineStr"/>
      <c r="R28" s="6" t="inlineStr"/>
      <c r="S28" s="5" t="inlineStr"/>
      <c r="T28" s="5" t="inlineStr"/>
    </row>
    <row r="29">
      <c r="A29" s="5" t="inlineStr">
        <is>
          <t>ilk-kucuk-sir</t>
        </is>
      </c>
      <c r="B29" s="5" t="n">
        <v>2</v>
      </c>
      <c r="C29" s="5" t="inlineStr">
        <is>
          <t>5 yaş</t>
        </is>
      </c>
      <c r="D29" s="5" t="inlineStr">
        <is>
          <t>🤫</t>
        </is>
      </c>
      <c r="E29" s="6" t="inlineStr">
        <is>
          <t>İlk Küçük Sır</t>
        </is>
      </c>
      <c r="F29" s="6" t="inlineStr">
        <is>
          <t>Bir arkadaşın sana bir şey söyledi ve kimseye söylememen gerektiğini ekledi.</t>
        </is>
      </c>
      <c r="G29" s="5" t="inlineStr"/>
      <c r="H29" s="5" t="inlineStr">
        <is>
          <t>sosyal</t>
        </is>
      </c>
      <c r="I29" s="5" t="inlineStr"/>
      <c r="J29" s="5" t="inlineStr"/>
      <c r="K29" s="5" t="inlineStr"/>
      <c r="L29" s="5" t="inlineStr"/>
      <c r="M29" s="5" t="inlineStr"/>
      <c r="N29" s="5" t="inlineStr"/>
      <c r="O29" s="5" t="inlineStr"/>
      <c r="P29" s="5" t="inlineStr"/>
      <c r="Q29" s="5" t="inlineStr"/>
      <c r="R29" s="6" t="inlineStr"/>
      <c r="S29" s="5" t="inlineStr"/>
      <c r="T29" s="5" t="inlineStr"/>
    </row>
    <row r="30">
      <c r="A30" s="5" t="inlineStr">
        <is>
          <t>aileler-kiyasliyor</t>
        </is>
      </c>
      <c r="B30" s="5" t="n">
        <v>2</v>
      </c>
      <c r="C30" s="5" t="inlineStr">
        <is>
          <t>5 yaş 2 ay</t>
        </is>
      </c>
      <c r="D30" s="5" t="inlineStr">
        <is>
          <t>📏</t>
        </is>
      </c>
      <c r="E30" s="6" t="inlineStr">
        <is>
          <t>Aileler Kıyaslıyor</t>
        </is>
      </c>
      <c r="F30" s="6" t="inlineStr">
        <is>
          <t>Yetişkinler çocuklardan konuşuyor ama aslında birbirleriyle yarışıyorlar.</t>
        </is>
      </c>
      <c r="G30" s="5" t="inlineStr"/>
      <c r="H30" s="5" t="inlineStr">
        <is>
          <t>okul-iş</t>
        </is>
      </c>
      <c r="I30" s="5" t="inlineStr"/>
      <c r="J30" s="5" t="inlineStr"/>
      <c r="K30" s="5" t="inlineStr"/>
      <c r="L30" s="5" t="inlineStr"/>
      <c r="M30" s="5" t="inlineStr"/>
      <c r="N30" s="5" t="inlineStr"/>
      <c r="O30" s="5" t="inlineStr"/>
      <c r="P30" s="5" t="inlineStr"/>
      <c r="Q30" s="5" t="inlineStr"/>
      <c r="R30" s="6" t="inlineStr"/>
      <c r="S30" s="5" t="inlineStr"/>
      <c r="T30" s="5" t="inlineStr"/>
    </row>
    <row r="31">
      <c r="A31" s="5" t="inlineStr">
        <is>
          <t>kirilan-oyuncak</t>
        </is>
      </c>
      <c r="B31" s="5" t="n">
        <v>2</v>
      </c>
      <c r="C31" s="5" t="inlineStr">
        <is>
          <t>5 yaş 4 ay</t>
        </is>
      </c>
      <c r="D31" s="5" t="inlineStr">
        <is>
          <t>🔧</t>
        </is>
      </c>
      <c r="E31" s="6" t="inlineStr">
        <is>
          <t>Kırılan Oyuncak</t>
        </is>
      </c>
      <c r="F31" s="6" t="inlineStr">
        <is>
          <t>Oyuncak kırıldı. Sen dokundun. Ama 'dokunmak' geniş bir kavram.</t>
        </is>
      </c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6" t="inlineStr"/>
      <c r="S31" s="5" t="inlineStr"/>
      <c r="T31" s="5" t="inlineStr"/>
    </row>
    <row r="32">
      <c r="A32" s="5" t="inlineStr">
        <is>
          <t>mahalle-turnuvasi</t>
        </is>
      </c>
      <c r="B32" s="5" t="n">
        <v>2</v>
      </c>
      <c r="C32" s="5" t="inlineStr">
        <is>
          <t>5 yaş 5 ay</t>
        </is>
      </c>
      <c r="D32" s="5" t="inlineStr">
        <is>
          <t>🏃</t>
        </is>
      </c>
      <c r="E32" s="6" t="inlineStr">
        <is>
          <t>Mahalle Turnuvası</t>
        </is>
      </c>
      <c r="F32" s="6" t="inlineStr">
        <is>
          <t>Çocuklar yarış hazırlığında. Kurallar henüz tam belli değil.</t>
        </is>
      </c>
      <c r="G32" s="5" t="inlineStr"/>
      <c r="H32" s="5" t="inlineStr"/>
      <c r="I32" s="5" t="inlineStr"/>
      <c r="J32" s="5" t="n">
        <v>2</v>
      </c>
      <c r="K32" s="5" t="inlineStr"/>
      <c r="L32" s="5" t="inlineStr"/>
      <c r="M32" s="5" t="inlineStr"/>
      <c r="N32" s="5" t="inlineStr"/>
      <c r="O32" s="5" t="inlineStr"/>
      <c r="P32" s="5" t="inlineStr"/>
      <c r="Q32" s="5" t="inlineStr"/>
      <c r="R32" s="6" t="inlineStr"/>
      <c r="S32" s="5" t="inlineStr"/>
      <c r="T32" s="5" t="inlineStr"/>
    </row>
    <row r="33">
      <c r="A33" s="5" t="inlineStr">
        <is>
          <t>harclik-pazarligi</t>
        </is>
      </c>
      <c r="B33" s="5" t="n">
        <v>2</v>
      </c>
      <c r="C33" s="5" t="inlineStr">
        <is>
          <t>5 yaş 7 ay</t>
        </is>
      </c>
      <c r="D33" s="5" t="inlineStr">
        <is>
          <t>💰</t>
        </is>
      </c>
      <c r="E33" s="6" t="inlineStr">
        <is>
          <t>İlk Harçlık Pazarlığı</t>
        </is>
      </c>
      <c r="F33" s="6" t="inlineStr">
        <is>
          <t>Sana bir miktar söylendi. Sen miktarların konuşulabilir olduğunu yeni öğrendin.</t>
        </is>
      </c>
      <c r="G33" s="5" t="inlineStr"/>
      <c r="H33" s="5" t="inlineStr">
        <is>
          <t>para</t>
        </is>
      </c>
      <c r="I33" s="5" t="inlineStr"/>
      <c r="J33" s="5" t="inlineStr"/>
      <c r="K33" s="5" t="inlineStr"/>
      <c r="L33" s="5" t="inlineStr"/>
      <c r="M33" s="5" t="inlineStr"/>
      <c r="N33" s="5" t="inlineStr"/>
      <c r="O33" s="5" t="inlineStr"/>
      <c r="P33" s="5" t="inlineStr"/>
      <c r="Q33" s="5" t="inlineStr"/>
      <c r="R33" s="6" t="inlineStr"/>
      <c r="S33" s="5" t="inlineStr"/>
      <c r="T33" s="5" t="inlineStr"/>
    </row>
    <row r="34">
      <c r="A34" s="5" t="inlineStr">
        <is>
          <t>okul-hazirligi</t>
        </is>
      </c>
      <c r="B34" s="5" t="n">
        <v>2</v>
      </c>
      <c r="C34" s="5" t="inlineStr">
        <is>
          <t>5 yaş 9 ay</t>
        </is>
      </c>
      <c r="D34" s="5" t="inlineStr">
        <is>
          <t>🎒</t>
        </is>
      </c>
      <c r="E34" s="6" t="inlineStr">
        <is>
          <t>Okul Hazırlığı</t>
        </is>
      </c>
      <c r="F34" s="6" t="inlineStr">
        <is>
          <t>Çanta, harfler, defterler. Sistem seni bekliyor.</t>
        </is>
      </c>
      <c r="G34" s="5" t="inlineStr"/>
      <c r="H34" s="5" t="inlineStr">
        <is>
          <t>okul-iş</t>
        </is>
      </c>
      <c r="I34" s="5" t="inlineStr"/>
      <c r="J34" s="5" t="n">
        <v>2</v>
      </c>
      <c r="K34" s="5" t="inlineStr"/>
      <c r="L34" s="5" t="inlineStr"/>
      <c r="M34" s="5" t="inlineStr"/>
      <c r="N34" s="5" t="inlineStr"/>
      <c r="O34" s="5" t="inlineStr"/>
      <c r="P34" s="5" t="inlineStr"/>
      <c r="Q34" s="5" t="inlineStr"/>
      <c r="R34" s="6" t="inlineStr"/>
      <c r="S34" s="5" t="inlineStr"/>
      <c r="T34" s="5" t="inlineStr"/>
    </row>
    <row r="35">
      <c r="A35" s="5" t="inlineStr">
        <is>
          <t>tepsiyle-kayak</t>
        </is>
      </c>
      <c r="B35" s="5" t="n">
        <v>2</v>
      </c>
      <c r="C35" s="5" t="inlineStr">
        <is>
          <t>5 yaş 10 ay</t>
        </is>
      </c>
      <c r="D35" s="5" t="inlineStr">
        <is>
          <t>🛷</t>
        </is>
      </c>
      <c r="E35" s="6" t="inlineStr">
        <is>
          <t>Tepsiyle Kayak</t>
        </is>
      </c>
      <c r="F35" s="6" t="inlineStr">
        <is>
          <t>Kar yağdı. Mahallenin en dik yokuşu trafiğe kapandı. Çocuklar mutfaklardan tepsi kaçırıyor.</t>
        </is>
      </c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inlineStr"/>
      <c r="O35" s="5" t="inlineStr"/>
      <c r="P35" s="5" t="inlineStr"/>
      <c r="Q35" s="5" t="inlineStr"/>
      <c r="R35" s="6" t="inlineStr"/>
      <c r="S35" s="5" t="inlineStr"/>
      <c r="T35" s="5" t="inlineStr"/>
    </row>
    <row r="36">
      <c r="A36" s="5" t="inlineStr">
        <is>
          <t>ilkokul-kapisi</t>
        </is>
      </c>
      <c r="B36" s="5" t="n">
        <v>2</v>
      </c>
      <c r="C36" s="5" t="inlineStr">
        <is>
          <t>6 yaş</t>
        </is>
      </c>
      <c r="D36" s="5" t="inlineStr">
        <is>
          <t>🏫</t>
        </is>
      </c>
      <c r="E36" s="6" t="inlineStr">
        <is>
          <t>İlkokul Kapısı</t>
        </is>
      </c>
      <c r="F36" s="6" t="inlineStr">
        <is>
          <t>Büyük bina, küçük sıra, çok sayıda kural. Bölüm III kapıda.</t>
        </is>
      </c>
      <c r="G36" s="5" t="inlineStr"/>
      <c r="H36" s="5" t="inlineStr">
        <is>
          <t>okul-iş</t>
        </is>
      </c>
      <c r="I36" s="5" t="inlineStr">
        <is>
          <t>E</t>
        </is>
      </c>
      <c r="J36" s="5" t="inlineStr"/>
      <c r="K36" s="5" t="inlineStr"/>
      <c r="L36" s="5" t="inlineStr"/>
      <c r="M36" s="5" t="inlineStr"/>
      <c r="N36" s="5" t="inlineStr"/>
      <c r="O36" s="5" t="inlineStr"/>
      <c r="P36" s="5" t="inlineStr"/>
      <c r="Q36" s="5" t="inlineStr"/>
      <c r="R36" s="6" t="inlineStr"/>
      <c r="S36" s="5" t="inlineStr"/>
      <c r="T36" s="5" t="inlineStr"/>
    </row>
    <row r="37">
      <c r="A37" s="5" t="inlineStr">
        <is>
          <t>ilk-ders</t>
        </is>
      </c>
      <c r="B37" s="5" t="n">
        <v>3</v>
      </c>
      <c r="C37" s="5" t="inlineStr">
        <is>
          <t>6 yaş 1 ay</t>
        </is>
      </c>
      <c r="D37" s="5" t="inlineStr">
        <is>
          <t>✏️</t>
        </is>
      </c>
      <c r="E37" s="6" t="inlineStr">
        <is>
          <t>İlk Ders</t>
        </is>
      </c>
      <c r="F37" s="6" t="inlineStr">
        <is>
          <t>Öğretmen 'Kim okumayı biliyor?' diye sordu. Sınıfta 28 el ya havada ya cepte.</t>
        </is>
      </c>
      <c r="G37" s="5" t="inlineStr"/>
      <c r="H37" s="5" t="inlineStr">
        <is>
          <t>okul-iş</t>
        </is>
      </c>
      <c r="I37" s="5" t="inlineStr">
        <is>
          <t>E</t>
        </is>
      </c>
      <c r="J37" s="5" t="inlineStr"/>
      <c r="K37" s="5" t="inlineStr"/>
      <c r="L37" s="5" t="inlineStr"/>
      <c r="M37" s="5" t="inlineStr"/>
      <c r="N37" s="5" t="inlineStr"/>
      <c r="O37" s="5" t="inlineStr"/>
      <c r="P37" s="5" t="inlineStr"/>
      <c r="Q37" s="5" t="inlineStr"/>
      <c r="R37" s="6" t="inlineStr"/>
      <c r="S37" s="5" t="inlineStr"/>
      <c r="T37" s="5" t="inlineStr"/>
    </row>
    <row r="38">
      <c r="A38" s="5" t="inlineStr">
        <is>
          <t>sira-arkadasi</t>
        </is>
      </c>
      <c r="B38" s="5" t="n">
        <v>3</v>
      </c>
      <c r="C38" s="5" t="inlineStr">
        <is>
          <t>6 yaş 2 ay</t>
        </is>
      </c>
      <c r="D38" s="5" t="inlineStr">
        <is>
          <t>🪑</t>
        </is>
      </c>
      <c r="E38" s="6" t="inlineStr">
        <is>
          <t>Sıra Arkadaşı</t>
        </is>
      </c>
      <c r="F38" s="6" t="inlineStr">
        <is>
          <t>Yanına oturan çocuk kalemlerini sayıyor. Senin kalemlerini de.</t>
        </is>
      </c>
      <c r="G38" s="5" t="inlineStr"/>
      <c r="H38" s="5" t="inlineStr">
        <is>
          <t>sosyal</t>
        </is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6" t="inlineStr"/>
      <c r="S38" s="5" t="inlineStr"/>
      <c r="T38" s="5" t="inlineStr"/>
    </row>
    <row r="39">
      <c r="A39" s="5" t="inlineStr">
        <is>
          <t>teneffus-kantini</t>
        </is>
      </c>
      <c r="B39" s="5" t="n">
        <v>3</v>
      </c>
      <c r="C39" s="5" t="inlineStr">
        <is>
          <t>6 yaş 4 ay</t>
        </is>
      </c>
      <c r="D39" s="5" t="inlineStr">
        <is>
          <t>🥪</t>
        </is>
      </c>
      <c r="E39" s="6" t="inlineStr">
        <is>
          <t>Kantin Kuyruğu</t>
        </is>
      </c>
      <c r="F39" s="6" t="inlineStr">
        <is>
          <t>Teneffüs 10 dakika. Kuyruk 12 dakika. Matematik kantinde başlıyor.</t>
        </is>
      </c>
      <c r="G39" s="5" t="inlineStr"/>
      <c r="H39" s="5" t="inlineStr">
        <is>
          <t>para</t>
        </is>
      </c>
      <c r="I39" s="5" t="inlineStr"/>
      <c r="J39" s="5" t="inlineStr"/>
      <c r="K39" s="5" t="inlineStr"/>
      <c r="L39" s="5" t="inlineStr"/>
      <c r="M39" s="5" t="inlineStr"/>
      <c r="N39" s="5" t="inlineStr"/>
      <c r="O39" s="5" t="inlineStr"/>
      <c r="P39" s="5" t="inlineStr"/>
      <c r="Q39" s="5" t="inlineStr"/>
      <c r="R39" s="6" t="inlineStr"/>
      <c r="S39" s="5" t="inlineStr"/>
      <c r="T39" s="5" t="inlineStr"/>
    </row>
    <row r="40">
      <c r="A40" s="5" t="inlineStr">
        <is>
          <t>odev-nerede</t>
        </is>
      </c>
      <c r="B40" s="5" t="n">
        <v>3</v>
      </c>
      <c r="C40" s="5" t="inlineStr">
        <is>
          <t>6 yaş 7 ay</t>
        </is>
      </c>
      <c r="D40" s="5" t="inlineStr">
        <is>
          <t>📚</t>
        </is>
      </c>
      <c r="E40" s="6" t="inlineStr">
        <is>
          <t>Ödev Nerede?</t>
        </is>
      </c>
      <c r="F40" s="6" t="inlineStr">
        <is>
          <t>Sabah 07.40. Ödev defteri evde değil, çantada değil. Belki de hiç yapılmadı.</t>
        </is>
      </c>
      <c r="G40" s="5" t="inlineStr"/>
      <c r="H40" s="5" t="inlineStr">
        <is>
          <t>ev</t>
        </is>
      </c>
      <c r="I40" s="5" t="inlineStr"/>
      <c r="J40" s="5" t="inlineStr"/>
      <c r="K40" s="5" t="inlineStr"/>
      <c r="L40" s="5" t="inlineStr"/>
      <c r="M40" s="5" t="inlineStr"/>
      <c r="N40" s="5" t="inlineStr"/>
      <c r="O40" s="5" t="inlineStr"/>
      <c r="P40" s="5" t="inlineStr"/>
      <c r="Q40" s="5" t="inlineStr"/>
      <c r="R40" s="6" t="inlineStr"/>
      <c r="S40" s="5" t="inlineStr"/>
      <c r="T40" s="5" t="inlineStr"/>
    </row>
    <row r="41">
      <c r="A41" s="5" t="inlineStr">
        <is>
          <t>sinif-baskani</t>
        </is>
      </c>
      <c r="B41" s="5" t="n">
        <v>3</v>
      </c>
      <c r="C41" s="5" t="inlineStr">
        <is>
          <t>7 yaş</t>
        </is>
      </c>
      <c r="D41" s="5" t="inlineStr">
        <is>
          <t>🗳️</t>
        </is>
      </c>
      <c r="E41" s="6" t="inlineStr">
        <is>
          <t>Sınıf Başkanlığı Seçimi</t>
        </is>
      </c>
      <c r="F41" s="6" t="inlineStr">
        <is>
          <t>Seçim var. Vaatler belli: daha uzun teneffüs, daha az ödev, sınıfa bir akvaryum.</t>
        </is>
      </c>
      <c r="G41" s="5" t="inlineStr"/>
      <c r="H41" s="5" t="inlineStr">
        <is>
          <t>sosyal</t>
        </is>
      </c>
      <c r="I41" s="5" t="inlineStr"/>
      <c r="J41" s="5" t="inlineStr"/>
      <c r="K41" s="5" t="inlineStr"/>
      <c r="L41" s="5" t="inlineStr"/>
      <c r="M41" s="5" t="inlineStr"/>
      <c r="N41" s="5" t="inlineStr"/>
      <c r="O41" s="5" t="inlineStr"/>
      <c r="P41" s="5" t="inlineStr"/>
      <c r="Q41" s="5" t="inlineStr"/>
      <c r="R41" s="6" t="inlineStr"/>
      <c r="S41" s="5" t="inlineStr"/>
      <c r="T41" s="5" t="inlineStr"/>
    </row>
    <row r="42">
      <c r="A42" s="5" t="inlineStr">
        <is>
          <t>davetiyeler</t>
        </is>
      </c>
      <c r="B42" s="5" t="n">
        <v>3</v>
      </c>
      <c r="C42" s="5" t="inlineStr">
        <is>
          <t>7 yaş 3 ay</t>
        </is>
      </c>
      <c r="D42" s="5" t="inlineStr">
        <is>
          <t>💌</t>
        </is>
      </c>
      <c r="E42" s="6" t="inlineStr">
        <is>
          <t>Davetiyeler Dağıtıldı</t>
        </is>
      </c>
      <c r="F42" s="6" t="inlineStr">
        <is>
          <t>Sınıfta doğum günü davetiyeleri dağıtılıyor. Sende yok. Henüz.</t>
        </is>
      </c>
      <c r="G42" s="5" t="inlineStr"/>
      <c r="H42" s="5" t="inlineStr">
        <is>
          <t>sosyal</t>
        </is>
      </c>
      <c r="I42" s="5" t="inlineStr"/>
      <c r="J42" s="5" t="inlineStr"/>
      <c r="K42" s="5" t="inlineStr"/>
      <c r="L42" s="5" t="inlineStr"/>
      <c r="M42" s="5" t="inlineStr"/>
      <c r="N42" s="5" t="inlineStr"/>
      <c r="O42" s="5" t="inlineStr"/>
      <c r="P42" s="5" t="inlineStr"/>
      <c r="Q42" s="5" t="inlineStr"/>
      <c r="R42" s="6" t="inlineStr"/>
      <c r="S42" s="5" t="inlineStr"/>
      <c r="T42" s="5" t="inlineStr"/>
    </row>
    <row r="43">
      <c r="A43" s="5" t="inlineStr">
        <is>
          <t>bayram-harcligi</t>
        </is>
      </c>
      <c r="B43" s="5" t="n">
        <v>3</v>
      </c>
      <c r="C43" s="5" t="inlineStr">
        <is>
          <t>7 yaş 6 ay</t>
        </is>
      </c>
      <c r="D43" s="5" t="inlineStr">
        <is>
          <t>✉️</t>
        </is>
      </c>
      <c r="E43" s="6" t="inlineStr">
        <is>
          <t>Bayram Harçlığı</t>
        </is>
      </c>
      <c r="F43" s="6" t="inlineStr">
        <is>
          <t>Bayram. Eller öpüldü, zarflar toplandı. Toplam bütçe çocuk standartlarında rekor.</t>
        </is>
      </c>
      <c r="G43" s="5" t="inlineStr"/>
      <c r="H43" s="5" t="inlineStr">
        <is>
          <t>para</t>
        </is>
      </c>
      <c r="I43" s="5" t="inlineStr"/>
      <c r="J43" s="5" t="inlineStr"/>
      <c r="K43" s="5" t="inlineStr"/>
      <c r="L43" s="5" t="inlineStr"/>
      <c r="M43" s="5" t="inlineStr"/>
      <c r="N43" s="5" t="inlineStr"/>
      <c r="O43" s="5" t="inlineStr"/>
      <c r="P43" s="5" t="inlineStr"/>
      <c r="Q43" s="5" t="inlineStr"/>
      <c r="R43" s="6" t="inlineStr"/>
      <c r="S43" s="5" t="inlineStr"/>
      <c r="T43" s="5" t="inlineStr"/>
    </row>
    <row r="44">
      <c r="A44" s="5" t="inlineStr">
        <is>
          <t>balkondaki-ucurtma</t>
        </is>
      </c>
      <c r="B44" s="5" t="n">
        <v>3</v>
      </c>
      <c r="C44" s="5" t="inlineStr">
        <is>
          <t>7 yaş 8 ay</t>
        </is>
      </c>
      <c r="D44" s="5" t="inlineStr">
        <is>
          <t>🪁</t>
        </is>
      </c>
      <c r="E44" s="6" t="inlineStr">
        <is>
          <t>Balkondaki Uçurtma</t>
        </is>
      </c>
      <c r="F44" s="6" t="inlineStr">
        <is>
          <t>Uçurtman üst kattaki balkonun korkuluğuna takıldı. Balkonun sahibi tatilde. Uçurtma rüzgârda sana el sallıyor.</t>
        </is>
      </c>
      <c r="G44" s="5" t="inlineStr"/>
      <c r="H44" s="5" t="inlineStr"/>
      <c r="I44" s="5" t="inlineStr"/>
      <c r="J44" s="5" t="inlineStr"/>
      <c r="K44" s="5" t="inlineStr"/>
      <c r="L44" s="5" t="inlineStr"/>
      <c r="M44" s="5" t="inlineStr"/>
      <c r="N44" s="5" t="inlineStr"/>
      <c r="O44" s="5" t="inlineStr"/>
      <c r="P44" s="5" t="inlineStr"/>
      <c r="Q44" s="5" t="inlineStr"/>
      <c r="R44" s="6" t="inlineStr"/>
      <c r="S44" s="5" t="inlineStr"/>
      <c r="T44" s="5" t="inlineStr"/>
    </row>
    <row r="45">
      <c r="A45" s="5" t="inlineStr">
        <is>
          <t>mahalle-maci</t>
        </is>
      </c>
      <c r="B45" s="5" t="n">
        <v>3</v>
      </c>
      <c r="C45" s="5" t="inlineStr">
        <is>
          <t>7 yaş 10 ay</t>
        </is>
      </c>
      <c r="D45" s="5" t="inlineStr">
        <is>
          <t>🥅</t>
        </is>
      </c>
      <c r="E45" s="6" t="inlineStr">
        <is>
          <t>Mahalle Maçı</t>
        </is>
      </c>
      <c r="F45" s="6" t="inlineStr">
        <is>
          <t>Maç berabere. Son vuruş sende. Kalenin arkasında komşunun camı parlıyor.</t>
        </is>
      </c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inlineStr"/>
      <c r="O45" s="5" t="inlineStr"/>
      <c r="P45" s="5" t="inlineStr"/>
      <c r="Q45" s="5" t="inlineStr"/>
      <c r="R45" s="6" t="inlineStr"/>
      <c r="S45" s="5" t="inlineStr"/>
      <c r="T45" s="5" t="inlineStr"/>
    </row>
    <row r="46">
      <c r="A46" s="5" t="inlineStr">
        <is>
          <t>kedi-istiyoruz</t>
        </is>
      </c>
      <c r="B46" s="5" t="n">
        <v>3</v>
      </c>
      <c r="C46" s="5" t="inlineStr">
        <is>
          <t>8 yaş</t>
        </is>
      </c>
      <c r="D46" s="5" t="inlineStr">
        <is>
          <t>🐱</t>
        </is>
      </c>
      <c r="E46" s="6" t="inlineStr">
        <is>
          <t>Evde Kedi Oylaması</t>
        </is>
      </c>
      <c r="F46" s="6" t="inlineStr">
        <is>
          <t>Eve kedi alınması gündemde. Karar oturumu akşam yemeğinde.</t>
        </is>
      </c>
      <c r="G46" s="5" t="inlineStr"/>
      <c r="H46" s="5" t="inlineStr">
        <is>
          <t>ev</t>
        </is>
      </c>
      <c r="I46" s="5" t="inlineStr"/>
      <c r="J46" s="5" t="inlineStr"/>
      <c r="K46" s="5" t="inlineStr"/>
      <c r="L46" s="5" t="inlineStr"/>
      <c r="M46" s="5" t="inlineStr"/>
      <c r="N46" s="5" t="inlineStr"/>
      <c r="O46" s="5" t="inlineStr"/>
      <c r="P46" s="5" t="inlineStr"/>
      <c r="Q46" s="5" t="inlineStr"/>
      <c r="R46" s="6" t="inlineStr"/>
      <c r="S46" s="5" t="inlineStr"/>
      <c r="T46" s="5" t="inlineStr"/>
    </row>
    <row r="47">
      <c r="A47" s="5" t="inlineStr">
        <is>
          <t>tablet-saati</t>
        </is>
      </c>
      <c r="B47" s="5" t="n">
        <v>3</v>
      </c>
      <c r="C47" s="5" t="inlineStr">
        <is>
          <t>8 yaş 4 ay</t>
        </is>
      </c>
      <c r="D47" s="5" t="inlineStr">
        <is>
          <t>🎮</t>
        </is>
      </c>
      <c r="E47" s="6" t="inlineStr">
        <is>
          <t>Tablet Saati</t>
        </is>
      </c>
      <c r="F47" s="6" t="inlineStr">
        <is>
          <t>Ekran süresi günde bir saat. Oyunun bölüm sonu canavarı ise 61. dakikada.</t>
        </is>
      </c>
      <c r="G47" s="5" t="inlineStr"/>
      <c r="H47" s="5" t="inlineStr">
        <is>
          <t>ev</t>
        </is>
      </c>
      <c r="I47" s="5" t="inlineStr"/>
      <c r="J47" s="5" t="inlineStr"/>
      <c r="K47" s="5" t="inlineStr"/>
      <c r="L47" s="5" t="inlineStr"/>
      <c r="M47" s="5" t="inlineStr"/>
      <c r="N47" s="5" t="inlineStr"/>
      <c r="O47" s="5" t="inlineStr"/>
      <c r="P47" s="5" t="inlineStr"/>
      <c r="Q47" s="5" t="inlineStr"/>
      <c r="R47" s="6" t="inlineStr"/>
      <c r="S47" s="5" t="inlineStr"/>
      <c r="T47" s="5" t="inlineStr"/>
    </row>
    <row r="48">
      <c r="A48" s="5" t="inlineStr">
        <is>
          <t>veli-toplantisi</t>
        </is>
      </c>
      <c r="B48" s="5" t="n">
        <v>3</v>
      </c>
      <c r="C48" s="5" t="inlineStr">
        <is>
          <t>8 yaş 8 ay</t>
        </is>
      </c>
      <c r="D48" s="5" t="inlineStr">
        <is>
          <t>🚪</t>
        </is>
      </c>
      <c r="E48" s="6" t="inlineStr">
        <is>
          <t>Veli Toplantısı</t>
        </is>
      </c>
      <c r="F48" s="6" t="inlineStr">
        <is>
          <t>Ailen okulda. Sen kapının önündesin. İçeriden arada bir adın duyuluyor.</t>
        </is>
      </c>
      <c r="G48" s="5" t="inlineStr"/>
      <c r="H48" s="5" t="inlineStr">
        <is>
          <t>okul-iş</t>
        </is>
      </c>
      <c r="I48" s="5" t="inlineStr"/>
      <c r="J48" s="5" t="inlineStr"/>
      <c r="K48" s="5" t="inlineStr"/>
      <c r="L48" s="5" t="inlineStr"/>
      <c r="M48" s="5" t="inlineStr"/>
      <c r="N48" s="5" t="inlineStr"/>
      <c r="O48" s="5" t="inlineStr"/>
      <c r="P48" s="5" t="inlineStr"/>
      <c r="Q48" s="5" t="inlineStr"/>
      <c r="R48" s="6" t="inlineStr"/>
      <c r="S48" s="5" t="inlineStr"/>
      <c r="T48" s="5" t="inlineStr"/>
    </row>
    <row r="49">
      <c r="A49" s="5" t="inlineStr">
        <is>
          <t>karne-gunu</t>
        </is>
      </c>
      <c r="B49" s="5" t="n">
        <v>3</v>
      </c>
      <c r="C49" s="5" t="inlineStr">
        <is>
          <t>9 yaş</t>
        </is>
      </c>
      <c r="D49" s="5" t="inlineStr">
        <is>
          <t>📜</t>
        </is>
      </c>
      <c r="E49" s="6" t="inlineStr">
        <is>
          <t>Karne Günü</t>
        </is>
      </c>
      <c r="F49" s="6" t="inlineStr">
        <is>
          <t>Yılın son günü. Karne elinde. Eve kadar 800 metre, düşünmek için bolca zaman.</t>
        </is>
      </c>
      <c r="G49" s="5" t="inlineStr"/>
      <c r="H49" s="5" t="inlineStr">
        <is>
          <t>okul-iş</t>
        </is>
      </c>
      <c r="I49" s="5" t="inlineStr">
        <is>
          <t>E</t>
        </is>
      </c>
      <c r="J49" s="5" t="inlineStr"/>
      <c r="K49" s="5" t="inlineStr"/>
      <c r="L49" s="5" t="inlineStr"/>
      <c r="M49" s="5" t="inlineStr"/>
      <c r="N49" s="5" t="inlineStr"/>
      <c r="O49" s="5" t="inlineStr"/>
      <c r="P49" s="5" t="inlineStr"/>
      <c r="Q49" s="5" t="inlineStr"/>
      <c r="R49" s="6" t="inlineStr"/>
      <c r="S49" s="5" t="inlineStr"/>
      <c r="T49" s="5" t="inlineStr"/>
    </row>
    <row r="50">
      <c r="A50" s="5" t="inlineStr">
        <is>
          <t>b4-ilk-telefon</t>
        </is>
      </c>
      <c r="B50" s="5" t="n">
        <v>4</v>
      </c>
      <c r="C50" s="5" t="inlineStr">
        <is>
          <t>10 yaş</t>
        </is>
      </c>
      <c r="D50" s="5" t="inlineStr">
        <is>
          <t>📱</t>
        </is>
      </c>
      <c r="E50" s="6" t="inlineStr">
        <is>
          <t>İlk Akıllı Telefon</t>
        </is>
      </c>
      <c r="F50" s="6" t="inlineStr">
        <is>
          <t>İlk akıllı telefonun kutudan çıktı. Ekran koruyucu takılmadan önce ebeveyn denetim uygulaması kuruldu.</t>
        </is>
      </c>
      <c r="G50" s="5" t="inlineStr">
        <is>
          <t>ev</t>
        </is>
      </c>
      <c r="H50" s="5" t="inlineStr">
        <is>
          <t>ev</t>
        </is>
      </c>
      <c r="I50" s="5" t="inlineStr">
        <is>
          <t>E</t>
        </is>
      </c>
      <c r="J50" s="5" t="inlineStr"/>
      <c r="K50" s="5" t="inlineStr"/>
      <c r="L50" s="5" t="inlineStr"/>
      <c r="M50" s="5" t="inlineStr"/>
      <c r="N50" s="5" t="inlineStr"/>
      <c r="O50" s="5" t="inlineStr"/>
      <c r="P50" s="5" t="inlineStr"/>
      <c r="Q50" s="5" t="inlineStr"/>
      <c r="R50" s="6" t="inlineStr"/>
      <c r="S50" s="5" t="inlineStr"/>
      <c r="T50" s="5" t="inlineStr"/>
    </row>
    <row r="51">
      <c r="A51" s="5" t="inlineStr">
        <is>
          <t>b4-aile-grubu</t>
        </is>
      </c>
      <c r="B51" s="5" t="n">
        <v>4</v>
      </c>
      <c r="C51" s="5" t="inlineStr">
        <is>
          <t>10 yaş 2 ay</t>
        </is>
      </c>
      <c r="D51" s="5" t="inlineStr">
        <is>
          <t>👨‍👩‍👧</t>
        </is>
      </c>
      <c r="E51" s="6" t="inlineStr">
        <is>
          <t>Aile Mesaj Grubu</t>
        </is>
      </c>
      <c r="F51" s="6" t="inlineStr">
        <is>
          <t>Aile mesaj grubuna eklendin. Grupta 34 kişi, sabah yedide atılmış on bir çiçekli günaydın ve kimsenin açmadığı bir sesli mesaj var.</t>
        </is>
      </c>
      <c r="G51" s="5" t="inlineStr">
        <is>
          <t>ev</t>
        </is>
      </c>
      <c r="H51" s="5" t="inlineStr">
        <is>
          <t>ev</t>
        </is>
      </c>
      <c r="I51" s="5" t="inlineStr"/>
      <c r="J51" s="5" t="inlineStr"/>
      <c r="K51" s="5" t="inlineStr"/>
      <c r="L51" s="5" t="inlineStr"/>
      <c r="M51" s="5" t="inlineStr"/>
      <c r="N51" s="5" t="inlineStr"/>
      <c r="O51" s="5" t="inlineStr"/>
      <c r="P51" s="5" t="inlineStr"/>
      <c r="Q51" s="5" t="inlineStr"/>
      <c r="R51" s="6" t="inlineStr"/>
      <c r="S51" s="5" t="inlineStr"/>
      <c r="T51" s="5" t="inlineStr"/>
    </row>
    <row r="52">
      <c r="A52" s="5" t="inlineStr">
        <is>
          <t>b4-oyun-faturasi</t>
        </is>
      </c>
      <c r="B52" s="5" t="n">
        <v>4</v>
      </c>
      <c r="C52" s="5" t="inlineStr">
        <is>
          <t>10 yaş 5 ay</t>
        </is>
      </c>
      <c r="D52" s="5" t="inlineStr">
        <is>
          <t>💎</t>
        </is>
      </c>
      <c r="E52" s="6" t="inlineStr">
        <is>
          <t>Oyun İçi Satın Alma</t>
        </is>
      </c>
      <c r="F52" s="6" t="inlineStr">
        <is>
          <t>Oyundaki parlak kılıç yalnızca 'birkaç elmas'. Elmaslar gerçek parayla alınıyor. Kart, annenin telefonunda kayıtlı.</t>
        </is>
      </c>
      <c r="G52" s="5" t="inlineStr">
        <is>
          <t>ev</t>
        </is>
      </c>
      <c r="H52" s="5" t="inlineStr">
        <is>
          <t>para</t>
        </is>
      </c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6" t="inlineStr"/>
      <c r="S52" s="5" t="inlineStr"/>
      <c r="T52" s="5" t="inlineStr"/>
    </row>
    <row r="53">
      <c r="A53" s="5" t="inlineStr">
        <is>
          <t>b4-flut</t>
        </is>
      </c>
      <c r="B53" s="5" t="n">
        <v>4</v>
      </c>
      <c r="C53" s="5" t="inlineStr">
        <is>
          <t>10 yaş 6 ay</t>
        </is>
      </c>
      <c r="D53" s="5" t="inlineStr">
        <is>
          <t>🎵</t>
        </is>
      </c>
      <c r="E53" s="6" t="inlineStr">
        <is>
          <t>Müzik Dersi Flütü</t>
        </is>
      </c>
      <c r="F53" s="6" t="inlineStr">
        <is>
          <t>Müzik dersi için flüt alındı. Evdeki herkes önümüzdeki üç ayı sessizce kabullendi.</t>
        </is>
      </c>
      <c r="G53" s="5" t="inlineStr">
        <is>
          <t>ev</t>
        </is>
      </c>
      <c r="H53" s="5" t="inlineStr">
        <is>
          <t>okul-iş</t>
        </is>
      </c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6" t="inlineStr"/>
      <c r="S53" s="5" t="inlineStr"/>
      <c r="T53" s="5" t="inlineStr"/>
    </row>
    <row r="54">
      <c r="A54" s="5" t="inlineStr">
        <is>
          <t>b4-sinif-grubu</t>
        </is>
      </c>
      <c r="B54" s="5" t="n">
        <v>4</v>
      </c>
      <c r="C54" s="5" t="inlineStr">
        <is>
          <t>10 yaş 8 ay</t>
        </is>
      </c>
      <c r="D54" s="5" t="inlineStr">
        <is>
          <t>💬</t>
        </is>
      </c>
      <c r="E54" s="6" t="inlineStr">
        <is>
          <t>Sınıf Mesaj Grubu</t>
        </is>
      </c>
      <c r="F54" s="6" t="inlineStr">
        <is>
          <t>Sınıf mesaj grubu gece yarısı kaynıyor. Sen de yazıyorsun. Parmağın 'Gönder' tuşunun üstünde.</t>
        </is>
      </c>
      <c r="G54" s="5" t="inlineStr">
        <is>
          <t>sinif</t>
        </is>
      </c>
      <c r="H54" s="5" t="inlineStr">
        <is>
          <t>sosyal</t>
        </is>
      </c>
      <c r="I54" s="5" t="inlineStr"/>
      <c r="J54" s="5" t="inlineStr"/>
      <c r="K54" s="5" t="inlineStr"/>
      <c r="L54" s="5" t="inlineStr"/>
      <c r="M54" s="5" t="inlineStr"/>
      <c r="N54" s="5" t="inlineStr"/>
      <c r="O54" s="5" t="inlineStr"/>
      <c r="P54" s="5" t="inlineStr"/>
      <c r="Q54" s="5" t="inlineStr"/>
      <c r="R54" s="6" t="inlineStr"/>
      <c r="S54" s="5" t="inlineStr"/>
      <c r="T54" s="5" t="inlineStr"/>
    </row>
    <row r="55">
      <c r="A55" s="5" t="inlineStr">
        <is>
          <t>b4-kisa-video</t>
        </is>
      </c>
      <c r="B55" s="5" t="n">
        <v>4</v>
      </c>
      <c r="C55" s="5" t="inlineStr">
        <is>
          <t>10 yaş 11 ay</t>
        </is>
      </c>
      <c r="D55" s="5" t="inlineStr">
        <is>
          <t>🎬</t>
        </is>
      </c>
      <c r="E55" s="6" t="inlineStr">
        <is>
          <t>Dans Trendi</t>
        </is>
      </c>
      <c r="F55" s="6" t="inlineStr">
        <is>
          <t>Kısa video uygulamasında yeni bir dans trendi var. Herkes yapıyor. Salonda yeterince yer, evde yeterince utanma yok.</t>
        </is>
      </c>
      <c r="G55" s="5" t="inlineStr">
        <is>
          <t>ev</t>
        </is>
      </c>
      <c r="H55" s="5" t="inlineStr">
        <is>
          <t>sosyal</t>
        </is>
      </c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6" t="inlineStr"/>
      <c r="S55" s="5" t="inlineStr"/>
      <c r="T55" s="5" t="inlineStr"/>
    </row>
    <row r="56">
      <c r="A56" s="5" t="inlineStr">
        <is>
          <t>b4-kuzen-kiyaslama</t>
        </is>
      </c>
      <c r="B56" s="5" t="n">
        <v>4</v>
      </c>
      <c r="C56" s="5" t="inlineStr">
        <is>
          <t>11 yaş</t>
        </is>
      </c>
      <c r="D56" s="5" t="inlineStr">
        <is>
          <t>🏆</t>
        </is>
      </c>
      <c r="E56" s="6" t="inlineStr">
        <is>
          <t>Kuzen Kıyaslaması</t>
        </is>
      </c>
      <c r="F56" s="6" t="inlineStr">
        <is>
          <t>Bayram ziyareti. Teyzenin oğlu matematik yarışmasında birinci olmuş. Bu bilgi sofraya üç kez servis edildi.</t>
        </is>
      </c>
      <c r="G56" s="5" t="inlineStr">
        <is>
          <t>ev</t>
        </is>
      </c>
      <c r="H56" s="5" t="inlineStr">
        <is>
          <t>ev</t>
        </is>
      </c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6" t="inlineStr"/>
      <c r="S56" s="5" t="inlineStr"/>
      <c r="T56" s="5" t="inlineStr"/>
    </row>
    <row r="57">
      <c r="A57" s="5" t="inlineStr">
        <is>
          <t>b4-ekran-suresi</t>
        </is>
      </c>
      <c r="B57" s="5" t="n">
        <v>4</v>
      </c>
      <c r="C57" s="5" t="inlineStr">
        <is>
          <t>11 yaş 1 ay</t>
        </is>
      </c>
      <c r="D57" s="5" t="inlineStr">
        <is>
          <t>📊</t>
        </is>
      </c>
      <c r="E57" s="6" t="inlineStr">
        <is>
          <t>Ekran Süresi Raporu</t>
        </is>
      </c>
      <c r="F57" s="6" t="inlineStr">
        <is>
          <t>Ailen haftalık ekran süresi raporunu açtı. Ortalama: günde 6 saat 12 dakika. En çok kullanılan uygulama: Hesap Makinesi.</t>
        </is>
      </c>
      <c r="G57" s="5" t="inlineStr">
        <is>
          <t>ev</t>
        </is>
      </c>
      <c r="H57" s="5" t="inlineStr">
        <is>
          <t>ev</t>
        </is>
      </c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6" t="inlineStr"/>
      <c r="S57" s="5" t="inlineStr"/>
      <c r="T57" s="5" t="inlineStr"/>
    </row>
    <row r="58">
      <c r="A58" s="5" t="inlineStr">
        <is>
          <t>b4-mahalle-haraccilari</t>
        </is>
      </c>
      <c r="B58" s="5" t="n">
        <v>4</v>
      </c>
      <c r="C58" s="5" t="inlineStr">
        <is>
          <t>11 yaş 3 ay</t>
        </is>
      </c>
      <c r="D58" s="5" t="inlineStr">
        <is>
          <t>🧢</t>
        </is>
      </c>
      <c r="E58" s="6" t="inlineStr">
        <is>
          <t>Köşedeki Üç Kişi</t>
        </is>
      </c>
      <c r="F58" s="6" t="inlineStr">
        <is>
          <t>Köşede üç büyük çocuk. 'Harçlığın var mı?' diye sordular. Telefonuna da ayrıca, uzun uzun baktılar.</t>
        </is>
      </c>
      <c r="G58" s="5" t="inlineStr">
        <is>
          <t>sokak</t>
        </is>
      </c>
      <c r="H58" s="5" t="inlineStr">
        <is>
          <t>para</t>
        </is>
      </c>
      <c r="I58" s="5" t="inlineStr"/>
      <c r="J58" s="5" t="inlineStr"/>
      <c r="K58" s="5" t="inlineStr"/>
      <c r="L58" s="5" t="inlineStr"/>
      <c r="M58" s="5" t="inlineStr"/>
      <c r="N58" s="5" t="inlineStr"/>
      <c r="O58" s="5" t="inlineStr"/>
      <c r="P58" s="5" t="inlineStr"/>
      <c r="Q58" s="5" t="inlineStr"/>
      <c r="R58" s="6" t="inlineStr"/>
      <c r="S58" s="5" t="inlineStr"/>
      <c r="T58" s="5" t="inlineStr"/>
    </row>
    <row r="59">
      <c r="A59" s="5" t="inlineStr">
        <is>
          <t>b4-sivilce</t>
        </is>
      </c>
      <c r="B59" s="5" t="n">
        <v>4</v>
      </c>
      <c r="C59" s="5" t="inlineStr">
        <is>
          <t>11 yaş 6 ay</t>
        </is>
      </c>
      <c r="D59" s="5" t="inlineStr">
        <is>
          <t>🪞</t>
        </is>
      </c>
      <c r="E59" s="6" t="inlineStr">
        <is>
          <t>Alındaki Misafir</t>
        </is>
      </c>
      <c r="F59" s="6" t="inlineStr">
        <is>
          <t>Sabah aynada bir misafir var: alnının tam ortasında. Bugün okul fotoğrafı çekilecek.</t>
        </is>
      </c>
      <c r="G59" s="5" t="inlineStr">
        <is>
          <t>ev</t>
        </is>
      </c>
      <c r="H59" s="5" t="inlineStr">
        <is>
          <t>ev</t>
        </is>
      </c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inlineStr"/>
      <c r="Q59" s="5" t="inlineStr"/>
      <c r="R59" s="6" t="inlineStr"/>
      <c r="S59" s="5" t="inlineStr"/>
      <c r="T59" s="5" t="inlineStr"/>
    </row>
    <row r="60">
      <c r="A60" s="5" t="inlineStr">
        <is>
          <t>b4-ses-catlamasi</t>
        </is>
      </c>
      <c r="B60" s="5" t="n">
        <v>4</v>
      </c>
      <c r="C60" s="5" t="inlineStr">
        <is>
          <t>11 yaş 9 ay</t>
        </is>
      </c>
      <c r="D60" s="5" t="inlineStr">
        <is>
          <t>🎤</t>
        </is>
      </c>
      <c r="E60" s="6" t="inlineStr">
        <is>
          <t>Ses Çatlaması</t>
        </is>
      </c>
      <c r="F60" s="6" t="inlineStr">
        <is>
          <t>Sesli okuma sırası sana geldi. Sesin cümlenin ortasında bir oktav yukarı çıkacak mı, belli değil.</t>
        </is>
      </c>
      <c r="G60" s="5" t="inlineStr">
        <is>
          <t>sinif</t>
        </is>
      </c>
      <c r="H60" s="5" t="inlineStr">
        <is>
          <t>okul-iş</t>
        </is>
      </c>
      <c r="I60" s="5" t="inlineStr"/>
      <c r="J60" s="5" t="inlineStr"/>
      <c r="K60" s="5" t="inlineStr"/>
      <c r="L60" s="5" t="inlineStr"/>
      <c r="M60" s="5" t="inlineStr"/>
      <c r="N60" s="5" t="inlineStr">
        <is>
          <t>erkek</t>
        </is>
      </c>
      <c r="O60" s="5" t="inlineStr"/>
      <c r="P60" s="5" t="inlineStr"/>
      <c r="Q60" s="5" t="inlineStr"/>
      <c r="R60" s="6" t="inlineStr"/>
      <c r="S60" s="5" t="inlineStr"/>
      <c r="T60" s="5" t="inlineStr"/>
    </row>
    <row r="61">
      <c r="A61" s="5" t="inlineStr">
        <is>
          <t>b4-ogretmenler-gunu</t>
        </is>
      </c>
      <c r="B61" s="5" t="n">
        <v>4</v>
      </c>
      <c r="C61" s="5" t="inlineStr">
        <is>
          <t>11 yaş 11 ay</t>
        </is>
      </c>
      <c r="D61" s="5" t="inlineStr">
        <is>
          <t>🎁</t>
        </is>
      </c>
      <c r="E61" s="6" t="inlineStr">
        <is>
          <t>Öğretmenler Günü</t>
        </is>
      </c>
      <c r="F61" s="6" t="inlineStr">
        <is>
          <t>Veli grubunda hediye için para toplanıyor. Bir veli 'Herkes eşit katılsın' dedi, bir diğeri 'Gönüllülük esastır' diye cevap verdi.</t>
        </is>
      </c>
      <c r="G61" s="5" t="inlineStr">
        <is>
          <t>sinif</t>
        </is>
      </c>
      <c r="H61" s="5" t="inlineStr">
        <is>
          <t>okul-iş</t>
        </is>
      </c>
      <c r="I61" s="5" t="inlineStr"/>
      <c r="J61" s="5" t="inlineStr"/>
      <c r="K61" s="5" t="inlineStr"/>
      <c r="L61" s="5" t="inlineStr"/>
      <c r="M61" s="5" t="inlineStr"/>
      <c r="N61" s="5" t="inlineStr"/>
      <c r="O61" s="5" t="inlineStr"/>
      <c r="P61" s="5" t="inlineStr"/>
      <c r="Q61" s="5" t="inlineStr"/>
      <c r="R61" s="6" t="inlineStr"/>
      <c r="S61" s="5" t="inlineStr"/>
      <c r="T61" s="5" t="inlineStr"/>
    </row>
    <row r="62">
      <c r="A62" s="5" t="inlineStr">
        <is>
          <t>b4-ilk-hoslanti</t>
        </is>
      </c>
      <c r="B62" s="5" t="n">
        <v>4</v>
      </c>
      <c r="C62" s="5" t="inlineStr">
        <is>
          <t>12 yaş</t>
        </is>
      </c>
      <c r="D62" s="5" t="inlineStr">
        <is>
          <t>💌</t>
        </is>
      </c>
      <c r="E62" s="6" t="inlineStr">
        <is>
          <t>İlk Hoşlantı</t>
        </is>
      </c>
      <c r="F62" s="6" t="inlineStr">
        <is>
          <t>Sınıftaki biri hikâyeni beğendi. Bilimsel olarak bu bir şey anlamına geliyor olabilir.</t>
        </is>
      </c>
      <c r="G62" s="5" t="inlineStr">
        <is>
          <t>okul</t>
        </is>
      </c>
      <c r="H62" s="5" t="inlineStr">
        <is>
          <t>sosyal</t>
        </is>
      </c>
      <c r="I62" s="5" t="inlineStr"/>
      <c r="J62" s="5" t="inlineStr"/>
      <c r="K62" s="5" t="inlineStr"/>
      <c r="L62" s="5" t="inlineStr"/>
      <c r="M62" s="5" t="inlineStr"/>
      <c r="N62" s="5" t="inlineStr"/>
      <c r="O62" s="5" t="inlineStr"/>
      <c r="P62" s="5" t="inlineStr"/>
      <c r="Q62" s="5" t="inlineStr"/>
      <c r="R62" s="6" t="inlineStr"/>
      <c r="S62" s="5" t="inlineStr"/>
      <c r="T62" s="5" t="inlineStr"/>
    </row>
    <row r="63">
      <c r="A63" s="5" t="inlineStr">
        <is>
          <t>b4-grup-odevi</t>
        </is>
      </c>
      <c r="B63" s="5" t="n">
        <v>4</v>
      </c>
      <c r="C63" s="5" t="inlineStr">
        <is>
          <t>12 yaş 1 ay</t>
        </is>
      </c>
      <c r="D63" s="5" t="inlineStr">
        <is>
          <t>📝</t>
        </is>
      </c>
      <c r="E63" s="6" t="inlineStr">
        <is>
          <t>Dört Kişilik Grup Ödevi</t>
        </is>
      </c>
      <c r="F63" s="6" t="inlineStr">
        <is>
          <t>Dört kişilik grup ödevi. Biri yapar, üçü 'katkı sağlar'. Hangisi olacağın bu akşamki mesajlarda belirlenecek.</t>
        </is>
      </c>
      <c r="G63" s="5" t="inlineStr">
        <is>
          <t>sinif</t>
        </is>
      </c>
      <c r="H63" s="5" t="inlineStr">
        <is>
          <t>okul-iş</t>
        </is>
      </c>
      <c r="I63" s="5" t="inlineStr"/>
      <c r="J63" s="5" t="inlineStr"/>
      <c r="K63" s="5" t="inlineStr"/>
      <c r="L63" s="5" t="inlineStr"/>
      <c r="M63" s="5" t="inlineStr"/>
      <c r="N63" s="5" t="inlineStr"/>
      <c r="O63" s="5" t="inlineStr"/>
      <c r="P63" s="5" t="inlineStr"/>
      <c r="Q63" s="5" t="inlineStr"/>
      <c r="R63" s="6" t="inlineStr"/>
      <c r="S63" s="5" t="inlineStr"/>
      <c r="T63" s="5" t="inlineStr"/>
    </row>
    <row r="64">
      <c r="A64" s="5" t="inlineStr">
        <is>
          <t>b4-okul-gezisi</t>
        </is>
      </c>
      <c r="B64" s="5" t="n">
        <v>4</v>
      </c>
      <c r="C64" s="5" t="inlineStr">
        <is>
          <t>12 yaş 2 ay</t>
        </is>
      </c>
      <c r="D64" s="5" t="inlineStr">
        <is>
          <t>🚌</t>
        </is>
      </c>
      <c r="E64" s="6" t="inlineStr">
        <is>
          <t>Okul Gezisi</t>
        </is>
      </c>
      <c r="F64" s="6" t="inlineStr">
        <is>
          <t>Okul gezisi. Otobüsün arka koltukları ilk on saniyede kapıldı. Öğretmen sayım yapıyor; sayı tutmuyor.</t>
        </is>
      </c>
      <c r="G64" s="5" t="inlineStr">
        <is>
          <t>toplu-tasima</t>
        </is>
      </c>
      <c r="H64" s="5" t="inlineStr">
        <is>
          <t>sosyal</t>
        </is>
      </c>
      <c r="I64" s="5" t="inlineStr"/>
      <c r="J64" s="5" t="inlineStr"/>
      <c r="K64" s="5" t="inlineStr"/>
      <c r="L64" s="5" t="inlineStr"/>
      <c r="M64" s="5" t="inlineStr"/>
      <c r="N64" s="5" t="inlineStr"/>
      <c r="O64" s="5" t="inlineStr"/>
      <c r="P64" s="5" t="inlineStr"/>
      <c r="Q64" s="5" t="inlineStr"/>
      <c r="R64" s="6" t="inlineStr"/>
      <c r="S64" s="5" t="inlineStr"/>
      <c r="T64" s="5" t="inlineStr"/>
    </row>
    <row r="65">
      <c r="A65" s="5" t="inlineStr">
        <is>
          <t>b4-ayna</t>
        </is>
      </c>
      <c r="B65" s="5" t="n">
        <v>4</v>
      </c>
      <c r="C65" s="5" t="inlineStr">
        <is>
          <t>12 yaş 3 ay</t>
        </is>
      </c>
      <c r="D65" s="5" t="inlineStr">
        <is>
          <t>💇</t>
        </is>
      </c>
      <c r="E65" s="6" t="inlineStr">
        <is>
          <t>Ayna Karşısında</t>
        </is>
      </c>
      <c r="F65" s="6" t="inlineStr">
        <is>
          <t>Banyoda aynanın karşısında saçını on beşinci kez düzelttin. Kapının dışında üç kişi sıra bekliyor.</t>
        </is>
      </c>
      <c r="G65" s="5" t="inlineStr">
        <is>
          <t>ev</t>
        </is>
      </c>
      <c r="H65" s="5" t="inlineStr">
        <is>
          <t>ev</t>
        </is>
      </c>
      <c r="I65" s="5" t="inlineStr"/>
      <c r="J65" s="5" t="inlineStr"/>
      <c r="K65" s="5" t="inlineStr"/>
      <c r="L65" s="5" t="inlineStr"/>
      <c r="M65" s="5" t="inlineStr"/>
      <c r="N65" s="5" t="inlineStr"/>
      <c r="O65" s="5" t="inlineStr"/>
      <c r="P65" s="5" t="inlineStr"/>
      <c r="Q65" s="5" t="inlineStr"/>
      <c r="R65" s="6" t="inlineStr"/>
      <c r="S65" s="5" t="inlineStr"/>
      <c r="T65" s="5" t="inlineStr"/>
    </row>
    <row r="66">
      <c r="A66" s="5" t="inlineStr">
        <is>
          <t>b4-bilim-fuari</t>
        </is>
      </c>
      <c r="B66" s="5" t="n">
        <v>4</v>
      </c>
      <c r="C66" s="5" t="inlineStr">
        <is>
          <t>12 yaş 5 ay</t>
        </is>
      </c>
      <c r="D66" s="5" t="inlineStr">
        <is>
          <t>🌋</t>
        </is>
      </c>
      <c r="E66" s="6" t="inlineStr">
        <is>
          <t>Bilim Fuarı</t>
        </is>
      </c>
      <c r="F66" s="6" t="inlineStr">
        <is>
          <t>Bilim fuarı. Masaların yarısında karbonatlı yanardağ var. Diğer yarısında ailelerin gece yaptığı projeler.</t>
        </is>
      </c>
      <c r="G66" s="5" t="inlineStr">
        <is>
          <t>okul</t>
        </is>
      </c>
      <c r="H66" s="5" t="inlineStr">
        <is>
          <t>okul-iş</t>
        </is>
      </c>
      <c r="I66" s="5" t="inlineStr"/>
      <c r="J66" s="5" t="inlineStr"/>
      <c r="K66" s="5" t="inlineStr"/>
      <c r="L66" s="5" t="inlineStr"/>
      <c r="M66" s="5" t="inlineStr"/>
      <c r="N66" s="5" t="inlineStr"/>
      <c r="O66" s="5" t="inlineStr"/>
      <c r="P66" s="5" t="inlineStr"/>
      <c r="Q66" s="5" t="inlineStr"/>
      <c r="R66" s="6" t="inlineStr"/>
      <c r="S66" s="5" t="inlineStr"/>
      <c r="T66" s="5" t="inlineStr"/>
    </row>
    <row r="67">
      <c r="A67" s="5" t="inlineStr">
        <is>
          <t>b4-kotu-not</t>
        </is>
      </c>
      <c r="B67" s="5" t="n">
        <v>4</v>
      </c>
      <c r="C67" s="5" t="inlineStr">
        <is>
          <t>12 yaş 6 ay</t>
        </is>
      </c>
      <c r="D67" s="5" t="inlineStr">
        <is>
          <t>📄</t>
        </is>
      </c>
      <c r="E67" s="6" t="inlineStr">
        <is>
          <t>Sınav Kâğıdı</t>
        </is>
      </c>
      <c r="F67" s="6" t="inlineStr">
        <is>
          <t>Matematikten düşük not. Kâğıt veli imzası istiyor ve akşam yemeğinde biri mutlaka 'Okul nasıl?' diye soracak.</t>
        </is>
      </c>
      <c r="G67" s="5" t="inlineStr">
        <is>
          <t>mutfak</t>
        </is>
      </c>
      <c r="H67" s="5" t="inlineStr">
        <is>
          <t>okul-iş</t>
        </is>
      </c>
      <c r="I67" s="5" t="inlineStr"/>
      <c r="J67" s="5" t="inlineStr"/>
      <c r="K67" s="5" t="inlineStr"/>
      <c r="L67" s="5" t="inlineStr"/>
      <c r="M67" s="5" t="inlineStr"/>
      <c r="N67" s="5" t="inlineStr"/>
      <c r="O67" s="5" t="inlineStr"/>
      <c r="P67" s="5" t="inlineStr"/>
      <c r="Q67" s="5" t="inlineStr"/>
      <c r="R67" s="6" t="inlineStr"/>
      <c r="S67" s="5" t="inlineStr"/>
      <c r="T67" s="5" t="inlineStr"/>
    </row>
    <row r="68">
      <c r="A68" s="5" t="inlineStr">
        <is>
          <t>b4-kedinin-hesabi</t>
        </is>
      </c>
      <c r="B68" s="5" t="n">
        <v>4</v>
      </c>
      <c r="C68" s="5" t="inlineStr">
        <is>
          <t>12 yaş 7 ay</t>
        </is>
      </c>
      <c r="D68" s="5" t="inlineStr">
        <is>
          <t>🐈</t>
        </is>
      </c>
      <c r="E68" s="6" t="inlineStr">
        <is>
          <t>Kedinin Hesabı</t>
        </is>
      </c>
      <c r="F68" s="6" t="inlineStr">
        <is>
          <t>Kediye bir video hesabı açtın. Kedinin hesabı bir haftada seninkini geçti. Kedi durumdan habersiz. Ya da öyle görünüyor.</t>
        </is>
      </c>
      <c r="G68" s="5" t="inlineStr">
        <is>
          <t>ev</t>
        </is>
      </c>
      <c r="H68" s="5" t="inlineStr">
        <is>
          <t>sosyal</t>
        </is>
      </c>
      <c r="I68" s="5" t="inlineStr"/>
      <c r="J68" s="5" t="inlineStr"/>
      <c r="K68" s="5" t="inlineStr">
        <is>
          <t>kediGeldi</t>
        </is>
      </c>
      <c r="L68" s="5" t="inlineStr"/>
      <c r="M68" s="5" t="inlineStr"/>
      <c r="N68" s="5" t="inlineStr"/>
      <c r="O68" s="5" t="inlineStr"/>
      <c r="P68" s="5" t="inlineStr"/>
      <c r="Q68" s="5" t="inlineStr"/>
      <c r="R68" s="6" t="inlineStr"/>
      <c r="S68" s="5" t="inlineStr"/>
      <c r="T68" s="5" t="inlineStr"/>
    </row>
    <row r="69">
      <c r="A69" s="5" t="inlineStr">
        <is>
          <t>b4-dershane</t>
        </is>
      </c>
      <c r="B69" s="5" t="n">
        <v>4</v>
      </c>
      <c r="C69" s="5" t="inlineStr">
        <is>
          <t>12 yaş 8 ay</t>
        </is>
      </c>
      <c r="D69" s="5" t="inlineStr">
        <is>
          <t>📚</t>
        </is>
      </c>
      <c r="E69" s="6" t="inlineStr">
        <is>
          <t>Dershane Broşürü</t>
        </is>
      </c>
      <c r="F69" s="6" t="inlineStr">
        <is>
          <t>Ailen dershane broşürü getirdi. Broşürde gülümseyen öğrenciler var. Fiyat kısmı küçük puntolu.</t>
        </is>
      </c>
      <c r="G69" s="5" t="inlineStr">
        <is>
          <t>ev</t>
        </is>
      </c>
      <c r="H69" s="5" t="inlineStr">
        <is>
          <t>okul-iş</t>
        </is>
      </c>
      <c r="I69" s="5" t="inlineStr"/>
      <c r="J69" s="5" t="inlineStr"/>
      <c r="K69" s="5" t="inlineStr"/>
      <c r="L69" s="5" t="inlineStr"/>
      <c r="M69" s="5" t="inlineStr"/>
      <c r="N69" s="5" t="inlineStr"/>
      <c r="O69" s="5" t="inlineStr"/>
      <c r="P69" s="5" t="inlineStr"/>
      <c r="Q69" s="5" t="inlineStr"/>
      <c r="R69" s="6" t="inlineStr"/>
      <c r="S69" s="5" t="inlineStr"/>
      <c r="T69" s="5" t="inlineStr"/>
    </row>
    <row r="70">
      <c r="A70" s="5" t="inlineStr">
        <is>
          <t>b4-yanlis-grup</t>
        </is>
      </c>
      <c r="B70" s="5" t="n">
        <v>4</v>
      </c>
      <c r="C70" s="5" t="inlineStr">
        <is>
          <t>12 yaş 9 ay</t>
        </is>
      </c>
      <c r="D70" s="5" t="inlineStr">
        <is>
          <t>🙈</t>
        </is>
      </c>
      <c r="E70" s="6" t="inlineStr">
        <is>
          <t>Yanlış Grup</t>
        </is>
      </c>
      <c r="F70" s="6" t="inlineStr">
        <is>
          <t>Arkadaşına 'Annem yine aynı yemeği yaptı' yazdın. Mesaj aile grubunda görünüyor. İki tik mavi.</t>
        </is>
      </c>
      <c r="G70" s="5" t="inlineStr">
        <is>
          <t>ev</t>
        </is>
      </c>
      <c r="H70" s="5" t="inlineStr">
        <is>
          <t>ev</t>
        </is>
      </c>
      <c r="I70" s="5" t="inlineStr"/>
      <c r="J70" s="5" t="inlineStr"/>
      <c r="K70" s="5" t="inlineStr"/>
      <c r="L70" s="5" t="inlineStr"/>
      <c r="M70" s="5" t="inlineStr"/>
      <c r="N70" s="5" t="inlineStr"/>
      <c r="O70" s="5" t="inlineStr"/>
      <c r="P70" s="5" t="inlineStr"/>
      <c r="Q70" s="5" t="inlineStr"/>
      <c r="R70" s="6" t="inlineStr"/>
      <c r="S70" s="5" t="inlineStr"/>
      <c r="T70" s="5" t="inlineStr"/>
    </row>
    <row r="71">
      <c r="A71" s="5" t="inlineStr">
        <is>
          <t>b4-apartman-toplantisi</t>
        </is>
      </c>
      <c r="B71" s="5" t="n">
        <v>4</v>
      </c>
      <c r="C71" s="5" t="inlineStr">
        <is>
          <t>12 yaş 10 ay</t>
        </is>
      </c>
      <c r="D71" s="5" t="inlineStr">
        <is>
          <t>🏢</t>
        </is>
      </c>
      <c r="E71" s="6" t="inlineStr">
        <is>
          <t>Apartman Toplantısı</t>
        </is>
      </c>
      <c r="F71" s="6" t="inlineStr">
        <is>
          <t>Ailen apartman toplantısına seni gönderdi. Gündem: aidat artışı, asansör arızası ve 'çocukların top oynaması'.</t>
        </is>
      </c>
      <c r="G71" s="5" t="inlineStr">
        <is>
          <t>apartman</t>
        </is>
      </c>
      <c r="H71" s="5" t="inlineStr">
        <is>
          <t>ev</t>
        </is>
      </c>
      <c r="I71" s="5" t="inlineStr"/>
      <c r="J71" s="5" t="inlineStr"/>
      <c r="K71" s="5" t="inlineStr"/>
      <c r="L71" s="5" t="inlineStr"/>
      <c r="M71" s="5" t="inlineStr"/>
      <c r="N71" s="5" t="inlineStr"/>
      <c r="O71" s="5" t="inlineStr"/>
      <c r="P71" s="5" t="inlineStr"/>
      <c r="Q71" s="5" t="inlineStr"/>
      <c r="R71" s="6" t="inlineStr"/>
      <c r="S71" s="5" t="inlineStr"/>
      <c r="T71" s="5" t="inlineStr"/>
    </row>
    <row r="72">
      <c r="A72" s="5" t="inlineStr">
        <is>
          <t>b4-yz-odev</t>
        </is>
      </c>
      <c r="B72" s="5" t="n">
        <v>4</v>
      </c>
      <c r="C72" s="5" t="inlineStr">
        <is>
          <t>12 yaş 11 ay</t>
        </is>
      </c>
      <c r="D72" s="5" t="inlineStr">
        <is>
          <t>🤖</t>
        </is>
      </c>
      <c r="E72" s="6" t="inlineStr">
        <is>
          <t>Yapay Zekâ Ödevi</t>
        </is>
      </c>
      <c r="F72" s="6" t="inlineStr">
        <is>
          <t>Kompozisyon ödevi: 'Yaz tatilimi nasıl geçirdim.' Yapay zekâ bunu on saniyede yazar. Yazar ama senin tatilini bilmez.</t>
        </is>
      </c>
      <c r="G72" s="5" t="inlineStr">
        <is>
          <t>cocuk-odasi</t>
        </is>
      </c>
      <c r="H72" s="5" t="inlineStr">
        <is>
          <t>okul-iş</t>
        </is>
      </c>
      <c r="I72" s="5" t="inlineStr"/>
      <c r="J72" s="5" t="inlineStr"/>
      <c r="K72" s="5" t="inlineStr"/>
      <c r="L72" s="5" t="inlineStr"/>
      <c r="M72" s="5" t="inlineStr"/>
      <c r="N72" s="5" t="inlineStr"/>
      <c r="O72" s="5" t="inlineStr"/>
      <c r="P72" s="5" t="inlineStr"/>
      <c r="Q72" s="5" t="inlineStr"/>
      <c r="R72" s="6" t="inlineStr"/>
      <c r="S72" s="5" t="inlineStr"/>
      <c r="T72" s="5" t="inlineStr"/>
    </row>
    <row r="73">
      <c r="A73" s="5" t="inlineStr">
        <is>
          <t>b4-kisisel-oda</t>
        </is>
      </c>
      <c r="B73" s="5" t="n">
        <v>4</v>
      </c>
      <c r="C73" s="5" t="inlineStr">
        <is>
          <t>13 yaş</t>
        </is>
      </c>
      <c r="D73" s="5" t="inlineStr">
        <is>
          <t>🚪</t>
        </is>
      </c>
      <c r="E73" s="6" t="inlineStr">
        <is>
          <t>Boş Oda</t>
        </is>
      </c>
      <c r="F73" s="6" t="inlineStr">
        <is>
          <t>Evdeki küçük oda boşaldı. Üç aday var: sen, kardeşin ve babanın koşu bandı.</t>
        </is>
      </c>
      <c r="G73" s="5" t="inlineStr">
        <is>
          <t>ev</t>
        </is>
      </c>
      <c r="H73" s="5" t="inlineStr">
        <is>
          <t>ev</t>
        </is>
      </c>
      <c r="I73" s="5" t="inlineStr"/>
      <c r="J73" s="5" t="inlineStr"/>
      <c r="K73" s="5" t="inlineStr"/>
      <c r="L73" s="5" t="inlineStr"/>
      <c r="M73" s="5" t="inlineStr"/>
      <c r="N73" s="5" t="inlineStr"/>
      <c r="O73" s="5" t="inlineStr"/>
      <c r="P73" s="5" t="inlineStr"/>
      <c r="Q73" s="5" t="inlineStr"/>
      <c r="R73" s="6" t="inlineStr"/>
      <c r="S73" s="5" t="inlineStr"/>
      <c r="T73" s="5" t="inlineStr"/>
    </row>
    <row r="74">
      <c r="A74" s="5" t="inlineStr">
        <is>
          <t>b4-fenomen-denemesi</t>
        </is>
      </c>
      <c r="B74" s="5" t="n">
        <v>4</v>
      </c>
      <c r="C74" s="5" t="inlineStr">
        <is>
          <t>13 yaş 2 ay</t>
        </is>
      </c>
      <c r="D74" s="5" t="inlineStr">
        <is>
          <t>🤳</t>
        </is>
      </c>
      <c r="E74" s="6" t="inlineStr">
        <is>
          <t>Büyüme Stratejisi</t>
        </is>
      </c>
      <c r="F74" s="6" t="inlineStr">
        <is>
          <t>Kısa video hesabının 47 takipçisi var. On ikisi akraba, üçü sensin. Bir büyüme stratejisi gerekiyor.</t>
        </is>
      </c>
      <c r="G74" s="5" t="inlineStr">
        <is>
          <t>ev</t>
        </is>
      </c>
      <c r="H74" s="5" t="inlineStr">
        <is>
          <t>sosyal</t>
        </is>
      </c>
      <c r="I74" s="5" t="inlineStr"/>
      <c r="J74" s="5" t="inlineStr"/>
      <c r="K74" s="5" t="inlineStr"/>
      <c r="L74" s="5" t="inlineStr"/>
      <c r="M74" s="5" t="inlineStr"/>
      <c r="N74" s="5" t="inlineStr"/>
      <c r="O74" s="5" t="inlineStr"/>
      <c r="P74" s="5" t="inlineStr"/>
      <c r="Q74" s="5" t="inlineStr"/>
      <c r="R74" s="6" t="inlineStr"/>
      <c r="S74" s="5" t="inlineStr"/>
      <c r="T74" s="5" t="inlineStr"/>
    </row>
    <row r="75">
      <c r="A75" s="5" t="inlineStr">
        <is>
          <t>b4-haracci-rovans</t>
        </is>
      </c>
      <c r="B75" s="5" t="n">
        <v>4</v>
      </c>
      <c r="C75" s="5" t="inlineStr">
        <is>
          <t>13 yaş 3 ay</t>
        </is>
      </c>
      <c r="D75" s="5" t="inlineStr">
        <is>
          <t>🧢</t>
        </is>
      </c>
      <c r="E75" s="6" t="inlineStr">
        <is>
          <t>Eski Tanıdıklar</t>
        </is>
      </c>
      <c r="F75" s="6" t="inlineStr">
        <is>
          <t>Eski haraççılar bir yaş büyümüş. Sen de. Köşeyi dönerken göz göze geldiniz; bu sefer ellerinde bir top var.</t>
        </is>
      </c>
      <c r="G75" s="5" t="inlineStr">
        <is>
          <t>sokak</t>
        </is>
      </c>
      <c r="H75" s="5" t="inlineStr">
        <is>
          <t>sosyal</t>
        </is>
      </c>
      <c r="I75" s="5" t="inlineStr"/>
      <c r="J75" s="5" t="inlineStr"/>
      <c r="K75" s="5" t="inlineStr">
        <is>
          <t>haracci-dusmani</t>
        </is>
      </c>
      <c r="L75" s="5" t="inlineStr"/>
      <c r="M75" s="5" t="inlineStr"/>
      <c r="N75" s="5" t="inlineStr"/>
      <c r="O75" s="5" t="inlineStr"/>
      <c r="P75" s="5" t="inlineStr"/>
      <c r="Q75" s="5" t="inlineStr"/>
      <c r="R75" s="6" t="inlineStr"/>
      <c r="S75" s="5" t="inlineStr"/>
      <c r="T75" s="5" t="inlineStr"/>
    </row>
    <row r="76">
      <c r="A76" s="5" t="inlineStr">
        <is>
          <t>b4-kantin-ekonomisi</t>
        </is>
      </c>
      <c r="B76" s="5" t="n">
        <v>4</v>
      </c>
      <c r="C76" s="5" t="inlineStr">
        <is>
          <t>13 yaş 4 ay</t>
        </is>
      </c>
      <c r="D76" s="5" t="inlineStr">
        <is>
          <t>🥪</t>
        </is>
      </c>
      <c r="E76" s="6" t="inlineStr">
        <is>
          <t>Kantin Ekonomisi</t>
        </is>
      </c>
      <c r="F76" s="6" t="inlineStr">
        <is>
          <t>Kantinde tost fiyatı yine arttı. Teneffüs kuyruğu on dakika. Teneffüs de on dakika.</t>
        </is>
      </c>
      <c r="G76" s="5" t="inlineStr">
        <is>
          <t>okul-bahcesi</t>
        </is>
      </c>
      <c r="H76" s="5" t="inlineStr">
        <is>
          <t>para</t>
        </is>
      </c>
      <c r="I76" s="5" t="inlineStr"/>
      <c r="J76" s="5" t="inlineStr"/>
      <c r="K76" s="5" t="inlineStr"/>
      <c r="L76" s="5" t="inlineStr"/>
      <c r="M76" s="5" t="inlineStr"/>
      <c r="N76" s="5" t="inlineStr"/>
      <c r="O76" s="5" t="inlineStr"/>
      <c r="P76" s="5" t="inlineStr"/>
      <c r="Q76" s="5" t="inlineStr"/>
      <c r="R76" s="6" t="inlineStr"/>
      <c r="S76" s="5" t="inlineStr"/>
      <c r="T76" s="5" t="inlineStr"/>
    </row>
    <row r="77">
      <c r="A77" s="5" t="inlineStr">
        <is>
          <t>b4-bayram-yatirim</t>
        </is>
      </c>
      <c r="B77" s="5" t="n">
        <v>4</v>
      </c>
      <c r="C77" s="5" t="inlineStr">
        <is>
          <t>13 yaş 6 ay</t>
        </is>
      </c>
      <c r="D77" s="5" t="inlineStr">
        <is>
          <t>✉️</t>
        </is>
      </c>
      <c r="E77" s="6" t="inlineStr">
        <is>
          <t>Bayram Harçlığı Yönetimi</t>
        </is>
      </c>
      <c r="F77" s="6" t="inlineStr">
        <is>
          <t>Bayram geçti, zarflar toplandı. Bu yıl ilk kez 'Bu parayla ne yapacaksın?' diye soruldu. Cevap bekleniyor.</t>
        </is>
      </c>
      <c r="G77" s="5" t="inlineStr">
        <is>
          <t>ev</t>
        </is>
      </c>
      <c r="H77" s="5" t="inlineStr">
        <is>
          <t>para</t>
        </is>
      </c>
      <c r="I77" s="5" t="inlineStr"/>
      <c r="J77" s="5" t="inlineStr"/>
      <c r="K77" s="5" t="inlineStr"/>
      <c r="L77" s="5" t="inlineStr"/>
      <c r="M77" s="5" t="inlineStr"/>
      <c r="N77" s="5" t="inlineStr"/>
      <c r="O77" s="5" t="inlineStr"/>
      <c r="P77" s="5" t="inlineStr"/>
      <c r="Q77" s="5" t="inlineStr"/>
      <c r="R77" s="6" t="inlineStr"/>
      <c r="S77" s="5" t="inlineStr"/>
      <c r="T77" s="5" t="inlineStr"/>
    </row>
    <row r="78">
      <c r="A78" s="5" t="inlineStr">
        <is>
          <t>b4-ilk-bulusma</t>
        </is>
      </c>
      <c r="B78" s="5" t="n">
        <v>4</v>
      </c>
      <c r="C78" s="5" t="inlineStr">
        <is>
          <t>13 yaş 7 ay</t>
        </is>
      </c>
      <c r="D78" s="5" t="inlineStr">
        <is>
          <t>🍦</t>
        </is>
      </c>
      <c r="E78" s="6" t="inlineStr">
        <is>
          <t>İlk Buluşma</t>
        </is>
      </c>
      <c r="F78" s="6" t="inlineStr">
        <is>
          <t>Yazışma dördüncü haftasında. Ekranda: 'Hafta sonu çarşıda buluşalım mı?' Yanında arkadaş getirmek serbest.</t>
        </is>
      </c>
      <c r="G78" s="5" t="inlineStr">
        <is>
          <t>carsi</t>
        </is>
      </c>
      <c r="H78" s="5" t="inlineStr">
        <is>
          <t>sosyal</t>
        </is>
      </c>
      <c r="I78" s="5" t="inlineStr"/>
      <c r="J78" s="5" t="n">
        <v>0.8</v>
      </c>
      <c r="K78" s="5" t="inlineStr">
        <is>
          <t>ilk-mesaj</t>
        </is>
      </c>
      <c r="L78" s="5" t="inlineStr"/>
      <c r="M78" s="5" t="inlineStr"/>
      <c r="N78" s="5" t="inlineStr"/>
      <c r="O78" s="5" t="inlineStr"/>
      <c r="P78" s="5" t="inlineStr"/>
      <c r="Q78" s="5" t="inlineStr"/>
      <c r="R78" s="6" t="inlineStr"/>
      <c r="S78" s="5" t="inlineStr"/>
      <c r="T78" s="5" t="inlineStr"/>
    </row>
    <row r="79">
      <c r="A79" s="5" t="inlineStr">
        <is>
          <t>b4-spor-secmeleri</t>
        </is>
      </c>
      <c r="B79" s="5" t="n">
        <v>4</v>
      </c>
      <c r="C79" s="5" t="inlineStr">
        <is>
          <t>13 yaş 8 ay</t>
        </is>
      </c>
      <c r="D79" s="5" t="inlineStr">
        <is>
          <t>⚽</t>
        </is>
      </c>
      <c r="E79" s="6" t="inlineStr">
        <is>
          <t>Takım Seçmeleri</t>
        </is>
      </c>
      <c r="F79" s="6" t="inlineStr">
        <is>
          <t>Okul takımı seçmeleri. Beden eğitimi öğretmeninin elinde düdük ve bir liste var. Listede şimdilik yalnızca onun yeğeni var.</t>
        </is>
      </c>
      <c r="G79" s="5" t="inlineStr">
        <is>
          <t>okul-bahcesi</t>
        </is>
      </c>
      <c r="H79" s="5" t="inlineStr">
        <is>
          <t>okul-iş</t>
        </is>
      </c>
      <c r="I79" s="5" t="inlineStr"/>
      <c r="J79" s="5" t="inlineStr"/>
      <c r="K79" s="5" t="inlineStr"/>
      <c r="L79" s="5" t="inlineStr"/>
      <c r="M79" s="5" t="inlineStr"/>
      <c r="N79" s="5" t="inlineStr"/>
      <c r="O79" s="5" t="inlineStr"/>
      <c r="P79" s="5" t="inlineStr"/>
      <c r="Q79" s="5" t="inlineStr"/>
      <c r="R79" s="6" t="inlineStr"/>
      <c r="S79" s="5" t="inlineStr"/>
      <c r="T79" s="5" t="inlineStr"/>
    </row>
    <row r="80">
      <c r="A80" s="5" t="inlineStr">
        <is>
          <t>b4-eski-telefon</t>
        </is>
      </c>
      <c r="B80" s="5" t="n">
        <v>4</v>
      </c>
      <c r="C80" s="5" t="inlineStr">
        <is>
          <t>13 yaş 9 ay</t>
        </is>
      </c>
      <c r="D80" s="5" t="inlineStr">
        <is>
          <t>📦</t>
        </is>
      </c>
      <c r="E80" s="6" t="inlineStr">
        <is>
          <t>İkinci El İlanı</t>
        </is>
      </c>
      <c r="F80" s="6" t="inlineStr">
        <is>
          <t>Yeni telefon için eskisini satmak lazım. İlan verdin. İlk mesaj: 'Son fiyat?' İkincisi: 'Bisikletle takas olur mu?'</t>
        </is>
      </c>
      <c r="G80" s="5" t="inlineStr">
        <is>
          <t>ev</t>
        </is>
      </c>
      <c r="H80" s="5" t="inlineStr">
        <is>
          <t>para</t>
        </is>
      </c>
      <c r="I80" s="5" t="inlineStr"/>
      <c r="J80" s="5" t="inlineStr"/>
      <c r="K80" s="5" t="inlineStr"/>
      <c r="L80" s="5" t="inlineStr"/>
      <c r="M80" s="5" t="inlineStr"/>
      <c r="N80" s="5" t="inlineStr"/>
      <c r="O80" s="5" t="inlineStr"/>
      <c r="P80" s="5" t="inlineStr"/>
      <c r="Q80" s="5" t="inlineStr"/>
      <c r="R80" s="6" t="inlineStr"/>
      <c r="S80" s="5" t="inlineStr"/>
      <c r="T80" s="5" t="inlineStr"/>
    </row>
    <row r="81">
      <c r="A81" s="5" t="inlineStr">
        <is>
          <t>b4-yaz-tatili</t>
        </is>
      </c>
      <c r="B81" s="5" t="n">
        <v>4</v>
      </c>
      <c r="C81" s="5" t="inlineStr">
        <is>
          <t>13 yaş 10 ay</t>
        </is>
      </c>
      <c r="D81" s="5" t="inlineStr">
        <is>
          <t>🏖️</t>
        </is>
      </c>
      <c r="E81" s="6" t="inlineStr">
        <is>
          <t>Sinyalsiz Yaz</t>
        </is>
      </c>
      <c r="F81" s="6" t="inlineStr">
        <is>
          <t>Yazlığa gidildi. İnternet çekmiyor. Tek sinyal, balkonun köşesinde, tek ayak üstünde durunca.</t>
        </is>
      </c>
      <c r="G81" s="5" t="inlineStr">
        <is>
          <t>yazlik</t>
        </is>
      </c>
      <c r="H81" s="5" t="inlineStr">
        <is>
          <t>ev</t>
        </is>
      </c>
      <c r="I81" s="5" t="inlineStr"/>
      <c r="J81" s="5" t="inlineStr"/>
      <c r="K81" s="5" t="inlineStr"/>
      <c r="L81" s="5" t="inlineStr"/>
      <c r="M81" s="5" t="inlineStr"/>
      <c r="N81" s="5" t="inlineStr"/>
      <c r="O81" s="5" t="inlineStr"/>
      <c r="P81" s="5" t="inlineStr"/>
      <c r="Q81" s="5" t="inlineStr"/>
      <c r="R81" s="6" t="inlineStr"/>
      <c r="S81" s="5" t="inlineStr"/>
      <c r="T81" s="5" t="inlineStr"/>
    </row>
    <row r="82">
      <c r="A82" s="5" t="inlineStr">
        <is>
          <t>b4-dershane-denemesi</t>
        </is>
      </c>
      <c r="B82" s="5" t="n">
        <v>4</v>
      </c>
      <c r="C82" s="5" t="inlineStr">
        <is>
          <t>13 yaş 11 ay</t>
        </is>
      </c>
      <c r="D82" s="5" t="inlineStr">
        <is>
          <t>📋</t>
        </is>
      </c>
      <c r="E82" s="6" t="inlineStr">
        <is>
          <t>Deneme Sonuçları</t>
        </is>
      </c>
      <c r="F82" s="6" t="inlineStr">
        <is>
          <t>Dershanede deneme sınavı sonuçları panoya asıldı. Adın listede. Nerede olduğu ise bir mesafe meselesi.</t>
        </is>
      </c>
      <c r="G82" s="5" t="inlineStr">
        <is>
          <t>okul</t>
        </is>
      </c>
      <c r="H82" s="5" t="inlineStr">
        <is>
          <t>okul-iş</t>
        </is>
      </c>
      <c r="I82" s="5" t="inlineStr"/>
      <c r="J82" s="5" t="inlineStr"/>
      <c r="K82" s="5" t="inlineStr">
        <is>
          <t>dershaneli</t>
        </is>
      </c>
      <c r="L82" s="5" t="inlineStr"/>
      <c r="M82" s="5" t="inlineStr"/>
      <c r="N82" s="5" t="inlineStr"/>
      <c r="O82" s="5" t="inlineStr"/>
      <c r="P82" s="5" t="inlineStr"/>
      <c r="Q82" s="5" t="inlineStr"/>
      <c r="R82" s="6" t="inlineStr"/>
      <c r="S82" s="5" t="inlineStr"/>
      <c r="T82" s="5" t="inlineStr"/>
    </row>
    <row r="83">
      <c r="A83" s="5" t="inlineStr">
        <is>
          <t>b4-lise-sinavi</t>
        </is>
      </c>
      <c r="B83" s="5" t="n">
        <v>4</v>
      </c>
      <c r="C83" s="5" t="inlineStr">
        <is>
          <t>14 yaş</t>
        </is>
      </c>
      <c r="D83" s="5" t="inlineStr">
        <is>
          <t>✏️</t>
        </is>
      </c>
      <c r="E83" s="6" t="inlineStr">
        <is>
          <t>Lise Sınavı</t>
        </is>
      </c>
      <c r="F83" s="6" t="inlineStr">
        <is>
          <t>Lise sınavı günü. Binanın önünde veliler, termoslar ve son dakika tekrarı yapan bir kalabalık. Cebinde üç kalem; ikisi yedeğin yedeği.</t>
        </is>
      </c>
      <c r="G83" s="5" t="inlineStr">
        <is>
          <t>okul</t>
        </is>
      </c>
      <c r="H83" s="5" t="inlineStr">
        <is>
          <t>okul-iş</t>
        </is>
      </c>
      <c r="I83" s="5" t="inlineStr">
        <is>
          <t>E</t>
        </is>
      </c>
      <c r="J83" s="5" t="inlineStr"/>
      <c r="K83" s="5" t="inlineStr"/>
      <c r="L83" s="5" t="inlineStr"/>
      <c r="M83" s="5" t="inlineStr"/>
      <c r="N83" s="5" t="inlineStr"/>
      <c r="O83" s="5" t="inlineStr"/>
      <c r="P83" s="5" t="inlineStr"/>
      <c r="Q83" s="5" t="n">
        <v>1</v>
      </c>
      <c r="R83" s="6" t="inlineStr">
        <is>
          <t>Üç yıllık test kitabı bu sabaha çıkıyordu. Buradan sonra dört yıl boyunca her sabah hangi kapıdan gireceğin belli olacak.</t>
        </is>
      </c>
      <c r="S83" s="5" t="inlineStr">
        <is>
          <t>İyi bir lise</t>
        </is>
      </c>
      <c r="T83" s="5" t="inlineStr">
        <is>
          <t>Mahallenin lisesi</t>
        </is>
      </c>
    </row>
    <row r="84">
      <c r="A84" s="5" t="inlineStr">
        <is>
          <t>b5-lise-ilk-gun</t>
        </is>
      </c>
      <c r="B84" s="5" t="n">
        <v>5</v>
      </c>
      <c r="C84" s="5" t="inlineStr">
        <is>
          <t>15 yaş</t>
        </is>
      </c>
      <c r="D84" s="5" t="inlineStr">
        <is>
          <t>🏫</t>
        </is>
      </c>
      <c r="E84" s="6" t="inlineStr">
        <is>
          <t>Lisede İlk Gün</t>
        </is>
      </c>
      <c r="F84" s="6" t="inlineStr">
        <is>
          <t>Lise kapısındasın. Yeni koridorlar, yeni öğretmenler, yepyeni bir sosyal sınıflandırma sistemi. Kayıt süreci başladı.</t>
        </is>
      </c>
      <c r="G84" s="5" t="inlineStr">
        <is>
          <t>okul</t>
        </is>
      </c>
      <c r="H84" s="5" t="inlineStr">
        <is>
          <t>okul-iş</t>
        </is>
      </c>
      <c r="I84" s="5" t="inlineStr"/>
      <c r="J84" s="5" t="inlineStr"/>
      <c r="K84" s="5" t="inlineStr"/>
      <c r="L84" s="5" t="inlineStr"/>
      <c r="M84" s="5" t="inlineStr"/>
      <c r="N84" s="5" t="inlineStr"/>
      <c r="O84" s="5" t="inlineStr"/>
      <c r="P84" s="5" t="inlineStr"/>
      <c r="Q84" s="5" t="inlineStr"/>
      <c r="R84" s="6" t="inlineStr"/>
      <c r="S84" s="5" t="inlineStr"/>
      <c r="T84" s="5" t="inlineStr"/>
    </row>
    <row r="85">
      <c r="A85" s="5" t="inlineStr">
        <is>
          <t>b5-sac-devrimi</t>
        </is>
      </c>
      <c r="B85" s="5" t="n">
        <v>5</v>
      </c>
      <c r="C85" s="5" t="inlineStr">
        <is>
          <t>15 yaş 1 ay</t>
        </is>
      </c>
      <c r="D85" s="5" t="inlineStr">
        <is>
          <t>💇</t>
        </is>
      </c>
      <c r="E85" s="6" t="inlineStr">
        <is>
          <t>Saç Devrimi</t>
        </is>
      </c>
      <c r="F85" s="6" t="inlineStr">
        <is>
          <t>Aynaya baktın ve karar verdin: artık yeni bir sen gerekiyor. Berberin elindeki fotoğraf bir ünlüye ait. Kafa sana ait.</t>
        </is>
      </c>
      <c r="G85" s="5" t="inlineStr">
        <is>
          <t>carsi</t>
        </is>
      </c>
      <c r="H85" s="5" t="inlineStr">
        <is>
          <t>ev</t>
        </is>
      </c>
      <c r="I85" s="5" t="inlineStr"/>
      <c r="J85" s="5" t="inlineStr"/>
      <c r="K85" s="5" t="inlineStr"/>
      <c r="L85" s="5" t="inlineStr"/>
      <c r="M85" s="5" t="inlineStr"/>
      <c r="N85" s="5" t="inlineStr"/>
      <c r="O85" s="5" t="inlineStr"/>
      <c r="P85" s="5" t="inlineStr"/>
      <c r="Q85" s="5" t="inlineStr"/>
      <c r="R85" s="6" t="inlineStr"/>
      <c r="S85" s="5" t="inlineStr"/>
      <c r="T85" s="5" t="inlineStr"/>
    </row>
    <row r="86">
      <c r="A86" s="5" t="inlineStr">
        <is>
          <t>b5-kulup-secimi</t>
        </is>
      </c>
      <c r="B86" s="5" t="n">
        <v>5</v>
      </c>
      <c r="C86" s="5" t="inlineStr">
        <is>
          <t>15 yaş 2 ay</t>
        </is>
      </c>
      <c r="D86" s="5" t="inlineStr">
        <is>
          <t>🎭</t>
        </is>
      </c>
      <c r="E86" s="6" t="inlineStr">
        <is>
          <t>Kulüp Seçimi</t>
        </is>
      </c>
      <c r="F86" s="6" t="inlineStr">
        <is>
          <t>Kulüp formu dağıtıldı. Seçenekler: tiyatro, münazara, satranç, fotoğrafçılık ve boş kalanlar için otomatik atama.</t>
        </is>
      </c>
      <c r="G86" s="5" t="inlineStr">
        <is>
          <t>okul</t>
        </is>
      </c>
      <c r="H86" s="5" t="inlineStr">
        <is>
          <t>okul-iş</t>
        </is>
      </c>
      <c r="I86" s="5" t="inlineStr"/>
      <c r="J86" s="5" t="inlineStr"/>
      <c r="K86" s="5" t="inlineStr"/>
      <c r="L86" s="5" t="inlineStr"/>
      <c r="M86" s="5" t="inlineStr"/>
      <c r="N86" s="5" t="inlineStr"/>
      <c r="O86" s="5" t="inlineStr"/>
      <c r="P86" s="5" t="inlineStr"/>
      <c r="Q86" s="5" t="inlineStr"/>
      <c r="R86" s="6" t="inlineStr"/>
      <c r="S86" s="5" t="inlineStr"/>
      <c r="T86" s="5" t="inlineStr"/>
    </row>
    <row r="87">
      <c r="A87" s="5" t="inlineStr">
        <is>
          <t>b5-dershane-kaydi</t>
        </is>
      </c>
      <c r="B87" s="5" t="n">
        <v>5</v>
      </c>
      <c r="C87" s="5" t="inlineStr">
        <is>
          <t>15 yaş 4 ay</t>
        </is>
      </c>
      <c r="D87" s="5" t="inlineStr">
        <is>
          <t>📚</t>
        </is>
      </c>
      <c r="E87" s="6" t="inlineStr">
        <is>
          <t>Dershane Kaydı</t>
        </is>
      </c>
      <c r="F87" s="6" t="inlineStr">
        <is>
          <t>Aile kararı: dershaneye yazılacaksın. Kayıt masasındaki danışman sana değil, cüzdana bakarak konuşuyor.</t>
        </is>
      </c>
      <c r="G87" s="5" t="inlineStr">
        <is>
          <t>carsi</t>
        </is>
      </c>
      <c r="H87" s="5" t="inlineStr">
        <is>
          <t>para</t>
        </is>
      </c>
      <c r="I87" s="5" t="inlineStr"/>
      <c r="J87" s="5" t="n">
        <v>1.5</v>
      </c>
      <c r="K87" s="5" t="inlineStr"/>
      <c r="L87" s="5" t="inlineStr"/>
      <c r="M87" s="5" t="inlineStr"/>
      <c r="N87" s="5" t="inlineStr"/>
      <c r="O87" s="5" t="inlineStr"/>
      <c r="P87" s="5" t="inlineStr"/>
      <c r="Q87" s="5" t="inlineStr"/>
      <c r="R87" s="6" t="inlineStr"/>
      <c r="S87" s="5" t="inlineStr"/>
      <c r="T87" s="5" t="inlineStr"/>
    </row>
    <row r="88">
      <c r="A88" s="5" t="inlineStr">
        <is>
          <t>b5-sigara-teklifi</t>
        </is>
      </c>
      <c r="B88" s="5" t="n">
        <v>5</v>
      </c>
      <c r="C88" s="5" t="inlineStr">
        <is>
          <t>15 yaş 6 ay</t>
        </is>
      </c>
      <c r="D88" s="5" t="inlineStr">
        <is>
          <t>🚬</t>
        </is>
      </c>
      <c r="E88" s="6" t="inlineStr">
        <is>
          <t>Arka Duvar</t>
        </is>
      </c>
      <c r="F88" s="6" t="inlineStr">
        <is>
          <t>Okulun arka duvarı. Biri paketi uzattı: 'Bir tane al.' Beş kişi bakıyor. Bakanların üçü aslında öksürüyor.</t>
        </is>
      </c>
      <c r="G88" s="5" t="inlineStr">
        <is>
          <t>okul-bahcesi</t>
        </is>
      </c>
      <c r="H88" s="5" t="inlineStr">
        <is>
          <t>sosyal</t>
        </is>
      </c>
      <c r="I88" s="5" t="inlineStr"/>
      <c r="J88" s="5" t="inlineStr"/>
      <c r="K88" s="5" t="inlineStr"/>
      <c r="L88" s="5" t="inlineStr"/>
      <c r="M88" s="5" t="inlineStr"/>
      <c r="N88" s="5" t="inlineStr"/>
      <c r="O88" s="5" t="inlineStr"/>
      <c r="P88" s="5" t="inlineStr"/>
      <c r="Q88" s="5" t="inlineStr"/>
      <c r="R88" s="6" t="inlineStr"/>
      <c r="S88" s="5" t="inlineStr"/>
      <c r="T88" s="5" t="inlineStr"/>
    </row>
    <row r="89">
      <c r="A89" s="5" t="inlineStr">
        <is>
          <t>b5-mesaj-grubu</t>
        </is>
      </c>
      <c r="B89" s="5" t="n">
        <v>5</v>
      </c>
      <c r="C89" s="5" t="inlineStr">
        <is>
          <t>15 yaş 8 ay</t>
        </is>
      </c>
      <c r="D89" s="5" t="inlineStr">
        <is>
          <t>📱</t>
        </is>
      </c>
      <c r="E89" s="6" t="inlineStr">
        <is>
          <t>Asıl Grup</t>
        </is>
      </c>
      <c r="F89" s="6" t="inlineStr">
        <is>
          <t>Sınıfın mesaj grubunun yanında bir de 'asıl grup' varmış. Sen yeni öğrendin. Yani sen asıl grupta değilsin.</t>
        </is>
      </c>
      <c r="G89" s="5" t="inlineStr">
        <is>
          <t>cocuk-odasi</t>
        </is>
      </c>
      <c r="H89" s="5" t="inlineStr">
        <is>
          <t>sosyal</t>
        </is>
      </c>
      <c r="I89" s="5" t="inlineStr"/>
      <c r="J89" s="5" t="inlineStr"/>
      <c r="K89" s="5" t="inlineStr"/>
      <c r="L89" s="5" t="inlineStr"/>
      <c r="M89" s="5" t="inlineStr"/>
      <c r="N89" s="5" t="inlineStr"/>
      <c r="O89" s="5" t="inlineStr"/>
      <c r="P89" s="5" t="inlineStr"/>
      <c r="Q89" s="5" t="inlineStr"/>
      <c r="R89" s="6" t="inlineStr"/>
      <c r="S89" s="5" t="inlineStr"/>
      <c r="T89" s="5" t="inlineStr"/>
    </row>
    <row r="90">
      <c r="A90" s="5" t="inlineStr">
        <is>
          <t>b5-kantin-vergisi</t>
        </is>
      </c>
      <c r="B90" s="5" t="n">
        <v>5</v>
      </c>
      <c r="C90" s="5" t="inlineStr">
        <is>
          <t>15 yaş 10 ay</t>
        </is>
      </c>
      <c r="D90" s="5" t="inlineStr">
        <is>
          <t>🧾</t>
        </is>
      </c>
      <c r="E90" s="6" t="inlineStr">
        <is>
          <t>Kapı Geçiş Ücreti</t>
        </is>
      </c>
      <c r="F90" s="6" t="inlineStr">
        <is>
          <t>Okul çıkışında üç kişi yolunu kesti: 'Bu kapıdan geçiş haftalık. Bir tost parası.' Sistem tanıdık, kadro gençleşmiş.</t>
        </is>
      </c>
      <c r="G90" s="5" t="inlineStr">
        <is>
          <t>okul-bahcesi</t>
        </is>
      </c>
      <c r="H90" s="5" t="inlineStr">
        <is>
          <t>para</t>
        </is>
      </c>
      <c r="I90" s="5" t="inlineStr"/>
      <c r="J90" s="5" t="inlineStr"/>
      <c r="K90" s="5" t="inlineStr"/>
      <c r="L90" s="5" t="inlineStr"/>
      <c r="M90" s="5" t="inlineStr"/>
      <c r="N90" s="5" t="inlineStr"/>
      <c r="O90" s="5" t="inlineStr"/>
      <c r="P90" s="5" t="inlineStr"/>
      <c r="Q90" s="5" t="inlineStr"/>
      <c r="R90" s="6" t="inlineStr"/>
      <c r="S90" s="5" t="inlineStr"/>
      <c r="T90" s="5" t="inlineStr"/>
    </row>
    <row r="91">
      <c r="A91" s="5" t="inlineStr">
        <is>
          <t>b5-ilk-sevgili</t>
        </is>
      </c>
      <c r="B91" s="5" t="n">
        <v>5</v>
      </c>
      <c r="C91" s="5" t="inlineStr">
        <is>
          <t>16 yaş</t>
        </is>
      </c>
      <c r="D91" s="5" t="inlineStr">
        <is>
          <t>💌</t>
        </is>
      </c>
      <c r="E91" s="6" t="inlineStr">
        <is>
          <t>İlk Buluşma</t>
        </is>
      </c>
      <c r="F91" s="6" t="inlineStr">
        <is>
          <t>Biriyle üç haftadır mesajlaşıyorsun. Bugün ilk kez yüz yüze buluşuyorsunuz. Parkta, bankta, arada bir karış mesafe var.</t>
        </is>
      </c>
      <c r="G91" s="5" t="inlineStr">
        <is>
          <t>park</t>
        </is>
      </c>
      <c r="H91" s="5" t="inlineStr">
        <is>
          <t>sosyal</t>
        </is>
      </c>
      <c r="I91" s="5" t="inlineStr">
        <is>
          <t>E</t>
        </is>
      </c>
      <c r="J91" s="5" t="inlineStr"/>
      <c r="K91" s="5" t="inlineStr"/>
      <c r="L91" s="5" t="inlineStr"/>
      <c r="M91" s="5" t="inlineStr"/>
      <c r="N91" s="5" t="inlineStr"/>
      <c r="O91" s="5" t="inlineStr"/>
      <c r="P91" s="5" t="inlineStr"/>
      <c r="Q91" s="5" t="n">
        <v>2</v>
      </c>
      <c r="R91" s="6" t="inlineStr">
        <is>
          <t>Üç haftalık mesajlaşma bir bankta sınava dönüşüyor. Buradan ya bir sevgiliyle ya da yıllarca anlatılacak bir hikâyeyle çıkacaksın.</t>
        </is>
      </c>
      <c r="S91" s="5" t="inlineStr">
        <is>
          <t>İlk sevgili</t>
        </is>
      </c>
      <c r="T91" s="5" t="inlineStr">
        <is>
          <t>Anlatmalık bir hikâye</t>
        </is>
      </c>
    </row>
    <row r="92">
      <c r="A92" s="5" t="inlineStr">
        <is>
          <t>b5-veli-bilgilendirme</t>
        </is>
      </c>
      <c r="B92" s="5" t="n">
        <v>5</v>
      </c>
      <c r="C92" s="5" t="inlineStr">
        <is>
          <t>16 yaş 1 ay</t>
        </is>
      </c>
      <c r="D92" s="5" t="inlineStr">
        <is>
          <t>📲</t>
        </is>
      </c>
      <c r="E92" s="6" t="inlineStr">
        <is>
          <t>Canlı Yayın</t>
        </is>
      </c>
      <c r="F92" s="6" t="inlineStr">
        <is>
          <t>Okulun yeni sistemi devrede: her not, girildiği saniye ailenin telefonuna bildirim olarak düşüyor. Ev artık canlı yayında.</t>
        </is>
      </c>
      <c r="G92" s="5" t="inlineStr">
        <is>
          <t>ev</t>
        </is>
      </c>
      <c r="H92" s="5" t="inlineStr">
        <is>
          <t>okul-iş</t>
        </is>
      </c>
      <c r="I92" s="5" t="inlineStr"/>
      <c r="J92" s="5" t="inlineStr"/>
      <c r="K92" s="5" t="inlineStr"/>
      <c r="L92" s="5" t="inlineStr"/>
      <c r="M92" s="5" t="inlineStr"/>
      <c r="N92" s="5" t="inlineStr"/>
      <c r="O92" s="5" t="inlineStr"/>
      <c r="P92" s="5" t="inlineStr"/>
      <c r="Q92" s="5" t="inlineStr"/>
      <c r="R92" s="6" t="inlineStr"/>
      <c r="S92" s="5" t="inlineStr"/>
      <c r="T92" s="5" t="inlineStr"/>
    </row>
    <row r="93">
      <c r="A93" s="5" t="inlineStr">
        <is>
          <t>b5-okul-temsilcisi</t>
        </is>
      </c>
      <c r="B93" s="5" t="n">
        <v>5</v>
      </c>
      <c r="C93" s="5" t="inlineStr">
        <is>
          <t>16 yaş 2 ay</t>
        </is>
      </c>
      <c r="D93" s="5" t="inlineStr">
        <is>
          <t>🗳️</t>
        </is>
      </c>
      <c r="E93" s="6" t="inlineStr">
        <is>
          <t>Okul Temsilciliği</t>
        </is>
      </c>
      <c r="F93" s="6" t="inlineStr">
        <is>
          <t>Okul temsilcisi seçimi. Vaatler bu sefer daha büyük: kantine ikinci tost makinesi ve teneffüste telefon serbestisi.</t>
        </is>
      </c>
      <c r="G93" s="5" t="inlineStr">
        <is>
          <t>okul</t>
        </is>
      </c>
      <c r="H93" s="5" t="inlineStr">
        <is>
          <t>sosyal</t>
        </is>
      </c>
      <c r="I93" s="5" t="inlineStr"/>
      <c r="J93" s="5" t="inlineStr"/>
      <c r="K93" s="5" t="inlineStr"/>
      <c r="L93" s="5" t="inlineStr"/>
      <c r="M93" s="5" t="inlineStr"/>
      <c r="N93" s="5" t="inlineStr"/>
      <c r="O93" s="5" t="inlineStr"/>
      <c r="P93" s="5" t="inlineStr"/>
      <c r="Q93" s="5" t="inlineStr"/>
      <c r="R93" s="6" t="inlineStr"/>
      <c r="S93" s="5" t="inlineStr"/>
      <c r="T93" s="5" t="inlineStr"/>
    </row>
    <row r="94">
      <c r="A94" s="5" t="inlineStr">
        <is>
          <t>b5-yapay-zeka-odev</t>
        </is>
      </c>
      <c r="B94" s="5" t="n">
        <v>5</v>
      </c>
      <c r="C94" s="5" t="inlineStr">
        <is>
          <t>16 yaş 3 ay</t>
        </is>
      </c>
      <c r="D94" s="5" t="inlineStr">
        <is>
          <t>🤖</t>
        </is>
      </c>
      <c r="E94" s="6" t="inlineStr">
        <is>
          <t>Ödev Asistanı</t>
        </is>
      </c>
      <c r="F94" s="6" t="inlineStr">
        <is>
          <t>Tarih ödevi yarın teslim. Yapay zekâ asistanı açık. İmleç yanıp sönüyor; vicdanın da.</t>
        </is>
      </c>
      <c r="G94" s="5" t="inlineStr">
        <is>
          <t>cocuk-odasi</t>
        </is>
      </c>
      <c r="H94" s="5" t="inlineStr">
        <is>
          <t>okul-iş</t>
        </is>
      </c>
      <c r="I94" s="5" t="inlineStr"/>
      <c r="J94" s="5" t="inlineStr"/>
      <c r="K94" s="5" t="inlineStr"/>
      <c r="L94" s="5" t="inlineStr"/>
      <c r="M94" s="5" t="inlineStr"/>
      <c r="N94" s="5" t="inlineStr"/>
      <c r="O94" s="5" t="inlineStr"/>
      <c r="P94" s="5" t="inlineStr"/>
      <c r="Q94" s="5" t="inlineStr"/>
      <c r="R94" s="6" t="inlineStr"/>
      <c r="S94" s="5" t="inlineStr"/>
      <c r="T94" s="5" t="inlineStr"/>
    </row>
    <row r="95">
      <c r="A95" s="5" t="inlineStr">
        <is>
          <t>b5-akraba-sorgusu</t>
        </is>
      </c>
      <c r="B95" s="5" t="n">
        <v>5</v>
      </c>
      <c r="C95" s="5" t="inlineStr">
        <is>
          <t>16 yaş 4 ay</t>
        </is>
      </c>
      <c r="D95" s="5" t="inlineStr">
        <is>
          <t>🍽️</t>
        </is>
      </c>
      <c r="E95" s="6" t="inlineStr">
        <is>
          <t>Ne Olacaksın?</t>
        </is>
      </c>
      <c r="F95" s="6" t="inlineStr">
        <is>
          <t>Bayram ziyareti. Salonda on bir akraba, bir tabak kuruyemiş ve tek bir soru: 'Ne olacaksın bakalım?'</t>
        </is>
      </c>
      <c r="G95" s="5" t="inlineStr">
        <is>
          <t>ev</t>
        </is>
      </c>
      <c r="H95" s="5" t="inlineStr">
        <is>
          <t>ev</t>
        </is>
      </c>
      <c r="I95" s="5" t="inlineStr"/>
      <c r="J95" s="5" t="inlineStr"/>
      <c r="K95" s="5" t="inlineStr"/>
      <c r="L95" s="5" t="inlineStr"/>
      <c r="M95" s="5" t="inlineStr"/>
      <c r="N95" s="5" t="inlineStr"/>
      <c r="O95" s="5" t="inlineStr"/>
      <c r="P95" s="5" t="inlineStr"/>
      <c r="Q95" s="5" t="inlineStr"/>
      <c r="R95" s="6" t="inlineStr"/>
      <c r="S95" s="5" t="inlineStr"/>
      <c r="T95" s="5" t="inlineStr"/>
    </row>
    <row r="96">
      <c r="A96" s="5" t="inlineStr">
        <is>
          <t>b5-okul-gezisi</t>
        </is>
      </c>
      <c r="B96" s="5" t="n">
        <v>5</v>
      </c>
      <c r="C96" s="5" t="inlineStr">
        <is>
          <t>16 yaş 5 ay</t>
        </is>
      </c>
      <c r="D96" s="5" t="inlineStr">
        <is>
          <t>🚌</t>
        </is>
      </c>
      <c r="E96" s="6" t="inlineStr">
        <is>
          <t>Okul Gezisi</t>
        </is>
      </c>
      <c r="F96" s="6" t="inlineStr">
        <is>
          <t>Sınıf gezisi. Otobüsteki oturma düzeni, sosyal hiyerarşinin fiziksel haritası. Arka koltuk boş değil; tapulu.</t>
        </is>
      </c>
      <c r="G96" s="5" t="inlineStr">
        <is>
          <t>toplu-tasima</t>
        </is>
      </c>
      <c r="H96" s="5" t="inlineStr">
        <is>
          <t>sosyal</t>
        </is>
      </c>
      <c r="I96" s="5" t="inlineStr"/>
      <c r="J96" s="5" t="inlineStr"/>
      <c r="K96" s="5" t="inlineStr"/>
      <c r="L96" s="5" t="inlineStr"/>
      <c r="M96" s="5" t="inlineStr"/>
      <c r="N96" s="5" t="inlineStr"/>
      <c r="O96" s="5" t="inlineStr"/>
      <c r="P96" s="5" t="inlineStr"/>
      <c r="Q96" s="5" t="inlineStr"/>
      <c r="R96" s="6" t="inlineStr"/>
      <c r="S96" s="5" t="inlineStr"/>
      <c r="T96" s="5" t="inlineStr"/>
    </row>
    <row r="97">
      <c r="A97" s="5" t="inlineStr">
        <is>
          <t>b5-fenomen-video</t>
        </is>
      </c>
      <c r="B97" s="5" t="n">
        <v>5</v>
      </c>
      <c r="C97" s="5" t="inlineStr">
        <is>
          <t>16 yaş 6 ay</t>
        </is>
      </c>
      <c r="D97" s="5" t="inlineStr">
        <is>
          <t>🎬</t>
        </is>
      </c>
      <c r="E97" s="6" t="inlineStr">
        <is>
          <t>Bir Gecede</t>
        </is>
      </c>
      <c r="F97" s="6" t="inlineStr">
        <is>
          <t>Kısa video uygulamasına yüklediğin on beş saniyelik video bir gecede izlenmeye başladı. Sayı her yenilemede artıyor.</t>
        </is>
      </c>
      <c r="G97" s="5" t="inlineStr">
        <is>
          <t>sokak</t>
        </is>
      </c>
      <c r="H97" s="5" t="inlineStr">
        <is>
          <t>sosyal</t>
        </is>
      </c>
      <c r="I97" s="5" t="inlineStr"/>
      <c r="J97" s="5" t="inlineStr"/>
      <c r="K97" s="5" t="inlineStr"/>
      <c r="L97" s="5" t="inlineStr"/>
      <c r="M97" s="5" t="inlineStr"/>
      <c r="N97" s="5" t="inlineStr"/>
      <c r="O97" s="5" t="inlineStr"/>
      <c r="P97" s="5" t="inlineStr"/>
      <c r="Q97" s="5" t="inlineStr"/>
      <c r="R97" s="6" t="inlineStr"/>
      <c r="S97" s="5" t="inlineStr"/>
      <c r="T97" s="5" t="inlineStr"/>
    </row>
    <row r="98">
      <c r="A98" s="5" t="inlineStr">
        <is>
          <t>b5-yaz-isi-garson</t>
        </is>
      </c>
      <c r="B98" s="5" t="n">
        <v>5</v>
      </c>
      <c r="C98" s="5" t="inlineStr">
        <is>
          <t>16 yaş 7 ay</t>
        </is>
      </c>
      <c r="D98" s="5" t="inlineStr">
        <is>
          <t>🫖</t>
        </is>
      </c>
      <c r="E98" s="6" t="inlineStr">
        <is>
          <t>Yaz İşi: Çay Bahçesi</t>
        </is>
      </c>
      <c r="F98" s="6" t="inlineStr">
        <is>
          <t>Sahil çay bahçesinde garsonluk. Patron ilk gün tepsiyi eline verdi. On iki bardak, bir şekerlik, sıfır eğitim.</t>
        </is>
      </c>
      <c r="G98" s="5" t="inlineStr">
        <is>
          <t>sahil</t>
        </is>
      </c>
      <c r="H98" s="5" t="inlineStr">
        <is>
          <t>para</t>
        </is>
      </c>
      <c r="I98" s="5" t="inlineStr"/>
      <c r="J98" s="5" t="inlineStr"/>
      <c r="K98" s="5" t="inlineStr"/>
      <c r="L98" s="5" t="inlineStr"/>
      <c r="M98" s="5" t="inlineStr"/>
      <c r="N98" s="5" t="inlineStr"/>
      <c r="O98" s="5" t="inlineStr"/>
      <c r="P98" s="5" t="inlineStr"/>
      <c r="Q98" s="5" t="inlineStr"/>
      <c r="R98" s="6" t="inlineStr"/>
      <c r="S98" s="5" t="inlineStr"/>
      <c r="T98" s="5" t="inlineStr"/>
    </row>
    <row r="99">
      <c r="A99" s="5" t="inlineStr">
        <is>
          <t>b5-ilk-maas</t>
        </is>
      </c>
      <c r="B99" s="5" t="n">
        <v>5</v>
      </c>
      <c r="C99" s="5" t="inlineStr">
        <is>
          <t>16 yaş 9 ay</t>
        </is>
      </c>
      <c r="D99" s="5" t="inlineStr">
        <is>
          <t>💵</t>
        </is>
      </c>
      <c r="E99" s="6" t="inlineStr">
        <is>
          <t>İlk Maaş</t>
        </is>
      </c>
      <c r="F99" s="6" t="inlineStr">
        <is>
          <t>Yaz boyunca çalıştın ve eline ilk maaş zarfı geçti. Zarf ince, ama senin.</t>
        </is>
      </c>
      <c r="G99" s="5" t="inlineStr">
        <is>
          <t>ev</t>
        </is>
      </c>
      <c r="H99" s="5" t="inlineStr">
        <is>
          <t>para</t>
        </is>
      </c>
      <c r="I99" s="5" t="inlineStr"/>
      <c r="J99" s="5" t="inlineStr"/>
      <c r="K99" s="5" t="inlineStr"/>
      <c r="L99" s="5" t="inlineStr"/>
      <c r="M99" s="5" t="inlineStr"/>
      <c r="N99" s="5" t="inlineStr"/>
      <c r="O99" s="5" t="inlineStr"/>
      <c r="P99" s="5" t="inlineStr"/>
      <c r="Q99" s="5" t="inlineStr"/>
      <c r="R99" s="6" t="inlineStr"/>
      <c r="S99" s="5" t="inlineStr"/>
      <c r="T99" s="5" t="inlineStr"/>
    </row>
    <row r="100">
      <c r="A100" s="5" t="inlineStr">
        <is>
          <t>b5-ayrilik</t>
        </is>
      </c>
      <c r="B100" s="5" t="n">
        <v>5</v>
      </c>
      <c r="C100" s="5" t="inlineStr">
        <is>
          <t>16 yaş 10 ay</t>
        </is>
      </c>
      <c r="D100" s="5" t="inlineStr">
        <is>
          <t>💔</t>
        </is>
      </c>
      <c r="E100" s="6" t="inlineStr">
        <is>
          <t>Biraz Konuşabilir miyiz?</t>
        </is>
      </c>
      <c r="F100" s="6" t="inlineStr">
        <is>
          <t>Mesaj geldi: 'Biraz konuşabilir miyiz?' Üç nokta göründü, kayboldu, yeniden göründü. Sonuç belli; sadece teslim tarihi bekleniyor.</t>
        </is>
      </c>
      <c r="G100" s="5" t="inlineStr">
        <is>
          <t>kafe</t>
        </is>
      </c>
      <c r="H100" s="5" t="inlineStr">
        <is>
          <t>sosyal</t>
        </is>
      </c>
      <c r="I100" s="5" t="inlineStr"/>
      <c r="J100" s="5" t="inlineStr"/>
      <c r="K100" s="5" t="inlineStr">
        <is>
          <t>ilk-sevgili</t>
        </is>
      </c>
      <c r="L100" s="5" t="inlineStr"/>
      <c r="M100" s="5" t="inlineStr"/>
      <c r="N100" s="5" t="inlineStr"/>
      <c r="O100" s="5" t="inlineStr"/>
      <c r="P100" s="5" t="inlineStr"/>
      <c r="Q100" s="5" t="inlineStr"/>
      <c r="R100" s="6" t="inlineStr"/>
      <c r="S100" s="5" t="inlineStr"/>
      <c r="T100" s="5" t="inlineStr"/>
    </row>
    <row r="101">
      <c r="A101" s="5" t="inlineStr">
        <is>
          <t>b5-beden-dersi</t>
        </is>
      </c>
      <c r="B101" s="5" t="n">
        <v>5</v>
      </c>
      <c r="C101" s="5" t="inlineStr">
        <is>
          <t>16 yaş 11 ay</t>
        </is>
      </c>
      <c r="D101" s="5" t="inlineStr">
        <is>
          <t>🏐</t>
        </is>
      </c>
      <c r="E101" s="6" t="inlineStr">
        <is>
          <t>Voleybol Turnuvası</t>
        </is>
      </c>
      <c r="F101" s="6" t="inlineStr">
        <is>
          <t>Beden eğitiminde voleybol turnuvası. Takımlar seçiliyor. Seçilme sırası, lisedeki bütün hiyerarşinin özeti.</t>
        </is>
      </c>
      <c r="G101" s="5" t="inlineStr">
        <is>
          <t>okul-bahcesi</t>
        </is>
      </c>
      <c r="H101" s="5" t="inlineStr">
        <is>
          <t>okul-iş</t>
        </is>
      </c>
      <c r="I101" s="5" t="inlineStr"/>
      <c r="J101" s="5" t="inlineStr"/>
      <c r="K101" s="5" t="inlineStr"/>
      <c r="L101" s="5" t="inlineStr"/>
      <c r="M101" s="5" t="inlineStr"/>
      <c r="N101" s="5" t="inlineStr"/>
      <c r="O101" s="5" t="inlineStr"/>
      <c r="P101" s="5" t="inlineStr"/>
      <c r="Q101" s="5" t="inlineStr"/>
      <c r="R101" s="6" t="inlineStr"/>
      <c r="S101" s="5" t="inlineStr"/>
      <c r="T101" s="5" t="inlineStr"/>
    </row>
    <row r="102">
      <c r="A102" s="5" t="inlineStr">
        <is>
          <t>b5-kafede-ders</t>
        </is>
      </c>
      <c r="B102" s="5" t="n">
        <v>5</v>
      </c>
      <c r="C102" s="5" t="inlineStr">
        <is>
          <t>17 yaş</t>
        </is>
      </c>
      <c r="D102" s="5" t="inlineStr">
        <is>
          <t>☕</t>
        </is>
      </c>
      <c r="E102" s="6" t="inlineStr">
        <is>
          <t>Kafede Ders Çalışma</t>
        </is>
      </c>
      <c r="F102" s="6" t="inlineStr">
        <is>
          <t>Arkadaşlarla 'kafede ders çalışma' planı yapıldı. Masada dört kitap, dört telefon ve beş saat önce söylenmiş tek bir çay.</t>
        </is>
      </c>
      <c r="G102" s="5" t="inlineStr">
        <is>
          <t>kafe</t>
        </is>
      </c>
      <c r="H102" s="5" t="inlineStr">
        <is>
          <t>okul-iş</t>
        </is>
      </c>
      <c r="I102" s="5" t="inlineStr"/>
      <c r="J102" s="5" t="inlineStr"/>
      <c r="K102" s="5" t="inlineStr"/>
      <c r="L102" s="5" t="inlineStr"/>
      <c r="M102" s="5" t="inlineStr"/>
      <c r="N102" s="5" t="inlineStr"/>
      <c r="O102" s="5" t="inlineStr"/>
      <c r="P102" s="5" t="inlineStr"/>
      <c r="Q102" s="5" t="inlineStr"/>
      <c r="R102" s="6" t="inlineStr"/>
      <c r="S102" s="5" t="inlineStr"/>
      <c r="T102" s="5" t="inlineStr"/>
    </row>
    <row r="103">
      <c r="A103" s="5" t="inlineStr">
        <is>
          <t>b5-deneme-sinavi</t>
        </is>
      </c>
      <c r="B103" s="5" t="n">
        <v>5</v>
      </c>
      <c r="C103" s="5" t="inlineStr">
        <is>
          <t>17 yaş 1 ay</t>
        </is>
      </c>
      <c r="D103" s="5" t="inlineStr">
        <is>
          <t>📝</t>
        </is>
      </c>
      <c r="E103" s="6" t="inlineStr">
        <is>
          <t>Deneme Sınavı</t>
        </is>
      </c>
      <c r="F103" s="6" t="inlineStr">
        <is>
          <t>Dershanenin deneme sınavı. Kitapçık önünde, optik form yanında. Biri silgi düşürdü; salondaki herkes irkildi.</t>
        </is>
      </c>
      <c r="G103" s="5" t="inlineStr">
        <is>
          <t>sinif</t>
        </is>
      </c>
      <c r="H103" s="5" t="inlineStr">
        <is>
          <t>okul-iş</t>
        </is>
      </c>
      <c r="I103" s="5" t="inlineStr"/>
      <c r="J103" s="5" t="n">
        <v>1.5</v>
      </c>
      <c r="K103" s="5" t="inlineStr"/>
      <c r="L103" s="5" t="inlineStr"/>
      <c r="M103" s="5" t="inlineStr"/>
      <c r="N103" s="5" t="inlineStr"/>
      <c r="O103" s="5" t="inlineStr"/>
      <c r="P103" s="5" t="inlineStr"/>
      <c r="Q103" s="5" t="inlineStr"/>
      <c r="R103" s="6" t="inlineStr"/>
      <c r="S103" s="5" t="inlineStr"/>
      <c r="T103" s="5" t="inlineStr"/>
    </row>
    <row r="104">
      <c r="A104" s="5" t="inlineStr">
        <is>
          <t>b5-doktor-ol</t>
        </is>
      </c>
      <c r="B104" s="5" t="n">
        <v>5</v>
      </c>
      <c r="C104" s="5" t="inlineStr">
        <is>
          <t>17 yaş 2 ay</t>
        </is>
      </c>
      <c r="D104" s="5" t="inlineStr">
        <is>
          <t>🩺</t>
        </is>
      </c>
      <c r="E104" s="6" t="inlineStr">
        <is>
          <t>Doktor Ol</t>
        </is>
      </c>
      <c r="F104" s="6" t="inlineStr">
        <is>
          <t>Akşam yemeği. Babanın cümlesi tartışmaya kapalı başladı: 'Doktor olursan hayatın kurtulur.' Kimin hayatı olduğu belirtilmedi.</t>
        </is>
      </c>
      <c r="G104" s="5" t="inlineStr">
        <is>
          <t>mutfak</t>
        </is>
      </c>
      <c r="H104" s="5" t="inlineStr">
        <is>
          <t>ev</t>
        </is>
      </c>
      <c r="I104" s="5" t="inlineStr"/>
      <c r="J104" s="5" t="inlineStr"/>
      <c r="K104" s="5" t="inlineStr"/>
      <c r="L104" s="5" t="inlineStr"/>
      <c r="M104" s="5" t="inlineStr"/>
      <c r="N104" s="5" t="inlineStr"/>
      <c r="O104" s="5" t="inlineStr"/>
      <c r="P104" s="5" t="inlineStr"/>
      <c r="Q104" s="5" t="inlineStr"/>
      <c r="R104" s="6" t="inlineStr"/>
      <c r="S104" s="5" t="inlineStr"/>
      <c r="T104" s="5" t="inlineStr"/>
    </row>
    <row r="105">
      <c r="A105" s="5" t="inlineStr">
        <is>
          <t>b5-yurt-disi</t>
        </is>
      </c>
      <c r="B105" s="5" t="n">
        <v>5</v>
      </c>
      <c r="C105" s="5" t="inlineStr">
        <is>
          <t>17 yaş 3 ay</t>
        </is>
      </c>
      <c r="D105" s="5" t="inlineStr">
        <is>
          <t>✈️</t>
        </is>
      </c>
      <c r="E105" s="6" t="inlineStr">
        <is>
          <t>Yurt Dışı Hayali</t>
        </is>
      </c>
      <c r="F105" s="6" t="inlineStr">
        <is>
          <t>Gece üç. Yurt dışındaki bir üniversitenin tanıtım videosu açık. Kampüste kimse sınava çalışmıyor; herkes çimlerde gülüyor.</t>
        </is>
      </c>
      <c r="G105" s="5" t="inlineStr">
        <is>
          <t>cocuk-odasi</t>
        </is>
      </c>
      <c r="H105" s="5" t="inlineStr">
        <is>
          <t>para</t>
        </is>
      </c>
      <c r="I105" s="5" t="inlineStr"/>
      <c r="J105" s="5" t="n">
        <v>0.7</v>
      </c>
      <c r="K105" s="5" t="inlineStr"/>
      <c r="L105" s="5" t="inlineStr"/>
      <c r="M105" s="5" t="inlineStr"/>
      <c r="N105" s="5" t="inlineStr"/>
      <c r="O105" s="5" t="inlineStr"/>
      <c r="P105" s="5" t="inlineStr"/>
      <c r="Q105" s="5" t="inlineStr"/>
      <c r="R105" s="6" t="inlineStr"/>
      <c r="S105" s="5" t="inlineStr"/>
      <c r="T105" s="5" t="inlineStr"/>
    </row>
    <row r="106">
      <c r="A106" s="5" t="inlineStr">
        <is>
          <t>b5-ilk-konser</t>
        </is>
      </c>
      <c r="B106" s="5" t="n">
        <v>5</v>
      </c>
      <c r="C106" s="5" t="inlineStr">
        <is>
          <t>17 yaş 4 ay</t>
        </is>
      </c>
      <c r="D106" s="5" t="inlineStr">
        <is>
          <t>🎤</t>
        </is>
      </c>
      <c r="E106" s="6" t="inlineStr">
        <is>
          <t>İlk Konser</t>
        </is>
      </c>
      <c r="F106" s="6" t="inlineStr">
        <is>
          <t>Hayatının ilk konseri. Kapılar açılalı iki saat oldu, sahneye çıkılmasına iki saat var. Sen dört saattir aynı yerdesin.</t>
        </is>
      </c>
      <c r="G106" s="5" t="inlineStr">
        <is>
          <t>stadyum</t>
        </is>
      </c>
      <c r="H106" s="5" t="inlineStr">
        <is>
          <t>sosyal</t>
        </is>
      </c>
      <c r="I106" s="5" t="inlineStr"/>
      <c r="J106" s="5" t="inlineStr"/>
      <c r="K106" s="5" t="inlineStr"/>
      <c r="L106" s="5" t="inlineStr"/>
      <c r="M106" s="5" t="inlineStr"/>
      <c r="N106" s="5" t="inlineStr"/>
      <c r="O106" s="5" t="inlineStr"/>
      <c r="P106" s="5" t="inlineStr"/>
      <c r="Q106" s="5" t="inlineStr"/>
      <c r="R106" s="6" t="inlineStr"/>
      <c r="S106" s="5" t="inlineStr"/>
      <c r="T106" s="5" t="inlineStr"/>
    </row>
    <row r="107">
      <c r="A107" s="5" t="inlineStr">
        <is>
          <t>b5-ev-partisi</t>
        </is>
      </c>
      <c r="B107" s="5" t="n">
        <v>5</v>
      </c>
      <c r="C107" s="5" t="inlineStr">
        <is>
          <t>17 yaş 5 ay</t>
        </is>
      </c>
      <c r="D107" s="5" t="inlineStr">
        <is>
          <t>🎉</t>
        </is>
      </c>
      <c r="E107" s="6" t="inlineStr">
        <is>
          <t>Küçük Bir Toplantı</t>
        </is>
      </c>
      <c r="F107" s="6" t="inlineStr">
        <is>
          <t>Bir arkadaşın ailesi hafta sonu şehir dışında. 'Küçük bir toplantı' planlandı. Davetli sayısı mesaj grubunda saatte ikiye katlanıyor.</t>
        </is>
      </c>
      <c r="G107" s="5" t="inlineStr">
        <is>
          <t>apartman</t>
        </is>
      </c>
      <c r="H107" s="5" t="inlineStr">
        <is>
          <t>sosyal</t>
        </is>
      </c>
      <c r="I107" s="5" t="inlineStr"/>
      <c r="J107" s="5" t="inlineStr"/>
      <c r="K107" s="5" t="inlineStr"/>
      <c r="L107" s="5" t="inlineStr"/>
      <c r="M107" s="5" t="inlineStr"/>
      <c r="N107" s="5" t="inlineStr"/>
      <c r="O107" s="5" t="inlineStr"/>
      <c r="P107" s="5" t="inlineStr"/>
      <c r="Q107" s="5" t="inlineStr"/>
      <c r="R107" s="6" t="inlineStr"/>
      <c r="S107" s="5" t="inlineStr"/>
      <c r="T107" s="5" t="inlineStr"/>
    </row>
    <row r="108">
      <c r="A108" s="5" t="inlineStr">
        <is>
          <t>b5-kurye-isi</t>
        </is>
      </c>
      <c r="B108" s="5" t="n">
        <v>5</v>
      </c>
      <c r="C108" s="5" t="inlineStr">
        <is>
          <t>17 yaş 6 ay</t>
        </is>
      </c>
      <c r="D108" s="5" t="inlineStr">
        <is>
          <t>🚲</t>
        </is>
      </c>
      <c r="E108" s="6" t="inlineStr">
        <is>
          <t>Bisikletli Kurye</t>
        </is>
      </c>
      <c r="F108" s="6" t="inlineStr">
        <is>
          <t>Yemek siparişi uygulamasında bisikletli kurye oldun. Uygulama teslimatın on dört dakika süreceğini söylüyor. Yokuştan hiç bahsetmiyor.</t>
        </is>
      </c>
      <c r="G108" s="5" t="inlineStr">
        <is>
          <t>trafik</t>
        </is>
      </c>
      <c r="H108" s="5" t="inlineStr">
        <is>
          <t>para</t>
        </is>
      </c>
      <c r="I108" s="5" t="inlineStr"/>
      <c r="J108" s="5" t="inlineStr"/>
      <c r="K108" s="5" t="inlineStr"/>
      <c r="L108" s="5" t="inlineStr"/>
      <c r="M108" s="5" t="inlineStr"/>
      <c r="N108" s="5" t="inlineStr"/>
      <c r="O108" s="5" t="inlineStr"/>
      <c r="P108" s="5" t="inlineStr"/>
      <c r="Q108" s="5" t="inlineStr"/>
      <c r="R108" s="6" t="inlineStr"/>
      <c r="S108" s="5" t="inlineStr"/>
      <c r="T108" s="5" t="inlineStr"/>
    </row>
    <row r="109">
      <c r="A109" s="5" t="inlineStr">
        <is>
          <t>b5-ozel-ders</t>
        </is>
      </c>
      <c r="B109" s="5" t="n">
        <v>5</v>
      </c>
      <c r="C109" s="5" t="inlineStr">
        <is>
          <t>17 yaş 7 ay</t>
        </is>
      </c>
      <c r="D109" s="5" t="inlineStr">
        <is>
          <t>📐</t>
        </is>
      </c>
      <c r="E109" s="6" t="inlineStr">
        <is>
          <t>Özel Ders</t>
        </is>
      </c>
      <c r="F109" s="6" t="inlineStr">
        <is>
          <t>Matematik için özel öğretmen tutuldu. Saat ücretini duyar duymaz dakika başına maliyeti hesapladın. Matematikte ilk ilerleme.</t>
        </is>
      </c>
      <c r="G109" s="5" t="inlineStr">
        <is>
          <t>ev</t>
        </is>
      </c>
      <c r="H109" s="5" t="inlineStr">
        <is>
          <t>para</t>
        </is>
      </c>
      <c r="I109" s="5" t="inlineStr"/>
      <c r="J109" s="5" t="inlineStr"/>
      <c r="K109" s="5" t="inlineStr"/>
      <c r="L109" s="5" t="inlineStr"/>
      <c r="M109" s="5" t="inlineStr"/>
      <c r="N109" s="5" t="inlineStr"/>
      <c r="O109" s="5" t="inlineStr"/>
      <c r="P109" s="5" t="inlineStr"/>
      <c r="Q109" s="5" t="inlineStr"/>
      <c r="R109" s="6" t="inlineStr"/>
      <c r="S109" s="5" t="inlineStr"/>
      <c r="T109" s="5" t="inlineStr"/>
    </row>
    <row r="110">
      <c r="A110" s="5" t="inlineStr">
        <is>
          <t>b5-rehberlik</t>
        </is>
      </c>
      <c r="B110" s="5" t="n">
        <v>5</v>
      </c>
      <c r="C110" s="5" t="inlineStr">
        <is>
          <t>17 yaş 8 ay</t>
        </is>
      </c>
      <c r="D110" s="5" t="inlineStr">
        <is>
          <t>🧭</t>
        </is>
      </c>
      <c r="E110" s="6" t="inlineStr">
        <is>
          <t>Meslek Testi</t>
        </is>
      </c>
      <c r="F110" s="6" t="inlineStr">
        <is>
          <t>Rehberlik servisi meslek eğilim testi uyguladı. Sonuca göre sana en uygun meslek: deniz feneri bekçisi. Fenerler otomatik çalışıyor artık.</t>
        </is>
      </c>
      <c r="G110" s="5" t="inlineStr">
        <is>
          <t>sinif</t>
        </is>
      </c>
      <c r="H110" s="5" t="inlineStr">
        <is>
          <t>okul-iş</t>
        </is>
      </c>
      <c r="I110" s="5" t="inlineStr"/>
      <c r="J110" s="5" t="inlineStr"/>
      <c r="K110" s="5" t="inlineStr"/>
      <c r="L110" s="5" t="inlineStr"/>
      <c r="M110" s="5" t="inlineStr"/>
      <c r="N110" s="5" t="inlineStr"/>
      <c r="O110" s="5" t="inlineStr"/>
      <c r="P110" s="5" t="inlineStr"/>
      <c r="Q110" s="5" t="inlineStr"/>
      <c r="R110" s="6" t="inlineStr"/>
      <c r="S110" s="5" t="inlineStr"/>
      <c r="T110" s="5" t="inlineStr"/>
    </row>
    <row r="111">
      <c r="A111" s="5" t="inlineStr">
        <is>
          <t>b5-telefon-detoksu</t>
        </is>
      </c>
      <c r="B111" s="5" t="n">
        <v>5</v>
      </c>
      <c r="C111" s="5" t="inlineStr">
        <is>
          <t>17 yaş 9 ay</t>
        </is>
      </c>
      <c r="D111" s="5" t="inlineStr">
        <is>
          <t>📵</t>
        </is>
      </c>
      <c r="E111" s="6" t="inlineStr">
        <is>
          <t>Telefon Emanette</t>
        </is>
      </c>
      <c r="F111" s="6" t="inlineStr">
        <is>
          <t>Sınava iki ay kala aile kararı: telefonun emanete alındı. Gerekçe: odak. Teslim tutanağı: yok.</t>
        </is>
      </c>
      <c r="G111" s="5" t="inlineStr">
        <is>
          <t>ev</t>
        </is>
      </c>
      <c r="H111" s="5" t="inlineStr">
        <is>
          <t>ev</t>
        </is>
      </c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6" t="inlineStr"/>
      <c r="S111" s="5" t="inlineStr"/>
      <c r="T111" s="5" t="inlineStr"/>
    </row>
    <row r="112">
      <c r="A112" s="5" t="inlineStr">
        <is>
          <t>b5-universite-sinavi</t>
        </is>
      </c>
      <c r="B112" s="5" t="n">
        <v>5</v>
      </c>
      <c r="C112" s="5" t="inlineStr">
        <is>
          <t>17 yaş 10 ay</t>
        </is>
      </c>
      <c r="D112" s="5" t="inlineStr">
        <is>
          <t>✏️</t>
        </is>
      </c>
      <c r="E112" s="6" t="inlineStr">
        <is>
          <t>Büyük Makarya Sınavı</t>
        </is>
      </c>
      <c r="F112" s="6" t="inlineStr">
        <is>
          <t>Üniversite sınavı sabahı. Kalem, silgi, kimlik ve on yedi yıllık aile beklentisi. Son ikisi sıraya sığmıyor.</t>
        </is>
      </c>
      <c r="G112" s="5" t="inlineStr">
        <is>
          <t>sinif</t>
        </is>
      </c>
      <c r="H112" s="5" t="inlineStr">
        <is>
          <t>okul-iş</t>
        </is>
      </c>
      <c r="I112" s="5" t="inlineStr">
        <is>
          <t>E</t>
        </is>
      </c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n">
        <v>3</v>
      </c>
      <c r="R112" s="6" t="inlineStr">
        <is>
          <t>On yedi yıl bu sabaha çıkıyordu. Bu salondan iki ayrı hayat çıkar ve geri dönüş yok.</t>
        </is>
      </c>
      <c r="S112" s="5" t="inlineStr">
        <is>
          <t>Üniversiteli hayat</t>
        </is>
      </c>
      <c r="T112" s="5" t="inlineStr">
        <is>
          <t>Başka bir gençlik</t>
        </is>
      </c>
    </row>
    <row r="113">
      <c r="A113" s="5" t="inlineStr">
        <is>
          <t>b5-mezuniyet-balosu</t>
        </is>
      </c>
      <c r="B113" s="5" t="n">
        <v>5</v>
      </c>
      <c r="C113" s="5" t="inlineStr">
        <is>
          <t>17 yaş 11 ay</t>
        </is>
      </c>
      <c r="D113" s="5" t="inlineStr">
        <is>
          <t>🕺</t>
        </is>
      </c>
      <c r="E113" s="6" t="inlineStr">
        <is>
          <t>Mezuniyet Balosu</t>
        </is>
      </c>
      <c r="F113" s="6" t="inlineStr">
        <is>
          <t>Mezuniyet balosu. Salon kiralandı, kıyafetler alındı, fotoğrafçı hazır. Dans pistine ilk adımı atacak kişi henüz belli değil.</t>
        </is>
      </c>
      <c r="G113" s="5" t="inlineStr">
        <is>
          <t>dugun-salonu</t>
        </is>
      </c>
      <c r="H113" s="5" t="inlineStr">
        <is>
          <t>sosyal</t>
        </is>
      </c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6" t="inlineStr"/>
      <c r="S113" s="5" t="inlineStr"/>
      <c r="T113" s="5" t="inlineStr"/>
    </row>
    <row r="114">
      <c r="A114" s="5" t="inlineStr">
        <is>
          <t>b5-tercih-listesi</t>
        </is>
      </c>
      <c r="B114" s="5" t="n">
        <v>5</v>
      </c>
      <c r="C114" s="5" t="inlineStr">
        <is>
          <t>17 yaş 11 ay</t>
        </is>
      </c>
      <c r="D114" s="5" t="inlineStr">
        <is>
          <t>📋</t>
        </is>
      </c>
      <c r="E114" s="6" t="inlineStr">
        <is>
          <t>Tercih Listesi</t>
        </is>
      </c>
      <c r="F114" s="6" t="inlineStr">
        <is>
          <t>Tercih dönemi. Yirmi dört satırlık bir liste, bir aile meclisi ve bir kuzen: 'Ben olsam şöyle yapardım.' Kuzen hiç tercih yapmamış.</t>
        </is>
      </c>
      <c r="G114" s="5" t="inlineStr">
        <is>
          <t>ev</t>
        </is>
      </c>
      <c r="H114" s="5" t="inlineStr">
        <is>
          <t>ev</t>
        </is>
      </c>
      <c r="I114" s="5" t="inlineStr"/>
      <c r="J114" s="5" t="inlineStr"/>
      <c r="K114" s="5" t="inlineStr">
        <is>
          <t>universiteli</t>
        </is>
      </c>
      <c r="L114" s="5" t="inlineStr"/>
      <c r="M114" s="5" t="inlineStr"/>
      <c r="N114" s="5" t="inlineStr"/>
      <c r="O114" s="5" t="inlineStr"/>
      <c r="P114" s="5" t="inlineStr"/>
      <c r="Q114" s="5" t="inlineStr"/>
      <c r="R114" s="6" t="inlineStr"/>
      <c r="S114" s="5" t="inlineStr"/>
      <c r="T114" s="5" t="inlineStr"/>
    </row>
    <row r="115">
      <c r="A115" s="5" t="inlineStr">
        <is>
          <t>b5-mezuniyet</t>
        </is>
      </c>
      <c r="B115" s="5" t="n">
        <v>5</v>
      </c>
      <c r="C115" s="5" t="inlineStr">
        <is>
          <t>18 yaş</t>
        </is>
      </c>
      <c r="D115" s="5" t="inlineStr">
        <is>
          <t>🎓</t>
        </is>
      </c>
      <c r="E115" s="6" t="inlineStr">
        <is>
          <t>Lise Mezuniyeti</t>
        </is>
      </c>
      <c r="F115" s="6" t="inlineStr">
        <is>
          <t>Lise mezuniyet töreni. Kepler havaya atılacak. Kimsenin kendi kepini geri bulamayacağı resmî olarak bilinen bir gerçek.</t>
        </is>
      </c>
      <c r="G115" s="5" t="inlineStr">
        <is>
          <t>okul-bahcesi</t>
        </is>
      </c>
      <c r="H115" s="5" t="inlineStr">
        <is>
          <t>okul-iş</t>
        </is>
      </c>
      <c r="I115" s="5" t="inlineStr">
        <is>
          <t>E</t>
        </is>
      </c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6" t="inlineStr"/>
      <c r="S115" s="5" t="inlineStr"/>
      <c r="T115" s="5" t="inlineStr"/>
    </row>
    <row r="116">
      <c r="A116" s="5" t="inlineStr">
        <is>
          <t>b5-ehliyet-kursu</t>
        </is>
      </c>
      <c r="B116" s="5" t="n">
        <v>5</v>
      </c>
      <c r="C116" s="5" t="inlineStr">
        <is>
          <t>18 yaş</t>
        </is>
      </c>
      <c r="D116" s="5" t="inlineStr">
        <is>
          <t>🚗</t>
        </is>
      </c>
      <c r="E116" s="6" t="inlineStr">
        <is>
          <t>Ehliyet Kursu</t>
        </is>
      </c>
      <c r="F116" s="6" t="inlineStr">
        <is>
          <t>Ehliyet kursuna yazıldın. Direksiyon hocası ilk derste frene kendi ayağını bastı. İkinci derste de. Bu bir alışkanlık.</t>
        </is>
      </c>
      <c r="G116" s="5" t="inlineStr">
        <is>
          <t>trafik</t>
        </is>
      </c>
      <c r="H116" s="5" t="inlineStr">
        <is>
          <t>para</t>
        </is>
      </c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6" t="inlineStr"/>
      <c r="S116" s="5" t="inlineStr"/>
      <c r="T116" s="5" t="inlineStr"/>
    </row>
    <row r="117">
      <c r="A117" s="5" t="inlineStr">
        <is>
          <t>b5-tek-basina-tatil</t>
        </is>
      </c>
      <c r="B117" s="5" t="n">
        <v>5</v>
      </c>
      <c r="C117" s="5" t="inlineStr">
        <is>
          <t>18 yaş</t>
        </is>
      </c>
      <c r="D117" s="5" t="inlineStr">
        <is>
          <t>🧳</t>
        </is>
      </c>
      <c r="E117" s="6" t="inlineStr">
        <is>
          <t>Ailesiz İlk Tatil</t>
        </is>
      </c>
      <c r="F117" s="6" t="inlineStr">
        <is>
          <t>İlk kez ailesiz tatil. Arkadaşlarla sahil kasabasında bir pansiyon. Aile grubu saat başı 'Vardınız mı?' yazıyor. Varalı iki gün oldu.</t>
        </is>
      </c>
      <c r="G117" s="5" t="inlineStr">
        <is>
          <t>yazlik</t>
        </is>
      </c>
      <c r="H117" s="5" t="inlineStr">
        <is>
          <t>para</t>
        </is>
      </c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6" t="inlineStr"/>
      <c r="S117" s="5" t="inlineStr"/>
      <c r="T117" s="5" t="inlineStr"/>
    </row>
    <row r="118">
      <c r="A118" s="5" t="inlineStr">
        <is>
          <t>b6-yurt-odasi</t>
        </is>
      </c>
      <c r="B118" s="5" t="n">
        <v>6</v>
      </c>
      <c r="C118" s="5" t="inlineStr">
        <is>
          <t>18 yaş 1 ay</t>
        </is>
      </c>
      <c r="D118" s="5" t="inlineStr">
        <is>
          <t>🛏️</t>
        </is>
      </c>
      <c r="E118" s="6" t="inlineStr">
        <is>
          <t>Yurt Odası</t>
        </is>
      </c>
      <c r="F118" s="6" t="inlineStr">
        <is>
          <t>Dört kişilik odaya yerleştirildin. Dolap iki kişilik, priz bir kişilik, uyku düzenleri dört ayrı saat diliminde.</t>
        </is>
      </c>
      <c r="G118" s="5" t="inlineStr">
        <is>
          <t>universite</t>
        </is>
      </c>
      <c r="H118" s="5" t="inlineStr"/>
      <c r="I118" s="5" t="inlineStr"/>
      <c r="J118" s="5" t="inlineStr"/>
      <c r="K118" s="5" t="inlineStr">
        <is>
          <t>universiteli</t>
        </is>
      </c>
      <c r="L118" s="5" t="inlineStr"/>
      <c r="M118" s="5" t="inlineStr"/>
      <c r="N118" s="5" t="inlineStr"/>
      <c r="O118" s="5" t="inlineStr"/>
      <c r="P118" s="5" t="inlineStr"/>
      <c r="Q118" s="5" t="inlineStr"/>
      <c r="R118" s="6" t="inlineStr"/>
      <c r="S118" s="5" t="inlineStr"/>
      <c r="T118" s="5" t="inlineStr"/>
    </row>
    <row r="119">
      <c r="A119" s="5" t="inlineStr">
        <is>
          <t>b6-ilk-tam-zamanli-is</t>
        </is>
      </c>
      <c r="B119" s="5" t="n">
        <v>6</v>
      </c>
      <c r="C119" s="5" t="inlineStr">
        <is>
          <t>18 yaş 3 ay</t>
        </is>
      </c>
      <c r="D119" s="5" t="inlineStr">
        <is>
          <t>🧾</t>
        </is>
      </c>
      <c r="E119" s="6" t="inlineStr">
        <is>
          <t>İlk Tam Zamanlı İş</t>
        </is>
      </c>
      <c r="F119" s="6" t="inlineStr">
        <is>
          <t>İlk tam zamanlı işin: mahallenin büyük hırdavatçısı. Sabah sekiz, akşam sekiz, arada bin kere 'Bir bakar mısın?'</t>
        </is>
      </c>
      <c r="G119" s="5" t="inlineStr">
        <is>
          <t>dukkan</t>
        </is>
      </c>
      <c r="H119" s="5" t="inlineStr"/>
      <c r="I119" s="5" t="inlineStr"/>
      <c r="J119" s="5" t="inlineStr"/>
      <c r="K119" s="5" t="inlineStr"/>
      <c r="L119" s="5" t="inlineStr">
        <is>
          <t>universiteli</t>
        </is>
      </c>
      <c r="M119" s="5" t="inlineStr"/>
      <c r="N119" s="5" t="inlineStr"/>
      <c r="O119" s="5" t="inlineStr"/>
      <c r="P119" s="5" t="inlineStr"/>
      <c r="Q119" s="5" t="inlineStr"/>
      <c r="R119" s="6" t="inlineStr"/>
      <c r="S119" s="5" t="inlineStr"/>
      <c r="T119" s="5" t="inlineStr"/>
    </row>
    <row r="120">
      <c r="A120" s="5" t="inlineStr">
        <is>
          <t>b6-ehliyet</t>
        </is>
      </c>
      <c r="B120" s="5" t="n">
        <v>6</v>
      </c>
      <c r="C120" s="5" t="inlineStr">
        <is>
          <t>18 yaş 7 ay</t>
        </is>
      </c>
      <c r="D120" s="5" t="inlineStr">
        <is>
          <t>🚗</t>
        </is>
      </c>
      <c r="E120" s="6" t="inlineStr">
        <is>
          <t>Direksiyon Sınavı</t>
        </is>
      </c>
      <c r="F120" s="6" t="inlineStr">
        <is>
          <t>Direksiyon sınavı. Görevlinin elinde bir kalem, yüzünde otuz yıllık yorgunluk. Yokuş kalkışı seni bekliyor.</t>
        </is>
      </c>
      <c r="G120" s="5" t="inlineStr">
        <is>
          <t>trafik</t>
        </is>
      </c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6" t="inlineStr"/>
      <c r="S120" s="5" t="inlineStr"/>
      <c r="T120" s="5" t="inlineStr"/>
    </row>
    <row r="121">
      <c r="A121" s="5" t="inlineStr">
        <is>
          <t>b6-ilk-maas</t>
        </is>
      </c>
      <c r="B121" s="5" t="n">
        <v>6</v>
      </c>
      <c r="C121" s="5" t="inlineStr">
        <is>
          <t>18 yaş 11 ay</t>
        </is>
      </c>
      <c r="D121" s="5" t="inlineStr">
        <is>
          <t>💸</t>
        </is>
      </c>
      <c r="E121" s="6" t="inlineStr">
        <is>
          <t>İlk Maaş</t>
        </is>
      </c>
      <c r="F121" s="6" t="inlineStr">
        <is>
          <t>Bankadan mesaj: 'Hesabınıza para yatırılmıştır.' Hayatının en güzel cümlesi. Şimdilik.</t>
        </is>
      </c>
      <c r="G121" s="5" t="inlineStr">
        <is>
          <t>banka</t>
        </is>
      </c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6" t="inlineStr"/>
      <c r="S121" s="5" t="inlineStr"/>
      <c r="T121" s="5" t="inlineStr"/>
    </row>
    <row r="122">
      <c r="A122" s="5" t="inlineStr">
        <is>
          <t>b6-usta-cirak</t>
        </is>
      </c>
      <c r="B122" s="5" t="n">
        <v>6</v>
      </c>
      <c r="C122" s="5" t="inlineStr">
        <is>
          <t>19 yaş 2 ay</t>
        </is>
      </c>
      <c r="D122" s="5" t="inlineStr">
        <is>
          <t>🔧</t>
        </is>
      </c>
      <c r="E122" s="6" t="inlineStr">
        <is>
          <t>Usta ile Çırak</t>
        </is>
      </c>
      <c r="F122" s="6" t="inlineStr">
        <is>
          <t>Usta seni yanına aldı. İlk ders: 'Çay demlemeyi bilmeyen motor sökemez.' İkinci ders on dört gündür gelmedi.</t>
        </is>
      </c>
      <c r="G122" s="5" t="inlineStr">
        <is>
          <t>dukkan</t>
        </is>
      </c>
      <c r="H122" s="5" t="inlineStr"/>
      <c r="I122" s="5" t="inlineStr"/>
      <c r="J122" s="5" t="inlineStr"/>
      <c r="K122" s="5" t="inlineStr"/>
      <c r="L122" s="5" t="inlineStr">
        <is>
          <t>universiteli</t>
        </is>
      </c>
      <c r="M122" s="5" t="inlineStr"/>
      <c r="N122" s="5" t="inlineStr"/>
      <c r="O122" s="5" t="inlineStr"/>
      <c r="P122" s="5" t="inlineStr"/>
      <c r="Q122" s="5" t="inlineStr"/>
      <c r="R122" s="6" t="inlineStr"/>
      <c r="S122" s="5" t="inlineStr"/>
      <c r="T122" s="5" t="inlineStr"/>
    </row>
    <row r="123">
      <c r="A123" s="5" t="inlineStr">
        <is>
          <t>b6-final-haftasi</t>
        </is>
      </c>
      <c r="B123" s="5" t="n">
        <v>6</v>
      </c>
      <c r="C123" s="5" t="inlineStr">
        <is>
          <t>19 yaş 5 ay</t>
        </is>
      </c>
      <c r="D123" s="5" t="inlineStr">
        <is>
          <t>📚</t>
        </is>
      </c>
      <c r="E123" s="6" t="inlineStr">
        <is>
          <t>Final Haftası</t>
        </is>
      </c>
      <c r="F123" s="6" t="inlineStr">
        <is>
          <t>Final haftası. Kütüphanede yer kalmadı, kafede priz kalmadı, sende not kalmadı.</t>
        </is>
      </c>
      <c r="G123" s="5" t="inlineStr">
        <is>
          <t>universite</t>
        </is>
      </c>
      <c r="H123" s="5" t="inlineStr"/>
      <c r="I123" s="5" t="inlineStr"/>
      <c r="J123" s="5" t="inlineStr"/>
      <c r="K123" s="5" t="inlineStr">
        <is>
          <t>universiteli</t>
        </is>
      </c>
      <c r="L123" s="5" t="inlineStr"/>
      <c r="M123" s="5" t="inlineStr"/>
      <c r="N123" s="5" t="inlineStr"/>
      <c r="O123" s="5" t="inlineStr"/>
      <c r="P123" s="5" t="inlineStr"/>
      <c r="Q123" s="5" t="inlineStr"/>
      <c r="R123" s="6" t="inlineStr"/>
      <c r="S123" s="5" t="inlineStr"/>
      <c r="T123" s="5" t="inlineStr"/>
    </row>
    <row r="124">
      <c r="A124" s="5" t="inlineStr">
        <is>
          <t>b6-kredi-karti</t>
        </is>
      </c>
      <c r="B124" s="5" t="n">
        <v>6</v>
      </c>
      <c r="C124" s="5" t="inlineStr">
        <is>
          <t>19 yaş 8 ay</t>
        </is>
      </c>
      <c r="D124" s="5" t="inlineStr">
        <is>
          <t>💳</t>
        </is>
      </c>
      <c r="E124" s="6" t="inlineStr">
        <is>
          <t>Size Özel Limit</t>
        </is>
      </c>
      <c r="F124" s="6" t="inlineStr">
        <is>
          <t>Banka aradı: 'Size özel limitli bir kart tanımladık.' Daha önce kimse sana özel bir şey tanımlamamıştı.</t>
        </is>
      </c>
      <c r="G124" s="5" t="inlineStr">
        <is>
          <t>banka</t>
        </is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6" t="inlineStr"/>
      <c r="S124" s="5" t="inlineStr"/>
      <c r="T124" s="5" t="inlineStr"/>
    </row>
    <row r="125">
      <c r="A125" s="5" t="inlineStr">
        <is>
          <t>b6-ogrenci-kulubu</t>
        </is>
      </c>
      <c r="B125" s="5" t="n">
        <v>6</v>
      </c>
      <c r="C125" s="5" t="inlineStr">
        <is>
          <t>19 yaş 10 ay</t>
        </is>
      </c>
      <c r="D125" s="5" t="inlineStr">
        <is>
          <t>🎭</t>
        </is>
      </c>
      <c r="E125" s="6" t="inlineStr">
        <is>
          <t>Kulüp Tanıtım Günü</t>
        </is>
      </c>
      <c r="F125" s="6" t="inlineStr">
        <is>
          <t>Kulüp tanıtım günü. Kırk masa, kırk broşür, kırk ayrı 'Sadece bir toplantıya gel'.</t>
        </is>
      </c>
      <c r="G125" s="5" t="inlineStr">
        <is>
          <t>universite</t>
        </is>
      </c>
      <c r="H125" s="5" t="inlineStr"/>
      <c r="I125" s="5" t="inlineStr"/>
      <c r="J125" s="5" t="inlineStr"/>
      <c r="K125" s="5" t="inlineStr">
        <is>
          <t>universiteli</t>
        </is>
      </c>
      <c r="L125" s="5" t="inlineStr"/>
      <c r="M125" s="5" t="inlineStr"/>
      <c r="N125" s="5" t="inlineStr"/>
      <c r="O125" s="5" t="inlineStr"/>
      <c r="P125" s="5" t="inlineStr"/>
      <c r="Q125" s="5" t="inlineStr"/>
      <c r="R125" s="6" t="inlineStr"/>
      <c r="S125" s="5" t="inlineStr"/>
      <c r="T125" s="5" t="inlineStr"/>
    </row>
    <row r="126">
      <c r="A126" s="5" t="inlineStr">
        <is>
          <t>b6-gece-motor</t>
        </is>
      </c>
      <c r="B126" s="5" t="n">
        <v>6</v>
      </c>
      <c r="C126" s="5" t="inlineStr">
        <is>
          <t>19 yaş 11 ay</t>
        </is>
      </c>
      <c r="D126" s="5" t="inlineStr">
        <is>
          <t>🏍️</t>
        </is>
      </c>
      <c r="E126" s="6" t="inlineStr">
        <is>
          <t>Sahil Yolu, Gece Yarısı</t>
        </is>
      </c>
      <c r="F126" s="6" t="inlineStr">
        <is>
          <t>Gece yarısı sahil yolu. Arkadaşın ikinci el motosikletini gösteriyor: 'Sadece bir tur. Kim önce köprüye?'</t>
        </is>
      </c>
      <c r="G126" s="5" t="inlineStr">
        <is>
          <t>sahil</t>
        </is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6" t="inlineStr"/>
      <c r="S126" s="5" t="inlineStr"/>
      <c r="T126" s="5" t="inlineStr"/>
    </row>
    <row r="127">
      <c r="A127" s="5" t="inlineStr">
        <is>
          <t>b6-gece-vardiyasi</t>
        </is>
      </c>
      <c r="B127" s="5" t="n">
        <v>6</v>
      </c>
      <c r="C127" s="5" t="inlineStr">
        <is>
          <t>20 yaş 1 ay</t>
        </is>
      </c>
      <c r="D127" s="5" t="inlineStr">
        <is>
          <t>🌙</t>
        </is>
      </c>
      <c r="E127" s="6" t="inlineStr">
        <is>
          <t>Gece Vardiyası</t>
        </is>
      </c>
      <c r="F127" s="6" t="inlineStr">
        <is>
          <t>Gece vardiyası başladı. Saat üçte gelen müşteriler iki türdür: ekmek arayanlar ve anlam arayanlar.</t>
        </is>
      </c>
      <c r="G127" s="5" t="inlineStr">
        <is>
          <t>market</t>
        </is>
      </c>
      <c r="H127" s="5" t="inlineStr"/>
      <c r="I127" s="5" t="inlineStr"/>
      <c r="J127" s="5" t="inlineStr"/>
      <c r="K127" s="5" t="inlineStr"/>
      <c r="L127" s="5" t="inlineStr">
        <is>
          <t>universiteli</t>
        </is>
      </c>
      <c r="M127" s="5" t="inlineStr"/>
      <c r="N127" s="5" t="inlineStr"/>
      <c r="O127" s="5" t="inlineStr"/>
      <c r="P127" s="5" t="inlineStr"/>
      <c r="Q127" s="5" t="inlineStr"/>
      <c r="R127" s="6" t="inlineStr"/>
      <c r="S127" s="5" t="inlineStr"/>
      <c r="T127" s="5" t="inlineStr"/>
    </row>
    <row r="128">
      <c r="A128" s="5" t="inlineStr">
        <is>
          <t>b6-kiralik-ev</t>
        </is>
      </c>
      <c r="B128" s="5" t="n">
        <v>6</v>
      </c>
      <c r="C128" s="5" t="inlineStr">
        <is>
          <t>20 yaş 2 ay</t>
        </is>
      </c>
      <c r="D128" s="5" t="inlineStr">
        <is>
          <t>🏠</t>
        </is>
      </c>
      <c r="E128" s="6" t="inlineStr">
        <is>
          <t>İlk Kiralık Ev</t>
        </is>
      </c>
      <c r="F128" s="6" t="inlineStr">
        <is>
          <t>İlanda 'ferah, aydınlık, ulaşıma yakın' yazıyordu. Gerçekte: dar, loş, ileride durak yapılacak bir arsaya yakın.</t>
        </is>
      </c>
      <c r="G128" s="5" t="inlineStr">
        <is>
          <t>apartman</t>
        </is>
      </c>
      <c r="H128" s="5" t="inlineStr"/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  <c r="Q128" s="5" t="inlineStr"/>
      <c r="R128" s="6" t="inlineStr"/>
      <c r="S128" s="5" t="inlineStr"/>
      <c r="T128" s="5" t="inlineStr"/>
    </row>
    <row r="129">
      <c r="A129" s="5" t="inlineStr">
        <is>
          <t>b6-tasinma</t>
        </is>
      </c>
      <c r="B129" s="5" t="n">
        <v>6</v>
      </c>
      <c r="C129" s="5" t="inlineStr">
        <is>
          <t>20 yaş 3 ay</t>
        </is>
      </c>
      <c r="D129" s="5" t="inlineStr">
        <is>
          <t>📦</t>
        </is>
      </c>
      <c r="E129" s="6" t="inlineStr">
        <is>
          <t>Taşınma Günü</t>
        </is>
      </c>
      <c r="F129" s="6" t="inlineStr">
        <is>
          <t>Taşınma günü. Asansör yok, dördüncü kat, bir buzdolabı ve saat birde gelmesi gerekirken üçte 'Yoldayım' yazan arkadaşlar.</t>
        </is>
      </c>
      <c r="G129" s="5" t="inlineStr">
        <is>
          <t>apartman</t>
        </is>
      </c>
      <c r="H129" s="5" t="inlineStr"/>
      <c r="I129" s="5" t="inlineStr"/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  <c r="Q129" s="5" t="inlineStr"/>
      <c r="R129" s="6" t="inlineStr"/>
      <c r="S129" s="5" t="inlineStr"/>
      <c r="T129" s="5" t="inlineStr"/>
    </row>
    <row r="130">
      <c r="A130" s="5" t="inlineStr">
        <is>
          <t>b6-ev-arkadasi</t>
        </is>
      </c>
      <c r="B130" s="5" t="n">
        <v>6</v>
      </c>
      <c r="C130" s="5" t="inlineStr">
        <is>
          <t>20 yaş 6 ay</t>
        </is>
      </c>
      <c r="D130" s="5" t="inlineStr">
        <is>
          <t>🧽</t>
        </is>
      </c>
      <c r="E130" s="6" t="inlineStr">
        <is>
          <t>Ev Arkadaşı</t>
        </is>
      </c>
      <c r="F130" s="6" t="inlineStr">
        <is>
          <t>Ev arkadaşın harika biri. Tek sorun: bulaşık. Lavabodaki tabak kulesi kendi site yönetimini kurmak üzere.</t>
        </is>
      </c>
      <c r="G130" s="5" t="inlineStr">
        <is>
          <t>ev</t>
        </is>
      </c>
      <c r="H130" s="5" t="inlineStr"/>
      <c r="I130" s="5" t="inlineStr"/>
      <c r="J130" s="5" t="inlineStr"/>
      <c r="K130" s="5" t="inlineStr"/>
      <c r="L130" s="5" t="inlineStr"/>
      <c r="M130" s="5" t="inlineStr"/>
      <c r="N130" s="5" t="inlineStr"/>
      <c r="O130" s="5" t="inlineStr"/>
      <c r="P130" s="5" t="inlineStr"/>
      <c r="Q130" s="5" t="inlineStr"/>
      <c r="R130" s="6" t="inlineStr"/>
      <c r="S130" s="5" t="inlineStr"/>
      <c r="T130" s="5" t="inlineStr"/>
    </row>
    <row r="131">
      <c r="A131" s="5" t="inlineStr">
        <is>
          <t>b6-staj</t>
        </is>
      </c>
      <c r="B131" s="5" t="n">
        <v>6</v>
      </c>
      <c r="C131" s="5" t="inlineStr">
        <is>
          <t>20 yaş 7 ay</t>
        </is>
      </c>
      <c r="D131" s="5" t="inlineStr">
        <is>
          <t>🗂️</t>
        </is>
      </c>
      <c r="E131" s="6" t="inlineStr">
        <is>
          <t>Zorunlu Staj</t>
        </is>
      </c>
      <c r="F131" s="6" t="inlineStr">
        <is>
          <t>Staj başladı. İlk gün bir masa, bir şifre ve 'Şimdilik etrafı izle' talimatı verildi. Şimdilik üç hafta sürdü.</t>
        </is>
      </c>
      <c r="G131" s="5" t="inlineStr">
        <is>
          <t>ofis</t>
        </is>
      </c>
      <c r="H131" s="5" t="inlineStr"/>
      <c r="I131" s="5" t="inlineStr"/>
      <c r="J131" s="5" t="inlineStr"/>
      <c r="K131" s="5" t="inlineStr">
        <is>
          <t>universiteli</t>
        </is>
      </c>
      <c r="L131" s="5" t="inlineStr"/>
      <c r="M131" s="5" t="inlineStr"/>
      <c r="N131" s="5" t="inlineStr"/>
      <c r="O131" s="5" t="inlineStr"/>
      <c r="P131" s="5" t="inlineStr"/>
      <c r="Q131" s="5" t="inlineStr"/>
      <c r="R131" s="6" t="inlineStr"/>
      <c r="S131" s="5" t="inlineStr"/>
      <c r="T131" s="5" t="inlineStr"/>
    </row>
    <row r="132">
      <c r="A132" s="5" t="inlineStr">
        <is>
          <t>b6-spor-salonu</t>
        </is>
      </c>
      <c r="B132" s="5" t="n">
        <v>6</v>
      </c>
      <c r="C132" s="5" t="inlineStr">
        <is>
          <t>21 yaş</t>
        </is>
      </c>
      <c r="D132" s="5" t="inlineStr">
        <is>
          <t>🏋️</t>
        </is>
      </c>
      <c r="E132" s="6" t="inlineStr">
        <is>
          <t>Yıllık Üyelik</t>
        </is>
      </c>
      <c r="F132" s="6" t="inlineStr">
        <is>
          <t>Spor salonu kampanyası: aylık fiyatın yarısına bir yıl. Gelecekteki kendine güvendin. O hâlâ gelmedi.</t>
        </is>
      </c>
      <c r="G132" s="5" t="inlineStr">
        <is>
          <t>carsi</t>
        </is>
      </c>
      <c r="H132" s="5" t="inlineStr"/>
      <c r="I132" s="5" t="inlineStr"/>
      <c r="J132" s="5" t="inlineStr"/>
      <c r="K132" s="5" t="inlineStr"/>
      <c r="L132" s="5" t="inlineStr"/>
      <c r="M132" s="5" t="inlineStr"/>
      <c r="N132" s="5" t="inlineStr"/>
      <c r="O132" s="5" t="inlineStr"/>
      <c r="P132" s="5" t="inlineStr"/>
      <c r="Q132" s="5" t="inlineStr"/>
      <c r="R132" s="6" t="inlineStr"/>
      <c r="S132" s="5" t="inlineStr"/>
      <c r="T132" s="5" t="inlineStr"/>
    </row>
    <row r="133">
      <c r="A133" s="5" t="inlineStr">
        <is>
          <t>b6-degisim-programi</t>
        </is>
      </c>
      <c r="B133" s="5" t="n">
        <v>6</v>
      </c>
      <c r="C133" s="5" t="inlineStr">
        <is>
          <t>21 yaş 2 ay</t>
        </is>
      </c>
      <c r="D133" s="5" t="inlineStr">
        <is>
          <t>✈️</t>
        </is>
      </c>
      <c r="E133" s="6" t="inlineStr">
        <is>
          <t>Değişim Programı</t>
        </is>
      </c>
      <c r="F133" s="6" t="inlineStr">
        <is>
          <t>Yurt dışı değişim programı ilanı çıktı. Bir dönem başka bir ülke. Başvuru formu sekiz sayfa, burs yarım maaş.</t>
        </is>
      </c>
      <c r="G133" s="5" t="inlineStr">
        <is>
          <t>universite</t>
        </is>
      </c>
      <c r="H133" s="5" t="inlineStr"/>
      <c r="I133" s="5" t="inlineStr"/>
      <c r="J133" s="5" t="inlineStr"/>
      <c r="K133" s="5" t="inlineStr">
        <is>
          <t>universiteli</t>
        </is>
      </c>
      <c r="L133" s="5" t="inlineStr"/>
      <c r="M133" s="5" t="inlineStr"/>
      <c r="N133" s="5" t="inlineStr"/>
      <c r="O133" s="5" t="inlineStr"/>
      <c r="P133" s="5" t="inlineStr"/>
      <c r="Q133" s="5" t="inlineStr"/>
      <c r="R133" s="6" t="inlineStr"/>
      <c r="S133" s="5" t="inlineStr"/>
      <c r="T133" s="5" t="inlineStr"/>
    </row>
    <row r="134">
      <c r="A134" s="5" t="inlineStr">
        <is>
          <t>b6-askerlik</t>
        </is>
      </c>
      <c r="B134" s="5" t="n">
        <v>6</v>
      </c>
      <c r="C134" s="5" t="inlineStr">
        <is>
          <t>21 yaş 3 ay</t>
        </is>
      </c>
      <c r="D134" s="5" t="inlineStr">
        <is>
          <t>🪖</t>
        </is>
      </c>
      <c r="E134" s="6" t="inlineStr">
        <is>
          <t>Askerlik</t>
        </is>
      </c>
      <c r="F134" s="6" t="inlineStr">
        <is>
          <t>Askerlik başladı. Saçlar kısa, botlar büyük, nöbet listesi uzun. Tek sabit cümle: 'Birazdan açıklama yapılacak.'</t>
        </is>
      </c>
      <c r="G134" s="5" t="inlineStr">
        <is>
          <t>kisla</t>
        </is>
      </c>
      <c r="H134" s="5" t="inlineStr"/>
      <c r="I134" s="5" t="inlineStr">
        <is>
          <t>E</t>
        </is>
      </c>
      <c r="J134" s="5" t="inlineStr"/>
      <c r="K134" s="5" t="inlineStr"/>
      <c r="L134" s="5" t="inlineStr"/>
      <c r="M134" s="5" t="inlineStr"/>
      <c r="N134" s="5" t="inlineStr">
        <is>
          <t>erkek</t>
        </is>
      </c>
      <c r="O134" s="5" t="inlineStr"/>
      <c r="P134" s="5" t="inlineStr"/>
      <c r="Q134" s="5" t="n">
        <v>4</v>
      </c>
      <c r="R134" s="6" t="inlineStr">
        <is>
          <t>Saçlar kısalacak, adın bir numaraya dönüşecek. Kışladan herkes aynı çıkmaz; kimi disiplinle, kimi bir kantin tekeliyle döner.</t>
        </is>
      </c>
      <c r="S134" s="5" t="inlineStr"/>
      <c r="T134" s="5" t="inlineStr"/>
    </row>
    <row r="135">
      <c r="A135" s="5" t="inlineStr">
        <is>
          <t>b6-okusaydin</t>
        </is>
      </c>
      <c r="B135" s="5" t="n">
        <v>6</v>
      </c>
      <c r="C135" s="5" t="inlineStr">
        <is>
          <t>21 yaş 5 ay</t>
        </is>
      </c>
      <c r="D135" s="5" t="inlineStr">
        <is>
          <t>👵</t>
        </is>
      </c>
      <c r="E135" s="6" t="inlineStr">
        <is>
          <t>Okusaydın Keşke</t>
        </is>
      </c>
      <c r="F135" s="6" t="inlineStr">
        <is>
          <t>Kuzenin düğünü. Masada dört akraba, dört ayrı cümle, tek anlam: 'Okusaydın keşke.'</t>
        </is>
      </c>
      <c r="G135" s="5" t="inlineStr">
        <is>
          <t>dugun-salonu</t>
        </is>
      </c>
      <c r="H135" s="5" t="inlineStr">
        <is>
          <t>sosyal</t>
        </is>
      </c>
      <c r="I135" s="5" t="inlineStr"/>
      <c r="J135" s="5" t="inlineStr"/>
      <c r="K135" s="5" t="inlineStr"/>
      <c r="L135" s="5" t="inlineStr">
        <is>
          <t>universiteli</t>
        </is>
      </c>
      <c r="M135" s="5" t="inlineStr"/>
      <c r="N135" s="5" t="inlineStr"/>
      <c r="O135" s="5" t="inlineStr"/>
      <c r="P135" s="5" t="inlineStr"/>
      <c r="Q135" s="5" t="inlineStr"/>
      <c r="R135" s="6" t="inlineStr"/>
      <c r="S135" s="5" t="inlineStr"/>
      <c r="T135" s="5" t="inlineStr"/>
    </row>
    <row r="136">
      <c r="A136" s="5" t="inlineStr">
        <is>
          <t>b6-mezuniyet</t>
        </is>
      </c>
      <c r="B136" s="5" t="n">
        <v>6</v>
      </c>
      <c r="C136" s="5" t="inlineStr">
        <is>
          <t>22 yaş</t>
        </is>
      </c>
      <c r="D136" s="5" t="inlineStr">
        <is>
          <t>🎓</t>
        </is>
      </c>
      <c r="E136" s="6" t="inlineStr">
        <is>
          <t>Mezuniyet Töreni</t>
        </is>
      </c>
      <c r="F136" s="6" t="inlineStr">
        <is>
          <t>Mezuniyet. Kep havaya atılacak, kılıf boş verilecek, asıl diplomayı üç hafta sonra bir memurdan alacaksın.</t>
        </is>
      </c>
      <c r="G136" s="5" t="inlineStr">
        <is>
          <t>universite</t>
        </is>
      </c>
      <c r="H136" s="5" t="inlineStr"/>
      <c r="I136" s="5" t="inlineStr"/>
      <c r="J136" s="5" t="inlineStr"/>
      <c r="K136" s="5" t="inlineStr">
        <is>
          <t>universiteli</t>
        </is>
      </c>
      <c r="L136" s="5" t="inlineStr"/>
      <c r="M136" s="5" t="inlineStr"/>
      <c r="N136" s="5" t="inlineStr"/>
      <c r="O136" s="5" t="inlineStr"/>
      <c r="P136" s="5" t="inlineStr"/>
      <c r="Q136" s="5" t="inlineStr"/>
      <c r="R136" s="6" t="inlineStr"/>
      <c r="S136" s="5" t="inlineStr"/>
      <c r="T136" s="5" t="inlineStr"/>
    </row>
    <row r="137">
      <c r="A137" s="5" t="inlineStr">
        <is>
          <t>b6-meslek-secimi</t>
        </is>
      </c>
      <c r="B137" s="5" t="n">
        <v>6</v>
      </c>
      <c r="C137" s="5" t="inlineStr">
        <is>
          <t>22 yaş</t>
        </is>
      </c>
      <c r="D137" s="5" t="inlineStr">
        <is>
          <t>🧭</t>
        </is>
      </c>
      <c r="E137" s="6" t="inlineStr">
        <is>
          <t>Meslek Seçimi</t>
        </is>
      </c>
      <c r="F137" s="6" t="inlineStr">
        <is>
          <t>Hayat artık bir yol seçmeni istiyor. Aile masasında dört öneri var ve herkes kendi önerisinin 'en garanti' olduğundan emin.</t>
        </is>
      </c>
      <c r="G137" s="5" t="inlineStr">
        <is>
          <t>ev</t>
        </is>
      </c>
      <c r="H137" s="5" t="inlineStr">
        <is>
          <t>okul-iş</t>
        </is>
      </c>
      <c r="I137" s="5" t="inlineStr">
        <is>
          <t>E</t>
        </is>
      </c>
      <c r="J137" s="5" t="inlineStr"/>
      <c r="K137" s="5" t="inlineStr"/>
      <c r="L137" s="5" t="inlineStr"/>
      <c r="M137" s="5" t="inlineStr"/>
      <c r="N137" s="5" t="inlineStr"/>
      <c r="O137" s="5" t="inlineStr"/>
      <c r="P137" s="5" t="inlineStr"/>
      <c r="Q137" s="5" t="n">
        <v>6</v>
      </c>
      <c r="R137" s="6" t="inlineStr">
        <is>
          <t>Aile masasında dört öneri var, herkesin elinde bir “garanti”. Bundan sonra günlerinin nasıl geçeceğini bu seçim belirleyecek.</t>
        </is>
      </c>
      <c r="S137" s="5" t="inlineStr"/>
      <c r="T137" s="5" t="inlineStr"/>
    </row>
    <row r="138">
      <c r="A138" s="5" t="inlineStr">
        <is>
          <t>b6-flort-uygulamasi</t>
        </is>
      </c>
      <c r="B138" s="5" t="n">
        <v>6</v>
      </c>
      <c r="C138" s="5" t="inlineStr">
        <is>
          <t>22 yaş 1 ay</t>
        </is>
      </c>
      <c r="D138" s="5" t="inlineStr">
        <is>
          <t>📱</t>
        </is>
      </c>
      <c r="E138" s="6" t="inlineStr">
        <is>
          <t>Flört Uygulaması</t>
        </is>
      </c>
      <c r="F138" s="6" t="inlineStr">
        <is>
          <t>Arkadaşların seni bir flört uygulamasına kaydetti. Profil fotoğrafı lazım. Seçenekler: bulanık, eski, kuzenli.</t>
        </is>
      </c>
      <c r="G138" s="5" t="inlineStr">
        <is>
          <t>kafe</t>
        </is>
      </c>
      <c r="H138" s="5" t="inlineStr"/>
      <c r="I138" s="5" t="inlineStr"/>
      <c r="J138" s="5" t="inlineStr"/>
      <c r="K138" s="5" t="inlineStr"/>
      <c r="L138" s="5" t="inlineStr"/>
      <c r="M138" s="5" t="inlineStr"/>
      <c r="N138" s="5" t="inlineStr"/>
      <c r="O138" s="5" t="inlineStr"/>
      <c r="P138" s="5" t="inlineStr"/>
      <c r="Q138" s="5" t="inlineStr"/>
      <c r="R138" s="6" t="inlineStr"/>
      <c r="S138" s="5" t="inlineStr"/>
      <c r="T138" s="5" t="inlineStr"/>
    </row>
    <row r="139">
      <c r="A139" s="5" t="inlineStr">
        <is>
          <t>b6-kamp-atesi</t>
        </is>
      </c>
      <c r="B139" s="5" t="n">
        <v>6</v>
      </c>
      <c r="C139" s="5" t="inlineStr">
        <is>
          <t>22 yaş 4 ay</t>
        </is>
      </c>
      <c r="D139" s="5" t="inlineStr">
        <is>
          <t>🔥</t>
        </is>
      </c>
      <c r="E139" s="6" t="inlineStr">
        <is>
          <t>Kesin Güvenli</t>
        </is>
      </c>
      <c r="F139" s="6" t="inlineStr">
        <is>
          <t>Sahilde kamp. Biri odun topladı, biri çadır kurdu, biri 'Ben bu işi bilirim, kesin güvenli' dedi. Bu cümle hep aynı kişiden çıkar.</t>
        </is>
      </c>
      <c r="G139" s="5" t="inlineStr">
        <is>
          <t>sahil</t>
        </is>
      </c>
      <c r="H139" s="5" t="inlineStr"/>
      <c r="I139" s="5" t="inlineStr"/>
      <c r="J139" s="5" t="inlineStr"/>
      <c r="K139" s="5" t="inlineStr"/>
      <c r="L139" s="5" t="inlineStr"/>
      <c r="M139" s="5" t="inlineStr"/>
      <c r="N139" s="5" t="inlineStr"/>
      <c r="O139" s="5" t="inlineStr"/>
      <c r="P139" s="5" t="inlineStr"/>
      <c r="Q139" s="5" t="inlineStr"/>
      <c r="R139" s="6" t="inlineStr"/>
      <c r="S139" s="5" t="inlineStr"/>
      <c r="T139" s="5" t="inlineStr"/>
    </row>
    <row r="140">
      <c r="A140" s="5" t="inlineStr">
        <is>
          <t>mb-ilk-gun-karti</t>
        </is>
      </c>
      <c r="B140" s="5" t="n">
        <v>6</v>
      </c>
      <c r="C140" s="5" t="inlineStr">
        <is>
          <t>22 yaş 6 ay</t>
        </is>
      </c>
      <c r="D140" s="5" t="inlineStr">
        <is>
          <t>🪪</t>
        </is>
      </c>
      <c r="E140" s="6" t="inlineStr">
        <is>
          <t>İlk İş Günü</t>
        </is>
      </c>
      <c r="F140" s="6" t="inlineStr">
        <is>
          <t>İlk iş günün. Erişim kartın henüz tanımlanmadı. Turnike seni tanımıyor. Güvenlik de. Yeni ekibin de, henüz.</t>
        </is>
      </c>
      <c r="G140" s="5" t="inlineStr">
        <is>
          <t>ofis</t>
        </is>
      </c>
      <c r="H140" s="5" t="inlineStr"/>
      <c r="I140" s="5" t="inlineStr"/>
      <c r="J140" s="5" t="n">
        <v>1</v>
      </c>
      <c r="K140" s="5" t="inlineStr">
        <is>
          <t>meslek-beyazyaka</t>
        </is>
      </c>
      <c r="L140" s="5" t="inlineStr"/>
      <c r="M140" s="5" t="inlineStr"/>
      <c r="N140" s="5" t="inlineStr"/>
      <c r="O140" s="5" t="inlineStr"/>
      <c r="P140" s="5" t="inlineStr"/>
      <c r="Q140" s="5" t="inlineStr"/>
      <c r="R140" s="6" t="inlineStr"/>
      <c r="S140" s="5" t="inlineStr"/>
      <c r="T140" s="5" t="inlineStr"/>
    </row>
    <row r="141">
      <c r="A141" s="5" t="inlineStr">
        <is>
          <t>me-dukkan-acilisi</t>
        </is>
      </c>
      <c r="B141" s="5" t="n">
        <v>6</v>
      </c>
      <c r="C141" s="5" t="inlineStr">
        <is>
          <t>22 yaş 6 ay</t>
        </is>
      </c>
      <c r="D141" s="5" t="inlineStr">
        <is>
          <t>🏪</t>
        </is>
      </c>
      <c r="E141" s="6" t="inlineStr">
        <is>
          <t>Kepenk Açılıyor</t>
        </is>
      </c>
      <c r="F141" s="6" t="inlineStr">
        <is>
          <t>Dükkânın kepengi ilk kez kalktı. Raflar dolu, kasada bozuk para var, kapıda ilk müşteri bekliyor: sokak kedisi.</t>
        </is>
      </c>
      <c r="G141" s="5" t="inlineStr">
        <is>
          <t>dukkan</t>
        </is>
      </c>
      <c r="H141" s="5" t="inlineStr"/>
      <c r="I141" s="5" t="inlineStr">
        <is>
          <t>E</t>
        </is>
      </c>
      <c r="J141" s="5" t="inlineStr"/>
      <c r="K141" s="5" t="inlineStr">
        <is>
          <t>meslek-esnaf</t>
        </is>
      </c>
      <c r="L141" s="5" t="inlineStr"/>
      <c r="M141" s="5" t="inlineStr"/>
      <c r="N141" s="5" t="inlineStr"/>
      <c r="O141" s="5" t="inlineStr"/>
      <c r="P141" s="5" t="inlineStr"/>
      <c r="Q141" s="5" t="inlineStr"/>
      <c r="R141" s="6" t="inlineStr"/>
      <c r="S141" s="5" t="inlineStr"/>
      <c r="T141" s="5" t="inlineStr"/>
    </row>
    <row r="142">
      <c r="A142" s="5" t="inlineStr">
        <is>
          <t>mm-ilk-atama</t>
        </is>
      </c>
      <c r="B142" s="5" t="n">
        <v>6</v>
      </c>
      <c r="C142" s="5" t="inlineStr">
        <is>
          <t>22 yaş 6 ay</t>
        </is>
      </c>
      <c r="D142" s="5" t="inlineStr">
        <is>
          <t>🚌</t>
        </is>
      </c>
      <c r="E142" s="6" t="inlineStr">
        <is>
          <t>İlk Atama</t>
        </is>
      </c>
      <c r="F142" s="6" t="inlineStr">
        <is>
          <t>Atama sonucu açıklandı. Görev yerin, haritada üç kez yakınlaştırınca çıkan bir kasaba. Otobüs haftada iki gün.</t>
        </is>
      </c>
      <c r="G142" s="5" t="inlineStr">
        <is>
          <t>devlet-dairesi</t>
        </is>
      </c>
      <c r="H142" s="5" t="inlineStr"/>
      <c r="I142" s="5" t="inlineStr">
        <is>
          <t>E</t>
        </is>
      </c>
      <c r="J142" s="5" t="inlineStr"/>
      <c r="K142" s="5" t="inlineStr">
        <is>
          <t>meslek-memur</t>
        </is>
      </c>
      <c r="L142" s="5" t="inlineStr"/>
      <c r="M142" s="5" t="inlineStr"/>
      <c r="N142" s="5" t="inlineStr"/>
      <c r="O142" s="5" t="inlineStr"/>
      <c r="P142" s="5" t="inlineStr"/>
      <c r="Q142" s="5" t="inlineStr"/>
      <c r="R142" s="6" t="inlineStr"/>
      <c r="S142" s="5" t="inlineStr"/>
      <c r="T142" s="5" t="inlineStr"/>
    </row>
    <row r="143">
      <c r="A143" s="5" t="inlineStr">
        <is>
          <t>ms-ilk-musteri</t>
        </is>
      </c>
      <c r="B143" s="5" t="n">
        <v>6</v>
      </c>
      <c r="C143" s="5" t="inlineStr">
        <is>
          <t>22 yaş 8 ay</t>
        </is>
      </c>
      <c r="D143" s="5" t="inlineStr">
        <is>
          <t>☕</t>
        </is>
      </c>
      <c r="E143" s="6" t="inlineStr">
        <is>
          <t>İlk Müşteri</t>
        </is>
      </c>
      <c r="F143" s="6" t="inlineStr">
        <is>
          <t>İlk müşterin kafede buluşmak istedi. İşi uzun uzun anlattı, bütçeyi hiç anlatmadı. Sonra sordu: 'Siz ne kadar istersiniz?'</t>
        </is>
      </c>
      <c r="G143" s="5" t="inlineStr">
        <is>
          <t>kafe</t>
        </is>
      </c>
      <c r="H143" s="5" t="inlineStr"/>
      <c r="I143" s="5" t="inlineStr"/>
      <c r="J143" s="5" t="n">
        <v>1</v>
      </c>
      <c r="K143" s="5" t="inlineStr">
        <is>
          <t>meslek-serbest</t>
        </is>
      </c>
      <c r="L143" s="5" t="inlineStr"/>
      <c r="M143" s="5" t="inlineStr"/>
      <c r="N143" s="5" t="inlineStr"/>
      <c r="O143" s="5" t="inlineStr"/>
      <c r="P143" s="5" t="inlineStr"/>
      <c r="Q143" s="5" t="inlineStr"/>
      <c r="R143" s="6" t="inlineStr"/>
      <c r="S143" s="5" t="inlineStr"/>
      <c r="T143" s="5" t="inlineStr"/>
    </row>
    <row r="144">
      <c r="A144" s="5" t="inlineStr">
        <is>
          <t>b6-is-gorusmesi</t>
        </is>
      </c>
      <c r="B144" s="5" t="n">
        <v>6</v>
      </c>
      <c r="C144" s="5" t="inlineStr">
        <is>
          <t>23 yaş 2 ay</t>
        </is>
      </c>
      <c r="D144" s="5" t="inlineStr">
        <is>
          <t>🤝</t>
        </is>
      </c>
      <c r="E144" s="6" t="inlineStr">
        <is>
          <t>İş Görüşmesi</t>
        </is>
      </c>
      <c r="F144" s="6" t="inlineStr">
        <is>
          <t>Karşında üç kişi, önünde bir bardak su ve cevabı hiç bilinmeyen soru: 'Kendinizi beş yıl sonra nerede görüyorsunuz?'</t>
        </is>
      </c>
      <c r="G144" s="5" t="inlineStr">
        <is>
          <t>ofis</t>
        </is>
      </c>
      <c r="H144" s="5" t="inlineStr"/>
      <c r="I144" s="5" t="inlineStr"/>
      <c r="J144" s="5" t="inlineStr"/>
      <c r="K144" s="5" t="inlineStr"/>
      <c r="L144" s="5" t="inlineStr"/>
      <c r="M144" s="5" t="inlineStr"/>
      <c r="N144" s="5" t="inlineStr"/>
      <c r="O144" s="5" t="inlineStr"/>
      <c r="P144" s="5" t="inlineStr"/>
      <c r="Q144" s="5" t="inlineStr"/>
      <c r="R144" s="6" t="inlineStr"/>
      <c r="S144" s="5" t="inlineStr"/>
      <c r="T144" s="5" t="inlineStr"/>
    </row>
    <row r="145">
      <c r="A145" s="5" t="inlineStr">
        <is>
          <t>mb-acik-ofis</t>
        </is>
      </c>
      <c r="B145" s="5" t="n">
        <v>6</v>
      </c>
      <c r="C145" s="5" t="inlineStr">
        <is>
          <t>23 yaş 6 ay</t>
        </is>
      </c>
      <c r="D145" s="5" t="inlineStr">
        <is>
          <t>🪑</t>
        </is>
      </c>
      <c r="E145" s="6" t="inlineStr">
        <is>
          <t>Açık Ofis</t>
        </is>
      </c>
      <c r="F145" s="6" t="inlineStr">
        <is>
          <t>İletişimi güçlendirmek için bütün duvarlar kaldırıldı. Artık herkes kulaklık takıyor.</t>
        </is>
      </c>
      <c r="G145" s="5" t="inlineStr">
        <is>
          <t>ofis</t>
        </is>
      </c>
      <c r="H145" s="5" t="inlineStr"/>
      <c r="I145" s="5" t="inlineStr"/>
      <c r="J145" s="5" t="n">
        <v>1</v>
      </c>
      <c r="K145" s="5" t="inlineStr">
        <is>
          <t>meslek-beyazyaka</t>
        </is>
      </c>
      <c r="L145" s="5" t="inlineStr"/>
      <c r="M145" s="5" t="inlineStr"/>
      <c r="N145" s="5" t="inlineStr"/>
      <c r="O145" s="5" t="inlineStr"/>
      <c r="P145" s="5" t="inlineStr"/>
      <c r="Q145" s="5" t="inlineStr"/>
      <c r="R145" s="6" t="inlineStr"/>
      <c r="S145" s="5" t="inlineStr"/>
      <c r="T145" s="5" t="inlineStr"/>
    </row>
    <row r="146">
      <c r="A146" s="5" t="inlineStr">
        <is>
          <t>b6-dugun-yagmuru</t>
        </is>
      </c>
      <c r="B146" s="5" t="n">
        <v>6</v>
      </c>
      <c r="C146" s="5" t="inlineStr">
        <is>
          <t>23 yaş 7 ay</t>
        </is>
      </c>
      <c r="D146" s="5" t="inlineStr">
        <is>
          <t>💍</t>
        </is>
      </c>
      <c r="E146" s="6" t="inlineStr">
        <is>
          <t>Dokuzuncu Düğün</t>
        </is>
      </c>
      <c r="F146" s="6" t="inlineStr">
        <is>
          <t>Bu yaz dokuzuncu düğün. Aynı salon, aynı orkestra, aynı pilav. Her masada aynı soru: 'Sıra sende, değil mi?'</t>
        </is>
      </c>
      <c r="G146" s="5" t="inlineStr">
        <is>
          <t>dugun-salonu</t>
        </is>
      </c>
      <c r="H146" s="5" t="inlineStr"/>
      <c r="I146" s="5" t="inlineStr"/>
      <c r="J146" s="5" t="n">
        <v>1.5</v>
      </c>
      <c r="K146" s="5" t="inlineStr"/>
      <c r="L146" s="5" t="inlineStr"/>
      <c r="M146" s="5" t="inlineStr"/>
      <c r="N146" s="5" t="inlineStr"/>
      <c r="O146" s="5" t="inlineStr"/>
      <c r="P146" s="5" t="inlineStr"/>
      <c r="Q146" s="5" t="inlineStr"/>
      <c r="R146" s="6" t="inlineStr"/>
      <c r="S146" s="5" t="inlineStr"/>
      <c r="T146" s="5" t="inlineStr"/>
    </row>
    <row r="147">
      <c r="A147" s="5" t="inlineStr">
        <is>
          <t>b6-dukkan-anahtari</t>
        </is>
      </c>
      <c r="B147" s="5" t="n">
        <v>6</v>
      </c>
      <c r="C147" s="5" t="inlineStr">
        <is>
          <t>23 yaş 8 ay</t>
        </is>
      </c>
      <c r="D147" s="5" t="inlineStr">
        <is>
          <t>🔑</t>
        </is>
      </c>
      <c r="E147" s="6" t="inlineStr">
        <is>
          <t>Dükkan Sana Emanet</t>
        </is>
      </c>
      <c r="F147" s="6" t="inlineStr">
        <is>
          <t>Usta bir haftalığına memlekete gidiyor. Anahtarı uzattı: 'Dükkan sana emanet. Kasaya dokunma.'</t>
        </is>
      </c>
      <c r="G147" s="5" t="inlineStr">
        <is>
          <t>dukkan</t>
        </is>
      </c>
      <c r="H147" s="5" t="inlineStr"/>
      <c r="I147" s="5" t="inlineStr"/>
      <c r="J147" s="5" t="inlineStr"/>
      <c r="K147" s="5" t="inlineStr"/>
      <c r="L147" s="5" t="inlineStr">
        <is>
          <t>universiteli</t>
        </is>
      </c>
      <c r="M147" s="5" t="inlineStr"/>
      <c r="N147" s="5" t="inlineStr"/>
      <c r="O147" s="5" t="inlineStr"/>
      <c r="P147" s="5" t="inlineStr"/>
      <c r="Q147" s="5" t="inlineStr"/>
      <c r="R147" s="6" t="inlineStr"/>
      <c r="S147" s="5" t="inlineStr"/>
      <c r="T147" s="5" t="inlineStr"/>
    </row>
    <row r="148">
      <c r="A148" s="5" t="inlineStr">
        <is>
          <t>me-veresiye-defteri</t>
        </is>
      </c>
      <c r="B148" s="5" t="n">
        <v>6</v>
      </c>
      <c r="C148" s="5" t="inlineStr">
        <is>
          <t>23 yaş 8 ay</t>
        </is>
      </c>
      <c r="D148" s="5" t="inlineStr">
        <is>
          <t>📒</t>
        </is>
      </c>
      <c r="E148" s="6" t="inlineStr">
        <is>
          <t>Veresiye Defteri</t>
        </is>
      </c>
      <c r="F148" s="6" t="inlineStr">
        <is>
          <t>Tanıdık bir yüz kasaya geldi: 'Deftere yaz, ay başı veririm.' Takvimde ay başı var. Dükkânda henüz defter yok.</t>
        </is>
      </c>
      <c r="G148" s="5" t="inlineStr">
        <is>
          <t>dukkan</t>
        </is>
      </c>
      <c r="H148" s="5" t="inlineStr"/>
      <c r="I148" s="5" t="inlineStr"/>
      <c r="J148" s="5" t="inlineStr"/>
      <c r="K148" s="5" t="inlineStr">
        <is>
          <t>meslek-esnaf</t>
        </is>
      </c>
      <c r="L148" s="5" t="inlineStr"/>
      <c r="M148" s="5" t="inlineStr"/>
      <c r="N148" s="5" t="inlineStr"/>
      <c r="O148" s="5" t="inlineStr"/>
      <c r="P148" s="5" t="inlineStr"/>
      <c r="Q148" s="5" t="inlineStr"/>
      <c r="R148" s="6" t="inlineStr"/>
      <c r="S148" s="5" t="inlineStr"/>
      <c r="T148" s="5" t="inlineStr"/>
    </row>
    <row r="149">
      <c r="A149" s="5" t="inlineStr">
        <is>
          <t>mm-islak-imza</t>
        </is>
      </c>
      <c r="B149" s="5" t="n">
        <v>6</v>
      </c>
      <c r="C149" s="5" t="inlineStr">
        <is>
          <t>23 yaş 9 ay</t>
        </is>
      </c>
      <c r="D149" s="5" t="inlineStr">
        <is>
          <t>🖋️</t>
        </is>
      </c>
      <c r="E149" s="6" t="inlineStr">
        <is>
          <t>Islak İmza</t>
        </is>
      </c>
      <c r="F149" s="6" t="inlineStr">
        <is>
          <t>Masaya bir yığın evrak kondu. Hepsi ıslak imza bekliyor. Kalem kurumaya, sen ıslanmaya hazırsın.</t>
        </is>
      </c>
      <c r="G149" s="5" t="inlineStr">
        <is>
          <t>devlet-dairesi</t>
        </is>
      </c>
      <c r="H149" s="5" t="inlineStr"/>
      <c r="I149" s="5" t="inlineStr"/>
      <c r="J149" s="5" t="inlineStr"/>
      <c r="K149" s="5" t="inlineStr">
        <is>
          <t>meslek-memur</t>
        </is>
      </c>
      <c r="L149" s="5" t="inlineStr"/>
      <c r="M149" s="5" t="inlineStr"/>
      <c r="N149" s="5" t="inlineStr"/>
      <c r="O149" s="5" t="inlineStr"/>
      <c r="P149" s="5" t="inlineStr"/>
      <c r="Q149" s="5" t="inlineStr"/>
      <c r="R149" s="6" t="inlineStr"/>
      <c r="S149" s="5" t="inlineStr"/>
      <c r="T149" s="5" t="inlineStr"/>
    </row>
    <row r="150">
      <c r="A150" s="5" t="inlineStr">
        <is>
          <t>ms-gorunurluk-teklifi</t>
        </is>
      </c>
      <c r="B150" s="5" t="n">
        <v>6</v>
      </c>
      <c r="C150" s="5" t="inlineStr">
        <is>
          <t>24 yaş</t>
        </is>
      </c>
      <c r="D150" s="5" t="inlineStr">
        <is>
          <t>👀</t>
        </is>
      </c>
      <c r="E150" s="6" t="inlineStr">
        <is>
          <t>Görünürlük Teklifi</t>
        </is>
      </c>
      <c r="F150" s="6" t="inlineStr">
        <is>
          <t>Tanınmış bir etkinlik şirketi yazdı: 'Bütçemiz yok ama size müthiş bir görünürlük sağlarız.'</t>
        </is>
      </c>
      <c r="G150" s="5" t="inlineStr">
        <is>
          <t>ev</t>
        </is>
      </c>
      <c r="H150" s="5" t="inlineStr"/>
      <c r="I150" s="5" t="inlineStr"/>
      <c r="J150" s="5" t="n">
        <v>1</v>
      </c>
      <c r="K150" s="5" t="inlineStr">
        <is>
          <t>meslek-serbest</t>
        </is>
      </c>
      <c r="L150" s="5" t="inlineStr"/>
      <c r="M150" s="5" t="inlineStr"/>
      <c r="N150" s="5" t="inlineStr"/>
      <c r="O150" s="5" t="inlineStr"/>
      <c r="P150" s="5" t="inlineStr"/>
      <c r="Q150" s="5" t="inlineStr"/>
      <c r="R150" s="6" t="inlineStr"/>
      <c r="S150" s="5" t="inlineStr"/>
      <c r="T150" s="5" t="inlineStr"/>
    </row>
    <row r="151">
      <c r="A151" s="5" t="inlineStr">
        <is>
          <t>b6-taki-butcesi</t>
        </is>
      </c>
      <c r="B151" s="5" t="n">
        <v>6</v>
      </c>
      <c r="C151" s="5" t="inlineStr">
        <is>
          <t>24 yaş 1 ay</t>
        </is>
      </c>
      <c r="D151" s="5" t="inlineStr">
        <is>
          <t>💌</t>
        </is>
      </c>
      <c r="E151" s="6" t="inlineStr">
        <is>
          <t>Takı Bütçesi</t>
        </is>
      </c>
      <c r="F151" s="6" t="inlineStr">
        <is>
          <t>Kapıda üç davetiye var. Üçü aynı ay. 'Takı bütçesi' ve 'kira' aynı cümlede kullanılmaya başlandı.</t>
        </is>
      </c>
      <c r="G151" s="5" t="inlineStr">
        <is>
          <t>carsi</t>
        </is>
      </c>
      <c r="H151" s="5" t="inlineStr"/>
      <c r="I151" s="5" t="inlineStr"/>
      <c r="J151" s="5" t="inlineStr"/>
      <c r="K151" s="5" t="inlineStr"/>
      <c r="L151" s="5" t="inlineStr"/>
      <c r="M151" s="5" t="inlineStr"/>
      <c r="N151" s="5" t="inlineStr"/>
      <c r="O151" s="5" t="inlineStr"/>
      <c r="P151" s="5" t="inlineStr"/>
      <c r="Q151" s="5" t="inlineStr"/>
      <c r="R151" s="6" t="inlineStr"/>
      <c r="S151" s="5" t="inlineStr"/>
      <c r="T151" s="5" t="inlineStr"/>
    </row>
    <row r="152">
      <c r="A152" s="5" t="inlineStr">
        <is>
          <t>b6-ilk-araba</t>
        </is>
      </c>
      <c r="B152" s="5" t="n">
        <v>6</v>
      </c>
      <c r="C152" s="5" t="inlineStr">
        <is>
          <t>24 yaş 4 ay</t>
        </is>
      </c>
      <c r="D152" s="5" t="inlineStr">
        <is>
          <t>🚙</t>
        </is>
      </c>
      <c r="E152" s="6" t="inlineStr">
        <is>
          <t>İkinci El Araba</t>
        </is>
      </c>
      <c r="F152" s="6" t="inlineStr">
        <is>
          <t>İlan: 'Sahibinden, garajda durdu, hiç boya yok.' Araba sana üç kez göz kırptı. Biri far, ikisi arıza lambası.</t>
        </is>
      </c>
      <c r="G152" s="5" t="inlineStr">
        <is>
          <t>trafik</t>
        </is>
      </c>
      <c r="H152" s="5" t="inlineStr"/>
      <c r="I152" s="5" t="inlineStr"/>
      <c r="J152" s="5" t="inlineStr"/>
      <c r="K152" s="5" t="inlineStr"/>
      <c r="L152" s="5" t="inlineStr"/>
      <c r="M152" s="5" t="inlineStr"/>
      <c r="N152" s="5" t="inlineStr"/>
      <c r="O152" s="5" t="inlineStr"/>
      <c r="P152" s="5" t="inlineStr"/>
      <c r="Q152" s="5" t="inlineStr"/>
      <c r="R152" s="6" t="inlineStr"/>
      <c r="S152" s="5" t="inlineStr"/>
      <c r="T152" s="5" t="inlineStr"/>
    </row>
    <row r="153">
      <c r="A153" s="5" t="inlineStr">
        <is>
          <t>b6-uzaktan-calisma</t>
        </is>
      </c>
      <c r="B153" s="5" t="n">
        <v>6</v>
      </c>
      <c r="C153" s="5" t="inlineStr">
        <is>
          <t>24 yaş 9 ay</t>
        </is>
      </c>
      <c r="D153" s="5" t="inlineStr">
        <is>
          <t>💻</t>
        </is>
      </c>
      <c r="E153" s="6" t="inlineStr">
        <is>
          <t>Uzaktan Çalışma</t>
        </is>
      </c>
      <c r="F153" s="6" t="inlineStr">
        <is>
          <t>Şirket uzaktan çalışmaya geçti. Ofisin artık yatağın. Kamera açık, altında pijama, arkada kuruyan çamaşırlar.</t>
        </is>
      </c>
      <c r="G153" s="5" t="inlineStr">
        <is>
          <t>ev</t>
        </is>
      </c>
      <c r="H153" s="5" t="inlineStr"/>
      <c r="I153" s="5" t="inlineStr"/>
      <c r="J153" s="5" t="inlineStr"/>
      <c r="K153" s="5" t="inlineStr"/>
      <c r="L153" s="5" t="inlineStr"/>
      <c r="M153" s="5" t="inlineStr"/>
      <c r="N153" s="5" t="inlineStr"/>
      <c r="O153" s="5" t="inlineStr"/>
      <c r="P153" s="5" t="inlineStr"/>
      <c r="Q153" s="5" t="inlineStr"/>
      <c r="R153" s="6" t="inlineStr"/>
      <c r="S153" s="5" t="inlineStr"/>
      <c r="T153" s="5" t="inlineStr"/>
    </row>
    <row r="154">
      <c r="A154" s="5" t="inlineStr">
        <is>
          <t>mb-kamera-kapali</t>
        </is>
      </c>
      <c r="B154" s="5" t="n">
        <v>6</v>
      </c>
      <c r="C154" s="5" t="inlineStr">
        <is>
          <t>25 yaş</t>
        </is>
      </c>
      <c r="D154" s="5" t="inlineStr">
        <is>
          <t>📹</t>
        </is>
      </c>
      <c r="E154" s="6" t="inlineStr">
        <is>
          <t>Kamera Kapalı</t>
        </is>
      </c>
      <c r="F154" s="6" t="inlineStr">
        <is>
          <t>Çevrim içi toplantı. Kameralar kapalı, mikrofonlar kapalı. Yöneticin adını söyledi. Pijamalısın.</t>
        </is>
      </c>
      <c r="G154" s="5" t="inlineStr">
        <is>
          <t>ev</t>
        </is>
      </c>
      <c r="H154" s="5" t="inlineStr"/>
      <c r="I154" s="5" t="inlineStr"/>
      <c r="J154" s="5" t="n">
        <v>1</v>
      </c>
      <c r="K154" s="5" t="inlineStr">
        <is>
          <t>meslek-beyazyaka</t>
        </is>
      </c>
      <c r="L154" s="5" t="inlineStr"/>
      <c r="M154" s="5" t="inlineStr"/>
      <c r="N154" s="5" t="inlineStr"/>
      <c r="O154" s="5" t="inlineStr"/>
      <c r="P154" s="5" t="inlineStr"/>
      <c r="Q154" s="5" t="inlineStr"/>
      <c r="R154" s="6" t="inlineStr"/>
      <c r="S154" s="5" t="inlineStr"/>
      <c r="T154" s="5" t="inlineStr"/>
    </row>
    <row r="155">
      <c r="A155" s="5" t="inlineStr">
        <is>
          <t>me-karsi-dukkan</t>
        </is>
      </c>
      <c r="B155" s="5" t="n">
        <v>6</v>
      </c>
      <c r="C155" s="5" t="inlineStr">
        <is>
          <t>25 yaş</t>
        </is>
      </c>
      <c r="D155" s="5" t="inlineStr">
        <is>
          <t>🎈</t>
        </is>
      </c>
      <c r="E155" s="6" t="inlineStr">
        <is>
          <t>Karşıya Aynısı Açıldı</t>
        </is>
      </c>
      <c r="F155" s="6" t="inlineStr">
        <is>
          <t>Tam karşına aynı işi yapan bir dükkân açıldı. Tabelası seninkinden büyük, açılış balonları seninkinden fazla.</t>
        </is>
      </c>
      <c r="G155" s="5" t="inlineStr">
        <is>
          <t>carsi</t>
        </is>
      </c>
      <c r="H155" s="5" t="inlineStr"/>
      <c r="I155" s="5" t="inlineStr"/>
      <c r="J155" s="5" t="inlineStr"/>
      <c r="K155" s="5" t="inlineStr">
        <is>
          <t>meslek-esnaf</t>
        </is>
      </c>
      <c r="L155" s="5" t="inlineStr"/>
      <c r="M155" s="5" t="inlineStr"/>
      <c r="N155" s="5" t="inlineStr"/>
      <c r="O155" s="5" t="inlineStr"/>
      <c r="P155" s="5" t="inlineStr"/>
      <c r="Q155" s="5" t="inlineStr"/>
      <c r="R155" s="6" t="inlineStr"/>
      <c r="S155" s="5" t="inlineStr"/>
      <c r="T155" s="5" t="inlineStr"/>
    </row>
    <row r="156">
      <c r="A156" s="5" t="inlineStr">
        <is>
          <t>mm-saat-1658</t>
        </is>
      </c>
      <c r="B156" s="5" t="n">
        <v>6</v>
      </c>
      <c r="C156" s="5" t="inlineStr">
        <is>
          <t>25 yaş</t>
        </is>
      </c>
      <c r="D156" s="5" t="inlineStr">
        <is>
          <t>🕔</t>
        </is>
      </c>
      <c r="E156" s="6" t="inlineStr">
        <is>
          <t>Saat 16.58</t>
        </is>
      </c>
      <c r="F156" s="6" t="inlineStr">
        <is>
          <t>Saat 16.58. Mesai 17.00'de bitiyor. Kapıdan elinde dosyayla bir vatandaş giriyor: 'Bir imza sadece.'</t>
        </is>
      </c>
      <c r="G156" s="5" t="inlineStr">
        <is>
          <t>devlet-dairesi</t>
        </is>
      </c>
      <c r="H156" s="5" t="inlineStr"/>
      <c r="I156" s="5" t="inlineStr"/>
      <c r="J156" s="5" t="inlineStr"/>
      <c r="K156" s="5" t="inlineStr">
        <is>
          <t>meslek-memur</t>
        </is>
      </c>
      <c r="L156" s="5" t="inlineStr"/>
      <c r="M156" s="5" t="inlineStr"/>
      <c r="N156" s="5" t="inlineStr"/>
      <c r="O156" s="5" t="inlineStr"/>
      <c r="P156" s="5" t="inlineStr"/>
      <c r="Q156" s="5" t="inlineStr"/>
      <c r="R156" s="6" t="inlineStr"/>
      <c r="S156" s="5" t="inlineStr"/>
      <c r="T156" s="5" t="inlineStr"/>
    </row>
    <row r="157">
      <c r="A157" s="5" t="inlineStr">
        <is>
          <t>b6-ev-sahibi-kavgasi</t>
        </is>
      </c>
      <c r="B157" s="5" t="n">
        <v>6</v>
      </c>
      <c r="C157" s="5" t="inlineStr">
        <is>
          <t>25 yaş 1 ay</t>
        </is>
      </c>
      <c r="D157" s="5" t="inlineStr">
        <is>
          <t>📜</t>
        </is>
      </c>
      <c r="E157" s="6" t="inlineStr">
        <is>
          <t>Kirayı Güncelleyelim</t>
        </is>
      </c>
      <c r="F157" s="6" t="inlineStr">
        <is>
          <t>Ev sahibi aradı: 'Kirayı biraz güncelleyelim.' Güncelleme neredeyse iki kat. Sözleşme bir kolide, koli bir dolapta.</t>
        </is>
      </c>
      <c r="G157" s="5" t="inlineStr">
        <is>
          <t>apartman</t>
        </is>
      </c>
      <c r="H157" s="5" t="inlineStr"/>
      <c r="I157" s="5" t="inlineStr"/>
      <c r="J157" s="5" t="inlineStr"/>
      <c r="K157" s="5" t="inlineStr"/>
      <c r="L157" s="5" t="inlineStr"/>
      <c r="M157" s="5" t="inlineStr"/>
      <c r="N157" s="5" t="inlineStr"/>
      <c r="O157" s="5" t="inlineStr"/>
      <c r="P157" s="5" t="inlineStr"/>
      <c r="Q157" s="5" t="inlineStr"/>
      <c r="R157" s="6" t="inlineStr"/>
      <c r="S157" s="5" t="inlineStr"/>
      <c r="T157" s="5" t="inlineStr"/>
    </row>
    <row r="158">
      <c r="A158" s="5" t="inlineStr">
        <is>
          <t>b6-kargo-takibi</t>
        </is>
      </c>
      <c r="B158" s="5" t="n">
        <v>6</v>
      </c>
      <c r="C158" s="5" t="inlineStr">
        <is>
          <t>25 yaş 4 ay</t>
        </is>
      </c>
      <c r="D158" s="5" t="inlineStr">
        <is>
          <t>📦</t>
        </is>
      </c>
      <c r="E158" s="6" t="inlineStr">
        <is>
          <t>Dağıtıma Çıktı</t>
        </is>
      </c>
      <c r="F158" s="6" t="inlineStr">
        <is>
          <t>Kargo üç gündür 'Dağıtıma çıktı'. Son hareket: 'Alıcı adreste bulunamadı.' Adrestesin. Kapıdasın. Pijamalısın.</t>
        </is>
      </c>
      <c r="G158" s="5" t="inlineStr">
        <is>
          <t>ev</t>
        </is>
      </c>
      <c r="H158" s="5" t="inlineStr"/>
      <c r="I158" s="5" t="inlineStr"/>
      <c r="J158" s="5" t="n">
        <v>1.5</v>
      </c>
      <c r="K158" s="5" t="inlineStr"/>
      <c r="L158" s="5" t="inlineStr"/>
      <c r="M158" s="5" t="inlineStr"/>
      <c r="N158" s="5" t="inlineStr"/>
      <c r="O158" s="5" t="inlineStr"/>
      <c r="P158" s="5" t="inlineStr"/>
      <c r="Q158" s="5" t="inlineStr"/>
      <c r="R158" s="6" t="inlineStr"/>
      <c r="S158" s="5" t="inlineStr"/>
      <c r="T158" s="5" t="inlineStr"/>
    </row>
    <row r="159">
      <c r="A159" s="5" t="inlineStr">
        <is>
          <t>ms-pijama-ekonomisi</t>
        </is>
      </c>
      <c r="B159" s="5" t="n">
        <v>6</v>
      </c>
      <c r="C159" s="5" t="inlineStr">
        <is>
          <t>25 yaş 6 ay</t>
        </is>
      </c>
      <c r="D159" s="5" t="inlineStr">
        <is>
          <t>🛋️</t>
        </is>
      </c>
      <c r="E159" s="6" t="inlineStr">
        <is>
          <t>Pijama Ekonomisi</t>
        </is>
      </c>
      <c r="F159" s="6" t="inlineStr">
        <is>
          <t>Ev ofistesin. Mesai saatin yok, bitişi de yok. Saat on beş, hâlâ pijamalısın ve bugün üç ayrı teslim tarihi var.</t>
        </is>
      </c>
      <c r="G159" s="5" t="inlineStr">
        <is>
          <t>ev</t>
        </is>
      </c>
      <c r="H159" s="5" t="inlineStr"/>
      <c r="I159" s="5" t="inlineStr"/>
      <c r="J159" s="5" t="n">
        <v>1</v>
      </c>
      <c r="K159" s="5" t="inlineStr">
        <is>
          <t>meslek-serbest</t>
        </is>
      </c>
      <c r="L159" s="5" t="inlineStr"/>
      <c r="M159" s="5" t="inlineStr"/>
      <c r="N159" s="5" t="inlineStr"/>
      <c r="O159" s="5" t="inlineStr"/>
      <c r="P159" s="5" t="inlineStr"/>
      <c r="Q159" s="5" t="inlineStr"/>
      <c r="R159" s="6" t="inlineStr"/>
      <c r="S159" s="5" t="inlineStr"/>
      <c r="T159" s="5" t="inlineStr"/>
    </row>
    <row r="160">
      <c r="A160" s="5" t="inlineStr">
        <is>
          <t>b6-ilk-vergi</t>
        </is>
      </c>
      <c r="B160" s="5" t="n">
        <v>6</v>
      </c>
      <c r="C160" s="5" t="inlineStr">
        <is>
          <t>25 yaş 8 ay</t>
        </is>
      </c>
      <c r="D160" s="5" t="inlineStr">
        <is>
          <t>🏛️</t>
        </is>
      </c>
      <c r="E160" s="6" t="inlineStr">
        <is>
          <t>İlk Vergi</t>
        </is>
      </c>
      <c r="F160" s="6" t="inlineStr">
        <is>
          <t>Vergi dairesinden bir yazı geldi. Konu: 'Bildirim.' İçinde üç sayfa, hiç cümle yok, sadece madde.</t>
        </is>
      </c>
      <c r="G160" s="5" t="inlineStr">
        <is>
          <t>devlet-dairesi</t>
        </is>
      </c>
      <c r="H160" s="5" t="inlineStr"/>
      <c r="I160" s="5" t="inlineStr"/>
      <c r="J160" s="5" t="inlineStr"/>
      <c r="K160" s="5" t="inlineStr"/>
      <c r="L160" s="5" t="inlineStr"/>
      <c r="M160" s="5" t="inlineStr"/>
      <c r="N160" s="5" t="inlineStr"/>
      <c r="O160" s="5" t="inlineStr"/>
      <c r="P160" s="5" t="inlineStr"/>
      <c r="Q160" s="5" t="inlineStr"/>
      <c r="R160" s="6" t="inlineStr"/>
      <c r="S160" s="5" t="inlineStr"/>
      <c r="T160" s="5" t="inlineStr"/>
    </row>
    <row r="161">
      <c r="A161" s="5" t="inlineStr">
        <is>
          <t>b6-kombi</t>
        </is>
      </c>
      <c r="B161" s="5" t="n">
        <v>6</v>
      </c>
      <c r="C161" s="5" t="inlineStr">
        <is>
          <t>26 yaş</t>
        </is>
      </c>
      <c r="D161" s="5" t="inlineStr">
        <is>
          <t>🛠️</t>
        </is>
      </c>
      <c r="E161" s="6" t="inlineStr">
        <is>
          <t>Kombi Arızası</t>
        </is>
      </c>
      <c r="F161" s="6" t="inlineStr">
        <is>
          <t>Kış ortası. Kombi bir arıza lambası yakıp sustu. Tamirci üç gün sonraya randevu verdi. Bir video 'Çok basit, iki vida' diyor.</t>
        </is>
      </c>
      <c r="G161" s="5" t="inlineStr">
        <is>
          <t>ev</t>
        </is>
      </c>
      <c r="H161" s="5" t="inlineStr"/>
      <c r="I161" s="5" t="inlineStr"/>
      <c r="J161" s="5" t="inlineStr"/>
      <c r="K161" s="5" t="inlineStr"/>
      <c r="L161" s="5" t="inlineStr"/>
      <c r="M161" s="5" t="inlineStr"/>
      <c r="N161" s="5" t="inlineStr"/>
      <c r="O161" s="5" t="inlineStr"/>
      <c r="P161" s="5" t="inlineStr"/>
      <c r="Q161" s="5" t="inlineStr"/>
      <c r="R161" s="6" t="inlineStr"/>
      <c r="S161" s="5" t="inlineStr"/>
      <c r="T161" s="5" t="inlineStr"/>
    </row>
    <row r="162">
      <c r="A162" s="5" t="inlineStr">
        <is>
          <t>b7-kira-artisi</t>
        </is>
      </c>
      <c r="B162" s="5" t="n">
        <v>7</v>
      </c>
      <c r="C162" s="5" t="inlineStr">
        <is>
          <t>26 yaş 3 ay</t>
        </is>
      </c>
      <c r="D162" s="5" t="inlineStr">
        <is>
          <t>🏠</t>
        </is>
      </c>
      <c r="E162" s="6" t="inlineStr">
        <is>
          <t>Kira Artışı</t>
        </is>
      </c>
      <c r="F162" s="6" t="inlineStr">
        <is>
          <t>Ev sahibi mesaj attı: 'Müsaitsen bir konuşalım.' Bu cümle tarih boyunca hiç iyi bir şeyle bitmedi.</t>
        </is>
      </c>
      <c r="G162" s="5" t="inlineStr">
        <is>
          <t>apartman</t>
        </is>
      </c>
      <c r="H162" s="5" t="inlineStr">
        <is>
          <t>para</t>
        </is>
      </c>
      <c r="I162" s="5" t="inlineStr"/>
      <c r="J162" s="5" t="n">
        <v>1</v>
      </c>
      <c r="K162" s="5" t="inlineStr"/>
      <c r="L162" s="5" t="inlineStr">
        <is>
          <t>ev-sahibi</t>
        </is>
      </c>
      <c r="M162" s="5" t="inlineStr"/>
      <c r="N162" s="5" t="inlineStr"/>
      <c r="O162" s="5" t="inlineStr"/>
      <c r="P162" s="5" t="inlineStr"/>
      <c r="Q162" s="5" t="inlineStr"/>
      <c r="R162" s="6" t="inlineStr"/>
      <c r="S162" s="5" t="inlineStr"/>
      <c r="T162" s="5" t="inlineStr"/>
    </row>
    <row r="163">
      <c r="A163" s="5" t="inlineStr">
        <is>
          <t>b7-eski-sinif-arkadasi</t>
        </is>
      </c>
      <c r="B163" s="5" t="n">
        <v>7</v>
      </c>
      <c r="C163" s="5" t="inlineStr">
        <is>
          <t>26 yaş 9 ay</t>
        </is>
      </c>
      <c r="D163" s="5" t="inlineStr">
        <is>
          <t>📱</t>
        </is>
      </c>
      <c r="E163" s="6" t="inlineStr">
        <is>
          <t>Eski Sınıf Arkadaşı</t>
        </is>
      </c>
      <c r="F163" s="6" t="inlineStr">
        <is>
          <t>Sınıfın en sessizi, kendi şirketinin açılış fotoğrafını paylaştı. Altında 400 tebrik var. Biri seninki olacak mı?</t>
        </is>
      </c>
      <c r="G163" s="5" t="inlineStr">
        <is>
          <t>kafe</t>
        </is>
      </c>
      <c r="H163" s="5" t="inlineStr">
        <is>
          <t>sosyal</t>
        </is>
      </c>
      <c r="I163" s="5" t="inlineStr"/>
      <c r="J163" s="5" t="n">
        <v>1</v>
      </c>
      <c r="K163" s="5" t="inlineStr"/>
      <c r="L163" s="5" t="inlineStr"/>
      <c r="M163" s="5" t="inlineStr"/>
      <c r="N163" s="5" t="inlineStr"/>
      <c r="O163" s="5" t="inlineStr"/>
      <c r="P163" s="5" t="inlineStr"/>
      <c r="Q163" s="5" t="inlineStr"/>
      <c r="R163" s="6" t="inlineStr"/>
      <c r="S163" s="5" t="inlineStr"/>
      <c r="T163" s="5" t="inlineStr"/>
    </row>
    <row r="164">
      <c r="A164" s="5" t="inlineStr">
        <is>
          <t>mb-eposta-yagmuru</t>
        </is>
      </c>
      <c r="B164" s="5" t="n">
        <v>7</v>
      </c>
      <c r="C164" s="5" t="inlineStr">
        <is>
          <t>27 yaş</t>
        </is>
      </c>
      <c r="D164" s="5" t="inlineStr">
        <is>
          <t>📧</t>
        </is>
      </c>
      <c r="E164" s="6" t="inlineStr">
        <is>
          <t>E-posta Yağmuru</t>
        </is>
      </c>
      <c r="F164" s="6" t="inlineStr">
        <is>
          <t>Tatilden döndün. Gelen kutunda bin dört yüz okunmamış e-posta var. Hepsinin konusunda 'ACİL' yazıyor.</t>
        </is>
      </c>
      <c r="G164" s="5" t="inlineStr">
        <is>
          <t>ofis</t>
        </is>
      </c>
      <c r="H164" s="5" t="inlineStr"/>
      <c r="I164" s="5" t="inlineStr"/>
      <c r="J164" s="5" t="n">
        <v>1</v>
      </c>
      <c r="K164" s="5" t="inlineStr">
        <is>
          <t>meslek-beyazyaka</t>
        </is>
      </c>
      <c r="L164" s="5" t="inlineStr"/>
      <c r="M164" s="5" t="inlineStr"/>
      <c r="N164" s="5" t="inlineStr"/>
      <c r="O164" s="5" t="inlineStr"/>
      <c r="P164" s="5" t="inlineStr"/>
      <c r="Q164" s="5" t="inlineStr"/>
      <c r="R164" s="6" t="inlineStr"/>
      <c r="S164" s="5" t="inlineStr"/>
      <c r="T164" s="5" t="inlineStr"/>
    </row>
    <row r="165">
      <c r="A165" s="5" t="inlineStr">
        <is>
          <t>me-kira-artisi</t>
        </is>
      </c>
      <c r="B165" s="5" t="n">
        <v>7</v>
      </c>
      <c r="C165" s="5" t="inlineStr">
        <is>
          <t>27 yaş</t>
        </is>
      </c>
      <c r="D165" s="5" t="inlineStr">
        <is>
          <t>🔑</t>
        </is>
      </c>
      <c r="E165" s="6" t="inlineStr">
        <is>
          <t>Dükkân Sahibinin Ziyareti</t>
        </is>
      </c>
      <c r="F165" s="6" t="inlineStr">
        <is>
          <t>Dükkân sahibi kapıda: 'Piyasa malum.' Piyasa malum değil ama rakam birazdan malum olacak.</t>
        </is>
      </c>
      <c r="G165" s="5" t="inlineStr">
        <is>
          <t>dukkan</t>
        </is>
      </c>
      <c r="H165" s="5" t="inlineStr"/>
      <c r="I165" s="5" t="inlineStr"/>
      <c r="J165" s="5" t="inlineStr"/>
      <c r="K165" s="5" t="inlineStr">
        <is>
          <t>meslek-esnaf</t>
        </is>
      </c>
      <c r="L165" s="5" t="inlineStr"/>
      <c r="M165" s="5" t="inlineStr"/>
      <c r="N165" s="5" t="inlineStr"/>
      <c r="O165" s="5" t="inlineStr"/>
      <c r="P165" s="5" t="inlineStr"/>
      <c r="Q165" s="5" t="inlineStr"/>
      <c r="R165" s="6" t="inlineStr"/>
      <c r="S165" s="5" t="inlineStr"/>
      <c r="T165" s="5" t="inlineStr"/>
    </row>
    <row r="166">
      <c r="A166" s="5" t="inlineStr">
        <is>
          <t>mm-yeni-mudur</t>
        </is>
      </c>
      <c r="B166" s="5" t="n">
        <v>7</v>
      </c>
      <c r="C166" s="5" t="inlineStr">
        <is>
          <t>27 yaş</t>
        </is>
      </c>
      <c r="D166" s="5" t="inlineStr">
        <is>
          <t>👔</t>
        </is>
      </c>
      <c r="E166" s="6" t="inlineStr">
        <is>
          <t>Yeni Müdür</t>
        </is>
      </c>
      <c r="F166" s="6" t="inlineStr">
        <is>
          <t>Eski müdürün tayini çıktı, yenisi geldi. İlk toplantıda 'Burada her şey değişecek' dedi. Değişen ilk şey kahve makinesinin yeri oldu.</t>
        </is>
      </c>
      <c r="G166" s="5" t="inlineStr">
        <is>
          <t>devlet-dairesi</t>
        </is>
      </c>
      <c r="H166" s="5" t="inlineStr"/>
      <c r="I166" s="5" t="inlineStr"/>
      <c r="J166" s="5" t="inlineStr"/>
      <c r="K166" s="5" t="inlineStr">
        <is>
          <t>meslek-memur</t>
        </is>
      </c>
      <c r="L166" s="5" t="inlineStr"/>
      <c r="M166" s="5" t="inlineStr"/>
      <c r="N166" s="5" t="inlineStr"/>
      <c r="O166" s="5" t="inlineStr"/>
      <c r="P166" s="5" t="inlineStr"/>
      <c r="Q166" s="5" t="inlineStr"/>
      <c r="R166" s="6" t="inlineStr"/>
      <c r="S166" s="5" t="inlineStr"/>
      <c r="T166" s="5" t="inlineStr"/>
    </row>
    <row r="167">
      <c r="A167" s="5" t="inlineStr">
        <is>
          <t>b7-trafik-cezasi</t>
        </is>
      </c>
      <c r="B167" s="5" t="n">
        <v>7</v>
      </c>
      <c r="C167" s="5" t="inlineStr">
        <is>
          <t>27 yaş 4 ay</t>
        </is>
      </c>
      <c r="D167" s="5" t="inlineStr">
        <is>
          <t>📸</t>
        </is>
      </c>
      <c r="E167" s="6" t="inlineStr">
        <is>
          <t>Kırmızı Işık Tartışması</t>
        </is>
      </c>
      <c r="F167" s="6" t="inlineStr">
        <is>
          <t>Postadan bir zarf geldi: bir fotoğrafın var. Işık kırmızı. Sen çok ciddi görünüyorsun.</t>
        </is>
      </c>
      <c r="G167" s="5" t="inlineStr">
        <is>
          <t>trafik</t>
        </is>
      </c>
      <c r="H167" s="5" t="inlineStr">
        <is>
          <t>para</t>
        </is>
      </c>
      <c r="I167" s="5" t="inlineStr"/>
      <c r="J167" s="5" t="n">
        <v>1</v>
      </c>
      <c r="K167" s="5" t="inlineStr"/>
      <c r="L167" s="5" t="inlineStr"/>
      <c r="M167" s="5" t="inlineStr"/>
      <c r="N167" s="5" t="inlineStr"/>
      <c r="O167" s="5" t="inlineStr"/>
      <c r="P167" s="5" t="inlineStr"/>
      <c r="Q167" s="5" t="inlineStr"/>
      <c r="R167" s="6" t="inlineStr"/>
      <c r="S167" s="5" t="inlineStr"/>
      <c r="T167" s="5" t="inlineStr"/>
    </row>
    <row r="168">
      <c r="A168" s="5" t="inlineStr">
        <is>
          <t>ms-fatura-kovalamaca</t>
        </is>
      </c>
      <c r="B168" s="5" t="n">
        <v>7</v>
      </c>
      <c r="C168" s="5" t="inlineStr">
        <is>
          <t>27 yaş 6 ay</t>
        </is>
      </c>
      <c r="D168" s="5" t="inlineStr">
        <is>
          <t>🧾</t>
        </is>
      </c>
      <c r="E168" s="6" t="inlineStr">
        <is>
          <t>Fatura Kovalamacası</t>
        </is>
      </c>
      <c r="F168" s="6" t="inlineStr">
        <is>
          <t>Faturayı keseli altmış gün oldu. Muhasebe 'Sistemde onay bekliyor' diyor. Sistemin kim olduğu bilinmiyor.</t>
        </is>
      </c>
      <c r="G168" s="5" t="inlineStr">
        <is>
          <t>ev</t>
        </is>
      </c>
      <c r="H168" s="5" t="inlineStr"/>
      <c r="I168" s="5" t="inlineStr"/>
      <c r="J168" s="5" t="n">
        <v>1</v>
      </c>
      <c r="K168" s="5" t="inlineStr">
        <is>
          <t>meslek-serbest</t>
        </is>
      </c>
      <c r="L168" s="5" t="inlineStr"/>
      <c r="M168" s="5" t="inlineStr"/>
      <c r="N168" s="5" t="inlineStr"/>
      <c r="O168" s="5" t="inlineStr"/>
      <c r="P168" s="5" t="inlineStr"/>
      <c r="Q168" s="5" t="inlineStr"/>
      <c r="R168" s="6" t="inlineStr"/>
      <c r="S168" s="5" t="inlineStr"/>
      <c r="T168" s="5" t="inlineStr"/>
    </row>
    <row r="169">
      <c r="A169" s="5" t="inlineStr">
        <is>
          <t>b7-araba-alma</t>
        </is>
      </c>
      <c r="B169" s="5" t="n">
        <v>7</v>
      </c>
      <c r="C169" s="5" t="inlineStr">
        <is>
          <t>27 yaş 10 ay</t>
        </is>
      </c>
      <c r="D169" s="5" t="inlineStr">
        <is>
          <t>🚗</t>
        </is>
      </c>
      <c r="E169" s="6" t="inlineStr">
        <is>
          <t>İkinci El Araba</t>
        </is>
      </c>
      <c r="F169" s="6" t="inlineStr">
        <is>
          <t>İlanda 'hanımefendi aracı, garaj arabası, keyif için satılık' yazıyor. Satıcı üç ayrı ilanda aynı cümleyi kullanmış.</t>
        </is>
      </c>
      <c r="G169" s="5" t="inlineStr">
        <is>
          <t>carsi</t>
        </is>
      </c>
      <c r="H169" s="5" t="inlineStr">
        <is>
          <t>para</t>
        </is>
      </c>
      <c r="I169" s="5" t="inlineStr"/>
      <c r="J169" s="5" t="n">
        <v>1</v>
      </c>
      <c r="K169" s="5" t="inlineStr"/>
      <c r="L169" s="5" t="inlineStr"/>
      <c r="M169" s="5" t="inlineStr"/>
      <c r="N169" s="5" t="inlineStr"/>
      <c r="O169" s="5" t="inlineStr"/>
      <c r="P169" s="5" t="inlineStr"/>
      <c r="Q169" s="5" t="inlineStr"/>
      <c r="R169" s="6" t="inlineStr"/>
      <c r="S169" s="5" t="inlineStr"/>
      <c r="T169" s="5" t="inlineStr"/>
    </row>
    <row r="170">
      <c r="A170" s="5" t="inlineStr">
        <is>
          <t>b7-ne-zaman-evleneceksin</t>
        </is>
      </c>
      <c r="B170" s="5" t="n">
        <v>7</v>
      </c>
      <c r="C170" s="5" t="inlineStr">
        <is>
          <t>28 yaş</t>
        </is>
      </c>
      <c r="D170" s="5" t="inlineStr">
        <is>
          <t>💬</t>
        </is>
      </c>
      <c r="E170" s="6" t="inlineStr">
        <is>
          <t>Ne Zaman Evleneceksin?</t>
        </is>
      </c>
      <c r="F170" s="6" t="inlineStr">
        <is>
          <t>Kuzeninin düğünü. Masaya gelen her akraba aynı soruyu, farklı bir tonda soruyor.</t>
        </is>
      </c>
      <c r="G170" s="5" t="inlineStr">
        <is>
          <t>dugun-salonu</t>
        </is>
      </c>
      <c r="H170" s="5" t="inlineStr">
        <is>
          <t>sosyal</t>
        </is>
      </c>
      <c r="I170" s="5" t="inlineStr"/>
      <c r="J170" s="5" t="n">
        <v>1</v>
      </c>
      <c r="K170" s="5" t="inlineStr"/>
      <c r="L170" s="5" t="inlineStr">
        <is>
          <t>evli</t>
        </is>
      </c>
      <c r="M170" s="5" t="inlineStr"/>
      <c r="N170" s="5" t="inlineStr"/>
      <c r="O170" s="5" t="inlineStr"/>
      <c r="P170" s="5" t="inlineStr"/>
      <c r="Q170" s="5" t="inlineStr"/>
      <c r="R170" s="6" t="inlineStr"/>
      <c r="S170" s="5" t="inlineStr"/>
      <c r="T170" s="5" t="inlineStr"/>
    </row>
    <row r="171">
      <c r="A171" s="5" t="inlineStr">
        <is>
          <t>b7-flort-uygulamasi</t>
        </is>
      </c>
      <c r="B171" s="5" t="n">
        <v>7</v>
      </c>
      <c r="C171" s="5" t="inlineStr">
        <is>
          <t>28 yaş 6 ay</t>
        </is>
      </c>
      <c r="D171" s="5" t="inlineStr">
        <is>
          <t>💘</t>
        </is>
      </c>
      <c r="E171" s="6" t="inlineStr">
        <is>
          <t>Flört Uygulaması Yorgunluğu</t>
        </is>
      </c>
      <c r="F171" s="6" t="inlineStr">
        <is>
          <t>Uygulamayı dördüncü kez yükledin. Profil fotoğrafın aynı. İnsanlar aynı. 'Seyahat etmeyi seviyorum' yazısı aynı.</t>
        </is>
      </c>
      <c r="G171" s="5" t="inlineStr">
        <is>
          <t>ev</t>
        </is>
      </c>
      <c r="H171" s="5" t="inlineStr"/>
      <c r="I171" s="5" t="inlineStr"/>
      <c r="J171" s="5" t="n">
        <v>1</v>
      </c>
      <c r="K171" s="5" t="inlineStr"/>
      <c r="L171" s="5" t="inlineStr">
        <is>
          <t>evli</t>
        </is>
      </c>
      <c r="M171" s="5" t="inlineStr"/>
      <c r="N171" s="5" t="inlineStr"/>
      <c r="O171" s="5" t="inlineStr"/>
      <c r="P171" s="5" t="inlineStr"/>
      <c r="Q171" s="5" t="inlineStr"/>
      <c r="R171" s="6" t="inlineStr"/>
      <c r="S171" s="5" t="inlineStr"/>
      <c r="T171" s="5" t="inlineStr"/>
    </row>
    <row r="172">
      <c r="A172" s="5" t="inlineStr">
        <is>
          <t>b7-evlilik-karari</t>
        </is>
      </c>
      <c r="B172" s="5" t="n">
        <v>7</v>
      </c>
      <c r="C172" s="5" t="inlineStr">
        <is>
          <t>29 yaş</t>
        </is>
      </c>
      <c r="D172" s="5" t="inlineStr">
        <is>
          <t>💍</t>
        </is>
      </c>
      <c r="E172" s="6" t="inlineStr">
        <is>
          <t>Evlilik Kararı</t>
        </is>
      </c>
      <c r="F172" s="6" t="inlineStr">
        <is>
          <t>Partnerin kahvesini bıraktı: 'Biz bu işi ne yapacağız?' Soru retorik değil. Takvim de değil.</t>
        </is>
      </c>
      <c r="G172" s="5" t="inlineStr">
        <is>
          <t>kafe</t>
        </is>
      </c>
      <c r="H172" s="5" t="inlineStr">
        <is>
          <t>sosyal</t>
        </is>
      </c>
      <c r="I172" s="5" t="inlineStr">
        <is>
          <t>E</t>
        </is>
      </c>
      <c r="J172" s="5" t="n">
        <v>1</v>
      </c>
      <c r="K172" s="5" t="inlineStr"/>
      <c r="L172" s="5" t="inlineStr"/>
      <c r="M172" s="5" t="inlineStr"/>
      <c r="N172" s="5" t="inlineStr"/>
      <c r="O172" s="5" t="inlineStr"/>
      <c r="P172" s="5" t="inlineStr"/>
      <c r="Q172" s="5" t="n">
        <v>7</v>
      </c>
      <c r="R172" s="6" t="inlineStr">
        <is>
          <t>Bir soru masaya kondu ve kalkmayacak. Buradan ya bir düğün salonuna ya da çok uzun bir “ne zaman?” sorusuna yürüyeceksin.</t>
        </is>
      </c>
      <c r="S172" s="5" t="inlineStr">
        <is>
          <t>Evlilik</t>
        </is>
      </c>
      <c r="T172" s="5" t="inlineStr">
        <is>
          <t>Bekârlık</t>
        </is>
      </c>
    </row>
    <row r="173">
      <c r="A173" s="5" t="inlineStr">
        <is>
          <t>mb-performans-karti</t>
        </is>
      </c>
      <c r="B173" s="5" t="n">
        <v>7</v>
      </c>
      <c r="C173" s="5" t="inlineStr">
        <is>
          <t>29 yaş</t>
        </is>
      </c>
      <c r="D173" s="5" t="inlineStr">
        <is>
          <t>📊</t>
        </is>
      </c>
      <c r="E173" s="6" t="inlineStr">
        <is>
          <t>Performans Değerlendirmesi</t>
        </is>
      </c>
      <c r="F173" s="6" t="inlineStr">
        <is>
          <t>Yıllık değerlendirme. Hedef kartında 'Sinerjiyi çeviklikle ölçeklendirmek' yazıyor. Kimse ne demek olduğunu bilmiyor.</t>
        </is>
      </c>
      <c r="G173" s="5" t="inlineStr">
        <is>
          <t>ofis</t>
        </is>
      </c>
      <c r="H173" s="5" t="inlineStr"/>
      <c r="I173" s="5" t="inlineStr"/>
      <c r="J173" s="5" t="n">
        <v>1</v>
      </c>
      <c r="K173" s="5" t="inlineStr">
        <is>
          <t>meslek-beyazyaka</t>
        </is>
      </c>
      <c r="L173" s="5" t="inlineStr"/>
      <c r="M173" s="5" t="inlineStr"/>
      <c r="N173" s="5" t="inlineStr"/>
      <c r="O173" s="5" t="inlineStr"/>
      <c r="P173" s="5" t="inlineStr"/>
      <c r="Q173" s="5" t="inlineStr"/>
      <c r="R173" s="6" t="inlineStr"/>
      <c r="S173" s="5" t="inlineStr"/>
      <c r="T173" s="5" t="inlineStr"/>
    </row>
    <row r="174">
      <c r="A174" s="5" t="inlineStr">
        <is>
          <t>me-zabita-denetimi</t>
        </is>
      </c>
      <c r="B174" s="5" t="n">
        <v>7</v>
      </c>
      <c r="C174" s="5" t="inlineStr">
        <is>
          <t>29 yaş</t>
        </is>
      </c>
      <c r="D174" s="5" t="inlineStr">
        <is>
          <t>📏</t>
        </is>
      </c>
      <c r="E174" s="6" t="inlineStr">
        <is>
          <t>Zabıta Denetimi</t>
        </is>
      </c>
      <c r="F174" s="6" t="inlineStr">
        <is>
          <t>Zabıta çarşıda. Kaldırıma taşan kasalar, tabelanın boyu ve tentenin gölgesi ölçülüyor. Gölgenin de yönetmeliği varmış.</t>
        </is>
      </c>
      <c r="G174" s="5" t="inlineStr">
        <is>
          <t>carsi</t>
        </is>
      </c>
      <c r="H174" s="5" t="inlineStr"/>
      <c r="I174" s="5" t="inlineStr"/>
      <c r="J174" s="5" t="inlineStr"/>
      <c r="K174" s="5" t="inlineStr">
        <is>
          <t>meslek-esnaf</t>
        </is>
      </c>
      <c r="L174" s="5" t="inlineStr"/>
      <c r="M174" s="5" t="inlineStr"/>
      <c r="N174" s="5" t="inlineStr"/>
      <c r="O174" s="5" t="inlineStr"/>
      <c r="P174" s="5" t="inlineStr"/>
      <c r="Q174" s="5" t="inlineStr"/>
      <c r="R174" s="6" t="inlineStr"/>
      <c r="S174" s="5" t="inlineStr"/>
      <c r="T174" s="5" t="inlineStr"/>
    </row>
    <row r="175">
      <c r="A175" s="5" t="inlineStr">
        <is>
          <t>b7-dugun-takilari</t>
        </is>
      </c>
      <c r="B175" s="5" t="n">
        <v>7</v>
      </c>
      <c r="C175" s="5" t="inlineStr">
        <is>
          <t>29 yaş 1 ay</t>
        </is>
      </c>
      <c r="D175" s="5" t="inlineStr">
        <is>
          <t>🪙</t>
        </is>
      </c>
      <c r="E175" s="6" t="inlineStr">
        <is>
          <t>Takı Merasimi</t>
        </is>
      </c>
      <c r="F175" s="6" t="inlineStr">
        <is>
          <t>Sahnede duruyorsun. Önünde yüz kişilik bir kuyruk, arkanda takı defterini tutan bir amca. Her şey kayıt altında.</t>
        </is>
      </c>
      <c r="G175" s="5" t="inlineStr">
        <is>
          <t>dugun-salonu</t>
        </is>
      </c>
      <c r="H175" s="5" t="inlineStr">
        <is>
          <t>para</t>
        </is>
      </c>
      <c r="I175" s="5" t="inlineStr"/>
      <c r="J175" s="5" t="n">
        <v>1</v>
      </c>
      <c r="K175" s="5" t="inlineStr">
        <is>
          <t>evli</t>
        </is>
      </c>
      <c r="L175" s="5" t="inlineStr"/>
      <c r="M175" s="5" t="inlineStr"/>
      <c r="N175" s="5" t="inlineStr"/>
      <c r="O175" s="5" t="inlineStr"/>
      <c r="P175" s="5" t="inlineStr"/>
      <c r="Q175" s="5" t="inlineStr"/>
      <c r="R175" s="6" t="inlineStr"/>
      <c r="S175" s="5" t="inlineStr"/>
      <c r="T175" s="5" t="inlineStr"/>
    </row>
    <row r="176">
      <c r="A176" s="5" t="inlineStr">
        <is>
          <t>b7-balayi</t>
        </is>
      </c>
      <c r="B176" s="5" t="n">
        <v>7</v>
      </c>
      <c r="C176" s="5" t="inlineStr">
        <is>
          <t>29 yaş 3 ay</t>
        </is>
      </c>
      <c r="D176" s="5" t="inlineStr">
        <is>
          <t>🏝️</t>
        </is>
      </c>
      <c r="E176" s="6" t="inlineStr">
        <is>
          <t>Balayı</t>
        </is>
      </c>
      <c r="F176" s="6" t="inlineStr">
        <is>
          <t>Her şey dahil otel. Bilekliğin turuncu. Bu, açık büfeye sınırsız giriş ama spa'ya sınırlı sempati anlamına geliyor.</t>
        </is>
      </c>
      <c r="G176" s="5" t="inlineStr">
        <is>
          <t>sahil</t>
        </is>
      </c>
      <c r="H176" s="5" t="inlineStr"/>
      <c r="I176" s="5" t="inlineStr"/>
      <c r="J176" s="5" t="n">
        <v>1</v>
      </c>
      <c r="K176" s="5" t="inlineStr">
        <is>
          <t>evli</t>
        </is>
      </c>
      <c r="L176" s="5" t="inlineStr"/>
      <c r="M176" s="5" t="inlineStr"/>
      <c r="N176" s="5" t="inlineStr"/>
      <c r="O176" s="5" t="inlineStr"/>
      <c r="P176" s="5" t="inlineStr"/>
      <c r="Q176" s="5" t="inlineStr"/>
      <c r="R176" s="6" t="inlineStr"/>
      <c r="S176" s="5" t="inlineStr"/>
      <c r="T176" s="5" t="inlineStr"/>
    </row>
    <row r="177">
      <c r="A177" s="5" t="inlineStr">
        <is>
          <t>ms-acilis-gecesi</t>
        </is>
      </c>
      <c r="B177" s="5" t="n">
        <v>7</v>
      </c>
      <c r="C177" s="5" t="inlineStr">
        <is>
          <t>29 yaş 6 ay</t>
        </is>
      </c>
      <c r="D177" s="5" t="inlineStr">
        <is>
          <t>🖼️</t>
        </is>
      </c>
      <c r="E177" s="6" t="inlineStr">
        <is>
          <t>Açılış Gecesi</t>
        </is>
      </c>
      <c r="F177" s="6" t="inlineStr">
        <is>
          <t>İlk kişisel sergin açıldı. İkramlar dizildi. Gelenler: annen, eski ev arkadaşın ve yanlış kapıya girmiş bir kurye.</t>
        </is>
      </c>
      <c r="G177" s="5" t="inlineStr">
        <is>
          <t>sahne</t>
        </is>
      </c>
      <c r="H177" s="5" t="inlineStr"/>
      <c r="I177" s="5" t="inlineStr"/>
      <c r="J177" s="5" t="n">
        <v>1</v>
      </c>
      <c r="K177" s="5" t="inlineStr">
        <is>
          <t>meslek-serbest</t>
        </is>
      </c>
      <c r="L177" s="5" t="inlineStr"/>
      <c r="M177" s="5" t="inlineStr"/>
      <c r="N177" s="5" t="inlineStr"/>
      <c r="O177" s="5" t="inlineStr"/>
      <c r="P177" s="5" t="inlineStr"/>
      <c r="Q177" s="5" t="inlineStr"/>
      <c r="R177" s="6" t="inlineStr"/>
      <c r="S177" s="5" t="inlineStr"/>
      <c r="T177" s="5" t="inlineStr"/>
    </row>
    <row r="178">
      <c r="A178" s="5" t="inlineStr">
        <is>
          <t>b7-bulasik-makinesi</t>
        </is>
      </c>
      <c r="B178" s="5" t="n">
        <v>7</v>
      </c>
      <c r="C178" s="5" t="inlineStr">
        <is>
          <t>29 yaş 8 ay</t>
        </is>
      </c>
      <c r="D178" s="5" t="inlineStr">
        <is>
          <t>🍽️</t>
        </is>
      </c>
      <c r="E178" s="6" t="inlineStr">
        <is>
          <t>Bulaşık Makinesi Nasıl Dizilir</t>
        </is>
      </c>
      <c r="F178" s="6" t="inlineStr">
        <is>
          <t>İlk büyük kavga. Konu: tabaklar. Eşin makineyi açtı, dizdiğin rafa baktı ve derin bir nefes aldı.</t>
        </is>
      </c>
      <c r="G178" s="5" t="inlineStr">
        <is>
          <t>mutfak</t>
        </is>
      </c>
      <c r="H178" s="5" t="inlineStr">
        <is>
          <t>ev</t>
        </is>
      </c>
      <c r="I178" s="5" t="inlineStr"/>
      <c r="J178" s="5" t="n">
        <v>1</v>
      </c>
      <c r="K178" s="5" t="inlineStr">
        <is>
          <t>evli</t>
        </is>
      </c>
      <c r="L178" s="5" t="inlineStr"/>
      <c r="M178" s="5" t="inlineStr"/>
      <c r="N178" s="5" t="inlineStr"/>
      <c r="O178" s="5" t="inlineStr"/>
      <c r="P178" s="5" t="inlineStr"/>
      <c r="Q178" s="5" t="inlineStr"/>
      <c r="R178" s="6" t="inlineStr"/>
      <c r="S178" s="5" t="inlineStr"/>
      <c r="T178" s="5" t="inlineStr"/>
    </row>
    <row r="179">
      <c r="A179" s="5" t="inlineStr">
        <is>
          <t>mm-sistem-coktu</t>
        </is>
      </c>
      <c r="B179" s="5" t="n">
        <v>7</v>
      </c>
      <c r="C179" s="5" t="inlineStr">
        <is>
          <t>30 yaş</t>
        </is>
      </c>
      <c r="D179" s="5" t="inlineStr">
        <is>
          <t>💻</t>
        </is>
      </c>
      <c r="E179" s="6" t="inlineStr">
        <is>
          <t>Yeni Sistem Çöktü</t>
        </is>
      </c>
      <c r="F179" s="6" t="inlineStr">
        <is>
          <t>Kurumun yeni dijital sistemi devreye girdi ve on bir dakika sonra çöktü. Ekranda 'Lütfen daha sonra tekrar deneyiniz' yazıyor. Sıra kapıya kadar.</t>
        </is>
      </c>
      <c r="G179" s="5" t="inlineStr">
        <is>
          <t>devlet-dairesi</t>
        </is>
      </c>
      <c r="H179" s="5" t="inlineStr"/>
      <c r="I179" s="5" t="inlineStr"/>
      <c r="J179" s="5" t="inlineStr"/>
      <c r="K179" s="5" t="inlineStr">
        <is>
          <t>meslek-memur</t>
        </is>
      </c>
      <c r="L179" s="5" t="inlineStr"/>
      <c r="M179" s="5" t="inlineStr"/>
      <c r="N179" s="5" t="inlineStr"/>
      <c r="O179" s="5" t="inlineStr"/>
      <c r="P179" s="5" t="inlineStr"/>
      <c r="Q179" s="5" t="inlineStr"/>
      <c r="R179" s="6" t="inlineStr"/>
      <c r="S179" s="5" t="inlineStr"/>
      <c r="T179" s="5" t="inlineStr"/>
    </row>
    <row r="180">
      <c r="A180" s="5" t="inlineStr">
        <is>
          <t>b7-kayinvalide</t>
        </is>
      </c>
      <c r="B180" s="5" t="n">
        <v>7</v>
      </c>
      <c r="C180" s="5" t="inlineStr">
        <is>
          <t>30 yaş 2 ay</t>
        </is>
      </c>
      <c r="D180" s="5" t="inlineStr">
        <is>
          <t>🫖</t>
        </is>
      </c>
      <c r="E180" s="6" t="inlineStr">
        <is>
          <t>Pazar Kahvaltısı</t>
        </is>
      </c>
      <c r="F180" s="6" t="inlineStr">
        <is>
          <t>Eşinin ailesi kahvaltıya geldi. Kayınvalide menemeni tattı, çatalı bıraktı ve 'Hmm' dedi. Hepsi bu.</t>
        </is>
      </c>
      <c r="G180" s="5" t="inlineStr">
        <is>
          <t>ev</t>
        </is>
      </c>
      <c r="H180" s="5" t="inlineStr">
        <is>
          <t>ev</t>
        </is>
      </c>
      <c r="I180" s="5" t="inlineStr"/>
      <c r="J180" s="5" t="n">
        <v>1</v>
      </c>
      <c r="K180" s="5" t="inlineStr">
        <is>
          <t>evli</t>
        </is>
      </c>
      <c r="L180" s="5" t="inlineStr"/>
      <c r="M180" s="5" t="inlineStr"/>
      <c r="N180" s="5" t="inlineStr"/>
      <c r="O180" s="5" t="inlineStr"/>
      <c r="P180" s="5" t="inlineStr"/>
      <c r="Q180" s="5" t="inlineStr"/>
      <c r="R180" s="6" t="inlineStr"/>
      <c r="S180" s="5" t="inlineStr"/>
      <c r="T180" s="5" t="inlineStr"/>
    </row>
    <row r="181">
      <c r="A181" s="5" t="inlineStr">
        <is>
          <t>b7-akraba-tanisma</t>
        </is>
      </c>
      <c r="B181" s="5" t="n">
        <v>7</v>
      </c>
      <c r="C181" s="5" t="inlineStr">
        <is>
          <t>30 yaş 4 ay</t>
        </is>
      </c>
      <c r="D181" s="5" t="inlineStr">
        <is>
          <t>☕</t>
        </is>
      </c>
      <c r="E181" s="6" t="inlineStr">
        <is>
          <t>Ayarlanmış Tanışma</t>
        </is>
      </c>
      <c r="F181" s="6" t="inlineStr">
        <is>
          <t>Teyzen 'Tesadüfen komşumun yeğeni de gelecek' dedi. Masada iki fincan, iki teyze ve hiç tesadüf yok.</t>
        </is>
      </c>
      <c r="G181" s="5" t="inlineStr">
        <is>
          <t>kafe</t>
        </is>
      </c>
      <c r="H181" s="5" t="inlineStr">
        <is>
          <t>sosyal</t>
        </is>
      </c>
      <c r="I181" s="5" t="inlineStr"/>
      <c r="J181" s="5" t="n">
        <v>1</v>
      </c>
      <c r="K181" s="5" t="inlineStr"/>
      <c r="L181" s="5" t="inlineStr">
        <is>
          <t>evli</t>
        </is>
      </c>
      <c r="M181" s="5" t="inlineStr"/>
      <c r="N181" s="5" t="inlineStr"/>
      <c r="O181" s="5" t="inlineStr"/>
      <c r="P181" s="5" t="inlineStr"/>
      <c r="Q181" s="5" t="inlineStr"/>
      <c r="R181" s="6" t="inlineStr"/>
      <c r="S181" s="5" t="inlineStr"/>
      <c r="T181" s="5" t="inlineStr"/>
    </row>
    <row r="182">
      <c r="A182" s="5" t="inlineStr">
        <is>
          <t>b7-ortak-hesap</t>
        </is>
      </c>
      <c r="B182" s="5" t="n">
        <v>7</v>
      </c>
      <c r="C182" s="5" t="inlineStr">
        <is>
          <t>30 yaş 7 ay</t>
        </is>
      </c>
      <c r="D182" s="5" t="inlineStr">
        <is>
          <t>🏦</t>
        </is>
      </c>
      <c r="E182" s="6" t="inlineStr">
        <is>
          <t>Ortak Hesap</t>
        </is>
      </c>
      <c r="F182" s="6" t="inlineStr">
        <is>
          <t>Bankada ortak hesap açılıyor. Temsilci soruyor: 'Harcama bildirimleri ikinize de gitsin mi?' Oda bir an sessiz.</t>
        </is>
      </c>
      <c r="G182" s="5" t="inlineStr">
        <is>
          <t>banka</t>
        </is>
      </c>
      <c r="H182" s="5" t="inlineStr">
        <is>
          <t>para</t>
        </is>
      </c>
      <c r="I182" s="5" t="inlineStr"/>
      <c r="J182" s="5" t="n">
        <v>1</v>
      </c>
      <c r="K182" s="5" t="inlineStr">
        <is>
          <t>evli</t>
        </is>
      </c>
      <c r="L182" s="5" t="inlineStr"/>
      <c r="M182" s="5" t="inlineStr"/>
      <c r="N182" s="5" t="inlineStr"/>
      <c r="O182" s="5" t="inlineStr"/>
      <c r="P182" s="5" t="inlineStr"/>
      <c r="Q182" s="5" t="inlineStr"/>
      <c r="R182" s="6" t="inlineStr"/>
      <c r="S182" s="5" t="inlineStr"/>
      <c r="T182" s="5" t="inlineStr"/>
    </row>
    <row r="183">
      <c r="A183" s="5" t="inlineStr">
        <is>
          <t>b7-spor-salonu</t>
        </is>
      </c>
      <c r="B183" s="5" t="n">
        <v>7</v>
      </c>
      <c r="C183" s="5" t="inlineStr">
        <is>
          <t>31 yaş</t>
        </is>
      </c>
      <c r="D183" s="5" t="inlineStr">
        <is>
          <t>🏋️</t>
        </is>
      </c>
      <c r="E183" s="6" t="inlineStr">
        <is>
          <t>Yıllık Üyelik</t>
        </is>
      </c>
      <c r="F183" s="6" t="inlineStr">
        <is>
          <t>Salon yıllık üyelikte büyük indirim yapıyor. Eğitmen, karın kaslarını sana göstermeden konuşmayı bitiremiyor.</t>
        </is>
      </c>
      <c r="G183" s="5" t="inlineStr">
        <is>
          <t>sokak</t>
        </is>
      </c>
      <c r="H183" s="5" t="inlineStr"/>
      <c r="I183" s="5" t="inlineStr"/>
      <c r="J183" s="5" t="n">
        <v>1</v>
      </c>
      <c r="K183" s="5" t="inlineStr"/>
      <c r="L183" s="5" t="inlineStr"/>
      <c r="M183" s="5" t="inlineStr"/>
      <c r="N183" s="5" t="inlineStr"/>
      <c r="O183" s="5" t="inlineStr"/>
      <c r="P183" s="5" t="inlineStr"/>
      <c r="Q183" s="5" t="inlineStr"/>
      <c r="R183" s="6" t="inlineStr"/>
      <c r="S183" s="5" t="inlineStr"/>
      <c r="T183" s="5" t="inlineStr"/>
    </row>
    <row r="184">
      <c r="A184" s="5" t="inlineStr">
        <is>
          <t>ms-viral</t>
        </is>
      </c>
      <c r="B184" s="5" t="n">
        <v>7</v>
      </c>
      <c r="C184" s="5" t="inlineStr">
        <is>
          <t>31 yaş</t>
        </is>
      </c>
      <c r="D184" s="5" t="inlineStr">
        <is>
          <t>📱</t>
        </is>
      </c>
      <c r="E184" s="6" t="inlineStr">
        <is>
          <t>Bir Anda Viral</t>
        </is>
      </c>
      <c r="F184" s="6" t="inlineStr">
        <is>
          <t>Sokakta yaptığın beş dakikalık performans kısa video uygulamasında iki milyon kez izlendi. Yorumlar: 'Kim bu?' ve 'Bunu ben de yaparım.'</t>
        </is>
      </c>
      <c r="G184" s="5" t="inlineStr">
        <is>
          <t>sokak</t>
        </is>
      </c>
      <c r="H184" s="5" t="inlineStr"/>
      <c r="I184" s="5" t="inlineStr"/>
      <c r="J184" s="5" t="n">
        <v>1</v>
      </c>
      <c r="K184" s="5" t="inlineStr">
        <is>
          <t>meslek-serbest</t>
        </is>
      </c>
      <c r="L184" s="5" t="inlineStr"/>
      <c r="M184" s="5" t="inlineStr"/>
      <c r="N184" s="5" t="inlineStr"/>
      <c r="O184" s="5" t="inlineStr"/>
      <c r="P184" s="5" t="inlineStr"/>
      <c r="Q184" s="5" t="inlineStr"/>
      <c r="R184" s="6" t="inlineStr"/>
      <c r="S184" s="5" t="inlineStr"/>
      <c r="T184" s="5" t="inlineStr"/>
    </row>
    <row r="185">
      <c r="A185" s="5" t="inlineStr">
        <is>
          <t>b7-cocuk-karari</t>
        </is>
      </c>
      <c r="B185" s="5" t="n">
        <v>7</v>
      </c>
      <c r="C185" s="5" t="inlineStr">
        <is>
          <t>31 yaş 6 ay</t>
        </is>
      </c>
      <c r="D185" s="5" t="inlineStr">
        <is>
          <t>🍼</t>
        </is>
      </c>
      <c r="E185" s="6" t="inlineStr">
        <is>
          <t>Çocuk Meselesi</t>
        </is>
      </c>
      <c r="F185" s="6" t="inlineStr">
        <is>
          <t>Akşam yemeğinde eşin çatalı bıraktı: 'Artık konuşmamız gereken bir şey var.' Arkada televizyon, bebek bezi reklamı yayınlıyor.</t>
        </is>
      </c>
      <c r="G185" s="5" t="inlineStr">
        <is>
          <t>ev</t>
        </is>
      </c>
      <c r="H185" s="5" t="inlineStr">
        <is>
          <t>ev</t>
        </is>
      </c>
      <c r="I185" s="5" t="inlineStr">
        <is>
          <t>E</t>
        </is>
      </c>
      <c r="J185" s="5" t="n">
        <v>1</v>
      </c>
      <c r="K185" s="5" t="inlineStr">
        <is>
          <t>evli</t>
        </is>
      </c>
      <c r="L185" s="5" t="inlineStr"/>
      <c r="M185" s="5" t="inlineStr"/>
      <c r="N185" s="5" t="inlineStr"/>
      <c r="O185" s="5" t="inlineStr"/>
      <c r="P185" s="5" t="inlineStr"/>
      <c r="Q185" s="5" t="n">
        <v>8</v>
      </c>
      <c r="R185" s="6" t="inlineStr">
        <is>
          <t>Bebek bezi reklamı tesadüf değil. Bu akşamdan sonra evde ya bir beşik ya da çok uzun bir seyahat planı olacak.</t>
        </is>
      </c>
      <c r="S185" s="5" t="inlineStr">
        <is>
          <t>Çocuklu hayat</t>
        </is>
      </c>
      <c r="T185" s="5" t="inlineStr">
        <is>
          <t>Şimdilik ikimiz</t>
        </is>
      </c>
    </row>
    <row r="186">
      <c r="A186" s="5" t="inlineStr">
        <is>
          <t>me-kasa-ve-pos</t>
        </is>
      </c>
      <c r="B186" s="5" t="n">
        <v>7</v>
      </c>
      <c r="C186" s="5" t="inlineStr">
        <is>
          <t>31 yaş 6 ay</t>
        </is>
      </c>
      <c r="D186" s="5" t="inlineStr">
        <is>
          <t>🪙</t>
        </is>
      </c>
      <c r="E186" s="6" t="inlineStr">
        <is>
          <t>Kasa ve Pos</t>
        </is>
      </c>
      <c r="F186" s="6" t="inlineStr">
        <is>
          <t>Müşteri 'Bozuğunuz var mı?' diye sorarken bozuk kutusu tezgâhtan kaydı. Bozukluklar dükkâna yayıldı; pos cihazı 'bağlantı bekleniyor' yazıyor.</t>
        </is>
      </c>
      <c r="G186" s="5" t="inlineStr">
        <is>
          <t>dukkan</t>
        </is>
      </c>
      <c r="H186" s="5" t="inlineStr"/>
      <c r="I186" s="5" t="inlineStr"/>
      <c r="J186" s="5" t="inlineStr"/>
      <c r="K186" s="5" t="inlineStr">
        <is>
          <t>meslek-esnaf</t>
        </is>
      </c>
      <c r="L186" s="5" t="inlineStr"/>
      <c r="M186" s="5" t="inlineStr"/>
      <c r="N186" s="5" t="inlineStr"/>
      <c r="O186" s="5" t="inlineStr"/>
      <c r="P186" s="5" t="inlineStr"/>
      <c r="Q186" s="5" t="inlineStr"/>
      <c r="R186" s="6" t="inlineStr"/>
      <c r="S186" s="5" t="inlineStr"/>
      <c r="T186" s="5" t="inlineStr"/>
    </row>
    <row r="187">
      <c r="A187" s="5" t="inlineStr">
        <is>
          <t>b7-tek-kisilik-tatil</t>
        </is>
      </c>
      <c r="B187" s="5" t="n">
        <v>7</v>
      </c>
      <c r="C187" s="5" t="inlineStr">
        <is>
          <t>31 yaş 9 ay</t>
        </is>
      </c>
      <c r="D187" s="5" t="inlineStr">
        <is>
          <t>🧳</t>
        </is>
      </c>
      <c r="E187" s="6" t="inlineStr">
        <is>
          <t>Tek Kişilik Tatil</t>
        </is>
      </c>
      <c r="F187" s="6" t="inlineStr">
        <is>
          <t>Otel resepsiyonu 'Kaç kişisiniz?' diye soruyor. Arkandaki çift de cevabını merak ediyor.</t>
        </is>
      </c>
      <c r="G187" s="5" t="inlineStr">
        <is>
          <t>sahil</t>
        </is>
      </c>
      <c r="H187" s="5" t="inlineStr"/>
      <c r="I187" s="5" t="inlineStr"/>
      <c r="J187" s="5" t="n">
        <v>1</v>
      </c>
      <c r="K187" s="5" t="inlineStr"/>
      <c r="L187" s="5" t="inlineStr">
        <is>
          <t>evli</t>
        </is>
      </c>
      <c r="M187" s="5" t="inlineStr"/>
      <c r="N187" s="5" t="inlineStr"/>
      <c r="O187" s="5" t="inlineStr"/>
      <c r="P187" s="5" t="inlineStr"/>
      <c r="Q187" s="5" t="inlineStr"/>
      <c r="R187" s="6" t="inlineStr"/>
      <c r="S187" s="5" t="inlineStr"/>
      <c r="T187" s="5" t="inlineStr"/>
    </row>
    <row r="188">
      <c r="A188" s="5" t="inlineStr">
        <is>
          <t>mb-terfi-yarisi</t>
        </is>
      </c>
      <c r="B188" s="5" t="n">
        <v>7</v>
      </c>
      <c r="C188" s="5" t="inlineStr">
        <is>
          <t>32 yaş</t>
        </is>
      </c>
      <c r="D188" s="5" t="inlineStr">
        <is>
          <t>🪜</t>
        </is>
      </c>
      <c r="E188" s="6" t="inlineStr">
        <is>
          <t>Terfi Yarışı</t>
        </is>
      </c>
      <c r="F188" s="6" t="inlineStr">
        <is>
          <t>Takım lideri kadrosu açıldı. İki aday var: sen ve her öğle yemeğinde yöneticiyle aynı masaya oturan kişi.</t>
        </is>
      </c>
      <c r="G188" s="5" t="inlineStr">
        <is>
          <t>ofis</t>
        </is>
      </c>
      <c r="H188" s="5" t="inlineStr"/>
      <c r="I188" s="5" t="inlineStr"/>
      <c r="J188" s="5" t="n">
        <v>1</v>
      </c>
      <c r="K188" s="5" t="inlineStr">
        <is>
          <t>meslek-beyazyaka</t>
        </is>
      </c>
      <c r="L188" s="5" t="inlineStr"/>
      <c r="M188" s="5" t="inlineStr"/>
      <c r="N188" s="5" t="inlineStr"/>
      <c r="O188" s="5" t="inlineStr"/>
      <c r="P188" s="5" t="inlineStr"/>
      <c r="Q188" s="5" t="inlineStr"/>
      <c r="R188" s="6" t="inlineStr"/>
      <c r="S188" s="5" t="inlineStr"/>
      <c r="T188" s="5" t="inlineStr"/>
    </row>
    <row r="189">
      <c r="A189" s="5" t="inlineStr">
        <is>
          <t>mm-lojman-kurasi</t>
        </is>
      </c>
      <c r="B189" s="5" t="n">
        <v>7</v>
      </c>
      <c r="C189" s="5" t="inlineStr">
        <is>
          <t>32 yaş</t>
        </is>
      </c>
      <c r="D189" s="5" t="inlineStr">
        <is>
          <t>🏢</t>
        </is>
      </c>
      <c r="E189" s="6" t="inlineStr">
        <is>
          <t>Lojman Kurası</t>
        </is>
      </c>
      <c r="F189" s="6" t="inlineStr">
        <is>
          <t>Lojman kurası çekilecek. Dört daire, kırk başvuru. Dairelerden biri müdürün alt katı; ötekilerin kaloriferi yok.</t>
        </is>
      </c>
      <c r="G189" s="5" t="inlineStr">
        <is>
          <t>apartman</t>
        </is>
      </c>
      <c r="H189" s="5" t="inlineStr"/>
      <c r="I189" s="5" t="inlineStr"/>
      <c r="J189" s="5" t="inlineStr"/>
      <c r="K189" s="5" t="inlineStr">
        <is>
          <t>meslek-memur</t>
        </is>
      </c>
      <c r="L189" s="5" t="inlineStr"/>
      <c r="M189" s="5" t="inlineStr"/>
      <c r="N189" s="5" t="inlineStr"/>
      <c r="O189" s="5" t="inlineStr"/>
      <c r="P189" s="5" t="inlineStr"/>
      <c r="Q189" s="5" t="inlineStr"/>
      <c r="R189" s="6" t="inlineStr"/>
      <c r="S189" s="5" t="inlineStr"/>
      <c r="T189" s="5" t="inlineStr"/>
    </row>
    <row r="190">
      <c r="A190" s="5" t="inlineStr">
        <is>
          <t>b7-bayram-rotasi</t>
        </is>
      </c>
      <c r="B190" s="5" t="n">
        <v>7</v>
      </c>
      <c r="C190" s="5" t="inlineStr">
        <is>
          <t>32 yaş 3 ay</t>
        </is>
      </c>
      <c r="D190" s="5" t="inlineStr">
        <is>
          <t>🧭</t>
        </is>
      </c>
      <c r="E190" s="6" t="inlineStr">
        <is>
          <t>Bayram Rotası</t>
        </is>
      </c>
      <c r="F190" s="6" t="inlineStr">
        <is>
          <t>Bayram geliyor. İki aile, iki şehir, dört gün. Eşin haritayı açtı. Sen takvimi açtın. Kimse konuşmuyor.</t>
        </is>
      </c>
      <c r="G190" s="5" t="inlineStr">
        <is>
          <t>trafik</t>
        </is>
      </c>
      <c r="H190" s="5" t="inlineStr">
        <is>
          <t>sosyal</t>
        </is>
      </c>
      <c r="I190" s="5" t="inlineStr"/>
      <c r="J190" s="5" t="n">
        <v>1</v>
      </c>
      <c r="K190" s="5" t="inlineStr">
        <is>
          <t>evli</t>
        </is>
      </c>
      <c r="L190" s="5" t="inlineStr"/>
      <c r="M190" s="5" t="inlineStr"/>
      <c r="N190" s="5" t="inlineStr"/>
      <c r="O190" s="5" t="inlineStr"/>
      <c r="P190" s="5" t="inlineStr"/>
      <c r="Q190" s="5" t="inlineStr"/>
      <c r="R190" s="6" t="inlineStr"/>
      <c r="S190" s="5" t="inlineStr"/>
      <c r="T190" s="5" t="inlineStr"/>
    </row>
    <row r="191">
      <c r="A191" s="5" t="inlineStr">
        <is>
          <t>b7-uykusuz-geceler</t>
        </is>
      </c>
      <c r="B191" s="5" t="n">
        <v>7</v>
      </c>
      <c r="C191" s="5" t="inlineStr">
        <is>
          <t>32 yaş 8 ay</t>
        </is>
      </c>
      <c r="D191" s="5" t="inlineStr">
        <is>
          <t>🌙</t>
        </is>
      </c>
      <c r="E191" s="6" t="inlineStr">
        <is>
          <t>Gece Vardiyası</t>
        </is>
      </c>
      <c r="F191" s="6" t="inlineStr">
        <is>
          <t>Saat 03:00. Bebek uyanık. Sen de uyanıksın. Bir zamanlar senin de ailen bu saatte seni izliyordu. Döngü tamamlandı.</t>
        </is>
      </c>
      <c r="G191" s="5" t="inlineStr">
        <is>
          <t>cocuk-odasi</t>
        </is>
      </c>
      <c r="H191" s="5" t="inlineStr">
        <is>
          <t>ev</t>
        </is>
      </c>
      <c r="I191" s="5" t="inlineStr"/>
      <c r="J191" s="5" t="n">
        <v>1</v>
      </c>
      <c r="K191" s="5" t="inlineStr">
        <is>
          <t>cocuklu</t>
        </is>
      </c>
      <c r="L191" s="5" t="inlineStr"/>
      <c r="M191" s="5" t="inlineStr"/>
      <c r="N191" s="5" t="inlineStr"/>
      <c r="O191" s="5" t="inlineStr"/>
      <c r="P191" s="5" t="inlineStr"/>
      <c r="Q191" s="5" t="inlineStr"/>
      <c r="R191" s="6" t="inlineStr"/>
      <c r="S191" s="5" t="inlineStr"/>
      <c r="T191" s="5" t="inlineStr"/>
    </row>
    <row r="192">
      <c r="A192" s="5" t="inlineStr">
        <is>
          <t>b7-site-toplantisi</t>
        </is>
      </c>
      <c r="B192" s="5" t="n">
        <v>7</v>
      </c>
      <c r="C192" s="5" t="inlineStr">
        <is>
          <t>33 yaş</t>
        </is>
      </c>
      <c r="D192" s="5" t="inlineStr">
        <is>
          <t>🏢</t>
        </is>
      </c>
      <c r="E192" s="6" t="inlineStr">
        <is>
          <t>Olağan Genel Kurul</t>
        </is>
      </c>
      <c r="F192" s="6" t="inlineStr">
        <is>
          <t>Site toplantısı. Gündem: aidat artışı, çatı yalıtımı, 4. kattaki komşunun ayakkabılığı. Bu toplantı üç saat sürecek.</t>
        </is>
      </c>
      <c r="G192" s="5" t="inlineStr">
        <is>
          <t>apartman</t>
        </is>
      </c>
      <c r="H192" s="5" t="inlineStr">
        <is>
          <t>para</t>
        </is>
      </c>
      <c r="I192" s="5" t="inlineStr"/>
      <c r="J192" s="5" t="n">
        <v>1</v>
      </c>
      <c r="K192" s="5" t="inlineStr"/>
      <c r="L192" s="5" t="inlineStr"/>
      <c r="M192" s="5" t="inlineStr"/>
      <c r="N192" s="5" t="inlineStr"/>
      <c r="O192" s="5" t="inlineStr"/>
      <c r="P192" s="5" t="inlineStr"/>
      <c r="Q192" s="5" t="inlineStr"/>
      <c r="R192" s="6" t="inlineStr"/>
      <c r="S192" s="5" t="inlineStr"/>
      <c r="T192" s="5" t="inlineStr"/>
    </row>
    <row r="193">
      <c r="A193" s="5" t="inlineStr">
        <is>
          <t>ms-yapay-zeka-rakip</t>
        </is>
      </c>
      <c r="B193" s="5" t="n">
        <v>7</v>
      </c>
      <c r="C193" s="5" t="inlineStr">
        <is>
          <t>33 yaş</t>
        </is>
      </c>
      <c r="D193" s="5" t="inlineStr">
        <is>
          <t>🦾</t>
        </is>
      </c>
      <c r="E193" s="6" t="inlineStr">
        <is>
          <t>Yapay Zekâ Rekabeti</t>
        </is>
      </c>
      <c r="F193" s="6" t="inlineStr">
        <is>
          <t>Müşteri yazdı: 'Yapay zekâ bunu beş saniyede yaptı. Siz neden beş gün istiyorsunuz?' Ekte altı parmaklı bir el var.</t>
        </is>
      </c>
      <c r="G193" s="5" t="inlineStr">
        <is>
          <t>ev</t>
        </is>
      </c>
      <c r="H193" s="5" t="inlineStr"/>
      <c r="I193" s="5" t="inlineStr"/>
      <c r="J193" s="5" t="n">
        <v>1</v>
      </c>
      <c r="K193" s="5" t="inlineStr">
        <is>
          <t>meslek-serbest</t>
        </is>
      </c>
      <c r="L193" s="5" t="inlineStr"/>
      <c r="M193" s="5" t="inlineStr"/>
      <c r="N193" s="5" t="inlineStr"/>
      <c r="O193" s="5" t="inlineStr"/>
      <c r="P193" s="5" t="inlineStr"/>
      <c r="Q193" s="5" t="inlineStr"/>
      <c r="R193" s="6" t="inlineStr"/>
      <c r="S193" s="5" t="inlineStr"/>
      <c r="T193" s="5" t="inlineStr"/>
    </row>
    <row r="194">
      <c r="A194" s="5" t="inlineStr">
        <is>
          <t>b7-ilk-kelime</t>
        </is>
      </c>
      <c r="B194" s="5" t="n">
        <v>7</v>
      </c>
      <c r="C194" s="5" t="inlineStr">
        <is>
          <t>33 yaş 4 ay</t>
        </is>
      </c>
      <c r="D194" s="5" t="inlineStr">
        <is>
          <t>🗣️</t>
        </is>
      </c>
      <c r="E194" s="6" t="inlineStr">
        <is>
          <t>İlk Kelime</t>
        </is>
      </c>
      <c r="F194" s="6" t="inlineStr">
        <is>
          <t>Bütün aile nefesini tutmuş. Çocuğun ağzını açtı. Kameralar hazır. Tarih yazılmak üzere.</t>
        </is>
      </c>
      <c r="G194" s="5" t="inlineStr">
        <is>
          <t>ev</t>
        </is>
      </c>
      <c r="H194" s="5" t="inlineStr">
        <is>
          <t>ev</t>
        </is>
      </c>
      <c r="I194" s="5" t="inlineStr"/>
      <c r="J194" s="5" t="n">
        <v>1</v>
      </c>
      <c r="K194" s="5" t="inlineStr">
        <is>
          <t>cocuklu</t>
        </is>
      </c>
      <c r="L194" s="5" t="inlineStr"/>
      <c r="M194" s="5" t="inlineStr"/>
      <c r="N194" s="5" t="inlineStr"/>
      <c r="O194" s="5" t="inlineStr"/>
      <c r="P194" s="5" t="inlineStr"/>
      <c r="Q194" s="5" t="inlineStr"/>
      <c r="R194" s="6" t="inlineStr"/>
      <c r="S194" s="5" t="inlineStr"/>
      <c r="T194" s="5" t="inlineStr"/>
    </row>
    <row r="195">
      <c r="A195" s="5" t="inlineStr">
        <is>
          <t>b7-cocuklu-dogum-gunu</t>
        </is>
      </c>
      <c r="B195" s="5" t="n">
        <v>7</v>
      </c>
      <c r="C195" s="5" t="inlineStr">
        <is>
          <t>33 yaş 8 ay</t>
        </is>
      </c>
      <c r="D195" s="5" t="inlineStr">
        <is>
          <t>🎈</t>
        </is>
      </c>
      <c r="E195" s="6" t="inlineStr">
        <is>
          <t>Beş Yaş Partisi</t>
        </is>
      </c>
      <c r="F195" s="6" t="inlineStr">
        <is>
          <t>Arkadaşının çocuğunun doğum günündesin. Tek çocuksuz yetişkin sensin. Bir çocuk sana 'Senin çocuğun hangisi?' diye soruyor.</t>
        </is>
      </c>
      <c r="G195" s="5" t="inlineStr">
        <is>
          <t>park</t>
        </is>
      </c>
      <c r="H195" s="5" t="inlineStr">
        <is>
          <t>sosyal</t>
        </is>
      </c>
      <c r="I195" s="5" t="inlineStr"/>
      <c r="J195" s="5" t="n">
        <v>1</v>
      </c>
      <c r="K195" s="5" t="inlineStr"/>
      <c r="L195" s="5" t="inlineStr">
        <is>
          <t>evli</t>
        </is>
      </c>
      <c r="M195" s="5" t="inlineStr"/>
      <c r="N195" s="5" t="inlineStr"/>
      <c r="O195" s="5" t="inlineStr"/>
      <c r="P195" s="5" t="inlineStr"/>
      <c r="Q195" s="5" t="inlineStr"/>
      <c r="R195" s="6" t="inlineStr"/>
      <c r="S195" s="5" t="inlineStr"/>
      <c r="T195" s="5" t="inlineStr"/>
    </row>
    <row r="196">
      <c r="A196" s="5" t="inlineStr">
        <is>
          <t>b7-ev-esyasi</t>
        </is>
      </c>
      <c r="B196" s="5" t="n">
        <v>7</v>
      </c>
      <c r="C196" s="5" t="inlineStr">
        <is>
          <t>34 yaş</t>
        </is>
      </c>
      <c r="D196" s="5" t="inlineStr">
        <is>
          <t>🛋️</t>
        </is>
      </c>
      <c r="E196" s="6" t="inlineStr">
        <is>
          <t>Koltuk Takımı</t>
        </is>
      </c>
      <c r="F196" s="6" t="inlineStr">
        <is>
          <t>Mobilya mağazasında üç saattir aynı iki koltuğa bakıyorsunuz. Satış danışmanı artık sizinle birlikte yaşlanıyor.</t>
        </is>
      </c>
      <c r="G196" s="5" t="inlineStr">
        <is>
          <t>carsi</t>
        </is>
      </c>
      <c r="H196" s="5" t="inlineStr">
        <is>
          <t>ev</t>
        </is>
      </c>
      <c r="I196" s="5" t="inlineStr"/>
      <c r="J196" s="5" t="n">
        <v>1</v>
      </c>
      <c r="K196" s="5" t="inlineStr">
        <is>
          <t>evli</t>
        </is>
      </c>
      <c r="L196" s="5" t="inlineStr"/>
      <c r="M196" s="5" t="inlineStr"/>
      <c r="N196" s="5" t="inlineStr"/>
      <c r="O196" s="5" t="inlineStr"/>
      <c r="P196" s="5" t="inlineStr"/>
      <c r="Q196" s="5" t="inlineStr"/>
      <c r="R196" s="6" t="inlineStr"/>
      <c r="S196" s="5" t="inlineStr"/>
      <c r="T196" s="5" t="inlineStr"/>
    </row>
    <row r="197">
      <c r="A197" s="5" t="inlineStr">
        <is>
          <t>mb-yillik-izin</t>
        </is>
      </c>
      <c r="B197" s="5" t="n">
        <v>7</v>
      </c>
      <c r="C197" s="5" t="inlineStr">
        <is>
          <t>34 yaş</t>
        </is>
      </c>
      <c r="D197" s="5" t="inlineStr">
        <is>
          <t>🏖️</t>
        </is>
      </c>
      <c r="E197" s="6" t="inlineStr">
        <is>
          <t>Yıllık İzin Savaşı</t>
        </is>
      </c>
      <c r="F197" s="6" t="inlineStr">
        <is>
          <t>İzin planlama sistemi açıldı. Bayram köprüsü için bütün ekip aynı saniyede tıkladı. Sistem çöktü.</t>
        </is>
      </c>
      <c r="G197" s="5" t="inlineStr">
        <is>
          <t>ofis</t>
        </is>
      </c>
      <c r="H197" s="5" t="inlineStr"/>
      <c r="I197" s="5" t="inlineStr"/>
      <c r="J197" s="5" t="n">
        <v>1</v>
      </c>
      <c r="K197" s="5" t="inlineStr">
        <is>
          <t>meslek-beyazyaka</t>
        </is>
      </c>
      <c r="L197" s="5" t="inlineStr"/>
      <c r="M197" s="5" t="inlineStr"/>
      <c r="N197" s="5" t="inlineStr"/>
      <c r="O197" s="5" t="inlineStr"/>
      <c r="P197" s="5" t="inlineStr"/>
      <c r="Q197" s="5" t="inlineStr"/>
      <c r="R197" s="6" t="inlineStr"/>
      <c r="S197" s="5" t="inlineStr"/>
      <c r="T197" s="5" t="inlineStr"/>
    </row>
    <row r="198">
      <c r="A198" s="5" t="inlineStr">
        <is>
          <t>me-cirak</t>
        </is>
      </c>
      <c r="B198" s="5" t="n">
        <v>7</v>
      </c>
      <c r="C198" s="5" t="inlineStr">
        <is>
          <t>34 yaş</t>
        </is>
      </c>
      <c r="D198" s="5" t="inlineStr">
        <is>
          <t>🧰</t>
        </is>
      </c>
      <c r="E198" s="6" t="inlineStr">
        <is>
          <t>Çırak Geldi</t>
        </is>
      </c>
      <c r="F198" s="6" t="inlineStr">
        <is>
          <t>Bir genç kapıda: 'Usta, eleman lazım mı?' Usta sensin. Bu kelimeyi ilk kez senin için kullandılar.</t>
        </is>
      </c>
      <c r="G198" s="5" t="inlineStr">
        <is>
          <t>dukkan</t>
        </is>
      </c>
      <c r="H198" s="5" t="inlineStr"/>
      <c r="I198" s="5" t="inlineStr"/>
      <c r="J198" s="5" t="inlineStr"/>
      <c r="K198" s="5" t="inlineStr">
        <is>
          <t>meslek-esnaf</t>
        </is>
      </c>
      <c r="L198" s="5" t="inlineStr"/>
      <c r="M198" s="5" t="inlineStr"/>
      <c r="N198" s="5" t="inlineStr"/>
      <c r="O198" s="5" t="inlineStr"/>
      <c r="P198" s="5" t="inlineStr"/>
      <c r="Q198" s="5" t="inlineStr"/>
      <c r="R198" s="6" t="inlineStr"/>
      <c r="S198" s="5" t="inlineStr"/>
      <c r="T198" s="5" t="inlineStr"/>
    </row>
    <row r="199">
      <c r="A199" s="5" t="inlineStr">
        <is>
          <t>b7-ev-kredisi</t>
        </is>
      </c>
      <c r="B199" s="5" t="n">
        <v>7</v>
      </c>
      <c r="C199" s="5" t="inlineStr">
        <is>
          <t>34 yaş 6 ay</t>
        </is>
      </c>
      <c r="D199" s="5" t="inlineStr">
        <is>
          <t>🔑</t>
        </is>
      </c>
      <c r="E199" s="6" t="inlineStr">
        <is>
          <t>Ev Kredisi</t>
        </is>
      </c>
      <c r="F199" s="6" t="inlineStr">
        <is>
          <t>Banka temsilcisi 'Faiz oranımız çok cazip' dedi. Ekranda yirmi yıllık bir tablo var. Tablonun son satırında yaşın 54.</t>
        </is>
      </c>
      <c r="G199" s="5" t="inlineStr">
        <is>
          <t>banka</t>
        </is>
      </c>
      <c r="H199" s="5" t="inlineStr">
        <is>
          <t>para</t>
        </is>
      </c>
      <c r="I199" s="5" t="inlineStr">
        <is>
          <t>E</t>
        </is>
      </c>
      <c r="J199" s="5" t="n">
        <v>1</v>
      </c>
      <c r="K199" s="5" t="inlineStr"/>
      <c r="L199" s="5" t="inlineStr">
        <is>
          <t>ev-sahibi</t>
        </is>
      </c>
      <c r="M199" s="5" t="inlineStr"/>
      <c r="N199" s="5" t="inlineStr"/>
      <c r="O199" s="5" t="inlineStr"/>
      <c r="P199" s="5" t="inlineStr"/>
      <c r="Q199" s="5" t="n">
        <v>9</v>
      </c>
      <c r="R199" s="6" t="inlineStr">
        <is>
          <t>Yirmi yıllık tablonun son satırında senin yaşın yazıyor. Buradan ya bir tapuyla ya da her yıl gelen bir “güncelleme” mesajıyla çıkacaksın.</t>
        </is>
      </c>
      <c r="S199" s="5" t="inlineStr">
        <is>
          <t>Ev sahibi</t>
        </is>
      </c>
      <c r="T199" s="5" t="inlineStr">
        <is>
          <t>Kiracı</t>
        </is>
      </c>
    </row>
    <row r="200">
      <c r="A200" s="5" t="inlineStr">
        <is>
          <t>b7-kres-kaydi</t>
        </is>
      </c>
      <c r="B200" s="5" t="n">
        <v>7</v>
      </c>
      <c r="C200" s="5" t="inlineStr">
        <is>
          <t>34 yaş 10 ay</t>
        </is>
      </c>
      <c r="D200" s="5" t="inlineStr">
        <is>
          <t>🎒</t>
        </is>
      </c>
      <c r="E200" s="6" t="inlineStr">
        <is>
          <t>Kreş Kaydı</t>
        </is>
      </c>
      <c r="F200" s="6" t="inlineStr">
        <is>
          <t>Kreşin müdürü sorular soruyor: 'Çocuğunuzun sosyal becerileri nasıl?' Sonra: 'Sizinkiler nasıl?'</t>
        </is>
      </c>
      <c r="G200" s="5" t="inlineStr">
        <is>
          <t>okul</t>
        </is>
      </c>
      <c r="H200" s="5" t="inlineStr">
        <is>
          <t>okul-iş</t>
        </is>
      </c>
      <c r="I200" s="5" t="inlineStr"/>
      <c r="J200" s="5" t="n">
        <v>1</v>
      </c>
      <c r="K200" s="5" t="inlineStr">
        <is>
          <t>cocuklu</t>
        </is>
      </c>
      <c r="L200" s="5" t="inlineStr"/>
      <c r="M200" s="5" t="inlineStr"/>
      <c r="N200" s="5" t="inlineStr"/>
      <c r="O200" s="5" t="inlineStr"/>
      <c r="P200" s="5" t="inlineStr"/>
      <c r="Q200" s="5" t="inlineStr"/>
      <c r="R200" s="6" t="inlineStr"/>
      <c r="S200" s="5" t="inlineStr"/>
      <c r="T200" s="5" t="inlineStr"/>
    </row>
    <row r="201">
      <c r="A201" s="5" t="inlineStr">
        <is>
          <t>mm-kayip-dosya</t>
        </is>
      </c>
      <c r="B201" s="5" t="n">
        <v>7</v>
      </c>
      <c r="C201" s="5" t="inlineStr">
        <is>
          <t>35 yaş</t>
        </is>
      </c>
      <c r="D201" s="5" t="inlineStr">
        <is>
          <t>📁</t>
        </is>
      </c>
      <c r="E201" s="6" t="inlineStr">
        <is>
          <t>Kayıp Dosya</t>
        </is>
      </c>
      <c r="F201" s="6" t="inlineStr">
        <is>
          <t>Bir dosya kayboldu. Numarası belli, sahibi belli, rafı belli. Rafta sadece dosyanın boşluğu var.</t>
        </is>
      </c>
      <c r="G201" s="5" t="inlineStr">
        <is>
          <t>devlet-dairesi</t>
        </is>
      </c>
      <c r="H201" s="5" t="inlineStr"/>
      <c r="I201" s="5" t="inlineStr"/>
      <c r="J201" s="5" t="inlineStr"/>
      <c r="K201" s="5" t="inlineStr">
        <is>
          <t>meslek-memur</t>
        </is>
      </c>
      <c r="L201" s="5" t="inlineStr"/>
      <c r="M201" s="5" t="inlineStr"/>
      <c r="N201" s="5" t="inlineStr"/>
      <c r="O201" s="5" t="inlineStr"/>
      <c r="P201" s="5" t="inlineStr"/>
      <c r="Q201" s="5" t="inlineStr"/>
      <c r="R201" s="6" t="inlineStr"/>
      <c r="S201" s="5" t="inlineStr"/>
      <c r="T201" s="5" t="inlineStr"/>
    </row>
    <row r="202">
      <c r="A202" s="5" t="inlineStr">
        <is>
          <t>b7-saglik-kontrolu</t>
        </is>
      </c>
      <c r="B202" s="5" t="n">
        <v>7</v>
      </c>
      <c r="C202" s="5" t="inlineStr">
        <is>
          <t>35 yaş 3 ay</t>
        </is>
      </c>
      <c r="D202" s="5" t="inlineStr">
        <is>
          <t>🩺</t>
        </is>
      </c>
      <c r="E202" s="6" t="inlineStr">
        <is>
          <t>Genel Kontrol</t>
        </is>
      </c>
      <c r="F202" s="6" t="inlineStr">
        <is>
          <t>Doktor tahlil sonuçlarına bakıp 'Hmm' dedi. Sonra 'Spor yapıyor musunuz?' diye sordu. Cevap vermeden önce yüzün cevap verdi.</t>
        </is>
      </c>
      <c r="G202" s="5" t="inlineStr">
        <is>
          <t>hastane</t>
        </is>
      </c>
      <c r="H202" s="5" t="inlineStr"/>
      <c r="I202" s="5" t="inlineStr"/>
      <c r="J202" s="5" t="n">
        <v>1</v>
      </c>
      <c r="K202" s="5" t="inlineStr"/>
      <c r="L202" s="5" t="inlineStr"/>
      <c r="M202" s="5" t="inlineStr"/>
      <c r="N202" s="5" t="inlineStr"/>
      <c r="O202" s="5" t="inlineStr"/>
      <c r="P202" s="5" t="inlineStr"/>
      <c r="Q202" s="5" t="inlineStr"/>
      <c r="R202" s="6" t="inlineStr"/>
      <c r="S202" s="5" t="inlineStr"/>
      <c r="T202" s="5" t="inlineStr"/>
    </row>
    <row r="203">
      <c r="A203" s="5" t="inlineStr">
        <is>
          <t>b7-bekar-evi</t>
        </is>
      </c>
      <c r="B203" s="5" t="n">
        <v>7</v>
      </c>
      <c r="C203" s="5" t="inlineStr">
        <is>
          <t>35 yaş 8 ay</t>
        </is>
      </c>
      <c r="D203" s="5" t="inlineStr">
        <is>
          <t>🍜</t>
        </is>
      </c>
      <c r="E203" s="6" t="inlineStr">
        <is>
          <t>Bekâr Evi Ekonomisi</t>
        </is>
      </c>
      <c r="F203" s="6" t="inlineStr">
        <is>
          <t>Buzdolabında bir hardal, iki yumurta ve belirsiz bir tarihe ait bir tencere var. Yemek uygulaması seni 'altın üye' yaptı.</t>
        </is>
      </c>
      <c r="G203" s="5" t="inlineStr">
        <is>
          <t>mutfak</t>
        </is>
      </c>
      <c r="H203" s="5" t="inlineStr">
        <is>
          <t>para</t>
        </is>
      </c>
      <c r="I203" s="5" t="inlineStr"/>
      <c r="J203" s="5" t="n">
        <v>1</v>
      </c>
      <c r="K203" s="5" t="inlineStr"/>
      <c r="L203" s="5" t="inlineStr">
        <is>
          <t>evli</t>
        </is>
      </c>
      <c r="M203" s="5" t="inlineStr"/>
      <c r="N203" s="5" t="inlineStr"/>
      <c r="O203" s="5" t="inlineStr"/>
      <c r="P203" s="5" t="inlineStr"/>
      <c r="Q203" s="5" t="inlineStr"/>
      <c r="R203" s="6" t="inlineStr"/>
      <c r="S203" s="5" t="inlineStr"/>
      <c r="T203" s="5" t="inlineStr"/>
    </row>
    <row r="204">
      <c r="A204" s="5" t="inlineStr">
        <is>
          <t>b7-hastane-gecesi</t>
        </is>
      </c>
      <c r="B204" s="5" t="n">
        <v>7</v>
      </c>
      <c r="C204" s="5" t="inlineStr">
        <is>
          <t>36 yaş</t>
        </is>
      </c>
      <c r="D204" s="5" t="inlineStr">
        <is>
          <t>🚑</t>
        </is>
      </c>
      <c r="E204" s="6" t="inlineStr">
        <is>
          <t>Acil Servis, 02:40</t>
        </is>
      </c>
      <c r="F204" s="6" t="inlineStr">
        <is>
          <t>Çocuğun ateşi yükseldi. Acil serviste bekliyorsunuz. Karşındaki bekleme panosu senin sabrını ölçüyor.</t>
        </is>
      </c>
      <c r="G204" s="5" t="inlineStr">
        <is>
          <t>hastane</t>
        </is>
      </c>
      <c r="H204" s="5" t="inlineStr"/>
      <c r="I204" s="5" t="inlineStr"/>
      <c r="J204" s="5" t="n">
        <v>1</v>
      </c>
      <c r="K204" s="5" t="inlineStr">
        <is>
          <t>cocuklu</t>
        </is>
      </c>
      <c r="L204" s="5" t="inlineStr"/>
      <c r="M204" s="5" t="inlineStr"/>
      <c r="N204" s="5" t="inlineStr"/>
      <c r="O204" s="5" t="inlineStr"/>
      <c r="P204" s="5" t="inlineStr"/>
      <c r="Q204" s="5" t="inlineStr"/>
      <c r="R204" s="6" t="inlineStr"/>
      <c r="S204" s="5" t="inlineStr"/>
      <c r="T204" s="5" t="inlineStr"/>
    </row>
    <row r="205">
      <c r="A205" s="5" t="inlineStr">
        <is>
          <t>ms-gercek-is</t>
        </is>
      </c>
      <c r="B205" s="5" t="n">
        <v>7</v>
      </c>
      <c r="C205" s="5" t="inlineStr">
        <is>
          <t>36 yaş</t>
        </is>
      </c>
      <c r="D205" s="5" t="inlineStr">
        <is>
          <t>💍</t>
        </is>
      </c>
      <c r="E205" s="6" t="inlineStr">
        <is>
          <t>'Gerçek Bir İş'</t>
        </is>
      </c>
      <c r="F205" s="6" t="inlineStr">
        <is>
          <t>Bir akraba düğünündesin. Masadaki teyze sordu: 'Hâlâ o işi mi yapıyorsun? Gerçek bir işe ne zaman gireceksin?'</t>
        </is>
      </c>
      <c r="G205" s="5" t="inlineStr">
        <is>
          <t>dugun-salonu</t>
        </is>
      </c>
      <c r="H205" s="5" t="inlineStr">
        <is>
          <t>sosyal</t>
        </is>
      </c>
      <c r="I205" s="5" t="inlineStr"/>
      <c r="J205" s="5" t="n">
        <v>1</v>
      </c>
      <c r="K205" s="5" t="inlineStr">
        <is>
          <t>meslek-serbest</t>
        </is>
      </c>
      <c r="L205" s="5" t="inlineStr"/>
      <c r="M205" s="5" t="inlineStr"/>
      <c r="N205" s="5" t="inlineStr"/>
      <c r="O205" s="5" t="inlineStr"/>
      <c r="P205" s="5" t="inlineStr"/>
      <c r="Q205" s="5" t="inlineStr"/>
      <c r="R205" s="6" t="inlineStr"/>
      <c r="S205" s="5" t="inlineStr"/>
      <c r="T205" s="5" t="inlineStr"/>
    </row>
    <row r="206">
      <c r="A206" s="5" t="inlineStr">
        <is>
          <t>b7-mutfak-tadilati</t>
        </is>
      </c>
      <c r="B206" s="5" t="n">
        <v>7</v>
      </c>
      <c r="C206" s="5" t="inlineStr">
        <is>
          <t>36 yaş 6 ay</t>
        </is>
      </c>
      <c r="D206" s="5" t="inlineStr">
        <is>
          <t>🔨</t>
        </is>
      </c>
      <c r="E206" s="6" t="inlineStr">
        <is>
          <t>Mutfak Tadilatı</t>
        </is>
      </c>
      <c r="F206" s="6" t="inlineStr">
        <is>
          <t>Tadilat ustası dolap rengini soruyor. Sen 'antrasit' diyorsun, eşin 'krem'. Usta çayını bitirmeden sonuç bekliyor.</t>
        </is>
      </c>
      <c r="G206" s="5" t="inlineStr">
        <is>
          <t>mutfak</t>
        </is>
      </c>
      <c r="H206" s="5" t="inlineStr">
        <is>
          <t>ev</t>
        </is>
      </c>
      <c r="I206" s="5" t="inlineStr"/>
      <c r="J206" s="5" t="n">
        <v>1</v>
      </c>
      <c r="K206" s="5" t="inlineStr">
        <is>
          <t>evli</t>
        </is>
      </c>
      <c r="L206" s="5" t="inlineStr"/>
      <c r="M206" s="5" t="inlineStr"/>
      <c r="N206" s="5" t="inlineStr"/>
      <c r="O206" s="5" t="inlineStr"/>
      <c r="P206" s="5" t="inlineStr"/>
      <c r="Q206" s="5" t="inlineStr"/>
      <c r="R206" s="6" t="inlineStr"/>
      <c r="S206" s="5" t="inlineStr"/>
      <c r="T206" s="5" t="inlineStr"/>
    </row>
    <row r="207">
      <c r="A207" s="5" t="inlineStr">
        <is>
          <t>b7-ebeveyn-grubu</t>
        </is>
      </c>
      <c r="B207" s="5" t="n">
        <v>7</v>
      </c>
      <c r="C207" s="5" t="inlineStr">
        <is>
          <t>37 yaş</t>
        </is>
      </c>
      <c r="D207" s="5" t="inlineStr">
        <is>
          <t>📲</t>
        </is>
      </c>
      <c r="E207" s="6" t="inlineStr">
        <is>
          <t>Veli Mesaj Grubu</t>
        </is>
      </c>
      <c r="F207" s="6" t="inlineStr">
        <is>
          <t>Sınıfın veli grubunda 312 okunmamış mesaj var. Konu: öğretmen günü hediyesi. Sen hâlâ ilk mesajdasın.</t>
        </is>
      </c>
      <c r="G207" s="5" t="inlineStr">
        <is>
          <t>ev</t>
        </is>
      </c>
      <c r="H207" s="5" t="inlineStr">
        <is>
          <t>sosyal</t>
        </is>
      </c>
      <c r="I207" s="5" t="inlineStr"/>
      <c r="J207" s="5" t="n">
        <v>1</v>
      </c>
      <c r="K207" s="5" t="inlineStr">
        <is>
          <t>cocuklu</t>
        </is>
      </c>
      <c r="L207" s="5" t="inlineStr"/>
      <c r="M207" s="5" t="inlineStr"/>
      <c r="N207" s="5" t="inlineStr"/>
      <c r="O207" s="5" t="inlineStr"/>
      <c r="P207" s="5" t="inlineStr"/>
      <c r="Q207" s="5" t="inlineStr"/>
      <c r="R207" s="6" t="inlineStr"/>
      <c r="S207" s="5" t="inlineStr"/>
      <c r="T207" s="5" t="inlineStr"/>
    </row>
    <row r="208">
      <c r="A208" s="5" t="inlineStr">
        <is>
          <t>mb-takim-ruhu</t>
        </is>
      </c>
      <c r="B208" s="5" t="n">
        <v>7</v>
      </c>
      <c r="C208" s="5" t="inlineStr">
        <is>
          <t>37 yaş</t>
        </is>
      </c>
      <c r="D208" s="5" t="inlineStr">
        <is>
          <t>🤝</t>
        </is>
      </c>
      <c r="E208" s="6" t="inlineStr">
        <is>
          <t>Takım Ruhu Etkinliği</t>
        </is>
      </c>
      <c r="F208" s="6" t="inlineStr">
        <is>
          <t>Şirket motivasyon etkinliği: Hafta sonu, doğada. Katılım zorunlu değil ama 'takip ediliyor'.</t>
        </is>
      </c>
      <c r="G208" s="5" t="inlineStr">
        <is>
          <t>park</t>
        </is>
      </c>
      <c r="H208" s="5" t="inlineStr"/>
      <c r="I208" s="5" t="inlineStr"/>
      <c r="J208" s="5" t="n">
        <v>1</v>
      </c>
      <c r="K208" s="5" t="inlineStr">
        <is>
          <t>meslek-beyazyaka</t>
        </is>
      </c>
      <c r="L208" s="5" t="inlineStr"/>
      <c r="M208" s="5" t="inlineStr"/>
      <c r="N208" s="5" t="inlineStr"/>
      <c r="O208" s="5" t="inlineStr"/>
      <c r="P208" s="5" t="inlineStr"/>
      <c r="Q208" s="5" t="inlineStr"/>
      <c r="R208" s="6" t="inlineStr"/>
      <c r="S208" s="5" t="inlineStr"/>
      <c r="T208" s="5" t="inlineStr"/>
    </row>
    <row r="209">
      <c r="A209" s="5" t="inlineStr">
        <is>
          <t>me-indirim-sezonu</t>
        </is>
      </c>
      <c r="B209" s="5" t="n">
        <v>7</v>
      </c>
      <c r="C209" s="5" t="inlineStr">
        <is>
          <t>37 yaş</t>
        </is>
      </c>
      <c r="D209" s="5" t="inlineStr">
        <is>
          <t>🏷️</t>
        </is>
      </c>
      <c r="E209" s="6" t="inlineStr">
        <is>
          <t>İndirim Sezonu</t>
        </is>
      </c>
      <c r="F209" s="6" t="inlineStr">
        <is>
          <t>Büyük indirim haftası. Mahalle kapıda, pazarlık havada, sezonun son malı en üst rafta.</t>
        </is>
      </c>
      <c r="G209" s="5" t="inlineStr">
        <is>
          <t>dukkan</t>
        </is>
      </c>
      <c r="H209" s="5" t="inlineStr"/>
      <c r="I209" s="5" t="inlineStr"/>
      <c r="J209" s="5" t="inlineStr"/>
      <c r="K209" s="5" t="inlineStr">
        <is>
          <t>meslek-esnaf</t>
        </is>
      </c>
      <c r="L209" s="5" t="inlineStr"/>
      <c r="M209" s="5" t="inlineStr"/>
      <c r="N209" s="5" t="inlineStr"/>
      <c r="O209" s="5" t="inlineStr"/>
      <c r="P209" s="5" t="inlineStr"/>
      <c r="Q209" s="5" t="inlineStr"/>
      <c r="R209" s="6" t="inlineStr"/>
      <c r="S209" s="5" t="inlineStr"/>
      <c r="T209" s="5" t="inlineStr"/>
    </row>
    <row r="210">
      <c r="A210" s="5" t="inlineStr">
        <is>
          <t>b7-borc-batagi</t>
        </is>
      </c>
      <c r="B210" s="5" t="n">
        <v>7</v>
      </c>
      <c r="C210" s="5" t="inlineStr">
        <is>
          <t>37 yaş 6 ay</t>
        </is>
      </c>
      <c r="D210" s="5" t="inlineStr">
        <is>
          <t>💳</t>
        </is>
      </c>
      <c r="E210" s="6" t="inlineStr">
        <is>
          <t>Asgari Ödeme</t>
        </is>
      </c>
      <c r="F210" s="6" t="inlineStr">
        <is>
          <t>Kredi kartı ekstresi geldi. Asgari ödeme tutarı büyük harflerle, toplam borç küçük harflerle yazılmış.</t>
        </is>
      </c>
      <c r="G210" s="5" t="inlineStr">
        <is>
          <t>banka</t>
        </is>
      </c>
      <c r="H210" s="5" t="inlineStr">
        <is>
          <t>para</t>
        </is>
      </c>
      <c r="I210" s="5" t="inlineStr"/>
      <c r="J210" s="5" t="n">
        <v>1</v>
      </c>
      <c r="K210" s="5" t="inlineStr"/>
      <c r="L210" s="5" t="inlineStr"/>
      <c r="M210" s="5" t="inlineStr"/>
      <c r="N210" s="5" t="inlineStr"/>
      <c r="O210" s="5" t="inlineStr"/>
      <c r="P210" s="5" t="inlineStr"/>
      <c r="Q210" s="5" t="inlineStr"/>
      <c r="R210" s="6" t="inlineStr"/>
      <c r="S210" s="5" t="inlineStr"/>
      <c r="T210" s="5" t="inlineStr"/>
    </row>
    <row r="211">
      <c r="A211" s="5" t="inlineStr">
        <is>
          <t>b7-dogum-gunu-partisi</t>
        </is>
      </c>
      <c r="B211" s="5" t="n">
        <v>7</v>
      </c>
      <c r="C211" s="5" t="inlineStr">
        <is>
          <t>38 yaş</t>
        </is>
      </c>
      <c r="D211" s="5" t="inlineStr">
        <is>
          <t>🎂</t>
        </is>
      </c>
      <c r="E211" s="6" t="inlineStr">
        <is>
          <t>Tema: Uzay</t>
        </is>
      </c>
      <c r="F211" s="6" t="inlineStr">
        <is>
          <t>Çocuğunun doğum günü. Tema uzay. Sınıftaki diğer velilerin partisinde sihirbaz ve köpük makinesi vardı. Rekabet yüksek.</t>
        </is>
      </c>
      <c r="G211" s="5" t="inlineStr">
        <is>
          <t>park</t>
        </is>
      </c>
      <c r="H211" s="5" t="inlineStr">
        <is>
          <t>sosyal</t>
        </is>
      </c>
      <c r="I211" s="5" t="inlineStr"/>
      <c r="J211" s="5" t="n">
        <v>1</v>
      </c>
      <c r="K211" s="5" t="inlineStr">
        <is>
          <t>cocuklu</t>
        </is>
      </c>
      <c r="L211" s="5" t="inlineStr"/>
      <c r="M211" s="5" t="inlineStr"/>
      <c r="N211" s="5" t="inlineStr"/>
      <c r="O211" s="5" t="inlineStr"/>
      <c r="P211" s="5" t="inlineStr"/>
      <c r="Q211" s="5" t="inlineStr"/>
      <c r="R211" s="6" t="inlineStr"/>
      <c r="S211" s="5" t="inlineStr"/>
      <c r="T211" s="5" t="inlineStr"/>
    </row>
    <row r="212">
      <c r="A212" s="5" t="inlineStr">
        <is>
          <t>mm-kurum-piknigi</t>
        </is>
      </c>
      <c r="B212" s="5" t="n">
        <v>7</v>
      </c>
      <c r="C212" s="5" t="inlineStr">
        <is>
          <t>38 yaş</t>
        </is>
      </c>
      <c r="D212" s="5" t="inlineStr">
        <is>
          <t>🧺</t>
        </is>
      </c>
      <c r="E212" s="6" t="inlineStr">
        <is>
          <t>Kurum Pikniği</t>
        </is>
      </c>
      <c r="F212" s="6" t="inlineStr">
        <is>
          <t>Yıllık kurum pikniği. Müdürlük çimlere taşındı: mangal, voleybol ve yıllardır itirazlı sonuçlanan halat çekme finali.</t>
        </is>
      </c>
      <c r="G212" s="5" t="inlineStr">
        <is>
          <t>park</t>
        </is>
      </c>
      <c r="H212" s="5" t="inlineStr"/>
      <c r="I212" s="5" t="inlineStr"/>
      <c r="J212" s="5" t="inlineStr"/>
      <c r="K212" s="5" t="inlineStr">
        <is>
          <t>meslek-memur</t>
        </is>
      </c>
      <c r="L212" s="5" t="inlineStr"/>
      <c r="M212" s="5" t="inlineStr"/>
      <c r="N212" s="5" t="inlineStr"/>
      <c r="O212" s="5" t="inlineStr"/>
      <c r="P212" s="5" t="inlineStr"/>
      <c r="Q212" s="5" t="inlineStr"/>
      <c r="R212" s="6" t="inlineStr"/>
      <c r="S212" s="5" t="inlineStr"/>
      <c r="T212" s="5" t="inlineStr"/>
    </row>
    <row r="213">
      <c r="A213" s="5" t="inlineStr">
        <is>
          <t>b7-yil-donumu</t>
        </is>
      </c>
      <c r="B213" s="5" t="n">
        <v>7</v>
      </c>
      <c r="C213" s="5" t="inlineStr">
        <is>
          <t>39 yaş</t>
        </is>
      </c>
      <c r="D213" s="5" t="inlineStr">
        <is>
          <t>🥂</t>
        </is>
      </c>
      <c r="E213" s="6" t="inlineStr">
        <is>
          <t>Evlilik Yıl Dönümü</t>
        </is>
      </c>
      <c r="F213" s="6" t="inlineStr">
        <is>
          <t>Telefon hatırlatıcısı: 'Yıl dönümü – bugün.' Hatırlatıcının kurulma tarihi: bugün, sabah 11:47.</t>
        </is>
      </c>
      <c r="G213" s="5" t="inlineStr">
        <is>
          <t>kafe</t>
        </is>
      </c>
      <c r="H213" s="5" t="inlineStr">
        <is>
          <t>ev</t>
        </is>
      </c>
      <c r="I213" s="5" t="inlineStr"/>
      <c r="J213" s="5" t="n">
        <v>1</v>
      </c>
      <c r="K213" s="5" t="inlineStr">
        <is>
          <t>evli</t>
        </is>
      </c>
      <c r="L213" s="5" t="inlineStr"/>
      <c r="M213" s="5" t="inlineStr"/>
      <c r="N213" s="5" t="inlineStr"/>
      <c r="O213" s="5" t="inlineStr"/>
      <c r="P213" s="5" t="inlineStr"/>
      <c r="Q213" s="5" t="inlineStr"/>
      <c r="R213" s="6" t="inlineStr"/>
      <c r="S213" s="5" t="inlineStr"/>
      <c r="T213" s="5" t="inlineStr"/>
    </row>
    <row r="214">
      <c r="A214" s="5" t="inlineStr">
        <is>
          <t>b8-kirk-yas</t>
        </is>
      </c>
      <c r="B214" s="5" t="n">
        <v>8</v>
      </c>
      <c r="C214" s="5" t="inlineStr">
        <is>
          <t>40 yaş</t>
        </is>
      </c>
      <c r="D214" s="5" t="inlineStr">
        <is>
          <t>🎂</t>
        </is>
      </c>
      <c r="E214" s="6" t="inlineStr">
        <is>
          <t>Kırk Yaş Krizi</t>
        </is>
      </c>
      <c r="F214" s="6" t="inlineStr">
        <is>
          <t>Kırk yaşına girdin. Sistem otomatik bir envanter raporu hazırladı: iki diz, bir bel, dolu bir galeri, yarım kalmış üç hobi.</t>
        </is>
      </c>
      <c r="G214" s="5" t="inlineStr">
        <is>
          <t>ev</t>
        </is>
      </c>
      <c r="H214" s="5" t="inlineStr"/>
      <c r="I214" s="5" t="inlineStr">
        <is>
          <t>E</t>
        </is>
      </c>
      <c r="J214" s="5" t="n">
        <v>1</v>
      </c>
      <c r="K214" s="5" t="inlineStr"/>
      <c r="L214" s="5" t="inlineStr"/>
      <c r="M214" s="5" t="inlineStr"/>
      <c r="N214" s="5" t="inlineStr"/>
      <c r="O214" s="5" t="inlineStr"/>
      <c r="P214" s="5" t="inlineStr"/>
      <c r="Q214" s="5" t="inlineStr"/>
      <c r="R214" s="6" t="inlineStr"/>
      <c r="S214" s="5" t="inlineStr"/>
      <c r="T214" s="5" t="inlineStr"/>
    </row>
    <row r="215">
      <c r="A215" s="5" t="inlineStr">
        <is>
          <t>b8-motosiklet</t>
        </is>
      </c>
      <c r="B215" s="5" t="n">
        <v>8</v>
      </c>
      <c r="C215" s="5" t="inlineStr">
        <is>
          <t>40 yaş 6 ay</t>
        </is>
      </c>
      <c r="D215" s="5" t="inlineStr">
        <is>
          <t>🏍️</t>
        </is>
      </c>
      <c r="E215" s="6" t="inlineStr">
        <is>
          <t>Motosiklet Hevesi</t>
        </is>
      </c>
      <c r="F215" s="6" t="inlineStr">
        <is>
          <t>Galerideki motosiklet sana bakıyor. Sen de ona. Satıcı ikinizi de izliyor; komisyonun kokusunu almış.</t>
        </is>
      </c>
      <c r="G215" s="5" t="inlineStr">
        <is>
          <t>carsi</t>
        </is>
      </c>
      <c r="H215" s="5" t="inlineStr"/>
      <c r="I215" s="5" t="inlineStr"/>
      <c r="J215" s="5" t="n">
        <v>1</v>
      </c>
      <c r="K215" s="5" t="inlineStr"/>
      <c r="L215" s="5" t="inlineStr"/>
      <c r="M215" s="5" t="inlineStr"/>
      <c r="N215" s="5" t="inlineStr"/>
      <c r="O215" s="5" t="inlineStr"/>
      <c r="P215" s="5" t="inlineStr"/>
      <c r="Q215" s="5" t="inlineStr"/>
      <c r="R215" s="6" t="inlineStr"/>
      <c r="S215" s="5" t="inlineStr"/>
      <c r="T215" s="5" t="inlineStr"/>
    </row>
    <row r="216">
      <c r="A216" s="5" t="inlineStr">
        <is>
          <t>b8-sac-meselesi</t>
        </is>
      </c>
      <c r="B216" s="5" t="n">
        <v>8</v>
      </c>
      <c r="C216" s="5" t="inlineStr">
        <is>
          <t>41 yaş</t>
        </is>
      </c>
      <c r="D216" s="5" t="inlineStr">
        <is>
          <t>💈</t>
        </is>
      </c>
      <c r="E216" s="6" t="inlineStr">
        <is>
          <t>Saç Meselesi</t>
        </is>
      </c>
      <c r="F216" s="6" t="inlineStr">
        <is>
          <t>Berber aynayı arkana tuttu. Tepede, haritalarda 'açık alan' diye geçen bir bölge oluşmuş.</t>
        </is>
      </c>
      <c r="G216" s="5" t="inlineStr">
        <is>
          <t>dukkan</t>
        </is>
      </c>
      <c r="H216" s="5" t="inlineStr"/>
      <c r="I216" s="5" t="inlineStr"/>
      <c r="J216" s="5" t="n">
        <v>1</v>
      </c>
      <c r="K216" s="5" t="inlineStr"/>
      <c r="L216" s="5" t="inlineStr"/>
      <c r="M216" s="5" t="inlineStr"/>
      <c r="N216" s="5" t="inlineStr"/>
      <c r="O216" s="5" t="inlineStr"/>
      <c r="P216" s="5" t="inlineStr"/>
      <c r="Q216" s="5" t="inlineStr"/>
      <c r="R216" s="6" t="inlineStr"/>
      <c r="S216" s="5" t="inlineStr"/>
      <c r="T216" s="5" t="inlineStr"/>
    </row>
    <row r="217">
      <c r="A217" s="5" t="inlineStr">
        <is>
          <t>ms-sigortasiz-hayat</t>
        </is>
      </c>
      <c r="B217" s="5" t="n">
        <v>8</v>
      </c>
      <c r="C217" s="5" t="inlineStr">
        <is>
          <t>41 yaş</t>
        </is>
      </c>
      <c r="D217" s="5" t="inlineStr">
        <is>
          <t>🩹</t>
        </is>
      </c>
      <c r="E217" s="6" t="inlineStr">
        <is>
          <t>Sigortasız Hayat</t>
        </is>
      </c>
      <c r="F217" s="6" t="inlineStr">
        <is>
          <t>Sosyal güvenlik kurumu bir yazı gönderdi: Yıllardır prim yatmamış. Emeklilik takvimin henüz başlamamış bile.</t>
        </is>
      </c>
      <c r="G217" s="5" t="inlineStr">
        <is>
          <t>devlet-dairesi</t>
        </is>
      </c>
      <c r="H217" s="5" t="inlineStr"/>
      <c r="I217" s="5" t="inlineStr"/>
      <c r="J217" s="5" t="n">
        <v>1</v>
      </c>
      <c r="K217" s="5" t="inlineStr">
        <is>
          <t>meslek-serbest</t>
        </is>
      </c>
      <c r="L217" s="5" t="inlineStr"/>
      <c r="M217" s="5" t="inlineStr"/>
      <c r="N217" s="5" t="inlineStr"/>
      <c r="O217" s="5" t="inlineStr"/>
      <c r="P217" s="5" t="inlineStr"/>
      <c r="Q217" s="5" t="inlineStr"/>
      <c r="R217" s="6" t="inlineStr"/>
      <c r="S217" s="5" t="inlineStr"/>
      <c r="T217" s="5" t="inlineStr"/>
    </row>
    <row r="218">
      <c r="A218" s="5" t="inlineStr">
        <is>
          <t>b8-ergen-telefon</t>
        </is>
      </c>
      <c r="B218" s="5" t="n">
        <v>8</v>
      </c>
      <c r="C218" s="5" t="inlineStr">
        <is>
          <t>41 yaş 6 ay</t>
        </is>
      </c>
      <c r="D218" s="5" t="inlineStr">
        <is>
          <t>📱</t>
        </is>
      </c>
      <c r="E218" s="6" t="inlineStr">
        <is>
          <t>Çocuğun Telefonu</t>
        </is>
      </c>
      <c r="F218" s="6" t="inlineStr">
        <is>
          <t>Çocuğun telefonu masada titriyor. Ekran kilitli. Kilit ekranındaki fotoğrafta sen yoksun.</t>
        </is>
      </c>
      <c r="G218" s="5" t="inlineStr">
        <is>
          <t>cocuk-odasi</t>
        </is>
      </c>
      <c r="H218" s="5" t="inlineStr">
        <is>
          <t>ev</t>
        </is>
      </c>
      <c r="I218" s="5" t="inlineStr"/>
      <c r="J218" s="5" t="n">
        <v>1</v>
      </c>
      <c r="K218" s="5" t="inlineStr">
        <is>
          <t>cocuklu</t>
        </is>
      </c>
      <c r="L218" s="5" t="inlineStr"/>
      <c r="M218" s="5" t="inlineStr"/>
      <c r="N218" s="5" t="inlineStr"/>
      <c r="O218" s="5" t="inlineStr"/>
      <c r="P218" s="5" t="inlineStr"/>
      <c r="Q218" s="5" t="inlineStr"/>
      <c r="R218" s="6" t="inlineStr"/>
      <c r="S218" s="5" t="inlineStr"/>
      <c r="T218" s="5" t="inlineStr"/>
    </row>
    <row r="219">
      <c r="A219" s="5" t="inlineStr">
        <is>
          <t>b8-metabolizma</t>
        </is>
      </c>
      <c r="B219" s="5" t="n">
        <v>8</v>
      </c>
      <c r="C219" s="5" t="inlineStr">
        <is>
          <t>42 yaş</t>
        </is>
      </c>
      <c r="D219" s="5" t="inlineStr">
        <is>
          <t>⚖️</t>
        </is>
      </c>
      <c r="E219" s="6" t="inlineStr">
        <is>
          <t>Metabolizma Raporu</t>
        </is>
      </c>
      <c r="F219" s="6" t="inlineStr">
        <is>
          <t>Dün akşam bir dilim fazla ekmek yedin. Tartı bunu bu sabah, resmî yazıyla bildirdi.</t>
        </is>
      </c>
      <c r="G219" s="5" t="inlineStr">
        <is>
          <t>mutfak</t>
        </is>
      </c>
      <c r="H219" s="5" t="inlineStr"/>
      <c r="I219" s="5" t="inlineStr"/>
      <c r="J219" s="5" t="n">
        <v>1</v>
      </c>
      <c r="K219" s="5" t="inlineStr"/>
      <c r="L219" s="5" t="inlineStr"/>
      <c r="M219" s="5" t="inlineStr"/>
      <c r="N219" s="5" t="inlineStr"/>
      <c r="O219" s="5" t="inlineStr"/>
      <c r="P219" s="5" t="inlineStr"/>
      <c r="Q219" s="5" t="inlineStr"/>
      <c r="R219" s="6" t="inlineStr"/>
      <c r="S219" s="5" t="inlineStr"/>
      <c r="T219" s="5" t="inlineStr"/>
    </row>
    <row r="220">
      <c r="A220" s="5" t="inlineStr">
        <is>
          <t>mb-yapay-zeka</t>
        </is>
      </c>
      <c r="B220" s="5" t="n">
        <v>8</v>
      </c>
      <c r="C220" s="5" t="inlineStr">
        <is>
          <t>42 yaş</t>
        </is>
      </c>
      <c r="D220" s="5" t="inlineStr">
        <is>
          <t>🤖</t>
        </is>
      </c>
      <c r="E220" s="6" t="inlineStr">
        <is>
          <t>Yapay Zekâ Devralıyor</t>
        </is>
      </c>
      <c r="F220" s="6" t="inlineStr">
        <is>
          <t>Şirket yeni bir yapay zekâ aracı aldı. Senin işini üç saniyede yapıyor. Onu eğitecek kişi de sensin.</t>
        </is>
      </c>
      <c r="G220" s="5" t="inlineStr">
        <is>
          <t>ofis</t>
        </is>
      </c>
      <c r="H220" s="5" t="inlineStr"/>
      <c r="I220" s="5" t="inlineStr"/>
      <c r="J220" s="5" t="n">
        <v>1</v>
      </c>
      <c r="K220" s="5" t="inlineStr">
        <is>
          <t>meslek-beyazyaka</t>
        </is>
      </c>
      <c r="L220" s="5" t="inlineStr"/>
      <c r="M220" s="5" t="inlineStr"/>
      <c r="N220" s="5" t="inlineStr"/>
      <c r="O220" s="5" t="inlineStr"/>
      <c r="P220" s="5" t="inlineStr"/>
      <c r="Q220" s="5" t="inlineStr"/>
      <c r="R220" s="6" t="inlineStr"/>
      <c r="S220" s="5" t="inlineStr"/>
      <c r="T220" s="5" t="inlineStr"/>
    </row>
    <row r="221">
      <c r="A221" s="5" t="inlineStr">
        <is>
          <t>me-haber-merkezi</t>
        </is>
      </c>
      <c r="B221" s="5" t="n">
        <v>8</v>
      </c>
      <c r="C221" s="5" t="inlineStr">
        <is>
          <t>42 yaş</t>
        </is>
      </c>
      <c r="D221" s="5" t="inlineStr">
        <is>
          <t>🗣️</t>
        </is>
      </c>
      <c r="E221" s="6" t="inlineStr">
        <is>
          <t>Mahallenin Haber Merkezi</t>
        </is>
      </c>
      <c r="F221" s="6" t="inlineStr">
        <is>
          <t>Kasan artık mahallenin haber masası. Kim nişanlandı, kimin kiracısı çıktı, apartmanda kim kime küs: ilk sen duyuyorsun.</t>
        </is>
      </c>
      <c r="G221" s="5" t="inlineStr">
        <is>
          <t>dukkan</t>
        </is>
      </c>
      <c r="H221" s="5" t="inlineStr"/>
      <c r="I221" s="5" t="inlineStr"/>
      <c r="J221" s="5" t="inlineStr"/>
      <c r="K221" s="5" t="inlineStr">
        <is>
          <t>meslek-esnaf</t>
        </is>
      </c>
      <c r="L221" s="5" t="inlineStr"/>
      <c r="M221" s="5" t="inlineStr"/>
      <c r="N221" s="5" t="inlineStr"/>
      <c r="O221" s="5" t="inlineStr"/>
      <c r="P221" s="5" t="inlineStr"/>
      <c r="Q221" s="5" t="inlineStr"/>
      <c r="R221" s="6" t="inlineStr"/>
      <c r="S221" s="5" t="inlineStr"/>
      <c r="T221" s="5" t="inlineStr"/>
    </row>
    <row r="222">
      <c r="A222" s="5" t="inlineStr">
        <is>
          <t>mm-performans-formu</t>
        </is>
      </c>
      <c r="B222" s="5" t="n">
        <v>8</v>
      </c>
      <c r="C222" s="5" t="inlineStr">
        <is>
          <t>42 yaş</t>
        </is>
      </c>
      <c r="D222" s="5" t="inlineStr">
        <is>
          <t>📊</t>
        </is>
      </c>
      <c r="E222" s="6" t="inlineStr">
        <is>
          <t>Performans Formu</t>
        </is>
      </c>
      <c r="F222" s="6" t="inlineStr">
        <is>
          <t>Yıllık performans formu geldi. Kırk iki soru, beş seçenek. Hepsinin anlamı: 'Beklentileri karşılıyor.'</t>
        </is>
      </c>
      <c r="G222" s="5" t="inlineStr">
        <is>
          <t>devlet-dairesi</t>
        </is>
      </c>
      <c r="H222" s="5" t="inlineStr"/>
      <c r="I222" s="5" t="inlineStr"/>
      <c r="J222" s="5" t="inlineStr"/>
      <c r="K222" s="5" t="inlineStr">
        <is>
          <t>meslek-memur</t>
        </is>
      </c>
      <c r="L222" s="5" t="inlineStr"/>
      <c r="M222" s="5" t="inlineStr"/>
      <c r="N222" s="5" t="inlineStr"/>
      <c r="O222" s="5" t="inlineStr"/>
      <c r="P222" s="5" t="inlineStr"/>
      <c r="Q222" s="5" t="inlineStr"/>
      <c r="R222" s="6" t="inlineStr"/>
      <c r="S222" s="5" t="inlineStr"/>
      <c r="T222" s="5" t="inlineStr"/>
    </row>
    <row r="223">
      <c r="A223" s="5" t="inlineStr">
        <is>
          <t>b8-gozluk</t>
        </is>
      </c>
      <c r="B223" s="5" t="n">
        <v>8</v>
      </c>
      <c r="C223" s="5" t="inlineStr">
        <is>
          <t>42 yaş 6 ay</t>
        </is>
      </c>
      <c r="D223" s="5" t="inlineStr">
        <is>
          <t>👓</t>
        </is>
      </c>
      <c r="E223" s="6" t="inlineStr">
        <is>
          <t>Gözlük Dönemi</t>
        </is>
      </c>
      <c r="F223" s="6" t="inlineStr">
        <is>
          <t>Marketteki etiketi okumak için kolunu uzattın. Kol yetmedi. Kolunun uzunluğu resmen yetersiz bulundu.</t>
        </is>
      </c>
      <c r="G223" s="5" t="inlineStr">
        <is>
          <t>market</t>
        </is>
      </c>
      <c r="H223" s="5" t="inlineStr"/>
      <c r="I223" s="5" t="inlineStr"/>
      <c r="J223" s="5" t="n">
        <v>1</v>
      </c>
      <c r="K223" s="5" t="inlineStr"/>
      <c r="L223" s="5" t="inlineStr"/>
      <c r="M223" s="5" t="inlineStr"/>
      <c r="N223" s="5" t="inlineStr"/>
      <c r="O223" s="5" t="inlineStr"/>
      <c r="P223" s="5" t="inlineStr"/>
      <c r="Q223" s="5" t="inlineStr"/>
      <c r="R223" s="6" t="inlineStr"/>
      <c r="S223" s="5" t="inlineStr"/>
      <c r="T223" s="5" t="inlineStr"/>
    </row>
    <row r="224">
      <c r="A224" s="5" t="inlineStr">
        <is>
          <t>b8-bayram-sofrasi</t>
        </is>
      </c>
      <c r="B224" s="5" t="n">
        <v>8</v>
      </c>
      <c r="C224" s="5" t="inlineStr">
        <is>
          <t>43 yaş</t>
        </is>
      </c>
      <c r="D224" s="5" t="inlineStr">
        <is>
          <t>🍽️</t>
        </is>
      </c>
      <c r="E224" s="6" t="inlineStr">
        <is>
          <t>Bayram Sofrası</t>
        </is>
      </c>
      <c r="F224" s="6" t="inlineStr">
        <is>
          <t>Sarmalar sayıldı, hatırlar soruldu. Sofranın ucundaki amca çatalını bıraktı: 'Şu tarla meselesini konuşalım.'</t>
        </is>
      </c>
      <c r="G224" s="5" t="inlineStr">
        <is>
          <t>ev</t>
        </is>
      </c>
      <c r="H224" s="5" t="inlineStr">
        <is>
          <t>sosyal</t>
        </is>
      </c>
      <c r="I224" s="5" t="inlineStr"/>
      <c r="J224" s="5" t="n">
        <v>1</v>
      </c>
      <c r="K224" s="5" t="inlineStr"/>
      <c r="L224" s="5" t="inlineStr"/>
      <c r="M224" s="5" t="inlineStr"/>
      <c r="N224" s="5" t="inlineStr"/>
      <c r="O224" s="5" t="inlineStr"/>
      <c r="P224" s="5" t="inlineStr"/>
      <c r="Q224" s="5" t="inlineStr"/>
      <c r="R224" s="6" t="inlineStr"/>
      <c r="S224" s="5" t="inlineStr"/>
      <c r="T224" s="5" t="inlineStr"/>
    </row>
    <row r="225">
      <c r="A225" s="5" t="inlineStr">
        <is>
          <t>b8-hastane-otoparki</t>
        </is>
      </c>
      <c r="B225" s="5" t="n">
        <v>8</v>
      </c>
      <c r="C225" s="5" t="inlineStr">
        <is>
          <t>43 yaş 6 ay</t>
        </is>
      </c>
      <c r="D225" s="5" t="inlineStr">
        <is>
          <t>🅿️</t>
        </is>
      </c>
      <c r="E225" s="6" t="inlineStr">
        <is>
          <t>Hastane Otoparkı</t>
        </is>
      </c>
      <c r="F225" s="6" t="inlineStr">
        <is>
          <t>Annenin kontrol randevusu 10.00'da. Saat 09.40. Otoparkta tek boş yer var; üzerinde 'Başhekim' yazıyor.</t>
        </is>
      </c>
      <c r="G225" s="5" t="inlineStr">
        <is>
          <t>hastane</t>
        </is>
      </c>
      <c r="H225" s="5" t="inlineStr">
        <is>
          <t>ev</t>
        </is>
      </c>
      <c r="I225" s="5" t="inlineStr"/>
      <c r="J225" s="5" t="n">
        <v>1</v>
      </c>
      <c r="K225" s="5" t="inlineStr"/>
      <c r="L225" s="5" t="inlineStr"/>
      <c r="M225" s="5" t="inlineStr"/>
      <c r="N225" s="5" t="inlineStr"/>
      <c r="O225" s="5" t="inlineStr"/>
      <c r="P225" s="5" t="inlineStr"/>
      <c r="Q225" s="5" t="inlineStr"/>
      <c r="R225" s="6" t="inlineStr"/>
      <c r="S225" s="5" t="inlineStr"/>
      <c r="T225" s="5" t="inlineStr"/>
    </row>
    <row r="226">
      <c r="A226" s="5" t="inlineStr">
        <is>
          <t>b8-bekar-orta-yas</t>
        </is>
      </c>
      <c r="B226" s="5" t="n">
        <v>8</v>
      </c>
      <c r="C226" s="5" t="inlineStr">
        <is>
          <t>44 yaş</t>
        </is>
      </c>
      <c r="D226" s="5" t="inlineStr">
        <is>
          <t>🛋️</t>
        </is>
      </c>
      <c r="E226" s="6" t="inlineStr">
        <is>
          <t>Bekâr ve Orta Yaş</t>
        </is>
      </c>
      <c r="F226" s="6" t="inlineStr">
        <is>
          <t>Akrabalar artık 'Ne zaman evleneceksin?' diye sormuyor. Sadece bakıyorlar. Bakış, sorudan uzun sürüyor.</t>
        </is>
      </c>
      <c r="G226" s="5" t="inlineStr">
        <is>
          <t>ev</t>
        </is>
      </c>
      <c r="H226" s="5" t="inlineStr"/>
      <c r="I226" s="5" t="inlineStr"/>
      <c r="J226" s="5" t="n">
        <v>1</v>
      </c>
      <c r="K226" s="5" t="inlineStr"/>
      <c r="L226" s="5" t="inlineStr">
        <is>
          <t>evli</t>
        </is>
      </c>
      <c r="M226" s="5" t="inlineStr"/>
      <c r="N226" s="5" t="inlineStr"/>
      <c r="O226" s="5" t="inlineStr"/>
      <c r="P226" s="5" t="inlineStr"/>
      <c r="Q226" s="5" t="inlineStr"/>
      <c r="R226" s="6" t="inlineStr"/>
      <c r="S226" s="5" t="inlineStr"/>
      <c r="T226" s="5" t="inlineStr"/>
    </row>
    <row r="227">
      <c r="A227" s="5" t="inlineStr">
        <is>
          <t>ms-fon-basvurusu</t>
        </is>
      </c>
      <c r="B227" s="5" t="n">
        <v>8</v>
      </c>
      <c r="C227" s="5" t="inlineStr">
        <is>
          <t>44 yaş</t>
        </is>
      </c>
      <c r="D227" s="5" t="inlineStr">
        <is>
          <t>📝</t>
        </is>
      </c>
      <c r="E227" s="6" t="inlineStr">
        <is>
          <t>Fon Başvurusu</t>
        </is>
      </c>
      <c r="F227" s="6" t="inlineStr">
        <is>
          <t>Bir kültür fonu başvurusu açıldı. Form kırk iki sayfa. Proje özeti yüz elli kelimeyi geçmemeli. Hayatın geçiyor.</t>
        </is>
      </c>
      <c r="G227" s="5" t="inlineStr">
        <is>
          <t>ev</t>
        </is>
      </c>
      <c r="H227" s="5" t="inlineStr"/>
      <c r="I227" s="5" t="inlineStr"/>
      <c r="J227" s="5" t="n">
        <v>1</v>
      </c>
      <c r="K227" s="5" t="inlineStr">
        <is>
          <t>meslek-serbest</t>
        </is>
      </c>
      <c r="L227" s="5" t="inlineStr"/>
      <c r="M227" s="5" t="inlineStr"/>
      <c r="N227" s="5" t="inlineStr"/>
      <c r="O227" s="5" t="inlineStr"/>
      <c r="P227" s="5" t="inlineStr"/>
      <c r="Q227" s="5" t="inlineStr"/>
      <c r="R227" s="6" t="inlineStr"/>
      <c r="S227" s="5" t="inlineStr"/>
      <c r="T227" s="5" t="inlineStr"/>
    </row>
    <row r="228">
      <c r="A228" s="5" t="inlineStr">
        <is>
          <t>b8-doktor-stres</t>
        </is>
      </c>
      <c r="B228" s="5" t="n">
        <v>8</v>
      </c>
      <c r="C228" s="5" t="inlineStr">
        <is>
          <t>44 yaş 6 ay</t>
        </is>
      </c>
      <c r="D228" s="5" t="inlineStr">
        <is>
          <t>🩺</t>
        </is>
      </c>
      <c r="E228" s="6" t="inlineStr">
        <is>
          <t>Stres Yapmayın</t>
        </is>
      </c>
      <c r="F228" s="6" t="inlineStr">
        <is>
          <t>Tahlil sonuçları masada. Doktor ekrana bakıp tavsiyesini verdi: 'Stres yapmayın.' Bu cümle için ayrıca ücret alınmadı.</t>
        </is>
      </c>
      <c r="G228" s="5" t="inlineStr">
        <is>
          <t>hastane</t>
        </is>
      </c>
      <c r="H228" s="5" t="inlineStr"/>
      <c r="I228" s="5" t="inlineStr"/>
      <c r="J228" s="5" t="n">
        <v>1</v>
      </c>
      <c r="K228" s="5" t="inlineStr"/>
      <c r="L228" s="5" t="inlineStr"/>
      <c r="M228" s="5" t="inlineStr"/>
      <c r="N228" s="5" t="inlineStr"/>
      <c r="O228" s="5" t="inlineStr"/>
      <c r="P228" s="5" t="inlineStr"/>
      <c r="Q228" s="5" t="inlineStr"/>
      <c r="R228" s="6" t="inlineStr"/>
      <c r="S228" s="5" t="inlineStr"/>
      <c r="T228" s="5" t="inlineStr"/>
    </row>
    <row r="229">
      <c r="A229" s="5" t="inlineStr">
        <is>
          <t>b8-cocuk-sinav</t>
        </is>
      </c>
      <c r="B229" s="5" t="n">
        <v>8</v>
      </c>
      <c r="C229" s="5" t="inlineStr">
        <is>
          <t>45 yaş</t>
        </is>
      </c>
      <c r="D229" s="5" t="inlineStr">
        <is>
          <t>📝</t>
        </is>
      </c>
      <c r="E229" s="6" t="inlineStr">
        <is>
          <t>Çocuğun Büyük Sınavı</t>
        </is>
      </c>
      <c r="F229" s="6" t="inlineStr">
        <is>
          <t>Çocuğun üniversite sınavı yarın sabah. Sen, sınava girmeyecek biri için fazla uykusuzsun.</t>
        </is>
      </c>
      <c r="G229" s="5" t="inlineStr">
        <is>
          <t>okul</t>
        </is>
      </c>
      <c r="H229" s="5" t="inlineStr">
        <is>
          <t>okul-iş</t>
        </is>
      </c>
      <c r="I229" s="5" t="inlineStr"/>
      <c r="J229" s="5" t="n">
        <v>1</v>
      </c>
      <c r="K229" s="5" t="inlineStr">
        <is>
          <t>cocuklu</t>
        </is>
      </c>
      <c r="L229" s="5" t="inlineStr"/>
      <c r="M229" s="5" t="inlineStr"/>
      <c r="N229" s="5" t="inlineStr"/>
      <c r="O229" s="5" t="inlineStr"/>
      <c r="P229" s="5" t="inlineStr"/>
      <c r="Q229" s="5" t="inlineStr"/>
      <c r="R229" s="6" t="inlineStr"/>
      <c r="S229" s="5" t="inlineStr"/>
      <c r="T229" s="5" t="inlineStr"/>
    </row>
    <row r="230">
      <c r="A230" s="5" t="inlineStr">
        <is>
          <t>mb-kisa-gorusme</t>
        </is>
      </c>
      <c r="B230" s="5" t="n">
        <v>8</v>
      </c>
      <c r="C230" s="5" t="inlineStr">
        <is>
          <t>45 yaş</t>
        </is>
      </c>
      <c r="D230" s="5" t="inlineStr">
        <is>
          <t>🚪</t>
        </is>
      </c>
      <c r="E230" s="6" t="inlineStr">
        <is>
          <t>Kısa Bir Görüşme</t>
        </is>
      </c>
      <c r="F230" s="6" t="inlineStr">
        <is>
          <t>Yeniden yapılanma e-postası geldi. Bir saat sonra takviminde on beş dakikalık bir toplantı belirdi: 'Kısa bir görüşme.'</t>
        </is>
      </c>
      <c r="G230" s="5" t="inlineStr">
        <is>
          <t>ofis</t>
        </is>
      </c>
      <c r="H230" s="5" t="inlineStr"/>
      <c r="I230" s="5" t="inlineStr"/>
      <c r="J230" s="5" t="n">
        <v>1</v>
      </c>
      <c r="K230" s="5" t="inlineStr">
        <is>
          <t>meslek-beyazyaka</t>
        </is>
      </c>
      <c r="L230" s="5" t="inlineStr"/>
      <c r="M230" s="5" t="inlineStr"/>
      <c r="N230" s="5" t="inlineStr"/>
      <c r="O230" s="5" t="inlineStr"/>
      <c r="P230" s="5" t="inlineStr"/>
      <c r="Q230" s="5" t="inlineStr"/>
      <c r="R230" s="6" t="inlineStr"/>
      <c r="S230" s="5" t="inlineStr"/>
      <c r="T230" s="5" t="inlineStr"/>
    </row>
    <row r="231">
      <c r="A231" s="5" t="inlineStr">
        <is>
          <t>me-internet-satis</t>
        </is>
      </c>
      <c r="B231" s="5" t="n">
        <v>8</v>
      </c>
      <c r="C231" s="5" t="inlineStr">
        <is>
          <t>45 yaş</t>
        </is>
      </c>
      <c r="D231" s="5" t="inlineStr">
        <is>
          <t>📦</t>
        </is>
      </c>
      <c r="E231" s="6" t="inlineStr">
        <is>
          <t>Dükkân İnternete Taşınıyor</t>
        </is>
      </c>
      <c r="F231" s="6" t="inlineStr">
        <is>
          <t>Müşteriler 'Sitenizden bakarız' diyor. Sitende şu an yalnızca dükkânın kapı fotoğrafı var; kapı da kapalı.</t>
        </is>
      </c>
      <c r="G231" s="5" t="inlineStr">
        <is>
          <t>dukkan</t>
        </is>
      </c>
      <c r="H231" s="5" t="inlineStr"/>
      <c r="I231" s="5" t="inlineStr"/>
      <c r="J231" s="5" t="inlineStr"/>
      <c r="K231" s="5" t="inlineStr">
        <is>
          <t>meslek-esnaf</t>
        </is>
      </c>
      <c r="L231" s="5" t="inlineStr"/>
      <c r="M231" s="5" t="inlineStr"/>
      <c r="N231" s="5" t="inlineStr"/>
      <c r="O231" s="5" t="inlineStr"/>
      <c r="P231" s="5" t="inlineStr"/>
      <c r="Q231" s="5" t="inlineStr"/>
      <c r="R231" s="6" t="inlineStr"/>
      <c r="S231" s="5" t="inlineStr"/>
      <c r="T231" s="5" t="inlineStr"/>
    </row>
    <row r="232">
      <c r="A232" s="5" t="inlineStr">
        <is>
          <t>mm-terfi-sinavi</t>
        </is>
      </c>
      <c r="B232" s="5" t="n">
        <v>8</v>
      </c>
      <c r="C232" s="5" t="inlineStr">
        <is>
          <t>45 yaş</t>
        </is>
      </c>
      <c r="D232" s="5" t="inlineStr">
        <is>
          <t>📝</t>
        </is>
      </c>
      <c r="E232" s="6" t="inlineStr">
        <is>
          <t>Terfi Sınavı</t>
        </is>
      </c>
      <c r="F232" s="6" t="inlineStr">
        <is>
          <t>Şube müdürlüğü için terfi sınavı açıldı. Konular: mevzuat, mevzuattaki değişiklikler ve değişikliklerdeki değişiklikler.</t>
        </is>
      </c>
      <c r="G232" s="5" t="inlineStr">
        <is>
          <t>devlet-dairesi</t>
        </is>
      </c>
      <c r="H232" s="5" t="inlineStr"/>
      <c r="I232" s="5" t="inlineStr"/>
      <c r="J232" s="5" t="inlineStr"/>
      <c r="K232" s="5" t="inlineStr">
        <is>
          <t>meslek-memur</t>
        </is>
      </c>
      <c r="L232" s="5" t="inlineStr"/>
      <c r="M232" s="5" t="inlineStr"/>
      <c r="N232" s="5" t="inlineStr"/>
      <c r="O232" s="5" t="inlineStr"/>
      <c r="P232" s="5" t="inlineStr"/>
      <c r="Q232" s="5" t="inlineStr"/>
      <c r="R232" s="6" t="inlineStr"/>
      <c r="S232" s="5" t="inlineStr"/>
      <c r="T232" s="5" t="inlineStr"/>
    </row>
    <row r="233">
      <c r="A233" s="5" t="inlineStr">
        <is>
          <t>b8-dijital-para</t>
        </is>
      </c>
      <c r="B233" s="5" t="n">
        <v>8</v>
      </c>
      <c r="C233" s="5" t="inlineStr">
        <is>
          <t>45 yaş 6 ay</t>
        </is>
      </c>
      <c r="D233" s="5" t="inlineStr">
        <is>
          <t>🪙</t>
        </is>
      </c>
      <c r="E233" s="6" t="inlineStr">
        <is>
          <t>Dijital Para Heyecanı</t>
        </is>
      </c>
      <c r="F233" s="6" t="inlineStr">
        <is>
          <t>Eski bir arkadaş aradı: 'Yeni bir dijital para çıktı, hâlâ erken!' Erken olan tek şey saat: 07.12.</t>
        </is>
      </c>
      <c r="G233" s="5" t="inlineStr">
        <is>
          <t>ev</t>
        </is>
      </c>
      <c r="H233" s="5" t="inlineStr">
        <is>
          <t>para</t>
        </is>
      </c>
      <c r="I233" s="5" t="inlineStr"/>
      <c r="J233" s="5" t="n">
        <v>1</v>
      </c>
      <c r="K233" s="5" t="inlineStr">
        <is>
          <t>borclu</t>
        </is>
      </c>
      <c r="L233" s="5" t="inlineStr"/>
      <c r="M233" s="5" t="inlineStr"/>
      <c r="N233" s="5" t="inlineStr"/>
      <c r="O233" s="5" t="inlineStr"/>
      <c r="P233" s="5" t="inlineStr"/>
      <c r="Q233" s="5" t="inlineStr"/>
      <c r="R233" s="6" t="inlineStr"/>
      <c r="S233" s="5" t="inlineStr"/>
      <c r="T233" s="5" t="inlineStr"/>
    </row>
    <row r="234">
      <c r="A234" s="5" t="inlineStr">
        <is>
          <t>b8-o-cumle</t>
        </is>
      </c>
      <c r="B234" s="5" t="n">
        <v>8</v>
      </c>
      <c r="C234" s="5" t="inlineStr">
        <is>
          <t>46 yaş</t>
        </is>
      </c>
      <c r="D234" s="5" t="inlineStr">
        <is>
          <t>🗣️</t>
        </is>
      </c>
      <c r="E234" s="6" t="inlineStr">
        <is>
          <t>O Cümle</t>
        </is>
      </c>
      <c r="F234" s="6" t="inlineStr">
        <is>
          <t>Çocuk 'Sıkılıyorum' dedi. İçinde bir cümle yükseliyor: anne-babandan duyup asla kurmayacağına yemin ettiğin cümle.</t>
        </is>
      </c>
      <c r="G234" s="5" t="inlineStr">
        <is>
          <t>mutfak</t>
        </is>
      </c>
      <c r="H234" s="5" t="inlineStr">
        <is>
          <t>ev</t>
        </is>
      </c>
      <c r="I234" s="5" t="inlineStr"/>
      <c r="J234" s="5" t="n">
        <v>1</v>
      </c>
      <c r="K234" s="5" t="inlineStr">
        <is>
          <t>cocuklu</t>
        </is>
      </c>
      <c r="L234" s="5" t="inlineStr"/>
      <c r="M234" s="5" t="inlineStr"/>
      <c r="N234" s="5" t="inlineStr"/>
      <c r="O234" s="5" t="inlineStr"/>
      <c r="P234" s="5" t="inlineStr"/>
      <c r="Q234" s="5" t="inlineStr"/>
      <c r="R234" s="6" t="inlineStr"/>
      <c r="S234" s="5" t="inlineStr"/>
      <c r="T234" s="5" t="inlineStr"/>
    </row>
    <row r="235">
      <c r="A235" s="5" t="inlineStr">
        <is>
          <t>b8-evli-rutin</t>
        </is>
      </c>
      <c r="B235" s="5" t="n">
        <v>8</v>
      </c>
      <c r="C235" s="5" t="inlineStr">
        <is>
          <t>46 yaş 6 ay</t>
        </is>
      </c>
      <c r="D235" s="5" t="inlineStr">
        <is>
          <t>💍</t>
        </is>
      </c>
      <c r="E235" s="6" t="inlineStr">
        <is>
          <t>Evlilik Rutini</t>
        </is>
      </c>
      <c r="F235" s="6" t="inlineStr">
        <is>
          <t>Akşam yemeği. Eşinle ikiniz de telefona bakıyorsunuz. Az önce birbirinize aynı videoyu göndermişsiniz.</t>
        </is>
      </c>
      <c r="G235" s="5" t="inlineStr">
        <is>
          <t>ev</t>
        </is>
      </c>
      <c r="H235" s="5" t="inlineStr"/>
      <c r="I235" s="5" t="inlineStr"/>
      <c r="J235" s="5" t="n">
        <v>1</v>
      </c>
      <c r="K235" s="5" t="inlineStr">
        <is>
          <t>evli</t>
        </is>
      </c>
      <c r="L235" s="5" t="inlineStr"/>
      <c r="M235" s="5" t="inlineStr"/>
      <c r="N235" s="5" t="inlineStr"/>
      <c r="O235" s="5" t="inlineStr"/>
      <c r="P235" s="5" t="inlineStr"/>
      <c r="Q235" s="5" t="inlineStr"/>
      <c r="R235" s="6" t="inlineStr"/>
      <c r="S235" s="5" t="inlineStr"/>
      <c r="T235" s="5" t="inlineStr"/>
    </row>
    <row r="236">
      <c r="A236" s="5" t="inlineStr">
        <is>
          <t>b8-cocuk-odasi</t>
        </is>
      </c>
      <c r="B236" s="5" t="n">
        <v>8</v>
      </c>
      <c r="C236" s="5" t="inlineStr">
        <is>
          <t>47 yaş</t>
        </is>
      </c>
      <c r="D236" s="5" t="inlineStr">
        <is>
          <t>🧦</t>
        </is>
      </c>
      <c r="E236" s="6" t="inlineStr">
        <is>
          <t>Çocuğun Odası</t>
        </is>
      </c>
      <c r="F236" s="6" t="inlineStr">
        <is>
          <t>Çocuğun odasına girdin. Zemin görünmüyor. Bir yerlerden iki haftadır kayıp bir tabak sesleniyor.</t>
        </is>
      </c>
      <c r="G236" s="5" t="inlineStr">
        <is>
          <t>cocuk-odasi</t>
        </is>
      </c>
      <c r="H236" s="5" t="inlineStr">
        <is>
          <t>ev</t>
        </is>
      </c>
      <c r="I236" s="5" t="inlineStr"/>
      <c r="J236" s="5" t="n">
        <v>1</v>
      </c>
      <c r="K236" s="5" t="inlineStr">
        <is>
          <t>cocuklu</t>
        </is>
      </c>
      <c r="L236" s="5" t="inlineStr"/>
      <c r="M236" s="5" t="inlineStr"/>
      <c r="N236" s="5" t="inlineStr"/>
      <c r="O236" s="5" t="inlineStr"/>
      <c r="P236" s="5" t="inlineStr"/>
      <c r="Q236" s="5" t="inlineStr"/>
      <c r="R236" s="6" t="inlineStr"/>
      <c r="S236" s="5" t="inlineStr"/>
      <c r="T236" s="5" t="inlineStr"/>
    </row>
    <row r="237">
      <c r="A237" s="5" t="inlineStr">
        <is>
          <t>ms-eski-musteri</t>
        </is>
      </c>
      <c r="B237" s="5" t="n">
        <v>8</v>
      </c>
      <c r="C237" s="5" t="inlineStr">
        <is>
          <t>47 yaş</t>
        </is>
      </c>
      <c r="D237" s="5" t="inlineStr">
        <is>
          <t>🔁</t>
        </is>
      </c>
      <c r="E237" s="6" t="inlineStr">
        <is>
          <t>Eski Müşteri</t>
        </is>
      </c>
      <c r="F237" s="6" t="inlineStr">
        <is>
          <t>On beş yıl önce ödeme yapmayan müşteri yazdı: 'Selam! Yeni bir işimiz var, sizi çok özledik.'</t>
        </is>
      </c>
      <c r="G237" s="5" t="inlineStr">
        <is>
          <t>kafe</t>
        </is>
      </c>
      <c r="H237" s="5" t="inlineStr"/>
      <c r="I237" s="5" t="inlineStr"/>
      <c r="J237" s="5" t="n">
        <v>1</v>
      </c>
      <c r="K237" s="5" t="inlineStr">
        <is>
          <t>meslek-serbest</t>
        </is>
      </c>
      <c r="L237" s="5" t="inlineStr"/>
      <c r="M237" s="5" t="inlineStr"/>
      <c r="N237" s="5" t="inlineStr"/>
      <c r="O237" s="5" t="inlineStr"/>
      <c r="P237" s="5" t="inlineStr"/>
      <c r="Q237" s="5" t="inlineStr"/>
      <c r="R237" s="6" t="inlineStr"/>
      <c r="S237" s="5" t="inlineStr"/>
      <c r="T237" s="5" t="inlineStr"/>
    </row>
    <row r="238">
      <c r="A238" s="5" t="inlineStr">
        <is>
          <t>b8-lise-bulusmasi</t>
        </is>
      </c>
      <c r="B238" s="5" t="n">
        <v>8</v>
      </c>
      <c r="C238" s="5" t="inlineStr">
        <is>
          <t>47 yaş 6 ay</t>
        </is>
      </c>
      <c r="D238" s="5" t="inlineStr">
        <is>
          <t>🎓</t>
        </is>
      </c>
      <c r="E238" s="6" t="inlineStr">
        <is>
          <t>25. Yıl Buluşması</t>
        </is>
      </c>
      <c r="F238" s="6" t="inlineStr">
        <is>
          <t>Lise mezunlarının 25. yıl buluşması. Yaka kartında adın yazıyor; herkes önce kartına, sonra saçına bakıyor.</t>
        </is>
      </c>
      <c r="G238" s="5" t="inlineStr">
        <is>
          <t>dugun-salonu</t>
        </is>
      </c>
      <c r="H238" s="5" t="inlineStr">
        <is>
          <t>sosyal</t>
        </is>
      </c>
      <c r="I238" s="5" t="inlineStr">
        <is>
          <t>E</t>
        </is>
      </c>
      <c r="J238" s="5" t="n">
        <v>1</v>
      </c>
      <c r="K238" s="5" t="inlineStr"/>
      <c r="L238" s="5" t="inlineStr"/>
      <c r="M238" s="5" t="inlineStr"/>
      <c r="N238" s="5" t="inlineStr"/>
      <c r="O238" s="5" t="inlineStr"/>
      <c r="P238" s="5" t="inlineStr"/>
      <c r="Q238" s="5" t="inlineStr"/>
      <c r="R238" s="6" t="inlineStr"/>
      <c r="S238" s="5" t="inlineStr"/>
      <c r="T238" s="5" t="inlineStr"/>
    </row>
    <row r="239">
      <c r="A239" s="5" t="inlineStr">
        <is>
          <t>b8-sahte-haber</t>
        </is>
      </c>
      <c r="B239" s="5" t="n">
        <v>8</v>
      </c>
      <c r="C239" s="5" t="inlineStr">
        <is>
          <t>48 yaş</t>
        </is>
      </c>
      <c r="D239" s="5" t="inlineStr">
        <is>
          <t>📲</t>
        </is>
      </c>
      <c r="E239" s="6" t="inlineStr">
        <is>
          <t>Aile Grubunda Sahte Haber</t>
        </is>
      </c>
      <c r="F239" s="6" t="inlineStr">
        <is>
          <t>Aile grubunda bir akraba yazdı: 'Yarın 15.00'te bütün telefonlar patlayacak, kapatın!' Mesaj gece 03.12'de, on dört kez iletilmiş.</t>
        </is>
      </c>
      <c r="G239" s="5" t="inlineStr">
        <is>
          <t>ev</t>
        </is>
      </c>
      <c r="H239" s="5" t="inlineStr"/>
      <c r="I239" s="5" t="inlineStr"/>
      <c r="J239" s="5" t="n">
        <v>1</v>
      </c>
      <c r="K239" s="5" t="inlineStr"/>
      <c r="L239" s="5" t="inlineStr"/>
      <c r="M239" s="5" t="inlineStr"/>
      <c r="N239" s="5" t="inlineStr"/>
      <c r="O239" s="5" t="inlineStr"/>
      <c r="P239" s="5" t="inlineStr"/>
      <c r="Q239" s="5" t="inlineStr"/>
      <c r="R239" s="6" t="inlineStr"/>
      <c r="S239" s="5" t="inlineStr"/>
      <c r="T239" s="5" t="inlineStr"/>
    </row>
    <row r="240">
      <c r="A240" s="5" t="inlineStr">
        <is>
          <t>mb-asansorde-genel-mudur</t>
        </is>
      </c>
      <c r="B240" s="5" t="n">
        <v>8</v>
      </c>
      <c r="C240" s="5" t="inlineStr">
        <is>
          <t>48 yaş</t>
        </is>
      </c>
      <c r="D240" s="5" t="inlineStr">
        <is>
          <t>🛗</t>
        </is>
      </c>
      <c r="E240" s="6" t="inlineStr">
        <is>
          <t>Asansörde Genel Müdür</t>
        </is>
      </c>
      <c r="F240" s="6" t="inlineStr">
        <is>
          <t>Asansör yirmi üçüncü katta durdu, genel müdür bindi, kapı kapandı ve asansör arızalandı. Teknisyen kırk dakika uzakta.</t>
        </is>
      </c>
      <c r="G240" s="5" t="inlineStr">
        <is>
          <t>ofis</t>
        </is>
      </c>
      <c r="H240" s="5" t="inlineStr"/>
      <c r="I240" s="5" t="inlineStr"/>
      <c r="J240" s="5" t="n">
        <v>1</v>
      </c>
      <c r="K240" s="5" t="inlineStr">
        <is>
          <t>meslek-beyazyaka</t>
        </is>
      </c>
      <c r="L240" s="5" t="inlineStr"/>
      <c r="M240" s="5" t="inlineStr"/>
      <c r="N240" s="5" t="inlineStr"/>
      <c r="O240" s="5" t="inlineStr"/>
      <c r="P240" s="5" t="inlineStr"/>
      <c r="Q240" s="5" t="inlineStr"/>
      <c r="R240" s="6" t="inlineStr"/>
      <c r="S240" s="5" t="inlineStr"/>
      <c r="T240" s="5" t="inlineStr"/>
    </row>
    <row r="241">
      <c r="A241" s="5" t="inlineStr">
        <is>
          <t>me-tek-yildiz</t>
        </is>
      </c>
      <c r="B241" s="5" t="n">
        <v>8</v>
      </c>
      <c r="C241" s="5" t="inlineStr">
        <is>
          <t>48 yaş</t>
        </is>
      </c>
      <c r="D241" s="5" t="inlineStr">
        <is>
          <t>⭐</t>
        </is>
      </c>
      <c r="E241" s="6" t="inlineStr">
        <is>
          <t>Tek Yıldızlı Yorum</t>
        </is>
      </c>
      <c r="F241" s="6" t="inlineStr">
        <is>
          <t>Dükkânın sayfasına tek yıldız geldi: 'Esnaf güler yüzlü değil.' Yorumun saati gece 03.14. Dükkân o saatte kapalı.</t>
        </is>
      </c>
      <c r="G241" s="5" t="inlineStr">
        <is>
          <t>dukkan</t>
        </is>
      </c>
      <c r="H241" s="5" t="inlineStr"/>
      <c r="I241" s="5" t="inlineStr"/>
      <c r="J241" s="5" t="inlineStr"/>
      <c r="K241" s="5" t="inlineStr">
        <is>
          <t>meslek-esnaf</t>
        </is>
      </c>
      <c r="L241" s="5" t="inlineStr"/>
      <c r="M241" s="5" t="inlineStr"/>
      <c r="N241" s="5" t="inlineStr"/>
      <c r="O241" s="5" t="inlineStr"/>
      <c r="P241" s="5" t="inlineStr"/>
      <c r="Q241" s="5" t="inlineStr"/>
      <c r="R241" s="6" t="inlineStr"/>
      <c r="S241" s="5" t="inlineStr"/>
      <c r="T241" s="5" t="inlineStr"/>
    </row>
    <row r="242">
      <c r="A242" s="5" t="inlineStr">
        <is>
          <t>mm-vatandasla-diyalog</t>
        </is>
      </c>
      <c r="B242" s="5" t="n">
        <v>8</v>
      </c>
      <c r="C242" s="5" t="inlineStr">
        <is>
          <t>48 yaş</t>
        </is>
      </c>
      <c r="D242" s="5" t="inlineStr">
        <is>
          <t>🙋</t>
        </is>
      </c>
      <c r="E242" s="6" t="inlineStr">
        <is>
          <t>Kimin Nesi Olduğunu Bilmiyorsun</t>
        </is>
      </c>
      <c r="F242" s="6" t="inlineStr">
        <is>
          <t>Vatandaş masaya eğildi: 'Siz benim kim olduğumu biliyor musunuz?' Bilmiyorsun. Ama bu cümleyi yirmi yıldır bekliyordun.</t>
        </is>
      </c>
      <c r="G242" s="5" t="inlineStr">
        <is>
          <t>devlet-dairesi</t>
        </is>
      </c>
      <c r="H242" s="5" t="inlineStr"/>
      <c r="I242" s="5" t="inlineStr"/>
      <c r="J242" s="5" t="inlineStr"/>
      <c r="K242" s="5" t="inlineStr">
        <is>
          <t>meslek-memur</t>
        </is>
      </c>
      <c r="L242" s="5" t="inlineStr"/>
      <c r="M242" s="5" t="inlineStr"/>
      <c r="N242" s="5" t="inlineStr"/>
      <c r="O242" s="5" t="inlineStr"/>
      <c r="P242" s="5" t="inlineStr"/>
      <c r="Q242" s="5" t="inlineStr"/>
      <c r="R242" s="6" t="inlineStr"/>
      <c r="S242" s="5" t="inlineStr"/>
      <c r="T242" s="5" t="inlineStr"/>
    </row>
    <row r="243">
      <c r="A243" s="5" t="inlineStr">
        <is>
          <t>b8-yeni-hobi</t>
        </is>
      </c>
      <c r="B243" s="5" t="n">
        <v>8</v>
      </c>
      <c r="C243" s="5" t="inlineStr">
        <is>
          <t>48 yaş 6 ay</t>
        </is>
      </c>
      <c r="D243" s="5" t="inlineStr">
        <is>
          <t>🪂</t>
        </is>
      </c>
      <c r="E243" s="6" t="inlineStr">
        <is>
          <t>Yeni Hobi</t>
        </is>
      </c>
      <c r="F243" s="6" t="inlineStr">
        <is>
          <t>Yeni bir hobinin zamanı geldi. Adaylar: ekşi maya, bağlama, yamaç paraşütü. Üçü de sonunda bir köşeye yığılacak.</t>
        </is>
      </c>
      <c r="G243" s="5" t="inlineStr">
        <is>
          <t>park</t>
        </is>
      </c>
      <c r="H243" s="5" t="inlineStr"/>
      <c r="I243" s="5" t="inlineStr"/>
      <c r="J243" s="5" t="n">
        <v>1</v>
      </c>
      <c r="K243" s="5" t="inlineStr"/>
      <c r="L243" s="5" t="inlineStr"/>
      <c r="M243" s="5" t="inlineStr"/>
      <c r="N243" s="5" t="inlineStr"/>
      <c r="O243" s="5" t="inlineStr"/>
      <c r="P243" s="5" t="inlineStr"/>
      <c r="Q243" s="5" t="inlineStr"/>
      <c r="R243" s="6" t="inlineStr"/>
      <c r="S243" s="5" t="inlineStr"/>
      <c r="T243" s="5" t="inlineStr"/>
    </row>
    <row r="244">
      <c r="A244" s="5" t="inlineStr">
        <is>
          <t>b8-maraton</t>
        </is>
      </c>
      <c r="B244" s="5" t="n">
        <v>8</v>
      </c>
      <c r="C244" s="5" t="inlineStr">
        <is>
          <t>49 yaş</t>
        </is>
      </c>
      <c r="D244" s="5" t="inlineStr">
        <is>
          <t>🏃</t>
        </is>
      </c>
      <c r="E244" s="6" t="inlineStr">
        <is>
          <t>Maraton Hevesi</t>
        </is>
      </c>
      <c r="F244" s="6" t="inlineStr">
        <is>
          <t>İlk maratonuna kayıt oldun. Göğüs numaran 4471. Kaç kişinin önünde bitireceğine dair bir taahhüt verilmedi.</t>
        </is>
      </c>
      <c r="G244" s="5" t="inlineStr">
        <is>
          <t>sokak</t>
        </is>
      </c>
      <c r="H244" s="5" t="inlineStr"/>
      <c r="I244" s="5" t="inlineStr"/>
      <c r="J244" s="5" t="n">
        <v>1</v>
      </c>
      <c r="K244" s="5" t="inlineStr">
        <is>
          <t>sporcu</t>
        </is>
      </c>
      <c r="L244" s="5" t="inlineStr"/>
      <c r="M244" s="5" t="inlineStr"/>
      <c r="N244" s="5" t="inlineStr"/>
      <c r="O244" s="5" t="inlineStr"/>
      <c r="P244" s="5" t="inlineStr"/>
      <c r="Q244" s="5" t="inlineStr"/>
      <c r="R244" s="6" t="inlineStr"/>
      <c r="S244" s="5" t="inlineStr"/>
      <c r="T244" s="5" t="inlineStr"/>
    </row>
    <row r="245">
      <c r="A245" s="5" t="inlineStr">
        <is>
          <t>b8-yeniden-egitim</t>
        </is>
      </c>
      <c r="B245" s="5" t="n">
        <v>8</v>
      </c>
      <c r="C245" s="5" t="inlineStr">
        <is>
          <t>49 yaş 6 ay</t>
        </is>
      </c>
      <c r="D245" s="5" t="inlineStr">
        <is>
          <t>🎒</t>
        </is>
      </c>
      <c r="E245" s="6" t="inlineStr">
        <is>
          <t>Yeniden Öğrenci</t>
        </is>
      </c>
      <c r="F245" s="6" t="inlineStr">
        <is>
          <t>Kariyer değiştirmeye karar verdin. Kayıt ekranındasın. Şifre en az bir büyük harf, bir rakam ve bir miktar gençlik istiyor.</t>
        </is>
      </c>
      <c r="G245" s="5" t="inlineStr">
        <is>
          <t>universite</t>
        </is>
      </c>
      <c r="H245" s="5" t="inlineStr">
        <is>
          <t>okul-iş</t>
        </is>
      </c>
      <c r="I245" s="5" t="inlineStr"/>
      <c r="J245" s="5" t="n">
        <v>1</v>
      </c>
      <c r="K245" s="5" t="inlineStr"/>
      <c r="L245" s="5" t="inlineStr"/>
      <c r="M245" s="5" t="inlineStr"/>
      <c r="N245" s="5" t="inlineStr"/>
      <c r="O245" s="5" t="inlineStr"/>
      <c r="P245" s="5" t="inlineStr"/>
      <c r="Q245" s="5" t="inlineStr"/>
      <c r="R245" s="6" t="inlineStr"/>
      <c r="S245" s="5" t="inlineStr"/>
      <c r="T245" s="5" t="inlineStr"/>
    </row>
    <row r="246">
      <c r="A246" s="5" t="inlineStr">
        <is>
          <t>b8-yazlik</t>
        </is>
      </c>
      <c r="B246" s="5" t="n">
        <v>8</v>
      </c>
      <c r="C246" s="5" t="inlineStr">
        <is>
          <t>50 yaş</t>
        </is>
      </c>
      <c r="D246" s="5" t="inlineStr">
        <is>
          <t>🏖️</t>
        </is>
      </c>
      <c r="E246" s="6" t="inlineStr">
        <is>
          <t>Yazlık Hayali</t>
        </is>
      </c>
      <c r="F246" s="6" t="inlineStr">
        <is>
          <t>Sahil kasabasında bir yazlık satılık. İlan: 'Denize yürüme mesafesinde.' Mesafe tanımlanmamış.</t>
        </is>
      </c>
      <c r="G246" s="5" t="inlineStr">
        <is>
          <t>yazlik</t>
        </is>
      </c>
      <c r="H246" s="5" t="inlineStr">
        <is>
          <t>para</t>
        </is>
      </c>
      <c r="I246" s="5" t="inlineStr"/>
      <c r="J246" s="5" t="n">
        <v>1</v>
      </c>
      <c r="K246" s="5" t="inlineStr"/>
      <c r="L246" s="5" t="inlineStr"/>
      <c r="M246" s="5" t="inlineStr"/>
      <c r="N246" s="5" t="inlineStr"/>
      <c r="O246" s="5" t="inlineStr"/>
      <c r="P246" s="5" t="inlineStr"/>
      <c r="Q246" s="5" t="inlineStr"/>
      <c r="R246" s="6" t="inlineStr"/>
      <c r="S246" s="5" t="inlineStr"/>
      <c r="T246" s="5" t="inlineStr"/>
    </row>
    <row r="247">
      <c r="A247" s="5" t="inlineStr">
        <is>
          <t>b8-ilac-kutusu</t>
        </is>
      </c>
      <c r="B247" s="5" t="n">
        <v>8</v>
      </c>
      <c r="C247" s="5" t="inlineStr">
        <is>
          <t>50 yaş 6 ay</t>
        </is>
      </c>
      <c r="D247" s="5" t="inlineStr">
        <is>
          <t>💊</t>
        </is>
      </c>
      <c r="E247" s="6" t="inlineStr">
        <is>
          <t>İlaç Kutusu Düzeni</t>
        </is>
      </c>
      <c r="F247" s="6" t="inlineStr">
        <is>
          <t>Anne-baban için haftalık ilaç kutusu aldın. Yedi gün, üç öğün, yirmi bir göz. Masada on dört farklı kutu seni bekliyor.</t>
        </is>
      </c>
      <c r="G247" s="5" t="inlineStr">
        <is>
          <t>ev</t>
        </is>
      </c>
      <c r="H247" s="5" t="inlineStr">
        <is>
          <t>ev</t>
        </is>
      </c>
      <c r="I247" s="5" t="inlineStr"/>
      <c r="J247" s="5" t="n">
        <v>1</v>
      </c>
      <c r="K247" s="5" t="inlineStr"/>
      <c r="L247" s="5" t="inlineStr"/>
      <c r="M247" s="5" t="inlineStr"/>
      <c r="N247" s="5" t="inlineStr"/>
      <c r="O247" s="5" t="inlineStr"/>
      <c r="P247" s="5" t="inlineStr"/>
      <c r="Q247" s="5" t="inlineStr"/>
      <c r="R247" s="6" t="inlineStr"/>
      <c r="S247" s="5" t="inlineStr"/>
      <c r="T247" s="5" t="inlineStr"/>
    </row>
    <row r="248">
      <c r="A248" s="5" t="inlineStr">
        <is>
          <t>b8-site-yoneticisi</t>
        </is>
      </c>
      <c r="B248" s="5" t="n">
        <v>8</v>
      </c>
      <c r="C248" s="5" t="inlineStr">
        <is>
          <t>51 yaş</t>
        </is>
      </c>
      <c r="D248" s="5" t="inlineStr">
        <is>
          <t>🏢</t>
        </is>
      </c>
      <c r="E248" s="6" t="inlineStr">
        <is>
          <t>Site Yönetim Toplantısı</t>
        </is>
      </c>
      <c r="F248" s="6" t="inlineStr">
        <is>
          <t>Yıllık site toplantısı. Gündem: aidat, otopark, kedi mama kabı. Aday yok; herkes sana bakıyor, çünkü geç kaldın.</t>
        </is>
      </c>
      <c r="G248" s="5" t="inlineStr">
        <is>
          <t>apartman</t>
        </is>
      </c>
      <c r="H248" s="5" t="inlineStr"/>
      <c r="I248" s="5" t="inlineStr"/>
      <c r="J248" s="5" t="n">
        <v>1</v>
      </c>
      <c r="K248" s="5" t="inlineStr"/>
      <c r="L248" s="5" t="inlineStr"/>
      <c r="M248" s="5" t="inlineStr"/>
      <c r="N248" s="5" t="inlineStr"/>
      <c r="O248" s="5" t="inlineStr"/>
      <c r="P248" s="5" t="inlineStr"/>
      <c r="Q248" s="5" t="inlineStr"/>
      <c r="R248" s="6" t="inlineStr"/>
      <c r="S248" s="5" t="inlineStr"/>
      <c r="T248" s="5" t="inlineStr"/>
    </row>
    <row r="249">
      <c r="A249" s="5" t="inlineStr">
        <is>
          <t>mb-genc-yonetici</t>
        </is>
      </c>
      <c r="B249" s="5" t="n">
        <v>8</v>
      </c>
      <c r="C249" s="5" t="inlineStr">
        <is>
          <t>51 yaş</t>
        </is>
      </c>
      <c r="D249" s="5" t="inlineStr">
        <is>
          <t>🧑‍💼</t>
        </is>
      </c>
      <c r="E249" s="6" t="inlineStr">
        <is>
          <t>Yeni Yöneticin</t>
        </is>
      </c>
      <c r="F249" s="6" t="inlineStr">
        <is>
          <t>Yeni yöneticin atandı. O doğduğunda sen bu şirkette stajyerdin. İlk toplantıda 'Eski yöntemleri bırakalım' dedi.</t>
        </is>
      </c>
      <c r="G249" s="5" t="inlineStr">
        <is>
          <t>ofis</t>
        </is>
      </c>
      <c r="H249" s="5" t="inlineStr"/>
      <c r="I249" s="5" t="inlineStr"/>
      <c r="J249" s="5" t="n">
        <v>1</v>
      </c>
      <c r="K249" s="5" t="inlineStr">
        <is>
          <t>meslek-beyazyaka</t>
        </is>
      </c>
      <c r="L249" s="5" t="inlineStr"/>
      <c r="M249" s="5" t="inlineStr"/>
      <c r="N249" s="5" t="inlineStr"/>
      <c r="O249" s="5" t="inlineStr"/>
      <c r="P249" s="5" t="inlineStr"/>
      <c r="Q249" s="5" t="inlineStr"/>
      <c r="R249" s="6" t="inlineStr"/>
      <c r="S249" s="5" t="inlineStr"/>
      <c r="T249" s="5" t="inlineStr"/>
    </row>
    <row r="250">
      <c r="A250" s="5" t="inlineStr">
        <is>
          <t>ms-atolye-kirasi</t>
        </is>
      </c>
      <c r="B250" s="5" t="n">
        <v>8</v>
      </c>
      <c r="C250" s="5" t="inlineStr">
        <is>
          <t>51 yaş</t>
        </is>
      </c>
      <c r="D250" s="5" t="inlineStr">
        <is>
          <t>🏚️</t>
        </is>
      </c>
      <c r="E250" s="6" t="inlineStr">
        <is>
          <t>Atölye Kirası</t>
        </is>
      </c>
      <c r="F250" s="6" t="inlineStr">
        <is>
          <t>Bodrum katındaki atölyenin kirası üçe katlandı. Ev sahibi gerekçesini açıkladı: 'Artık burası sanat mahallesi.'</t>
        </is>
      </c>
      <c r="G250" s="5" t="inlineStr">
        <is>
          <t>apartman</t>
        </is>
      </c>
      <c r="H250" s="5" t="inlineStr"/>
      <c r="I250" s="5" t="inlineStr"/>
      <c r="J250" s="5" t="n">
        <v>1</v>
      </c>
      <c r="K250" s="5" t="inlineStr">
        <is>
          <t>meslek-serbest</t>
        </is>
      </c>
      <c r="L250" s="5" t="inlineStr"/>
      <c r="M250" s="5" t="inlineStr"/>
      <c r="N250" s="5" t="inlineStr"/>
      <c r="O250" s="5" t="inlineStr"/>
      <c r="P250" s="5" t="inlineStr"/>
      <c r="Q250" s="5" t="inlineStr"/>
      <c r="R250" s="6" t="inlineStr"/>
      <c r="S250" s="5" t="inlineStr"/>
      <c r="T250" s="5" t="inlineStr"/>
    </row>
    <row r="251">
      <c r="A251" s="5" t="inlineStr">
        <is>
          <t>b8-bakim-evraki</t>
        </is>
      </c>
      <c r="B251" s="5" t="n">
        <v>8</v>
      </c>
      <c r="C251" s="5" t="inlineStr">
        <is>
          <t>51 yaş 6 ay</t>
        </is>
      </c>
      <c r="D251" s="5" t="inlineStr">
        <is>
          <t>📋</t>
        </is>
      </c>
      <c r="E251" s="6" t="inlineStr">
        <is>
          <t>Bakım Evrakı</t>
        </is>
      </c>
      <c r="F251" s="6" t="inlineStr">
        <is>
          <t>Anne-babanın bakım işlemleri için sosyal güvenlik kurumundasın. Sıra numaran 347. Ekran bir süredir 112 yazıyor.</t>
        </is>
      </c>
      <c r="G251" s="5" t="inlineStr">
        <is>
          <t>devlet-dairesi</t>
        </is>
      </c>
      <c r="H251" s="5" t="inlineStr">
        <is>
          <t>ev</t>
        </is>
      </c>
      <c r="I251" s="5" t="inlineStr"/>
      <c r="J251" s="5" t="n">
        <v>1</v>
      </c>
      <c r="K251" s="5" t="inlineStr"/>
      <c r="L251" s="5" t="inlineStr"/>
      <c r="M251" s="5" t="inlineStr"/>
      <c r="N251" s="5" t="inlineStr"/>
      <c r="O251" s="5" t="inlineStr"/>
      <c r="P251" s="5" t="inlineStr"/>
      <c r="Q251" s="5" t="inlineStr"/>
      <c r="R251" s="6" t="inlineStr"/>
      <c r="S251" s="5" t="inlineStr"/>
      <c r="T251" s="5" t="inlineStr"/>
    </row>
    <row r="252">
      <c r="A252" s="5" t="inlineStr">
        <is>
          <t>b8-ikinci-bahar</t>
        </is>
      </c>
      <c r="B252" s="5" t="n">
        <v>8</v>
      </c>
      <c r="C252" s="5" t="inlineStr">
        <is>
          <t>52 yaş</t>
        </is>
      </c>
      <c r="D252" s="5" t="inlineStr">
        <is>
          <t>💐</t>
        </is>
      </c>
      <c r="E252" s="6" t="inlineStr">
        <is>
          <t>İkinci Bahar</t>
        </is>
      </c>
      <c r="F252" s="6" t="inlineStr">
        <is>
          <t>Bir arkadaşın 'Tanıştırayım mı?' dedi. Buluşma kafede, saat 19.00. Yirmi yıllık tecrüben var ve hiçbiri işe yaramıyor.</t>
        </is>
      </c>
      <c r="G252" s="5" t="inlineStr">
        <is>
          <t>kafe</t>
        </is>
      </c>
      <c r="H252" s="5" t="inlineStr"/>
      <c r="I252" s="5" t="inlineStr"/>
      <c r="J252" s="5" t="n">
        <v>1</v>
      </c>
      <c r="K252" s="5" t="inlineStr">
        <is>
          <t>bosandi</t>
        </is>
      </c>
      <c r="L252" s="5" t="inlineStr"/>
      <c r="M252" s="5" t="inlineStr"/>
      <c r="N252" s="5" t="inlineStr"/>
      <c r="O252" s="5" t="inlineStr"/>
      <c r="P252" s="5" t="inlineStr"/>
      <c r="Q252" s="5" t="inlineStr"/>
      <c r="R252" s="6" t="inlineStr"/>
      <c r="S252" s="5" t="inlineStr"/>
      <c r="T252" s="5" t="inlineStr"/>
    </row>
    <row r="253">
      <c r="A253" s="5" t="inlineStr">
        <is>
          <t>me-dernek-secimi</t>
        </is>
      </c>
      <c r="B253" s="5" t="n">
        <v>8</v>
      </c>
      <c r="C253" s="5" t="inlineStr">
        <is>
          <t>52 yaş</t>
        </is>
      </c>
      <c r="D253" s="5" t="inlineStr">
        <is>
          <t>🗳️</t>
        </is>
      </c>
      <c r="E253" s="6" t="inlineStr">
        <is>
          <t>Esnaf Derneği Seçimi</t>
        </is>
      </c>
      <c r="F253" s="6" t="inlineStr">
        <is>
          <t>Çarşının esnaf derneği seçime gidiyor. Adaylar belli: yirmi yıllık başkan ve yirmi yıllık başkanın 'yenilikçi' listesi.</t>
        </is>
      </c>
      <c r="G253" s="5" t="inlineStr">
        <is>
          <t>carsi</t>
        </is>
      </c>
      <c r="H253" s="5" t="inlineStr"/>
      <c r="I253" s="5" t="inlineStr"/>
      <c r="J253" s="5" t="inlineStr"/>
      <c r="K253" s="5" t="inlineStr">
        <is>
          <t>meslek-esnaf</t>
        </is>
      </c>
      <c r="L253" s="5" t="inlineStr"/>
      <c r="M253" s="5" t="inlineStr"/>
      <c r="N253" s="5" t="inlineStr"/>
      <c r="O253" s="5" t="inlineStr"/>
      <c r="P253" s="5" t="inlineStr"/>
      <c r="Q253" s="5" t="inlineStr"/>
      <c r="R253" s="6" t="inlineStr"/>
      <c r="S253" s="5" t="inlineStr"/>
      <c r="T253" s="5" t="inlineStr"/>
    </row>
    <row r="254">
      <c r="A254" s="5" t="inlineStr">
        <is>
          <t>mm-ikinci-is-hayali</t>
        </is>
      </c>
      <c r="B254" s="5" t="n">
        <v>8</v>
      </c>
      <c r="C254" s="5" t="inlineStr">
        <is>
          <t>52 yaş</t>
        </is>
      </c>
      <c r="D254" s="5" t="inlineStr">
        <is>
          <t>☕</t>
        </is>
      </c>
      <c r="E254" s="6" t="inlineStr">
        <is>
          <t>İkinci İş Hayali</t>
        </is>
      </c>
      <c r="F254" s="6" t="inlineStr">
        <is>
          <t>Öğle arasında yine aynı hayal: emekli olunca küçük bir kafe. Menü hazır, tabela hazır. Eksik tek şey emeklilik ve sermaye.</t>
        </is>
      </c>
      <c r="G254" s="5" t="inlineStr">
        <is>
          <t>kafe</t>
        </is>
      </c>
      <c r="H254" s="5" t="inlineStr"/>
      <c r="I254" s="5" t="inlineStr"/>
      <c r="J254" s="5" t="inlineStr"/>
      <c r="K254" s="5" t="inlineStr">
        <is>
          <t>meslek-memur</t>
        </is>
      </c>
      <c r="L254" s="5" t="inlineStr"/>
      <c r="M254" s="5" t="inlineStr"/>
      <c r="N254" s="5" t="inlineStr"/>
      <c r="O254" s="5" t="inlineStr"/>
      <c r="P254" s="5" t="inlineStr"/>
      <c r="Q254" s="5" t="inlineStr"/>
      <c r="R254" s="6" t="inlineStr"/>
      <c r="S254" s="5" t="inlineStr"/>
      <c r="T254" s="5" t="inlineStr"/>
    </row>
    <row r="255">
      <c r="A255" s="5" t="inlineStr">
        <is>
          <t>b8-cocuk-fenomen</t>
        </is>
      </c>
      <c r="B255" s="5" t="n">
        <v>8</v>
      </c>
      <c r="C255" s="5" t="inlineStr">
        <is>
          <t>52 yaş 6 ay</t>
        </is>
      </c>
      <c r="D255" s="5" t="inlineStr">
        <is>
          <t>🎥</t>
        </is>
      </c>
      <c r="E255" s="6" t="inlineStr">
        <is>
          <t>Çocuğun Fenomen Oldu</t>
        </is>
      </c>
      <c r="F255" s="6" t="inlineStr">
        <is>
          <t>Çocuğun kısa video uygulamasında fenomen oldu. En çok izlenen videosunun adı: 'Ebeveynim teknolojiyle savaşıyor.' Başrolde sen varsın.</t>
        </is>
      </c>
      <c r="G255" s="5" t="inlineStr">
        <is>
          <t>ev</t>
        </is>
      </c>
      <c r="H255" s="5" t="inlineStr"/>
      <c r="I255" s="5" t="inlineStr"/>
      <c r="J255" s="5" t="n">
        <v>1</v>
      </c>
      <c r="K255" s="5" t="inlineStr">
        <is>
          <t>cocuklu</t>
        </is>
      </c>
      <c r="L255" s="5" t="inlineStr"/>
      <c r="M255" s="5" t="inlineStr"/>
      <c r="N255" s="5" t="inlineStr"/>
      <c r="O255" s="5" t="inlineStr"/>
      <c r="P255" s="5" t="inlineStr"/>
      <c r="Q255" s="5" t="inlineStr"/>
      <c r="R255" s="6" t="inlineStr"/>
      <c r="S255" s="5" t="inlineStr"/>
      <c r="T255" s="5" t="inlineStr"/>
    </row>
    <row r="256">
      <c r="A256" s="5" t="inlineStr">
        <is>
          <t>b8-yapay-zeka-egitimi</t>
        </is>
      </c>
      <c r="B256" s="5" t="n">
        <v>8</v>
      </c>
      <c r="C256" s="5" t="inlineStr">
        <is>
          <t>53 yaş</t>
        </is>
      </c>
      <c r="D256" s="5" t="inlineStr">
        <is>
          <t>🤖</t>
        </is>
      </c>
      <c r="E256" s="6" t="inlineStr">
        <is>
          <t>Yapay Zekâ Eğitimi</t>
        </is>
      </c>
      <c r="F256" s="6" t="inlineStr">
        <is>
          <t>Şirket herkese yapay zekâ eğitimi zorunlu tuttu. Eğitmen yirmi üç yaşında. İlk sorusu sana: 'Bilgisayarı açabiliyor musunuz?'</t>
        </is>
      </c>
      <c r="G256" s="5" t="inlineStr">
        <is>
          <t>ofis</t>
        </is>
      </c>
      <c r="H256" s="5" t="inlineStr">
        <is>
          <t>okul-iş</t>
        </is>
      </c>
      <c r="I256" s="5" t="inlineStr"/>
      <c r="J256" s="5" t="n">
        <v>1</v>
      </c>
      <c r="K256" s="5" t="inlineStr"/>
      <c r="L256" s="5" t="inlineStr"/>
      <c r="M256" s="5" t="inlineStr"/>
      <c r="N256" s="5" t="inlineStr"/>
      <c r="O256" s="5" t="inlineStr"/>
      <c r="P256" s="5" t="inlineStr"/>
      <c r="Q256" s="5" t="inlineStr"/>
      <c r="R256" s="6" t="inlineStr"/>
      <c r="S256" s="5" t="inlineStr"/>
      <c r="T256" s="5" t="inlineStr"/>
    </row>
    <row r="257">
      <c r="A257" s="5" t="inlineStr">
        <is>
          <t>b8-emeklilik-hesabi</t>
        </is>
      </c>
      <c r="B257" s="5" t="n">
        <v>8</v>
      </c>
      <c r="C257" s="5" t="inlineStr">
        <is>
          <t>53 yaş 6 ay</t>
        </is>
      </c>
      <c r="D257" s="5" t="inlineStr">
        <is>
          <t>🧮</t>
        </is>
      </c>
      <c r="E257" s="6" t="inlineStr">
        <is>
          <t>Emekliliğe Kaç Gün?</t>
        </is>
      </c>
      <c r="F257" s="6" t="inlineStr">
        <is>
          <t>Emeklilik hesaplama ekranına bilgilerini girdin. Sonuç: 'Hesaplanamadı.' Yeniden denedin: 'Tahmini: yakında.' Yakın tanımlanmamış.</t>
        </is>
      </c>
      <c r="G257" s="5" t="inlineStr">
        <is>
          <t>banka</t>
        </is>
      </c>
      <c r="H257" s="5" t="inlineStr">
        <is>
          <t>para</t>
        </is>
      </c>
      <c r="I257" s="5" t="inlineStr"/>
      <c r="J257" s="5" t="n">
        <v>1</v>
      </c>
      <c r="K257" s="5" t="inlineStr"/>
      <c r="L257" s="5" t="inlineStr"/>
      <c r="M257" s="5" t="inlineStr"/>
      <c r="N257" s="5" t="inlineStr"/>
      <c r="O257" s="5" t="inlineStr"/>
      <c r="P257" s="5" t="inlineStr"/>
      <c r="Q257" s="5" t="inlineStr"/>
      <c r="R257" s="6" t="inlineStr"/>
      <c r="S257" s="5" t="inlineStr"/>
      <c r="T257" s="5" t="inlineStr"/>
    </row>
    <row r="258">
      <c r="A258" s="5" t="inlineStr">
        <is>
          <t>b8-bos-yuva</t>
        </is>
      </c>
      <c r="B258" s="5" t="n">
        <v>8</v>
      </c>
      <c r="C258" s="5" t="inlineStr">
        <is>
          <t>54 yaş</t>
        </is>
      </c>
      <c r="D258" s="5" t="inlineStr">
        <is>
          <t>🚪</t>
        </is>
      </c>
      <c r="E258" s="6" t="inlineStr">
        <is>
          <t>Boş Yuva</t>
        </is>
      </c>
      <c r="F258" s="6" t="inlineStr">
        <is>
          <t>Çocuk okumak için başka bir şehre taşındı. Oda toplu. Çok toplu. Rahatsız edici derecede toplu.</t>
        </is>
      </c>
      <c r="G258" s="5" t="inlineStr">
        <is>
          <t>cocuk-odasi</t>
        </is>
      </c>
      <c r="H258" s="5" t="inlineStr">
        <is>
          <t>ev</t>
        </is>
      </c>
      <c r="I258" s="5" t="inlineStr"/>
      <c r="J258" s="5" t="n">
        <v>1</v>
      </c>
      <c r="K258" s="5" t="inlineStr">
        <is>
          <t>cocuklu</t>
        </is>
      </c>
      <c r="L258" s="5" t="inlineStr"/>
      <c r="M258" s="5" t="inlineStr"/>
      <c r="N258" s="5" t="inlineStr"/>
      <c r="O258" s="5" t="inlineStr"/>
      <c r="P258" s="5" t="inlineStr"/>
      <c r="Q258" s="5" t="inlineStr"/>
      <c r="R258" s="6" t="inlineStr"/>
      <c r="S258" s="5" t="inlineStr"/>
      <c r="T258" s="5" t="inlineStr"/>
    </row>
    <row r="259">
      <c r="A259" s="5" t="inlineStr">
        <is>
          <t>b8-son-taksit</t>
        </is>
      </c>
      <c r="B259" s="5" t="n">
        <v>8</v>
      </c>
      <c r="C259" s="5" t="inlineStr">
        <is>
          <t>54 yaş 6 ay</t>
        </is>
      </c>
      <c r="D259" s="5" t="inlineStr">
        <is>
          <t>🏦</t>
        </is>
      </c>
      <c r="E259" s="6" t="inlineStr">
        <is>
          <t>Son Taksit</t>
        </is>
      </c>
      <c r="F259" s="6" t="inlineStr">
        <is>
          <t>Konut kredisinin son taksiti ödendi. Banka bir tebrik mesajı gönderdi. Hemen ardından yeni bir kredi teklifi.</t>
        </is>
      </c>
      <c r="G259" s="5" t="inlineStr">
        <is>
          <t>banka</t>
        </is>
      </c>
      <c r="H259" s="5" t="inlineStr">
        <is>
          <t>para</t>
        </is>
      </c>
      <c r="I259" s="5" t="inlineStr"/>
      <c r="J259" s="5" t="n">
        <v>1</v>
      </c>
      <c r="K259" s="5" t="inlineStr">
        <is>
          <t>ev-sahibi</t>
        </is>
      </c>
      <c r="L259" s="5" t="inlineStr"/>
      <c r="M259" s="5" t="inlineStr"/>
      <c r="N259" s="5" t="inlineStr"/>
      <c r="O259" s="5" t="inlineStr"/>
      <c r="P259" s="5" t="inlineStr"/>
      <c r="Q259" s="5" t="inlineStr"/>
      <c r="R259" s="6" t="inlineStr"/>
      <c r="S259" s="5" t="inlineStr"/>
      <c r="T259" s="5" t="inlineStr"/>
    </row>
    <row r="260">
      <c r="A260" s="5" t="inlineStr">
        <is>
          <t>b9-yazi-boyutu</t>
        </is>
      </c>
      <c r="B260" s="5" t="n">
        <v>9</v>
      </c>
      <c r="C260" s="5" t="inlineStr">
        <is>
          <t>55 yaş</t>
        </is>
      </c>
      <c r="D260" s="5" t="inlineStr">
        <is>
          <t>🔍</t>
        </is>
      </c>
      <c r="E260" s="6" t="inlineStr">
        <is>
          <t>Yazı Boyutu</t>
        </is>
      </c>
      <c r="F260" s="6" t="inlineStr">
        <is>
          <t>Telefondaki mesajı okumak için kolunu uzattın. Kol yetmedi. Kolun uzunluğu bir kurumsal sınıra ulaştı.</t>
        </is>
      </c>
      <c r="G260" s="5" t="inlineStr">
        <is>
          <t>ev</t>
        </is>
      </c>
      <c r="H260" s="5" t="inlineStr"/>
      <c r="I260" s="5" t="inlineStr"/>
      <c r="J260" s="5" t="inlineStr"/>
      <c r="K260" s="5" t="inlineStr"/>
      <c r="L260" s="5" t="inlineStr"/>
      <c r="M260" s="5" t="inlineStr"/>
      <c r="N260" s="5" t="inlineStr"/>
      <c r="O260" s="5" t="inlineStr"/>
      <c r="P260" s="5" t="inlineStr"/>
      <c r="Q260" s="5" t="inlineStr"/>
      <c r="R260" s="6" t="inlineStr"/>
      <c r="S260" s="5" t="inlineStr"/>
      <c r="T260" s="5" t="inlineStr"/>
    </row>
    <row r="261">
      <c r="A261" s="5" t="inlineStr">
        <is>
          <t>b9-gunaydin-gorselleri</t>
        </is>
      </c>
      <c r="B261" s="5" t="n">
        <v>9</v>
      </c>
      <c r="C261" s="5" t="inlineStr">
        <is>
          <t>55 yaş 6 ay</t>
        </is>
      </c>
      <c r="D261" s="5" t="inlineStr">
        <is>
          <t>🌹</t>
        </is>
      </c>
      <c r="E261" s="6" t="inlineStr">
        <is>
          <t>Günaydın Görselleri</t>
        </is>
      </c>
      <c r="F261" s="6" t="inlineStr">
        <is>
          <t>Aile mesaj grubuna parıldayan bir gül ve 'Hayırlı Salılar' yazısı gönderdin. Kimse cevap vermedi. Okundu bilgisi yirmi üç.</t>
        </is>
      </c>
      <c r="G261" s="5" t="inlineStr">
        <is>
          <t>ev</t>
        </is>
      </c>
      <c r="H261" s="5" t="inlineStr"/>
      <c r="I261" s="5" t="inlineStr"/>
      <c r="J261" s="5" t="inlineStr"/>
      <c r="K261" s="5" t="inlineStr"/>
      <c r="L261" s="5" t="inlineStr"/>
      <c r="M261" s="5" t="inlineStr"/>
      <c r="N261" s="5" t="inlineStr"/>
      <c r="O261" s="5" t="inlineStr"/>
      <c r="P261" s="5" t="inlineStr"/>
      <c r="Q261" s="5" t="inlineStr"/>
      <c r="R261" s="6" t="inlineStr"/>
      <c r="S261" s="5" t="inlineStr"/>
      <c r="T261" s="5" t="inlineStr"/>
    </row>
    <row r="262">
      <c r="A262" s="5" t="inlineStr">
        <is>
          <t>b9-sabah-yuruyusu</t>
        </is>
      </c>
      <c r="B262" s="5" t="n">
        <v>9</v>
      </c>
      <c r="C262" s="5" t="inlineStr">
        <is>
          <t>56 yaş</t>
        </is>
      </c>
      <c r="D262" s="5" t="inlineStr">
        <is>
          <t>👟</t>
        </is>
      </c>
      <c r="E262" s="6" t="inlineStr">
        <is>
          <t>Sabah Yürüyüş Grubu</t>
        </is>
      </c>
      <c r="F262" s="6" t="inlineStr">
        <is>
          <t>Parkta her sabah altıda yürüyen bir grup var. Kuralları yazılı değil ama herkes biliyor: en önde yürüyen, o günün gündemini belirler.</t>
        </is>
      </c>
      <c r="G262" s="5" t="inlineStr">
        <is>
          <t>park</t>
        </is>
      </c>
      <c r="H262" s="5" t="inlineStr"/>
      <c r="I262" s="5" t="inlineStr"/>
      <c r="J262" s="5" t="inlineStr"/>
      <c r="K262" s="5" t="inlineStr"/>
      <c r="L262" s="5" t="inlineStr"/>
      <c r="M262" s="5" t="inlineStr"/>
      <c r="N262" s="5" t="inlineStr"/>
      <c r="O262" s="5" t="inlineStr"/>
      <c r="P262" s="5" t="inlineStr"/>
      <c r="Q262" s="5" t="inlineStr"/>
      <c r="R262" s="6" t="inlineStr"/>
      <c r="S262" s="5" t="inlineStr"/>
      <c r="T262" s="5" t="inlineStr"/>
    </row>
    <row r="263">
      <c r="A263" s="5" t="inlineStr">
        <is>
          <t>mb-emeklilik-hesabi</t>
        </is>
      </c>
      <c r="B263" s="5" t="n">
        <v>9</v>
      </c>
      <c r="C263" s="5" t="inlineStr">
        <is>
          <t>56 yaş</t>
        </is>
      </c>
      <c r="D263" s="5" t="inlineStr">
        <is>
          <t>🧮</t>
        </is>
      </c>
      <c r="E263" s="6" t="inlineStr">
        <is>
          <t>Emeklilik Hesabı</t>
        </is>
      </c>
      <c r="F263" s="6" t="inlineStr">
        <is>
          <t>Sosyal güvenlik kurumundan emeklilik tarihini sordun. Ekrandaki tarih, senden daha yorgun görünüyor.</t>
        </is>
      </c>
      <c r="G263" s="5" t="inlineStr">
        <is>
          <t>devlet-dairesi</t>
        </is>
      </c>
      <c r="H263" s="5" t="inlineStr">
        <is>
          <t>para</t>
        </is>
      </c>
      <c r="I263" s="5" t="inlineStr"/>
      <c r="J263" s="5" t="n">
        <v>1</v>
      </c>
      <c r="K263" s="5" t="inlineStr">
        <is>
          <t>meslek-beyazyaka</t>
        </is>
      </c>
      <c r="L263" s="5" t="inlineStr"/>
      <c r="M263" s="5" t="inlineStr"/>
      <c r="N263" s="5" t="inlineStr"/>
      <c r="O263" s="5" t="inlineStr"/>
      <c r="P263" s="5" t="inlineStr"/>
      <c r="Q263" s="5" t="inlineStr"/>
      <c r="R263" s="6" t="inlineStr"/>
      <c r="S263" s="5" t="inlineStr"/>
      <c r="T263" s="5" t="inlineStr"/>
    </row>
    <row r="264">
      <c r="A264" s="5" t="inlineStr">
        <is>
          <t>mm-gun-sayaci</t>
        </is>
      </c>
      <c r="B264" s="5" t="n">
        <v>9</v>
      </c>
      <c r="C264" s="5" t="inlineStr">
        <is>
          <t>56 yaş</t>
        </is>
      </c>
      <c r="D264" s="5" t="inlineStr">
        <is>
          <t>⏳</t>
        </is>
      </c>
      <c r="E264" s="6" t="inlineStr">
        <is>
          <t>Emekliliğe Kalan Gün</t>
        </is>
      </c>
      <c r="F264" s="6" t="inlineStr">
        <is>
          <t>Masanın köşesine bir kâğıt yapıştırdın: 'Emekliliğe 1.460 gün.' Her sabah bir çizgi çekiyorsun.</t>
        </is>
      </c>
      <c r="G264" s="5" t="inlineStr">
        <is>
          <t>devlet-dairesi</t>
        </is>
      </c>
      <c r="H264" s="5" t="inlineStr"/>
      <c r="I264" s="5" t="inlineStr"/>
      <c r="J264" s="5" t="inlineStr"/>
      <c r="K264" s="5" t="inlineStr">
        <is>
          <t>meslek-memur</t>
        </is>
      </c>
      <c r="L264" s="5" t="inlineStr"/>
      <c r="M264" s="5" t="inlineStr"/>
      <c r="N264" s="5" t="inlineStr"/>
      <c r="O264" s="5" t="inlineStr"/>
      <c r="P264" s="5" t="inlineStr"/>
      <c r="Q264" s="5" t="inlineStr"/>
      <c r="R264" s="6" t="inlineStr"/>
      <c r="S264" s="5" t="inlineStr"/>
      <c r="T264" s="5" t="inlineStr"/>
    </row>
    <row r="265">
      <c r="A265" s="5" t="inlineStr">
        <is>
          <t>b9-doktor-randevusu</t>
        </is>
      </c>
      <c r="B265" s="5" t="n">
        <v>9</v>
      </c>
      <c r="C265" s="5" t="inlineStr">
        <is>
          <t>56 yaş 6 ay</t>
        </is>
      </c>
      <c r="D265" s="5" t="inlineStr">
        <is>
          <t>📅</t>
        </is>
      </c>
      <c r="E265" s="6" t="inlineStr">
        <is>
          <t>Randevu Uygulaması</t>
        </is>
      </c>
      <c r="F265" s="6" t="inlineStr">
        <is>
          <t>Hastane randevusu için uygulamayı açtın. İlk boş randevu dört ay sonra, başka bir şehirde, saat 07.10'da.</t>
        </is>
      </c>
      <c r="G265" s="5" t="inlineStr">
        <is>
          <t>hastane</t>
        </is>
      </c>
      <c r="H265" s="5" t="inlineStr"/>
      <c r="I265" s="5" t="inlineStr"/>
      <c r="J265" s="5" t="inlineStr"/>
      <c r="K265" s="5" t="inlineStr"/>
      <c r="L265" s="5" t="inlineStr"/>
      <c r="M265" s="5" t="inlineStr"/>
      <c r="N265" s="5" t="inlineStr"/>
      <c r="O265" s="5" t="inlineStr"/>
      <c r="P265" s="5" t="inlineStr"/>
      <c r="Q265" s="5" t="inlineStr"/>
      <c r="R265" s="6" t="inlineStr"/>
      <c r="S265" s="5" t="inlineStr"/>
      <c r="T265" s="5" t="inlineStr"/>
    </row>
    <row r="266">
      <c r="A266" s="5" t="inlineStr">
        <is>
          <t>b9-ilk-torun</t>
        </is>
      </c>
      <c r="B266" s="5" t="n">
        <v>9</v>
      </c>
      <c r="C266" s="5" t="inlineStr">
        <is>
          <t>57 yaş</t>
        </is>
      </c>
      <c r="D266" s="5" t="inlineStr">
        <is>
          <t>👶</t>
        </is>
      </c>
      <c r="E266" s="6" t="inlineStr">
        <is>
          <t>İlk Torun</t>
        </is>
      </c>
      <c r="F266" s="6" t="inlineStr">
        <is>
          <t>Hastane koridorunda bir kapı açıldı ve sana bir bebek uzatıldı. Unvanın bir kademe yükseldi; maaşın değişmedi.</t>
        </is>
      </c>
      <c r="G266" s="5" t="inlineStr">
        <is>
          <t>hastane</t>
        </is>
      </c>
      <c r="H266" s="5" t="inlineStr"/>
      <c r="I266" s="5" t="inlineStr"/>
      <c r="J266" s="5" t="inlineStr"/>
      <c r="K266" s="5" t="inlineStr">
        <is>
          <t>cocuklu</t>
        </is>
      </c>
      <c r="L266" s="5" t="inlineStr"/>
      <c r="M266" s="5" t="inlineStr"/>
      <c r="N266" s="5" t="inlineStr"/>
      <c r="O266" s="5" t="inlineStr"/>
      <c r="P266" s="5" t="inlineStr"/>
      <c r="Q266" s="5" t="inlineStr"/>
      <c r="R266" s="6" t="inlineStr"/>
      <c r="S266" s="5" t="inlineStr"/>
      <c r="T266" s="5" t="inlineStr"/>
    </row>
    <row r="267">
      <c r="A267" s="5" t="inlineStr">
        <is>
          <t>ms-emeklilik-yok</t>
        </is>
      </c>
      <c r="B267" s="5" t="n">
        <v>9</v>
      </c>
      <c r="C267" s="5" t="inlineStr">
        <is>
          <t>57 yaş</t>
        </is>
      </c>
      <c r="D267" s="5" t="inlineStr">
        <is>
          <t>♾️</t>
        </is>
      </c>
      <c r="E267" s="6" t="inlineStr">
        <is>
          <t>Emeklilik Diye Bir Şey</t>
        </is>
      </c>
      <c r="F267" s="6" t="inlineStr">
        <is>
          <t>Yaşıtların emekliliğini hesaplıyor. Sen ay sonunu hesaplıyorsun. Serbest çalışanlar için emeklilik, anlatılan bir efsane.</t>
        </is>
      </c>
      <c r="G267" s="5" t="inlineStr">
        <is>
          <t>ev</t>
        </is>
      </c>
      <c r="H267" s="5" t="inlineStr">
        <is>
          <t>para</t>
        </is>
      </c>
      <c r="I267" s="5" t="inlineStr"/>
      <c r="J267" s="5" t="n">
        <v>1</v>
      </c>
      <c r="K267" s="5" t="inlineStr">
        <is>
          <t>meslek-serbest</t>
        </is>
      </c>
      <c r="L267" s="5" t="inlineStr"/>
      <c r="M267" s="5" t="inlineStr"/>
      <c r="N267" s="5" t="inlineStr"/>
      <c r="O267" s="5" t="inlineStr"/>
      <c r="P267" s="5" t="inlineStr"/>
      <c r="Q267" s="5" t="inlineStr"/>
      <c r="R267" s="6" t="inlineStr"/>
      <c r="S267" s="5" t="inlineStr"/>
      <c r="T267" s="5" t="inlineStr"/>
    </row>
    <row r="268">
      <c r="A268" s="5" t="inlineStr">
        <is>
          <t>me-defterin-son-sayfasi</t>
        </is>
      </c>
      <c r="B268" s="5" t="n">
        <v>9</v>
      </c>
      <c r="C268" s="5" t="inlineStr">
        <is>
          <t>57 yaş</t>
        </is>
      </c>
      <c r="D268" s="5" t="inlineStr">
        <is>
          <t>📒</t>
        </is>
      </c>
      <c r="E268" s="6" t="inlineStr">
        <is>
          <t>Defterin Son Sayfası</t>
        </is>
      </c>
      <c r="F268" s="6" t="inlineStr">
        <is>
          <t>Veresiye defteri son sayfaya geldi. Sayfalar sararmış; bazı isimler taşınmış, bazıları hâlâ 'ay başı' diyor.</t>
        </is>
      </c>
      <c r="G268" s="5" t="inlineStr">
        <is>
          <t>dukkan</t>
        </is>
      </c>
      <c r="H268" s="5" t="inlineStr"/>
      <c r="I268" s="5" t="inlineStr"/>
      <c r="J268" s="5" t="inlineStr"/>
      <c r="K268" s="5" t="inlineStr">
        <is>
          <t>meslek-esnaf</t>
        </is>
      </c>
      <c r="L268" s="5" t="inlineStr"/>
      <c r="M268" s="5" t="inlineStr"/>
      <c r="N268" s="5" t="inlineStr"/>
      <c r="O268" s="5" t="inlineStr"/>
      <c r="P268" s="5" t="inlineStr"/>
      <c r="Q268" s="5" t="inlineStr"/>
      <c r="R268" s="6" t="inlineStr"/>
      <c r="S268" s="5" t="inlineStr"/>
      <c r="T268" s="5" t="inlineStr"/>
    </row>
    <row r="269">
      <c r="A269" s="5" t="inlineStr">
        <is>
          <t>b9-genclere-tavsiye</t>
        </is>
      </c>
      <c r="B269" s="5" t="n">
        <v>9</v>
      </c>
      <c r="C269" s="5" t="inlineStr">
        <is>
          <t>57 yaş 6 ay</t>
        </is>
      </c>
      <c r="D269" s="5" t="inlineStr">
        <is>
          <t>🗣️</t>
        </is>
      </c>
      <c r="E269" s="6" t="inlineStr">
        <is>
          <t>Gençlere Tavsiye</t>
        </is>
      </c>
      <c r="F269" s="6" t="inlineStr">
        <is>
          <t>Kafede yan masadaki genç, iş hayatını anlatıyor. Senin bu konuda otuz yıllık bir tecrübe dosyan var. Kimse dosya istemedi.</t>
        </is>
      </c>
      <c r="G269" s="5" t="inlineStr">
        <is>
          <t>kafe</t>
        </is>
      </c>
      <c r="H269" s="5" t="inlineStr"/>
      <c r="I269" s="5" t="inlineStr"/>
      <c r="J269" s="5" t="inlineStr"/>
      <c r="K269" s="5" t="inlineStr"/>
      <c r="L269" s="5" t="inlineStr"/>
      <c r="M269" s="5" t="inlineStr"/>
      <c r="N269" s="5" t="inlineStr"/>
      <c r="O269" s="5" t="inlineStr"/>
      <c r="P269" s="5" t="inlineStr"/>
      <c r="Q269" s="5" t="inlineStr"/>
      <c r="R269" s="6" t="inlineStr"/>
      <c r="S269" s="5" t="inlineStr"/>
      <c r="T269" s="5" t="inlineStr"/>
    </row>
    <row r="270">
      <c r="A270" s="5" t="inlineStr">
        <is>
          <t>b9-lise-bulusmasi</t>
        </is>
      </c>
      <c r="B270" s="5" t="n">
        <v>9</v>
      </c>
      <c r="C270" s="5" t="inlineStr">
        <is>
          <t>58 yaş</t>
        </is>
      </c>
      <c r="D270" s="5" t="inlineStr">
        <is>
          <t>🎓</t>
        </is>
      </c>
      <c r="E270" s="6" t="inlineStr">
        <is>
          <t>Lise Buluşması Sonrası</t>
        </is>
      </c>
      <c r="F270" s="6" t="inlineStr">
        <is>
          <t>Kırkıncı yıl buluşması bitti. Herkesin yaka kartı vardı, çünkü kimse kimseyi tanıyamadı. Şimdi eve dönüş yolundasın.</t>
        </is>
      </c>
      <c r="G270" s="5" t="inlineStr">
        <is>
          <t>dugun-salonu</t>
        </is>
      </c>
      <c r="H270" s="5" t="inlineStr"/>
      <c r="I270" s="5" t="inlineStr"/>
      <c r="J270" s="5" t="inlineStr"/>
      <c r="K270" s="5" t="inlineStr"/>
      <c r="L270" s="5" t="inlineStr"/>
      <c r="M270" s="5" t="inlineStr"/>
      <c r="N270" s="5" t="inlineStr"/>
      <c r="O270" s="5" t="inlineStr"/>
      <c r="P270" s="5" t="inlineStr"/>
      <c r="Q270" s="5" t="inlineStr"/>
      <c r="R270" s="6" t="inlineStr"/>
      <c r="S270" s="5" t="inlineStr"/>
      <c r="T270" s="5" t="inlineStr"/>
    </row>
    <row r="271">
      <c r="A271" s="5" t="inlineStr">
        <is>
          <t>b9-eski-ask</t>
        </is>
      </c>
      <c r="B271" s="5" t="n">
        <v>9</v>
      </c>
      <c r="C271" s="5" t="inlineStr">
        <is>
          <t>58 yaş 6 ay</t>
        </is>
      </c>
      <c r="D271" s="5" t="inlineStr">
        <is>
          <t>🛒</t>
        </is>
      </c>
      <c r="E271" s="6" t="inlineStr">
        <is>
          <t>Eski Aşk</t>
        </is>
      </c>
      <c r="F271" s="6" t="inlineStr">
        <is>
          <t>Marketin konserve reyonunda bir yüz tanıdık geldi. Lisedeki ilk aşkın. İkiniz de aynı anda aynı nohut kutusuna uzandınız.</t>
        </is>
      </c>
      <c r="G271" s="5" t="inlineStr">
        <is>
          <t>market</t>
        </is>
      </c>
      <c r="H271" s="5" t="inlineStr"/>
      <c r="I271" s="5" t="inlineStr"/>
      <c r="J271" s="5" t="inlineStr"/>
      <c r="K271" s="5" t="inlineStr"/>
      <c r="L271" s="5" t="inlineStr"/>
      <c r="M271" s="5" t="inlineStr"/>
      <c r="N271" s="5" t="inlineStr"/>
      <c r="O271" s="5" t="inlineStr"/>
      <c r="P271" s="5" t="inlineStr"/>
      <c r="Q271" s="5" t="inlineStr"/>
      <c r="R271" s="6" t="inlineStr"/>
      <c r="S271" s="5" t="inlineStr"/>
      <c r="T271" s="5" t="inlineStr"/>
    </row>
    <row r="272">
      <c r="A272" s="5" t="inlineStr">
        <is>
          <t>b9-balkon-tarimi</t>
        </is>
      </c>
      <c r="B272" s="5" t="n">
        <v>9</v>
      </c>
      <c r="C272" s="5" t="inlineStr">
        <is>
          <t>59 yaş</t>
        </is>
      </c>
      <c r="D272" s="5" t="inlineStr">
        <is>
          <t>🍅</t>
        </is>
      </c>
      <c r="E272" s="6" t="inlineStr">
        <is>
          <t>Balkon Tarımı</t>
        </is>
      </c>
      <c r="F272" s="6" t="inlineStr">
        <is>
          <t>Balkona dört saksı domates diktin. Bütçeye göre her domatesin maliyeti bir market poşeti dolusu domatese eşit.</t>
        </is>
      </c>
      <c r="G272" s="5" t="inlineStr">
        <is>
          <t>apartman</t>
        </is>
      </c>
      <c r="H272" s="5" t="inlineStr"/>
      <c r="I272" s="5" t="inlineStr"/>
      <c r="J272" s="5" t="inlineStr"/>
      <c r="K272" s="5" t="inlineStr"/>
      <c r="L272" s="5" t="inlineStr"/>
      <c r="M272" s="5" t="inlineStr"/>
      <c r="N272" s="5" t="inlineStr"/>
      <c r="O272" s="5" t="inlineStr"/>
      <c r="P272" s="5" t="inlineStr"/>
      <c r="Q272" s="5" t="inlineStr"/>
      <c r="R272" s="6" t="inlineStr"/>
      <c r="S272" s="5" t="inlineStr"/>
      <c r="T272" s="5" t="inlineStr"/>
    </row>
    <row r="273">
      <c r="A273" s="5" t="inlineStr">
        <is>
          <t>mm-devir-teslim</t>
        </is>
      </c>
      <c r="B273" s="5" t="n">
        <v>9</v>
      </c>
      <c r="C273" s="5" t="inlineStr">
        <is>
          <t>59 yaş</t>
        </is>
      </c>
      <c r="D273" s="5" t="inlineStr">
        <is>
          <t>📂</t>
        </is>
      </c>
      <c r="E273" s="6" t="inlineStr">
        <is>
          <t>Devir Teslim</t>
        </is>
      </c>
      <c r="F273" s="6" t="inlineStr">
        <is>
          <t>Yerine gelecek genç memur karşında. Otuz yıllık bilgiyi iki haftada aktarman bekleniyor. Tutanakla.</t>
        </is>
      </c>
      <c r="G273" s="5" t="inlineStr">
        <is>
          <t>devlet-dairesi</t>
        </is>
      </c>
      <c r="H273" s="5" t="inlineStr"/>
      <c r="I273" s="5" t="inlineStr"/>
      <c r="J273" s="5" t="inlineStr"/>
      <c r="K273" s="5" t="inlineStr">
        <is>
          <t>meslek-memur</t>
        </is>
      </c>
      <c r="L273" s="5" t="inlineStr"/>
      <c r="M273" s="5" t="inlineStr"/>
      <c r="N273" s="5" t="inlineStr"/>
      <c r="O273" s="5" t="inlineStr"/>
      <c r="P273" s="5" t="inlineStr"/>
      <c r="Q273" s="5" t="inlineStr"/>
      <c r="R273" s="6" t="inlineStr"/>
      <c r="S273" s="5" t="inlineStr"/>
      <c r="T273" s="5" t="inlineStr"/>
    </row>
    <row r="274">
      <c r="A274" s="5" t="inlineStr">
        <is>
          <t>b9-yapay-zeka-asistani</t>
        </is>
      </c>
      <c r="B274" s="5" t="n">
        <v>9</v>
      </c>
      <c r="C274" s="5" t="inlineStr">
        <is>
          <t>59 yaş 6 ay</t>
        </is>
      </c>
      <c r="D274" s="5" t="inlineStr">
        <is>
          <t>🤖</t>
        </is>
      </c>
      <c r="E274" s="6" t="inlineStr">
        <is>
          <t>Yapay Zekâ Asistanı</t>
        </is>
      </c>
      <c r="F274" s="6" t="inlineStr">
        <is>
          <t>Çocuğun telefona bir yapay zekâ asistanı kurdu. 'İstediğin her şeyi sor' dedi. Sordun. Asistan 'Anlayamadım' dedi. Sesini yükselttin.</t>
        </is>
      </c>
      <c r="G274" s="5" t="inlineStr">
        <is>
          <t>ev</t>
        </is>
      </c>
      <c r="H274" s="5" t="inlineStr"/>
      <c r="I274" s="5" t="inlineStr"/>
      <c r="J274" s="5" t="inlineStr"/>
      <c r="K274" s="5" t="inlineStr"/>
      <c r="L274" s="5" t="inlineStr"/>
      <c r="M274" s="5" t="inlineStr"/>
      <c r="N274" s="5" t="inlineStr"/>
      <c r="O274" s="5" t="inlineStr"/>
      <c r="P274" s="5" t="inlineStr"/>
      <c r="Q274" s="5" t="inlineStr"/>
      <c r="R274" s="6" t="inlineStr"/>
      <c r="S274" s="5" t="inlineStr"/>
      <c r="T274" s="5" t="inlineStr"/>
    </row>
    <row r="275">
      <c r="A275" s="5" t="inlineStr">
        <is>
          <t>b9-torun-nobeti</t>
        </is>
      </c>
      <c r="B275" s="5" t="n">
        <v>9</v>
      </c>
      <c r="C275" s="5" t="inlineStr">
        <is>
          <t>60 yaş</t>
        </is>
      </c>
      <c r="D275" s="5" t="inlineStr">
        <is>
          <t>🧸</t>
        </is>
      </c>
      <c r="E275" s="6" t="inlineStr">
        <is>
          <t>Torun Nöbeti</t>
        </is>
      </c>
      <c r="F275" s="6" t="inlineStr">
        <is>
          <t>Çocuğun iş seyahatine çıktı. Torun sende üç gün kalacak. Talimatlar listesi dört sayfa, ekran süresi tablosu dahil.</t>
        </is>
      </c>
      <c r="G275" s="5" t="inlineStr">
        <is>
          <t>cocuk-odasi</t>
        </is>
      </c>
      <c r="H275" s="5" t="inlineStr"/>
      <c r="I275" s="5" t="inlineStr"/>
      <c r="J275" s="5" t="inlineStr"/>
      <c r="K275" s="5" t="inlineStr">
        <is>
          <t>torunlu</t>
        </is>
      </c>
      <c r="L275" s="5" t="inlineStr"/>
      <c r="M275" s="5" t="inlineStr"/>
      <c r="N275" s="5" t="inlineStr"/>
      <c r="O275" s="5" t="inlineStr"/>
      <c r="P275" s="5" t="inlineStr"/>
      <c r="Q275" s="5" t="inlineStr"/>
      <c r="R275" s="6" t="inlineStr"/>
      <c r="S275" s="5" t="inlineStr"/>
      <c r="T275" s="5" t="inlineStr"/>
    </row>
    <row r="276">
      <c r="A276" s="5" t="inlineStr">
        <is>
          <t>mb-devir-teslim</t>
        </is>
      </c>
      <c r="B276" s="5" t="n">
        <v>9</v>
      </c>
      <c r="C276" s="5" t="inlineStr">
        <is>
          <t>60 yaş</t>
        </is>
      </c>
      <c r="D276" s="5" t="inlineStr">
        <is>
          <t>📦</t>
        </is>
      </c>
      <c r="E276" s="6" t="inlineStr">
        <is>
          <t>Devir Teslim</t>
        </is>
      </c>
      <c r="F276" s="6" t="inlineStr">
        <is>
          <t>Otuz yıllık işini yerine gelecek kişiye iki haftada devretmen isteniyor. Dosyaların yarısı yalnızca senin kafanda.</t>
        </is>
      </c>
      <c r="G276" s="5" t="inlineStr">
        <is>
          <t>ofis</t>
        </is>
      </c>
      <c r="H276" s="5" t="inlineStr"/>
      <c r="I276" s="5" t="inlineStr"/>
      <c r="J276" s="5" t="n">
        <v>1</v>
      </c>
      <c r="K276" s="5" t="inlineStr">
        <is>
          <t>meslek-beyazyaka</t>
        </is>
      </c>
      <c r="L276" s="5" t="inlineStr"/>
      <c r="M276" s="5" t="inlineStr"/>
      <c r="N276" s="5" t="inlineStr"/>
      <c r="O276" s="5" t="inlineStr"/>
      <c r="P276" s="5" t="inlineStr"/>
      <c r="Q276" s="5" t="inlineStr"/>
      <c r="R276" s="6" t="inlineStr"/>
      <c r="S276" s="5" t="inlineStr"/>
      <c r="T276" s="5" t="inlineStr"/>
    </row>
    <row r="277">
      <c r="A277" s="5" t="inlineStr">
        <is>
          <t>me-mudavim</t>
        </is>
      </c>
      <c r="B277" s="5" t="n">
        <v>9</v>
      </c>
      <c r="C277" s="5" t="inlineStr">
        <is>
          <t>60 yaş</t>
        </is>
      </c>
      <c r="D277" s="5" t="inlineStr">
        <is>
          <t>☕</t>
        </is>
      </c>
      <c r="E277" s="6" t="inlineStr">
        <is>
          <t>Yirmi Yıllık Müdavim</t>
        </is>
      </c>
      <c r="F277" s="6" t="inlineStr">
        <is>
          <t>Her sabah 08.10'da gelen müdavim bugün 08.40'ta geldi. Otuz dakikalık gecikme için mahallede iki arama yapıldı, bir grup toplantısı düzenlendi.</t>
        </is>
      </c>
      <c r="G277" s="5" t="inlineStr">
        <is>
          <t>dukkan</t>
        </is>
      </c>
      <c r="H277" s="5" t="inlineStr"/>
      <c r="I277" s="5" t="inlineStr"/>
      <c r="J277" s="5" t="inlineStr"/>
      <c r="K277" s="5" t="inlineStr">
        <is>
          <t>meslek-esnaf</t>
        </is>
      </c>
      <c r="L277" s="5" t="inlineStr"/>
      <c r="M277" s="5" t="inlineStr"/>
      <c r="N277" s="5" t="inlineStr"/>
      <c r="O277" s="5" t="inlineStr"/>
      <c r="P277" s="5" t="inlineStr"/>
      <c r="Q277" s="5" t="inlineStr"/>
      <c r="R277" s="6" t="inlineStr"/>
      <c r="S277" s="5" t="inlineStr"/>
      <c r="T277" s="5" t="inlineStr"/>
    </row>
    <row r="278">
      <c r="A278" s="5" t="inlineStr">
        <is>
          <t>b9-kahvehane-tavla</t>
        </is>
      </c>
      <c r="B278" s="5" t="n">
        <v>9</v>
      </c>
      <c r="C278" s="5" t="inlineStr">
        <is>
          <t>60 yaş 6 ay</t>
        </is>
      </c>
      <c r="D278" s="5" t="inlineStr">
        <is>
          <t>🎲</t>
        </is>
      </c>
      <c r="E278" s="6" t="inlineStr">
        <is>
          <t>Kahvehane Tavla Ligi</t>
        </is>
      </c>
      <c r="F278" s="6" t="inlineStr">
        <is>
          <t>Mahalle kahvehanesinde gayriresmî bir tavla ligi var. Puan tablosu duvarda tebeşirle yazılı. Senin adın henüz yok.</t>
        </is>
      </c>
      <c r="G278" s="5" t="inlineStr">
        <is>
          <t>kafe</t>
        </is>
      </c>
      <c r="H278" s="5" t="inlineStr"/>
      <c r="I278" s="5" t="inlineStr"/>
      <c r="J278" s="5" t="inlineStr"/>
      <c r="K278" s="5" t="inlineStr"/>
      <c r="L278" s="5" t="inlineStr"/>
      <c r="M278" s="5" t="inlineStr"/>
      <c r="N278" s="5" t="inlineStr"/>
      <c r="O278" s="5" t="inlineStr"/>
      <c r="P278" s="5" t="inlineStr"/>
      <c r="Q278" s="5" t="inlineStr"/>
      <c r="R278" s="6" t="inlineStr"/>
      <c r="S278" s="5" t="inlineStr"/>
      <c r="T278" s="5" t="inlineStr"/>
    </row>
    <row r="279">
      <c r="A279" s="5" t="inlineStr">
        <is>
          <t>b9-emeklilik</t>
        </is>
      </c>
      <c r="B279" s="5" t="n">
        <v>9</v>
      </c>
      <c r="C279" s="5" t="inlineStr">
        <is>
          <t>61 yaş</t>
        </is>
      </c>
      <c r="D279" s="5" t="inlineStr">
        <is>
          <t>🎂</t>
        </is>
      </c>
      <c r="E279" s="6" t="inlineStr">
        <is>
          <t>Emeklilik</t>
        </is>
      </c>
      <c r="F279" s="6" t="inlineStr">
        <is>
          <t>Son gün. Pasta, plaket ve bir veda kartı. İkramiye yarın hesaba yatacak. Aile grubunda şimdiden üç kişi 'Bir planım var' yazdı.</t>
        </is>
      </c>
      <c r="G279" s="5" t="inlineStr">
        <is>
          <t>ofis</t>
        </is>
      </c>
      <c r="H279" s="5" t="inlineStr"/>
      <c r="I279" s="5" t="inlineStr">
        <is>
          <t>E</t>
        </is>
      </c>
      <c r="J279" s="5" t="inlineStr"/>
      <c r="K279" s="5" t="inlineStr"/>
      <c r="L279" s="5" t="inlineStr"/>
      <c r="M279" s="5" t="inlineStr"/>
      <c r="N279" s="5" t="inlineStr"/>
      <c r="O279" s="5" t="inlineStr"/>
      <c r="P279" s="5" t="inlineStr"/>
      <c r="Q279" s="5" t="n">
        <v>12</v>
      </c>
      <c r="R279" s="6" t="inlineStr">
        <is>
          <t>Plaket hazır, pasta kesildi. Kırk yıllık bir alışkanlık bugün bitiyor; yerine ne koyacağın sana kalmış.</t>
        </is>
      </c>
      <c r="S279" s="5" t="inlineStr"/>
      <c r="T279" s="5" t="inlineStr"/>
    </row>
    <row r="280">
      <c r="A280" s="5" t="inlineStr">
        <is>
          <t>ms-retrospektif</t>
        </is>
      </c>
      <c r="B280" s="5" t="n">
        <v>9</v>
      </c>
      <c r="C280" s="5" t="inlineStr">
        <is>
          <t>61 yaş</t>
        </is>
      </c>
      <c r="D280" s="5" t="inlineStr">
        <is>
          <t>🏛️</t>
        </is>
      </c>
      <c r="E280" s="6" t="inlineStr">
        <is>
          <t>Retrospektif Sergi</t>
        </is>
      </c>
      <c r="F280" s="6" t="inlineStr">
        <is>
          <t>Bir galeri retrospektif sergini açıyor. Kırk yılın eserleri tek salonda. Duvarda, 'görünürlük' karşılığı yaptığın ilk iş de var.</t>
        </is>
      </c>
      <c r="G280" s="5" t="inlineStr">
        <is>
          <t>sahne</t>
        </is>
      </c>
      <c r="H280" s="5" t="inlineStr"/>
      <c r="I280" s="5" t="inlineStr"/>
      <c r="J280" s="5" t="n">
        <v>1</v>
      </c>
      <c r="K280" s="5" t="inlineStr">
        <is>
          <t>meslek-serbest</t>
        </is>
      </c>
      <c r="L280" s="5" t="inlineStr"/>
      <c r="M280" s="5" t="inlineStr"/>
      <c r="N280" s="5" t="inlineStr"/>
      <c r="O280" s="5" t="inlineStr"/>
      <c r="P280" s="5" t="inlineStr"/>
      <c r="Q280" s="5" t="inlineStr"/>
      <c r="R280" s="6" t="inlineStr"/>
      <c r="S280" s="5" t="inlineStr"/>
      <c r="T280" s="5" t="inlineStr"/>
    </row>
    <row r="281">
      <c r="A281" s="5" t="inlineStr">
        <is>
          <t>b9-pazar-arabasi</t>
        </is>
      </c>
      <c r="B281" s="5" t="n">
        <v>9</v>
      </c>
      <c r="C281" s="5" t="inlineStr">
        <is>
          <t>61 yaş 6 ay</t>
        </is>
      </c>
      <c r="D281" s="5" t="inlineStr">
        <is>
          <t>🛒</t>
        </is>
      </c>
      <c r="E281" s="6" t="inlineStr">
        <is>
          <t>Semt Pazarı</t>
        </is>
      </c>
      <c r="F281" s="6" t="inlineStr">
        <is>
          <t>Emekli olunca semt pazarı hafta sonu değil, çarşamba sabahı yapılan bir operasyona dönüştü. Pazar arabası tekerlekleri yağlandı.</t>
        </is>
      </c>
      <c r="G281" s="5" t="inlineStr">
        <is>
          <t>carsi</t>
        </is>
      </c>
      <c r="H281" s="5" t="inlineStr"/>
      <c r="I281" s="5" t="inlineStr"/>
      <c r="J281" s="5" t="inlineStr"/>
      <c r="K281" s="5" t="inlineStr"/>
      <c r="L281" s="5" t="inlineStr"/>
      <c r="M281" s="5" t="inlineStr"/>
      <c r="N281" s="5" t="inlineStr"/>
      <c r="O281" s="5" t="inlineStr"/>
      <c r="P281" s="5" t="inlineStr"/>
      <c r="Q281" s="5" t="inlineStr"/>
      <c r="R281" s="6" t="inlineStr"/>
      <c r="S281" s="5" t="inlineStr"/>
      <c r="T281" s="5" t="inlineStr"/>
    </row>
    <row r="282">
      <c r="A282" s="5" t="inlineStr">
        <is>
          <t>b9-ikramiye</t>
        </is>
      </c>
      <c r="B282" s="5" t="n">
        <v>9</v>
      </c>
      <c r="C282" s="5" t="inlineStr">
        <is>
          <t>62 yaş</t>
        </is>
      </c>
      <c r="D282" s="5" t="inlineStr">
        <is>
          <t>💰</t>
        </is>
      </c>
      <c r="E282" s="6" t="inlineStr">
        <is>
          <t>İkramiye Ne Olacak?</t>
        </is>
      </c>
      <c r="F282" s="6" t="inlineStr">
        <is>
          <t>İkramiye hesaba yattı. Hayatında ilk kez bu kadar parayı bir arada gördün. Banka görevlisi 'Değerlendirmek ister misiniz?' diye soruyor.</t>
        </is>
      </c>
      <c r="G282" s="5" t="inlineStr">
        <is>
          <t>banka</t>
        </is>
      </c>
      <c r="H282" s="5" t="inlineStr"/>
      <c r="I282" s="5" t="inlineStr"/>
      <c r="J282" s="5" t="inlineStr"/>
      <c r="K282" s="5" t="inlineStr">
        <is>
          <t>emekli</t>
        </is>
      </c>
      <c r="L282" s="5" t="inlineStr"/>
      <c r="M282" s="5" t="inlineStr"/>
      <c r="N282" s="5" t="inlineStr"/>
      <c r="O282" s="5" t="inlineStr"/>
      <c r="P282" s="5" t="inlineStr"/>
      <c r="Q282" s="5" t="inlineStr"/>
      <c r="R282" s="6" t="inlineStr"/>
      <c r="S282" s="5" t="inlineStr"/>
      <c r="T282" s="5" t="inlineStr"/>
    </row>
    <row r="283">
      <c r="A283" s="5" t="inlineStr">
        <is>
          <t>mm-son-is-gunu</t>
        </is>
      </c>
      <c r="B283" s="5" t="n">
        <v>9</v>
      </c>
      <c r="C283" s="5" t="inlineStr">
        <is>
          <t>62 yaş</t>
        </is>
      </c>
      <c r="D283" s="5" t="inlineStr">
        <is>
          <t>🎂</t>
        </is>
      </c>
      <c r="E283" s="6" t="inlineStr">
        <is>
          <t>Son İş Günü</t>
        </is>
      </c>
      <c r="F283" s="6" t="inlineStr">
        <is>
          <t>Masanda veda pastası; üstünde adın ve yanlış yazılmış soyadın. Müdür bir konuşma yapmanı bekliyor.</t>
        </is>
      </c>
      <c r="G283" s="5" t="inlineStr">
        <is>
          <t>devlet-dairesi</t>
        </is>
      </c>
      <c r="H283" s="5" t="inlineStr"/>
      <c r="I283" s="5" t="inlineStr"/>
      <c r="J283" s="5" t="inlineStr"/>
      <c r="K283" s="5" t="inlineStr">
        <is>
          <t>meslek-memur</t>
        </is>
      </c>
      <c r="L283" s="5" t="inlineStr"/>
      <c r="M283" s="5" t="inlineStr"/>
      <c r="N283" s="5" t="inlineStr"/>
      <c r="O283" s="5" t="inlineStr"/>
      <c r="P283" s="5" t="inlineStr"/>
      <c r="Q283" s="5" t="inlineStr"/>
      <c r="R283" s="6" t="inlineStr"/>
      <c r="S283" s="5" t="inlineStr"/>
      <c r="T283" s="5" t="inlineStr"/>
    </row>
    <row r="284">
      <c r="A284" s="5" t="inlineStr">
        <is>
          <t>b9-es-7-24</t>
        </is>
      </c>
      <c r="B284" s="5" t="n">
        <v>9</v>
      </c>
      <c r="C284" s="5" t="inlineStr">
        <is>
          <t>62 yaş 6 ay</t>
        </is>
      </c>
      <c r="D284" s="5" t="inlineStr">
        <is>
          <t>🛋️</t>
        </is>
      </c>
      <c r="E284" s="6" t="inlineStr">
        <is>
          <t>Eşle Yedi Yirmi Dört</t>
        </is>
      </c>
      <c r="F284" s="6" t="inlineStr">
        <is>
          <t>Emekli oldun. Eşin de. Otuz yıllık evliliğin ilk yirmi dört saati aynı odada geçti. İkinci gün kumanda için bir protokol gerekti.</t>
        </is>
      </c>
      <c r="G284" s="5" t="inlineStr">
        <is>
          <t>ev</t>
        </is>
      </c>
      <c r="H284" s="5" t="inlineStr"/>
      <c r="I284" s="5" t="inlineStr"/>
      <c r="J284" s="5" t="inlineStr"/>
      <c r="K284" s="5" t="inlineStr">
        <is>
          <t>evli</t>
        </is>
      </c>
      <c r="L284" s="5" t="inlineStr"/>
      <c r="M284" s="5" t="inlineStr"/>
      <c r="N284" s="5" t="inlineStr"/>
      <c r="O284" s="5" t="inlineStr"/>
      <c r="P284" s="5" t="inlineStr"/>
      <c r="Q284" s="5" t="inlineStr"/>
      <c r="R284" s="6" t="inlineStr"/>
      <c r="S284" s="5" t="inlineStr"/>
      <c r="T284" s="5" t="inlineStr"/>
    </row>
    <row r="285">
      <c r="A285" s="5" t="inlineStr">
        <is>
          <t>b9-yalniz-emeklilik</t>
        </is>
      </c>
      <c r="B285" s="5" t="n">
        <v>9</v>
      </c>
      <c r="C285" s="5" t="inlineStr">
        <is>
          <t>63 yaş</t>
        </is>
      </c>
      <c r="D285" s="5" t="inlineStr">
        <is>
          <t>🍵</t>
        </is>
      </c>
      <c r="E285" s="6" t="inlineStr">
        <is>
          <t>Yalnız Emeklilik</t>
        </is>
      </c>
      <c r="F285" s="6" t="inlineStr">
        <is>
          <t>Ev sessiz. Çaydanlık senin için kaynıyor, bulaşık senin için birikiyor. Kumanda tartışmasız senin; bu da bir çeşit yalnızlık.</t>
        </is>
      </c>
      <c r="G285" s="5" t="inlineStr">
        <is>
          <t>ev</t>
        </is>
      </c>
      <c r="H285" s="5" t="inlineStr"/>
      <c r="I285" s="5" t="inlineStr"/>
      <c r="J285" s="5" t="inlineStr"/>
      <c r="K285" s="5" t="inlineStr"/>
      <c r="L285" s="5" t="inlineStr">
        <is>
          <t>evli</t>
        </is>
      </c>
      <c r="M285" s="5" t="inlineStr"/>
      <c r="N285" s="5" t="inlineStr"/>
      <c r="O285" s="5" t="inlineStr"/>
      <c r="P285" s="5" t="inlineStr"/>
      <c r="Q285" s="5" t="inlineStr"/>
      <c r="R285" s="6" t="inlineStr"/>
      <c r="S285" s="5" t="inlineStr"/>
      <c r="T285" s="5" t="inlineStr"/>
    </row>
    <row r="286">
      <c r="A286" s="5" t="inlineStr">
        <is>
          <t>mb-veda-plaketi</t>
        </is>
      </c>
      <c r="B286" s="5" t="n">
        <v>9</v>
      </c>
      <c r="C286" s="5" t="inlineStr">
        <is>
          <t>63 yaş</t>
        </is>
      </c>
      <c r="D286" s="5" t="inlineStr">
        <is>
          <t>🏅</t>
        </is>
      </c>
      <c r="E286" s="6" t="inlineStr">
        <is>
          <t>Veda Plaketi</t>
        </is>
      </c>
      <c r="F286" s="6" t="inlineStr">
        <is>
          <t>Emeklilik partin: bir pasta, üç konuşma ve bir plaket. Plakette adın yanlış yazılmış.</t>
        </is>
      </c>
      <c r="G286" s="5" t="inlineStr">
        <is>
          <t>ofis</t>
        </is>
      </c>
      <c r="H286" s="5" t="inlineStr"/>
      <c r="I286" s="5" t="inlineStr"/>
      <c r="J286" s="5" t="n">
        <v>1</v>
      </c>
      <c r="K286" s="5" t="inlineStr">
        <is>
          <t>meslek-beyazyaka</t>
        </is>
      </c>
      <c r="L286" s="5" t="inlineStr"/>
      <c r="M286" s="5" t="inlineStr"/>
      <c r="N286" s="5" t="inlineStr"/>
      <c r="O286" s="5" t="inlineStr"/>
      <c r="P286" s="5" t="inlineStr"/>
      <c r="Q286" s="5" t="inlineStr"/>
      <c r="R286" s="6" t="inlineStr"/>
      <c r="S286" s="5" t="inlineStr"/>
      <c r="T286" s="5" t="inlineStr"/>
    </row>
    <row r="287">
      <c r="A287" s="5" t="inlineStr">
        <is>
          <t>me-dukkani-devret</t>
        </is>
      </c>
      <c r="B287" s="5" t="n">
        <v>9</v>
      </c>
      <c r="C287" s="5" t="inlineStr">
        <is>
          <t>63 yaş</t>
        </is>
      </c>
      <c r="D287" s="5" t="inlineStr">
        <is>
          <t>🤝</t>
        </is>
      </c>
      <c r="E287" s="6" t="inlineStr">
        <is>
          <t>Dükkânı Devretmek</t>
        </is>
      </c>
      <c r="F287" s="6" t="inlineStr">
        <is>
          <t>Camda 'Devren kiralık' yazıyor. Talipliler geldi: biri hava parasını soruyor, biri rafları sayıyor, biri sadece çay içmeye gelmiş.</t>
        </is>
      </c>
      <c r="G287" s="5" t="inlineStr">
        <is>
          <t>dukkan</t>
        </is>
      </c>
      <c r="H287" s="5" t="inlineStr"/>
      <c r="I287" s="5" t="inlineStr"/>
      <c r="J287" s="5" t="inlineStr"/>
      <c r="K287" s="5" t="inlineStr">
        <is>
          <t>meslek-esnaf</t>
        </is>
      </c>
      <c r="L287" s="5" t="inlineStr"/>
      <c r="M287" s="5" t="inlineStr"/>
      <c r="N287" s="5" t="inlineStr"/>
      <c r="O287" s="5" t="inlineStr"/>
      <c r="P287" s="5" t="inlineStr"/>
      <c r="Q287" s="5" t="inlineStr"/>
      <c r="R287" s="6" t="inlineStr"/>
      <c r="S287" s="5" t="inlineStr"/>
      <c r="T287" s="5" t="inlineStr"/>
    </row>
    <row r="288">
      <c r="A288" s="5" t="inlineStr">
        <is>
          <t>b9-tavla-finali</t>
        </is>
      </c>
      <c r="B288" s="5" t="n">
        <v>9</v>
      </c>
      <c r="C288" s="5" t="inlineStr">
        <is>
          <t>63 yaş 6 ay</t>
        </is>
      </c>
      <c r="D288" s="5" t="inlineStr">
        <is>
          <t>🏆</t>
        </is>
      </c>
      <c r="E288" s="6" t="inlineStr">
        <is>
          <t>Tavla Finali</t>
        </is>
      </c>
      <c r="F288" s="6" t="inlineStr">
        <is>
          <t>Kahvehane liginde final günü. Masanın etrafında kırk kişi, ellerinde çay. Son zar senin. Kahvehane sahibi televizyonu kapattı.</t>
        </is>
      </c>
      <c r="G288" s="5" t="inlineStr">
        <is>
          <t>kafe</t>
        </is>
      </c>
      <c r="H288" s="5" t="inlineStr"/>
      <c r="I288" s="5" t="inlineStr"/>
      <c r="J288" s="5" t="inlineStr"/>
      <c r="K288" s="5" t="inlineStr"/>
      <c r="L288" s="5" t="inlineStr"/>
      <c r="M288" s="5" t="inlineStr"/>
      <c r="N288" s="5" t="inlineStr"/>
      <c r="O288" s="5" t="inlineStr"/>
      <c r="P288" s="5" t="inlineStr"/>
      <c r="Q288" s="5" t="inlineStr"/>
      <c r="R288" s="6" t="inlineStr"/>
      <c r="S288" s="5" t="inlineStr"/>
      <c r="T288" s="5" t="inlineStr"/>
    </row>
    <row r="289">
      <c r="A289" s="5" t="inlineStr">
        <is>
          <t>b9-torunun-tableti</t>
        </is>
      </c>
      <c r="B289" s="5" t="n">
        <v>9</v>
      </c>
      <c r="C289" s="5" t="inlineStr">
        <is>
          <t>64 yaş</t>
        </is>
      </c>
      <c r="D289" s="5" t="inlineStr">
        <is>
          <t>📱</t>
        </is>
      </c>
      <c r="E289" s="6" t="inlineStr">
        <is>
          <t>Torunun Tableti</t>
        </is>
      </c>
      <c r="F289" s="6" t="inlineStr">
        <is>
          <t>Torunun tableti bozuldu ve sana verildi: 'Sen tamir edersin.' Tamir etmek için tablette bir oyunun şifresini bulman lazım. Şifre de tabletin içinde.</t>
        </is>
      </c>
      <c r="G289" s="5" t="inlineStr">
        <is>
          <t>ev</t>
        </is>
      </c>
      <c r="H289" s="5" t="inlineStr"/>
      <c r="I289" s="5" t="inlineStr"/>
      <c r="J289" s="5" t="inlineStr"/>
      <c r="K289" s="5" t="inlineStr">
        <is>
          <t>torunlu</t>
        </is>
      </c>
      <c r="L289" s="5" t="inlineStr"/>
      <c r="M289" s="5" t="inlineStr"/>
      <c r="N289" s="5" t="inlineStr"/>
      <c r="O289" s="5" t="inlineStr"/>
      <c r="P289" s="5" t="inlineStr"/>
      <c r="Q289" s="5" t="inlineStr"/>
      <c r="R289" s="6" t="inlineStr"/>
      <c r="S289" s="5" t="inlineStr"/>
      <c r="T289" s="5" t="inlineStr"/>
    </row>
    <row r="290">
      <c r="A290" s="5" t="inlineStr">
        <is>
          <t>mm-eski-daire</t>
        </is>
      </c>
      <c r="B290" s="5" t="n">
        <v>9</v>
      </c>
      <c r="C290" s="5" t="inlineStr">
        <is>
          <t>64 yaş</t>
        </is>
      </c>
      <c r="D290" s="5" t="inlineStr">
        <is>
          <t>🏛️</t>
        </is>
      </c>
      <c r="E290" s="6" t="inlineStr">
        <is>
          <t>Masanın Öbür Tarafı</t>
        </is>
      </c>
      <c r="F290" s="6" t="inlineStr">
        <is>
          <t>Emeklilik işlemin için eski dairene gittin. Bu kez masanın öbür tarafındasın. Genç memur dosyana baktı: 'Yarın gelin.'</t>
        </is>
      </c>
      <c r="G290" s="5" t="inlineStr">
        <is>
          <t>devlet-dairesi</t>
        </is>
      </c>
      <c r="H290" s="5" t="inlineStr"/>
      <c r="I290" s="5" t="inlineStr"/>
      <c r="J290" s="5" t="inlineStr"/>
      <c r="K290" s="5" t="inlineStr">
        <is>
          <t>meslek-memur, emekli</t>
        </is>
      </c>
      <c r="L290" s="5" t="inlineStr"/>
      <c r="M290" s="5" t="inlineStr"/>
      <c r="N290" s="5" t="inlineStr"/>
      <c r="O290" s="5" t="inlineStr"/>
      <c r="P290" s="5" t="inlineStr"/>
      <c r="Q290" s="5" t="inlineStr"/>
      <c r="R290" s="6" t="inlineStr"/>
      <c r="S290" s="5" t="inlineStr"/>
      <c r="T290" s="5" t="inlineStr"/>
    </row>
    <row r="291">
      <c r="A291" s="5" t="inlineStr">
        <is>
          <t>b9-yazlik-komsulari</t>
        </is>
      </c>
      <c r="B291" s="5" t="n">
        <v>9</v>
      </c>
      <c r="C291" s="5" t="inlineStr">
        <is>
          <t>64 yaş 6 ay</t>
        </is>
      </c>
      <c r="D291" s="5" t="inlineStr">
        <is>
          <t>🏖️</t>
        </is>
      </c>
      <c r="E291" s="6" t="inlineStr">
        <is>
          <t>Yazlık Komşuları</t>
        </is>
      </c>
      <c r="F291" s="6" t="inlineStr">
        <is>
          <t>Yazlık sitesinde yeni sezon başladı. Yan komşu, üst komşu ve site yöneticisi aynı anda bahçe çitinin öbür tarafında. Konu: senin hortumun.</t>
        </is>
      </c>
      <c r="G291" s="5" t="inlineStr">
        <is>
          <t>yazlik</t>
        </is>
      </c>
      <c r="H291" s="5" t="inlineStr"/>
      <c r="I291" s="5" t="inlineStr"/>
      <c r="J291" s="5" t="inlineStr"/>
      <c r="K291" s="5" t="inlineStr"/>
      <c r="L291" s="5" t="inlineStr"/>
      <c r="M291" s="5" t="inlineStr"/>
      <c r="N291" s="5" t="inlineStr"/>
      <c r="O291" s="5" t="inlineStr"/>
      <c r="P291" s="5" t="inlineStr"/>
      <c r="Q291" s="5" t="inlineStr"/>
      <c r="R291" s="6" t="inlineStr"/>
      <c r="S291" s="5" t="inlineStr"/>
      <c r="T291" s="5" t="inlineStr"/>
    </row>
    <row r="292">
      <c r="A292" s="5" t="inlineStr">
        <is>
          <t>b9-ikinci-kariyer</t>
        </is>
      </c>
      <c r="B292" s="5" t="n">
        <v>9</v>
      </c>
      <c r="C292" s="5" t="inlineStr">
        <is>
          <t>65 yaş</t>
        </is>
      </c>
      <c r="D292" s="5" t="inlineStr">
        <is>
          <t>💼</t>
        </is>
      </c>
      <c r="E292" s="6" t="inlineStr">
        <is>
          <t>İkinci Kariyer</t>
        </is>
      </c>
      <c r="F292" s="6" t="inlineStr">
        <is>
          <t>Emeklisin ama emekli maaşı markete yetmiyor. Eski bir tanıdık 'Yarım gün gelsene' dedi. Yarım gün, tam gün olarak başlıyor.</t>
        </is>
      </c>
      <c r="G292" s="5" t="inlineStr">
        <is>
          <t>dukkan</t>
        </is>
      </c>
      <c r="H292" s="5" t="inlineStr"/>
      <c r="I292" s="5" t="inlineStr"/>
      <c r="J292" s="5" t="inlineStr"/>
      <c r="K292" s="5" t="inlineStr">
        <is>
          <t>emekli</t>
        </is>
      </c>
      <c r="L292" s="5" t="inlineStr"/>
      <c r="M292" s="5" t="inlineStr"/>
      <c r="N292" s="5" t="inlineStr"/>
      <c r="O292" s="5" t="inlineStr"/>
      <c r="P292" s="5" t="inlineStr"/>
      <c r="Q292" s="5" t="inlineStr"/>
      <c r="R292" s="6" t="inlineStr"/>
      <c r="S292" s="5" t="inlineStr"/>
      <c r="T292" s="5" t="inlineStr"/>
    </row>
    <row r="293">
      <c r="A293" s="5" t="inlineStr">
        <is>
          <t>ms-son-perde</t>
        </is>
      </c>
      <c r="B293" s="5" t="n">
        <v>9</v>
      </c>
      <c r="C293" s="5" t="inlineStr">
        <is>
          <t>65 yaş</t>
        </is>
      </c>
      <c r="D293" s="5" t="inlineStr">
        <is>
          <t>🎭</t>
        </is>
      </c>
      <c r="E293" s="6" t="inlineStr">
        <is>
          <t>Son Perde</t>
        </is>
      </c>
      <c r="F293" s="6" t="inlineStr">
        <is>
          <t>Son büyük projen: kırk yılı tek gecede özetleyen bir gösteri. Salon dolu. İlk açılışındaki üç kişilik kalabalık yüze katlanmış.</t>
        </is>
      </c>
      <c r="G293" s="5" t="inlineStr">
        <is>
          <t>sahne</t>
        </is>
      </c>
      <c r="H293" s="5" t="inlineStr"/>
      <c r="I293" s="5" t="inlineStr"/>
      <c r="J293" s="5" t="n">
        <v>1</v>
      </c>
      <c r="K293" s="5" t="inlineStr">
        <is>
          <t>meslek-serbest</t>
        </is>
      </c>
      <c r="L293" s="5" t="inlineStr"/>
      <c r="M293" s="5" t="inlineStr"/>
      <c r="N293" s="5" t="inlineStr"/>
      <c r="O293" s="5" t="inlineStr"/>
      <c r="P293" s="5" t="inlineStr"/>
      <c r="Q293" s="5" t="inlineStr"/>
      <c r="R293" s="6" t="inlineStr"/>
      <c r="S293" s="5" t="inlineStr"/>
      <c r="T293" s="5" t="inlineStr"/>
    </row>
    <row r="294">
      <c r="A294" s="5" t="inlineStr">
        <is>
          <t>b9-noter-miras</t>
        </is>
      </c>
      <c r="B294" s="5" t="n">
        <v>9</v>
      </c>
      <c r="C294" s="5" t="inlineStr">
        <is>
          <t>65 yaş 6 ay</t>
        </is>
      </c>
      <c r="D294" s="5" t="inlineStr">
        <is>
          <t>📜</t>
        </is>
      </c>
      <c r="E294" s="6" t="inlineStr">
        <is>
          <t>Noterde Miras Planı</t>
        </is>
      </c>
      <c r="F294" s="6" t="inlineStr">
        <is>
          <t>Noterdesin. Çocuklarına bırakacağın şeyleri kâğıda döktün. Liste kısa. Noter yine de her maddeyi yüksek sesle okuyor.</t>
        </is>
      </c>
      <c r="G294" s="5" t="inlineStr">
        <is>
          <t>devlet-dairesi</t>
        </is>
      </c>
      <c r="H294" s="5" t="inlineStr"/>
      <c r="I294" s="5" t="inlineStr"/>
      <c r="J294" s="5" t="inlineStr"/>
      <c r="K294" s="5" t="inlineStr"/>
      <c r="L294" s="5" t="inlineStr"/>
      <c r="M294" s="5" t="inlineStr"/>
      <c r="N294" s="5" t="inlineStr"/>
      <c r="O294" s="5" t="inlineStr"/>
      <c r="P294" s="5" t="inlineStr"/>
      <c r="Q294" s="5" t="inlineStr"/>
      <c r="R294" s="6" t="inlineStr"/>
      <c r="S294" s="5" t="inlineStr"/>
      <c r="T294" s="5" t="inlineStr"/>
    </row>
    <row r="295">
      <c r="A295" s="5" t="inlineStr">
        <is>
          <t>b9-dev-kabak</t>
        </is>
      </c>
      <c r="B295" s="5" t="n">
        <v>9</v>
      </c>
      <c r="C295" s="5" t="inlineStr">
        <is>
          <t>66 yaş</t>
        </is>
      </c>
      <c r="D295" s="5" t="inlineStr">
        <is>
          <t>🎃</t>
        </is>
      </c>
      <c r="E295" s="6" t="inlineStr">
        <is>
          <t>Dev Kabak Hasadı</t>
        </is>
      </c>
      <c r="F295" s="6" t="inlineStr">
        <is>
          <t>Yazlığın bahçesindeki kabak büyüdü. Sonra daha da büyüdü. Şimdi bahçe kapısından çıkmıyor. Belediye mahalle yarışması düzenliyor.</t>
        </is>
      </c>
      <c r="G295" s="5" t="inlineStr">
        <is>
          <t>yazlik</t>
        </is>
      </c>
      <c r="H295" s="5" t="inlineStr"/>
      <c r="I295" s="5" t="inlineStr"/>
      <c r="J295" s="5" t="inlineStr"/>
      <c r="K295" s="5" t="inlineStr"/>
      <c r="L295" s="5" t="inlineStr"/>
      <c r="M295" s="5" t="inlineStr"/>
      <c r="N295" s="5" t="inlineStr"/>
      <c r="O295" s="5" t="inlineStr"/>
      <c r="P295" s="5" t="inlineStr"/>
      <c r="Q295" s="5" t="inlineStr"/>
      <c r="R295" s="6" t="inlineStr"/>
      <c r="S295" s="5" t="inlineStr"/>
      <c r="T295" s="5" t="inlineStr"/>
    </row>
    <row r="296">
      <c r="A296" s="5" t="inlineStr">
        <is>
          <t>me-son-kepenk</t>
        </is>
      </c>
      <c r="B296" s="5" t="n">
        <v>9</v>
      </c>
      <c r="C296" s="5" t="inlineStr">
        <is>
          <t>66 yaş</t>
        </is>
      </c>
      <c r="D296" s="5" t="inlineStr">
        <is>
          <t>🔒</t>
        </is>
      </c>
      <c r="E296" s="6" t="inlineStr">
        <is>
          <t>Son Kepenk</t>
        </is>
      </c>
      <c r="F296" s="6" t="inlineStr">
        <is>
          <t>Son iş günü. Kepengin sesi otuz küsur yıldır aynı. Mahalle bunu bir tören sanıyor; sen yağlamayı unuttuğunu biliyorsun.</t>
        </is>
      </c>
      <c r="G296" s="5" t="inlineStr">
        <is>
          <t>carsi</t>
        </is>
      </c>
      <c r="H296" s="5" t="inlineStr"/>
      <c r="I296" s="5" t="inlineStr"/>
      <c r="J296" s="5" t="inlineStr"/>
      <c r="K296" s="5" t="inlineStr">
        <is>
          <t>meslek-esnaf</t>
        </is>
      </c>
      <c r="L296" s="5" t="inlineStr"/>
      <c r="M296" s="5" t="inlineStr"/>
      <c r="N296" s="5" t="inlineStr"/>
      <c r="O296" s="5" t="inlineStr"/>
      <c r="P296" s="5" t="inlineStr"/>
      <c r="Q296" s="5" t="inlineStr"/>
      <c r="R296" s="6" t="inlineStr"/>
      <c r="S296" s="5" t="inlineStr"/>
      <c r="T296" s="5" t="inlineStr"/>
    </row>
    <row r="297">
      <c r="A297" s="5" t="inlineStr">
        <is>
          <t>b9-emekli-seyahati</t>
        </is>
      </c>
      <c r="B297" s="5" t="n">
        <v>9</v>
      </c>
      <c r="C297" s="5" t="inlineStr">
        <is>
          <t>66 yaş 6 ay</t>
        </is>
      </c>
      <c r="D297" s="5" t="inlineStr">
        <is>
          <t>🚌</t>
        </is>
      </c>
      <c r="E297" s="6" t="inlineStr">
        <is>
          <t>Emekli Seyahati</t>
        </is>
      </c>
      <c r="F297" s="6" t="inlineStr">
        <is>
          <t>Emekliler derneğinin dört günlük turu. Otobüs sabah beşte kalkıyor. Programda yedi müze, üç hediyelik eşya dükkânı ve bir 'sürpriz durak' var.</t>
        </is>
      </c>
      <c r="G297" s="5" t="inlineStr">
        <is>
          <t>toplu-tasima</t>
        </is>
      </c>
      <c r="H297" s="5" t="inlineStr"/>
      <c r="I297" s="5" t="inlineStr"/>
      <c r="J297" s="5" t="inlineStr"/>
      <c r="K297" s="5" t="inlineStr"/>
      <c r="L297" s="5" t="inlineStr"/>
      <c r="M297" s="5" t="inlineStr"/>
      <c r="N297" s="5" t="inlineStr"/>
      <c r="O297" s="5" t="inlineStr"/>
      <c r="P297" s="5" t="inlineStr"/>
      <c r="Q297" s="5" t="inlineStr"/>
      <c r="R297" s="6" t="inlineStr"/>
      <c r="S297" s="5" t="inlineStr"/>
      <c r="T297" s="5" t="inlineStr"/>
    </row>
    <row r="298">
      <c r="A298" s="5" t="inlineStr">
        <is>
          <t>b9-sifre-unuttum</t>
        </is>
      </c>
      <c r="B298" s="5" t="n">
        <v>9</v>
      </c>
      <c r="C298" s="5" t="inlineStr">
        <is>
          <t>67 yaş</t>
        </is>
      </c>
      <c r="D298" s="5" t="inlineStr">
        <is>
          <t>🔐</t>
        </is>
      </c>
      <c r="E298" s="6" t="inlineStr">
        <is>
          <t>Şifremi Unuttum</t>
        </is>
      </c>
      <c r="F298" s="6" t="inlineStr">
        <is>
          <t>Mobil bankacılık şifreni unuttun. Sıfırlamak için bir kod gönderildi. Kod, eski telefonuna. Eski telefon, torunda. Torun, okulda.</t>
        </is>
      </c>
      <c r="G298" s="5" t="inlineStr">
        <is>
          <t>banka</t>
        </is>
      </c>
      <c r="H298" s="5" t="inlineStr"/>
      <c r="I298" s="5" t="inlineStr"/>
      <c r="J298" s="5" t="inlineStr"/>
      <c r="K298" s="5" t="inlineStr"/>
      <c r="L298" s="5" t="inlineStr"/>
      <c r="M298" s="5" t="inlineStr"/>
      <c r="N298" s="5" t="inlineStr"/>
      <c r="O298" s="5" t="inlineStr"/>
      <c r="P298" s="5" t="inlineStr"/>
      <c r="Q298" s="5" t="inlineStr"/>
      <c r="R298" s="6" t="inlineStr"/>
      <c r="S298" s="5" t="inlineStr"/>
      <c r="T298" s="5" t="inlineStr"/>
    </row>
    <row r="299">
      <c r="A299" s="5" t="inlineStr">
        <is>
          <t>mb-son-kisa-gorusme</t>
        </is>
      </c>
      <c r="B299" s="5" t="n">
        <v>9</v>
      </c>
      <c r="C299" s="5" t="inlineStr">
        <is>
          <t>67 yaş</t>
        </is>
      </c>
      <c r="D299" s="5" t="inlineStr">
        <is>
          <t>☎️</t>
        </is>
      </c>
      <c r="E299" s="6" t="inlineStr">
        <is>
          <t>Son Bir Kısa Görüşme</t>
        </is>
      </c>
      <c r="F299" s="6" t="inlineStr">
        <is>
          <t>Şirketten ayrılalı yıllar oldu. Eski şirketin aradı: 'Kısa bir görüşme yapabilir miyiz?' Nabzın hâlâ yükseliyor.</t>
        </is>
      </c>
      <c r="G299" s="5" t="inlineStr">
        <is>
          <t>kafe</t>
        </is>
      </c>
      <c r="H299" s="5" t="inlineStr"/>
      <c r="I299" s="5" t="inlineStr"/>
      <c r="J299" s="5" t="n">
        <v>1</v>
      </c>
      <c r="K299" s="5" t="inlineStr">
        <is>
          <t>meslek-beyazyaka</t>
        </is>
      </c>
      <c r="L299" s="5" t="inlineStr"/>
      <c r="M299" s="5" t="inlineStr"/>
      <c r="N299" s="5" t="inlineStr"/>
      <c r="O299" s="5" t="inlineStr"/>
      <c r="P299" s="5" t="inlineStr"/>
      <c r="Q299" s="5" t="inlineStr"/>
      <c r="R299" s="6" t="inlineStr"/>
      <c r="S299" s="5" t="inlineStr"/>
      <c r="T299" s="5" t="inlineStr"/>
    </row>
    <row r="300">
      <c r="A300" s="5" t="inlineStr">
        <is>
          <t>b9-site-toplantisi</t>
        </is>
      </c>
      <c r="B300" s="5" t="n">
        <v>9</v>
      </c>
      <c r="C300" s="5" t="inlineStr">
        <is>
          <t>68 yaş</t>
        </is>
      </c>
      <c r="D300" s="5" t="inlineStr">
        <is>
          <t>🏢</t>
        </is>
      </c>
      <c r="E300" s="6" t="inlineStr">
        <is>
          <t>Apartman Toplantısı</t>
        </is>
      </c>
      <c r="F300" s="6" t="inlineStr">
        <is>
          <t>Yıllık apartman toplantısı. Gündem: aidat artışı, asansör, çatı ve 'yönetici seçimi'. Herkes sana bakıyor, çünkü evde olan tek kişi sensin.</t>
        </is>
      </c>
      <c r="G300" s="5" t="inlineStr">
        <is>
          <t>apartman</t>
        </is>
      </c>
      <c r="H300" s="5" t="inlineStr"/>
      <c r="I300" s="5" t="inlineStr"/>
      <c r="J300" s="5" t="inlineStr"/>
      <c r="K300" s="5" t="inlineStr"/>
      <c r="L300" s="5" t="inlineStr"/>
      <c r="M300" s="5" t="inlineStr"/>
      <c r="N300" s="5" t="inlineStr"/>
      <c r="O300" s="5" t="inlineStr"/>
      <c r="P300" s="5" t="inlineStr"/>
      <c r="Q300" s="5" t="inlineStr"/>
      <c r="R300" s="6" t="inlineStr"/>
      <c r="S300" s="5" t="inlineStr"/>
      <c r="T300" s="5" t="inlineStr"/>
    </row>
    <row r="301">
      <c r="A301" s="5" t="inlineStr">
        <is>
          <t>b9-torunun-sorusu</t>
        </is>
      </c>
      <c r="B301" s="5" t="n">
        <v>9</v>
      </c>
      <c r="C301" s="5" t="inlineStr">
        <is>
          <t>69 yaş</t>
        </is>
      </c>
      <c r="D301" s="5" t="inlineStr">
        <is>
          <t>❓</t>
        </is>
      </c>
      <c r="E301" s="6" t="inlineStr">
        <is>
          <t>Torunun Sorusu</t>
        </is>
      </c>
      <c r="F301" s="6" t="inlineStr">
        <is>
          <t>Torun parkta sana baktı: 'Sen gençken telefon var mıydı?' Cevabın tarih dersi olacak.</t>
        </is>
      </c>
      <c r="G301" s="5" t="inlineStr">
        <is>
          <t>park</t>
        </is>
      </c>
      <c r="H301" s="5" t="inlineStr"/>
      <c r="I301" s="5" t="inlineStr"/>
      <c r="J301" s="5" t="inlineStr"/>
      <c r="K301" s="5" t="inlineStr">
        <is>
          <t>torunlu</t>
        </is>
      </c>
      <c r="L301" s="5" t="inlineStr"/>
      <c r="M301" s="5" t="inlineStr"/>
      <c r="N301" s="5" t="inlineStr"/>
      <c r="O301" s="5" t="inlineStr"/>
      <c r="P301" s="5" t="inlineStr"/>
      <c r="Q301" s="5" t="inlineStr"/>
      <c r="R301" s="6" t="inlineStr"/>
      <c r="S301" s="5" t="inlineStr"/>
      <c r="T301" s="5" t="inlineStr"/>
    </row>
    <row r="302">
      <c r="A302" s="5" t="inlineStr">
        <is>
          <t>ms-son-roportaj</t>
        </is>
      </c>
      <c r="B302" s="5" t="n">
        <v>9</v>
      </c>
      <c r="C302" s="5" t="inlineStr">
        <is>
          <t>69 yaş</t>
        </is>
      </c>
      <c r="D302" s="5" t="inlineStr">
        <is>
          <t>🎙️</t>
        </is>
      </c>
      <c r="E302" s="6" t="inlineStr">
        <is>
          <t>Son Röportaj</t>
        </is>
      </c>
      <c r="F302" s="6" t="inlineStr">
        <is>
          <t>Bir sanat öğrencisi tezi için seninle görüşüyor. İlk sorusu: 'Bütün bu yıllar boyunca nasıl geçindiniz?'</t>
        </is>
      </c>
      <c r="G302" s="5" t="inlineStr">
        <is>
          <t>kafe</t>
        </is>
      </c>
      <c r="H302" s="5" t="inlineStr"/>
      <c r="I302" s="5" t="inlineStr"/>
      <c r="J302" s="5" t="n">
        <v>1</v>
      </c>
      <c r="K302" s="5" t="inlineStr">
        <is>
          <t>meslek-serbest</t>
        </is>
      </c>
      <c r="L302" s="5" t="inlineStr"/>
      <c r="M302" s="5" t="inlineStr"/>
      <c r="N302" s="5" t="inlineStr"/>
      <c r="O302" s="5" t="inlineStr"/>
      <c r="P302" s="5" t="inlineStr"/>
      <c r="Q302" s="5" t="inlineStr"/>
      <c r="R302" s="6" t="inlineStr"/>
      <c r="S302" s="5" t="inlineStr"/>
      <c r="T302" s="5" t="inlineStr"/>
    </row>
    <row r="303">
      <c r="A303" s="5" t="inlineStr">
        <is>
          <t>b9-hayat-muhasebesi</t>
        </is>
      </c>
      <c r="B303" s="5" t="n">
        <v>9</v>
      </c>
      <c r="C303" s="5" t="inlineStr">
        <is>
          <t>70 yaş</t>
        </is>
      </c>
      <c r="D303" s="5" t="inlineStr">
        <is>
          <t>📸</t>
        </is>
      </c>
      <c r="E303" s="6" t="inlineStr">
        <is>
          <t>Fotoğraf Albümü</t>
        </is>
      </c>
      <c r="F303" s="6" t="inlineStr">
        <is>
          <t>Yetmişinci yaş günün. Çocukların eski fotoğraf albümlerini dijitalleştirmiş ve bir slayt gösterisi hazırlamış. Fon müziği seçimini sana sormamışlar.</t>
        </is>
      </c>
      <c r="G303" s="5" t="inlineStr">
        <is>
          <t>ev</t>
        </is>
      </c>
      <c r="H303" s="5" t="inlineStr"/>
      <c r="I303" s="5" t="inlineStr"/>
      <c r="J303" s="5" t="inlineStr"/>
      <c r="K303" s="5" t="inlineStr"/>
      <c r="L303" s="5" t="inlineStr"/>
      <c r="M303" s="5" t="inlineStr"/>
      <c r="N303" s="5" t="inlineStr"/>
      <c r="O303" s="5" t="inlineStr"/>
      <c r="P303" s="5" t="inlineStr"/>
      <c r="Q303" s="5" t="inlineStr"/>
      <c r="R303" s="6" t="inlineStr"/>
      <c r="S303" s="5" t="inlineStr"/>
      <c r="T303" s="5" t="inlineStr"/>
    </row>
    <row r="304">
      <c r="A304" s="5" t="inlineStr">
        <is>
          <t>b10-noter-vasiyet</t>
        </is>
      </c>
      <c r="B304" s="5" t="n">
        <v>10</v>
      </c>
      <c r="C304" s="5" t="inlineStr">
        <is>
          <t>70 yaş</t>
        </is>
      </c>
      <c r="D304" s="5" t="inlineStr">
        <is>
          <t>📜</t>
        </is>
      </c>
      <c r="E304" s="6" t="inlineStr">
        <is>
          <t>Vasiyet</t>
        </is>
      </c>
      <c r="F304" s="6" t="inlineStr">
        <is>
          <t>Noterde sıra numarası aldın. Önündeki üç kişi de vasiyet yazdırıyor. Bekleme salonu bir hayat özeti fuarına dönüştü.</t>
        </is>
      </c>
      <c r="G304" s="5" t="inlineStr">
        <is>
          <t>devlet-dairesi</t>
        </is>
      </c>
      <c r="H304" s="5" t="inlineStr"/>
      <c r="I304" s="5" t="inlineStr"/>
      <c r="J304" s="5" t="n">
        <v>1</v>
      </c>
      <c r="K304" s="5" t="inlineStr"/>
      <c r="L304" s="5" t="inlineStr"/>
      <c r="M304" s="5" t="inlineStr"/>
      <c r="N304" s="5" t="inlineStr"/>
      <c r="O304" s="5" t="inlineStr"/>
      <c r="P304" s="5" t="inlineStr"/>
      <c r="Q304" s="5" t="inlineStr"/>
      <c r="R304" s="6" t="inlineStr"/>
      <c r="S304" s="5" t="inlineStr"/>
      <c r="T304" s="5" t="inlineStr"/>
    </row>
    <row r="305">
      <c r="A305" s="5" t="inlineStr">
        <is>
          <t>b10-miras-provasi</t>
        </is>
      </c>
      <c r="B305" s="5" t="n">
        <v>10</v>
      </c>
      <c r="C305" s="5" t="inlineStr">
        <is>
          <t>71 yaş</t>
        </is>
      </c>
      <c r="D305" s="5" t="inlineStr">
        <is>
          <t>🍽️</t>
        </is>
      </c>
      <c r="E305" s="6" t="inlineStr">
        <is>
          <t>Miras Provası</t>
        </is>
      </c>
      <c r="F305" s="6" t="inlineStr">
        <is>
          <t>Pazar yemeğinde biri vitrindeki takımı sordu. Masada kimse bir şey demedi ama herkes aynı anda çatalını bıraktı.</t>
        </is>
      </c>
      <c r="G305" s="5" t="inlineStr">
        <is>
          <t>ev</t>
        </is>
      </c>
      <c r="H305" s="5" t="inlineStr"/>
      <c r="I305" s="5" t="inlineStr"/>
      <c r="J305" s="5" t="n">
        <v>1</v>
      </c>
      <c r="K305" s="5" t="inlineStr">
        <is>
          <t>cocuklu</t>
        </is>
      </c>
      <c r="L305" s="5" t="inlineStr"/>
      <c r="M305" s="5" t="inlineStr"/>
      <c r="N305" s="5" t="inlineStr"/>
      <c r="O305" s="5" t="inlineStr"/>
      <c r="P305" s="5" t="inlineStr"/>
      <c r="Q305" s="5" t="inlineStr"/>
      <c r="R305" s="6" t="inlineStr"/>
      <c r="S305" s="5" t="inlineStr"/>
      <c r="T305" s="5" t="inlineStr"/>
    </row>
    <row r="306">
      <c r="A306" s="5" t="inlineStr">
        <is>
          <t>b10-teknoloji-kursu</t>
        </is>
      </c>
      <c r="B306" s="5" t="n">
        <v>10</v>
      </c>
      <c r="C306" s="5" t="inlineStr">
        <is>
          <t>72 yaş</t>
        </is>
      </c>
      <c r="D306" s="5" t="inlineStr">
        <is>
          <t>📱</t>
        </is>
      </c>
      <c r="E306" s="6" t="inlineStr">
        <is>
          <t>Teknoloji Kursu</t>
        </is>
      </c>
      <c r="F306" s="6" t="inlineStr">
        <is>
          <t>Belediyenin yaşlılar için teknoloji kursundasın. Eğitmen yirmi iki yaşında ve 'ekran görüntüsü' kelimesini on dördüncü kez söylüyor.</t>
        </is>
      </c>
      <c r="G306" s="5" t="inlineStr">
        <is>
          <t>sinif</t>
        </is>
      </c>
      <c r="H306" s="5" t="inlineStr"/>
      <c r="I306" s="5" t="inlineStr"/>
      <c r="J306" s="5" t="n">
        <v>1</v>
      </c>
      <c r="K306" s="5" t="inlineStr"/>
      <c r="L306" s="5" t="inlineStr"/>
      <c r="M306" s="5" t="inlineStr"/>
      <c r="N306" s="5" t="inlineStr"/>
      <c r="O306" s="5" t="inlineStr"/>
      <c r="P306" s="5" t="inlineStr"/>
      <c r="Q306" s="5" t="inlineStr"/>
      <c r="R306" s="6" t="inlineStr"/>
      <c r="S306" s="5" t="inlineStr"/>
      <c r="T306" s="5" t="inlineStr"/>
    </row>
    <row r="307">
      <c r="A307" s="5" t="inlineStr">
        <is>
          <t>b10-balkon-kulesi</t>
        </is>
      </c>
      <c r="B307" s="5" t="n">
        <v>10</v>
      </c>
      <c r="C307" s="5" t="inlineStr">
        <is>
          <t>73 yaş</t>
        </is>
      </c>
      <c r="D307" s="5" t="inlineStr">
        <is>
          <t>🔭</t>
        </is>
      </c>
      <c r="E307" s="6" t="inlineStr">
        <is>
          <t>Balkon Gözlem Kulesi</t>
        </is>
      </c>
      <c r="F307" s="6" t="inlineStr">
        <is>
          <t>Balkona bir sandalye ve bir çay termosu yerleştirildi. Sokak artık denetim altında.</t>
        </is>
      </c>
      <c r="G307" s="5" t="inlineStr">
        <is>
          <t>apartman</t>
        </is>
      </c>
      <c r="H307" s="5" t="inlineStr"/>
      <c r="I307" s="5" t="inlineStr"/>
      <c r="J307" s="5" t="n">
        <v>1</v>
      </c>
      <c r="K307" s="5" t="inlineStr"/>
      <c r="L307" s="5" t="inlineStr"/>
      <c r="M307" s="5" t="inlineStr"/>
      <c r="N307" s="5" t="inlineStr"/>
      <c r="O307" s="5" t="inlineStr"/>
      <c r="P307" s="5" t="inlineStr"/>
      <c r="Q307" s="5" t="inlineStr"/>
      <c r="R307" s="6" t="inlineStr"/>
      <c r="S307" s="5" t="inlineStr"/>
      <c r="T307" s="5" t="inlineStr"/>
    </row>
    <row r="308">
      <c r="A308" s="5" t="inlineStr">
        <is>
          <t>b10-sinif-bulusmasi</t>
        </is>
      </c>
      <c r="B308" s="5" t="n">
        <v>10</v>
      </c>
      <c r="C308" s="5" t="inlineStr">
        <is>
          <t>74 yaş</t>
        </is>
      </c>
      <c r="D308" s="5" t="inlineStr">
        <is>
          <t>🏫</t>
        </is>
      </c>
      <c r="E308" s="6" t="inlineStr">
        <is>
          <t>Sınıf Buluşması</t>
        </is>
      </c>
      <c r="F308" s="6" t="inlineStr">
        <is>
          <t>İlkokul sınıfından biri grup kurdu. Otuz iki kişiden on bir kişi geldi. Herkes birbirinin fotoğrafına bakıp doğru kişiyi arıyor.</t>
        </is>
      </c>
      <c r="G308" s="5" t="inlineStr">
        <is>
          <t>kafe</t>
        </is>
      </c>
      <c r="H308" s="5" t="inlineStr"/>
      <c r="I308" s="5" t="inlineStr"/>
      <c r="J308" s="5" t="n">
        <v>1</v>
      </c>
      <c r="K308" s="5" t="inlineStr"/>
      <c r="L308" s="5" t="inlineStr"/>
      <c r="M308" s="5" t="inlineStr"/>
      <c r="N308" s="5" t="inlineStr"/>
      <c r="O308" s="5" t="inlineStr"/>
      <c r="P308" s="5" t="inlineStr"/>
      <c r="Q308" s="5" t="inlineStr"/>
      <c r="R308" s="6" t="inlineStr"/>
      <c r="S308" s="5" t="inlineStr"/>
      <c r="T308" s="5" t="inlineStr"/>
    </row>
    <row r="309">
      <c r="A309" s="5" t="inlineStr">
        <is>
          <t>b10-doktor-gomersiniz</t>
        </is>
      </c>
      <c r="B309" s="5" t="n">
        <v>10</v>
      </c>
      <c r="C309" s="5" t="inlineStr">
        <is>
          <t>75 yaş</t>
        </is>
      </c>
      <c r="D309" s="5" t="inlineStr">
        <is>
          <t>🩺</t>
        </is>
      </c>
      <c r="E309" s="6" t="inlineStr">
        <is>
          <t>Siz Bizi Gömersiniz</t>
        </is>
      </c>
      <c r="F309" s="6" t="inlineStr">
        <is>
          <t>Doktor tahlillere baktı, gözlüğünü çıkardı ve 'Siz bizi gömersiniz' dedi. Tıp dilinde bu bir iltifattır.</t>
        </is>
      </c>
      <c r="G309" s="5" t="inlineStr">
        <is>
          <t>hastane</t>
        </is>
      </c>
      <c r="H309" s="5" t="inlineStr"/>
      <c r="I309" s="5" t="inlineStr"/>
      <c r="J309" s="5" t="n">
        <v>1</v>
      </c>
      <c r="K309" s="5" t="inlineStr"/>
      <c r="L309" s="5" t="inlineStr"/>
      <c r="M309" s="5" t="inlineStr"/>
      <c r="N309" s="5" t="inlineStr"/>
      <c r="O309" s="5" t="inlineStr"/>
      <c r="P309" s="5" t="inlineStr"/>
      <c r="Q309" s="5" t="inlineStr"/>
      <c r="R309" s="6" t="inlineStr"/>
      <c r="S309" s="5" t="inlineStr"/>
      <c r="T309" s="5" t="inlineStr"/>
    </row>
    <row r="310">
      <c r="A310" s="5" t="inlineStr">
        <is>
          <t>b10-bayram-harcligi</t>
        </is>
      </c>
      <c r="B310" s="5" t="n">
        <v>10</v>
      </c>
      <c r="C310" s="5" t="inlineStr">
        <is>
          <t>75 yaş 6 ay</t>
        </is>
      </c>
      <c r="D310" s="5" t="inlineStr">
        <is>
          <t>💶</t>
        </is>
      </c>
      <c r="E310" s="6" t="inlineStr">
        <is>
          <t>Bayram Harçlığı</t>
        </is>
      </c>
      <c r="F310" s="6" t="inlineStr">
        <is>
          <t>Emekli maaşı yattı. Bayram sabahı kapıda sıra oluştu. Döngü tamamlandı: artık zarfları dağıtan sensin.</t>
        </is>
      </c>
      <c r="G310" s="5" t="inlineStr">
        <is>
          <t>ev</t>
        </is>
      </c>
      <c r="H310" s="5" t="inlineStr"/>
      <c r="I310" s="5" t="inlineStr"/>
      <c r="J310" s="5" t="n">
        <v>1</v>
      </c>
      <c r="K310" s="5" t="inlineStr"/>
      <c r="L310" s="5" t="inlineStr"/>
      <c r="M310" s="5" t="inlineStr"/>
      <c r="N310" s="5" t="inlineStr"/>
      <c r="O310" s="5" t="inlineStr"/>
      <c r="P310" s="5" t="inlineStr"/>
      <c r="Q310" s="5" t="inlineStr"/>
      <c r="R310" s="6" t="inlineStr"/>
      <c r="S310" s="5" t="inlineStr"/>
      <c r="T310" s="5" t="inlineStr"/>
    </row>
    <row r="311">
      <c r="A311" s="5" t="inlineStr">
        <is>
          <t>b10-dijital-miras</t>
        </is>
      </c>
      <c r="B311" s="5" t="n">
        <v>10</v>
      </c>
      <c r="C311" s="5" t="inlineStr">
        <is>
          <t>76 yaş</t>
        </is>
      </c>
      <c r="D311" s="5" t="inlineStr">
        <is>
          <t>🔐</t>
        </is>
      </c>
      <c r="E311" s="6" t="inlineStr">
        <is>
          <t>Dijital Miras</t>
        </is>
      </c>
      <c r="F311" s="6" t="inlineStr">
        <is>
          <t>Torun şifrelerini soruyor 'bir gün lazım olur diye'. Kırk yılın şifresi, yarısı kedinin adı, yarısı doğum tarihi.</t>
        </is>
      </c>
      <c r="G311" s="5" t="inlineStr">
        <is>
          <t>ev</t>
        </is>
      </c>
      <c r="H311" s="5" t="inlineStr"/>
      <c r="I311" s="5" t="inlineStr"/>
      <c r="J311" s="5" t="n">
        <v>1</v>
      </c>
      <c r="K311" s="5" t="inlineStr"/>
      <c r="L311" s="5" t="inlineStr"/>
      <c r="M311" s="5" t="inlineStr"/>
      <c r="N311" s="5" t="inlineStr"/>
      <c r="O311" s="5" t="inlineStr"/>
      <c r="P311" s="5" t="inlineStr"/>
      <c r="Q311" s="5" t="inlineStr"/>
      <c r="R311" s="6" t="inlineStr"/>
      <c r="S311" s="5" t="inlineStr"/>
      <c r="T311" s="5" t="inlineStr"/>
    </row>
    <row r="312">
      <c r="A312" s="5" t="inlineStr">
        <is>
          <t>b10-mezar-parseli</t>
        </is>
      </c>
      <c r="B312" s="5" t="n">
        <v>10</v>
      </c>
      <c r="C312" s="5" t="inlineStr">
        <is>
          <t>77 yaş</t>
        </is>
      </c>
      <c r="D312" s="5" t="inlineStr">
        <is>
          <t>🌳</t>
        </is>
      </c>
      <c r="E312" s="6" t="inlineStr">
        <is>
          <t>Manzaralı Parsel</t>
        </is>
      </c>
      <c r="F312" s="6" t="inlineStr">
        <is>
          <t>Belediye yeni parsel satışı açtı. Görevli haritayı açtı: 'Bu taraf manzaralı, o taraf otoparka bakıyor.'</t>
        </is>
      </c>
      <c r="G312" s="5" t="inlineStr">
        <is>
          <t>mezarlik</t>
        </is>
      </c>
      <c r="H312" s="5" t="inlineStr"/>
      <c r="I312" s="5" t="inlineStr"/>
      <c r="J312" s="5" t="n">
        <v>1</v>
      </c>
      <c r="K312" s="5" t="inlineStr"/>
      <c r="L312" s="5" t="inlineStr"/>
      <c r="M312" s="5" t="inlineStr"/>
      <c r="N312" s="5" t="inlineStr"/>
      <c r="O312" s="5" t="inlineStr"/>
      <c r="P312" s="5" t="inlineStr"/>
      <c r="Q312" s="5" t="inlineStr"/>
      <c r="R312" s="6" t="inlineStr"/>
      <c r="S312" s="5" t="inlineStr"/>
      <c r="T312" s="5" t="inlineStr"/>
    </row>
    <row r="313">
      <c r="A313" s="5" t="inlineStr">
        <is>
          <t>b10-danismanlik</t>
        </is>
      </c>
      <c r="B313" s="5" t="n">
        <v>10</v>
      </c>
      <c r="C313" s="5" t="inlineStr">
        <is>
          <t>77 yaş 6 ay</t>
        </is>
      </c>
      <c r="D313" s="5" t="inlineStr">
        <is>
          <t>💼</t>
        </is>
      </c>
      <c r="E313" s="6" t="inlineStr">
        <is>
          <t>Eski İşyerinden Telefon</t>
        </is>
      </c>
      <c r="F313" s="6" t="inlineStr">
        <is>
          <t>Eski işyerin aradı. Bir dosya kaybolmuş ve onu en son senin gördüğüne dair bir söylenti var. Söylenti doğru.</t>
        </is>
      </c>
      <c r="G313" s="5" t="inlineStr">
        <is>
          <t>ofis</t>
        </is>
      </c>
      <c r="H313" s="5" t="inlineStr"/>
      <c r="I313" s="5" t="inlineStr"/>
      <c r="J313" s="5" t="n">
        <v>1</v>
      </c>
      <c r="K313" s="5" t="inlineStr"/>
      <c r="L313" s="5" t="inlineStr"/>
      <c r="M313" s="5" t="inlineStr"/>
      <c r="N313" s="5" t="inlineStr"/>
      <c r="O313" s="5" t="inlineStr"/>
      <c r="P313" s="5" t="inlineStr"/>
      <c r="Q313" s="5" t="inlineStr"/>
      <c r="R313" s="6" t="inlineStr"/>
      <c r="S313" s="5" t="inlineStr"/>
      <c r="T313" s="5" t="inlineStr"/>
    </row>
    <row r="314">
      <c r="A314" s="5" t="inlineStr">
        <is>
          <t>b10-eski-dost-cenazesi</t>
        </is>
      </c>
      <c r="B314" s="5" t="n">
        <v>10</v>
      </c>
      <c r="C314" s="5" t="inlineStr">
        <is>
          <t>78 yaş</t>
        </is>
      </c>
      <c r="D314" s="5" t="inlineStr">
        <is>
          <t>🕊️</t>
        </is>
      </c>
      <c r="E314" s="6" t="inlineStr">
        <is>
          <t>Eski Dostun Cenazesi</t>
        </is>
      </c>
      <c r="F314" s="6" t="inlineStr">
        <is>
          <t>Uzun yılların dostu gitti. Cenazede kim ne diyor, not alıyorsun. Kendi cenazen için bir referans dosyası.</t>
        </is>
      </c>
      <c r="G314" s="5" t="inlineStr">
        <is>
          <t>mezarlik</t>
        </is>
      </c>
      <c r="H314" s="5" t="inlineStr"/>
      <c r="I314" s="5" t="inlineStr"/>
      <c r="J314" s="5" t="n">
        <v>1</v>
      </c>
      <c r="K314" s="5" t="inlineStr"/>
      <c r="L314" s="5" t="inlineStr"/>
      <c r="M314" s="5" t="inlineStr"/>
      <c r="N314" s="5" t="inlineStr"/>
      <c r="O314" s="5" t="inlineStr"/>
      <c r="P314" s="5" t="inlineStr"/>
      <c r="Q314" s="5" t="inlineStr"/>
      <c r="R314" s="6" t="inlineStr"/>
      <c r="S314" s="5" t="inlineStr"/>
      <c r="T314" s="5" t="inlineStr"/>
    </row>
    <row r="315">
      <c r="A315" s="5" t="inlineStr">
        <is>
          <t>b10-ani-defteri</t>
        </is>
      </c>
      <c r="B315" s="5" t="n">
        <v>10</v>
      </c>
      <c r="C315" s="5" t="inlineStr">
        <is>
          <t>79 yaş</t>
        </is>
      </c>
      <c r="D315" s="5" t="inlineStr">
        <is>
          <t>📓</t>
        </is>
      </c>
      <c r="E315" s="6" t="inlineStr">
        <is>
          <t>Anı Defteri</t>
        </is>
      </c>
      <c r="F315" s="6" t="inlineStr">
        <is>
          <t>Anılarını yazmaya karar verdin. İlk sayfa hazır: 'Her şey bir vazoyla başladı.' Aile editörlük kurulu kurdu.</t>
        </is>
      </c>
      <c r="G315" s="5" t="inlineStr">
        <is>
          <t>ev</t>
        </is>
      </c>
      <c r="H315" s="5" t="inlineStr"/>
      <c r="I315" s="5" t="inlineStr"/>
      <c r="J315" s="5" t="n">
        <v>1</v>
      </c>
      <c r="K315" s="5" t="inlineStr"/>
      <c r="L315" s="5" t="inlineStr"/>
      <c r="M315" s="5" t="inlineStr"/>
      <c r="N315" s="5" t="inlineStr"/>
      <c r="O315" s="5" t="inlineStr"/>
      <c r="P315" s="5" t="inlineStr"/>
      <c r="Q315" s="5" t="inlineStr"/>
      <c r="R315" s="6" t="inlineStr"/>
      <c r="S315" s="5" t="inlineStr"/>
      <c r="T315" s="5" t="inlineStr"/>
    </row>
    <row r="316">
      <c r="A316" s="5" t="inlineStr">
        <is>
          <t>b10-seksen-yas-partisi</t>
        </is>
      </c>
      <c r="B316" s="5" t="n">
        <v>10</v>
      </c>
      <c r="C316" s="5" t="inlineStr">
        <is>
          <t>80 yaş</t>
        </is>
      </c>
      <c r="D316" s="5" t="inlineStr">
        <is>
          <t>🎂</t>
        </is>
      </c>
      <c r="E316" s="6" t="inlineStr">
        <is>
          <t>Seksenlik Parti</t>
        </is>
      </c>
      <c r="F316" s="6" t="inlineStr">
        <is>
          <t>Pastanın üstüne bütün mumlar dikildi. Güvenlik gerekçesiyle kapı açık bırakıldı. Herkes telefonlarını kaldırdı.</t>
        </is>
      </c>
      <c r="G316" s="5" t="inlineStr">
        <is>
          <t>ev</t>
        </is>
      </c>
      <c r="H316" s="5" t="inlineStr"/>
      <c r="I316" s="5" t="inlineStr">
        <is>
          <t>E</t>
        </is>
      </c>
      <c r="J316" s="5" t="n">
        <v>1</v>
      </c>
      <c r="K316" s="5" t="inlineStr"/>
      <c r="L316" s="5" t="inlineStr"/>
      <c r="M316" s="5" t="inlineStr"/>
      <c r="N316" s="5" t="inlineStr"/>
      <c r="O316" s="5" t="inlineStr"/>
      <c r="P316" s="5" t="inlineStr"/>
      <c r="Q316" s="5" t="inlineStr"/>
      <c r="R316" s="6" t="inlineStr"/>
      <c r="S316" s="5" t="inlineStr"/>
      <c r="T316" s="5" t="inlineStr"/>
    </row>
    <row r="317">
      <c r="A317" s="5" t="inlineStr">
        <is>
          <t>b10-huzurevi-turu</t>
        </is>
      </c>
      <c r="B317" s="5" t="n">
        <v>10</v>
      </c>
      <c r="C317" s="5" t="inlineStr">
        <is>
          <t>81 yaş</t>
        </is>
      </c>
      <c r="D317" s="5" t="inlineStr">
        <is>
          <t>🏡</t>
        </is>
      </c>
      <c r="E317" s="6" t="inlineStr">
        <is>
          <t>Huzurevi Turu</t>
        </is>
      </c>
      <c r="F317" s="6" t="inlineStr">
        <is>
          <t>Bir huzurevine tanıtım turuna geldin. Görevli bir otel gibi anlatıyor. Çay saati, bahçe, briç masası ve kırk kişilik bir dedikodu ağı.</t>
        </is>
      </c>
      <c r="G317" s="5" t="inlineStr">
        <is>
          <t>huzurevi</t>
        </is>
      </c>
      <c r="H317" s="5" t="inlineStr"/>
      <c r="I317" s="5" t="inlineStr"/>
      <c r="J317" s="5" t="n">
        <v>1</v>
      </c>
      <c r="K317" s="5" t="inlineStr"/>
      <c r="L317" s="5" t="inlineStr"/>
      <c r="M317" s="5" t="inlineStr"/>
      <c r="N317" s="5" t="inlineStr"/>
      <c r="O317" s="5" t="inlineStr"/>
      <c r="P317" s="5" t="inlineStr"/>
      <c r="Q317" s="5" t="inlineStr"/>
      <c r="R317" s="6" t="inlineStr"/>
      <c r="S317" s="5" t="inlineStr"/>
      <c r="T317" s="5" t="inlineStr"/>
    </row>
    <row r="318">
      <c r="A318" s="5" t="inlineStr">
        <is>
          <t>b10-torunun-dugunu</t>
        </is>
      </c>
      <c r="B318" s="5" t="n">
        <v>10</v>
      </c>
      <c r="C318" s="5" t="inlineStr">
        <is>
          <t>82 yaş</t>
        </is>
      </c>
      <c r="D318" s="5" t="inlineStr">
        <is>
          <t>💍</t>
        </is>
      </c>
      <c r="E318" s="6" t="inlineStr">
        <is>
          <t>Torunun Düğünü</t>
        </is>
      </c>
      <c r="F318" s="6" t="inlineStr">
        <is>
          <t>Torun evleniyor. Masan en önde, pistin tam yanında. Sana bir mikrofon, bir de koltuk ayrıldı.</t>
        </is>
      </c>
      <c r="G318" s="5" t="inlineStr">
        <is>
          <t>dugun-salonu</t>
        </is>
      </c>
      <c r="H318" s="5" t="inlineStr"/>
      <c r="I318" s="5" t="inlineStr"/>
      <c r="J318" s="5" t="n">
        <v>1</v>
      </c>
      <c r="K318" s="5" t="inlineStr">
        <is>
          <t>torunlu</t>
        </is>
      </c>
      <c r="L318" s="5" t="inlineStr"/>
      <c r="M318" s="5" t="inlineStr"/>
      <c r="N318" s="5" t="inlineStr"/>
      <c r="O318" s="5" t="inlineStr"/>
      <c r="P318" s="5" t="inlineStr"/>
      <c r="Q318" s="5" t="inlineStr"/>
      <c r="R318" s="6" t="inlineStr"/>
      <c r="S318" s="5" t="inlineStr"/>
      <c r="T318" s="5" t="inlineStr"/>
    </row>
    <row r="319">
      <c r="A319" s="5" t="inlineStr">
        <is>
          <t>b10-yapay-zeka-kitap</t>
        </is>
      </c>
      <c r="B319" s="5" t="n">
        <v>10</v>
      </c>
      <c r="C319" s="5" t="inlineStr">
        <is>
          <t>83 yaş</t>
        </is>
      </c>
      <c r="D319" s="5" t="inlineStr">
        <is>
          <t>🤖</t>
        </is>
      </c>
      <c r="E319" s="6" t="inlineStr">
        <is>
          <t>Hayatının Kitabı</t>
        </is>
      </c>
      <c r="F319" s="6" t="inlineStr">
        <is>
          <t>Torun bir yapay zekâyla hayat hikâyeni kitaplaştırıyor. Makine her anını 'dönüştürücü bir yolculuk' olarak özetliyor.</t>
        </is>
      </c>
      <c r="G319" s="5" t="inlineStr">
        <is>
          <t>ev</t>
        </is>
      </c>
      <c r="H319" s="5" t="inlineStr"/>
      <c r="I319" s="5" t="inlineStr"/>
      <c r="J319" s="5" t="n">
        <v>1</v>
      </c>
      <c r="K319" s="5" t="inlineStr">
        <is>
          <t>torunlu</t>
        </is>
      </c>
      <c r="L319" s="5" t="inlineStr"/>
      <c r="M319" s="5" t="inlineStr"/>
      <c r="N319" s="5" t="inlineStr"/>
      <c r="O319" s="5" t="inlineStr"/>
      <c r="P319" s="5" t="inlineStr"/>
      <c r="Q319" s="5" t="inlineStr"/>
      <c r="R319" s="6" t="inlineStr"/>
      <c r="S319" s="5" t="inlineStr"/>
      <c r="T319" s="5" t="inlineStr"/>
    </row>
    <row r="320">
      <c r="A320" s="5" t="inlineStr">
        <is>
          <t>b10-eski-ev</t>
        </is>
      </c>
      <c r="B320" s="5" t="n">
        <v>10</v>
      </c>
      <c r="C320" s="5" t="inlineStr">
        <is>
          <t>84 yaş</t>
        </is>
      </c>
      <c r="D320" s="5" t="inlineStr">
        <is>
          <t>🏚️</t>
        </is>
      </c>
      <c r="E320" s="6" t="inlineStr">
        <is>
          <t>Eski Evin Önünde</t>
        </is>
      </c>
      <c r="F320" s="6" t="inlineStr">
        <is>
          <t>Çocukluğunun geçtiği sokaktan geçiyorsun. Ev hâlâ orada, ama pencerede başkasının perdesi var.</t>
        </is>
      </c>
      <c r="G320" s="5" t="inlineStr">
        <is>
          <t>sokak</t>
        </is>
      </c>
      <c r="H320" s="5" t="inlineStr"/>
      <c r="I320" s="5" t="inlineStr"/>
      <c r="J320" s="5" t="n">
        <v>1</v>
      </c>
      <c r="K320" s="5" t="inlineStr"/>
      <c r="L320" s="5" t="inlineStr"/>
      <c r="M320" s="5" t="inlineStr"/>
      <c r="N320" s="5" t="inlineStr"/>
      <c r="O320" s="5" t="inlineStr"/>
      <c r="P320" s="5" t="inlineStr"/>
      <c r="Q320" s="5" t="inlineStr"/>
      <c r="R320" s="6" t="inlineStr"/>
      <c r="S320" s="5" t="inlineStr"/>
      <c r="T320" s="5" t="inlineStr"/>
    </row>
    <row r="321">
      <c r="A321" s="5" t="inlineStr">
        <is>
          <t>b10-son-dans</t>
        </is>
      </c>
      <c r="B321" s="5" t="n">
        <v>10</v>
      </c>
      <c r="C321" s="5" t="inlineStr">
        <is>
          <t>85 yaş</t>
        </is>
      </c>
      <c r="D321" s="5" t="inlineStr">
        <is>
          <t>💃</t>
        </is>
      </c>
      <c r="E321" s="6" t="inlineStr">
        <is>
          <t>Son Dans</t>
        </is>
      </c>
      <c r="F321" s="6" t="inlineStr">
        <is>
          <t>Radyoda gençliğinden bir şarkı çalıyor. Eşin elini uzattı. Salonun halısı, eski düğün salonunun pisti oldu.</t>
        </is>
      </c>
      <c r="G321" s="5" t="inlineStr">
        <is>
          <t>ev</t>
        </is>
      </c>
      <c r="H321" s="5" t="inlineStr"/>
      <c r="I321" s="5" t="inlineStr"/>
      <c r="J321" s="5" t="n">
        <v>1</v>
      </c>
      <c r="K321" s="5" t="inlineStr">
        <is>
          <t>evli</t>
        </is>
      </c>
      <c r="L321" s="5" t="inlineStr"/>
      <c r="M321" s="5" t="inlineStr"/>
      <c r="N321" s="5" t="inlineStr"/>
      <c r="O321" s="5" t="inlineStr"/>
      <c r="P321" s="5" t="inlineStr"/>
      <c r="Q321" s="5" t="inlineStr"/>
      <c r="R321" s="6" t="inlineStr"/>
      <c r="S321" s="5" t="inlineStr"/>
      <c r="T321" s="5" t="inlineStr"/>
    </row>
    <row r="322">
      <c r="A322" s="5" t="inlineStr">
        <is>
          <t>b10-yalniz-ozgur</t>
        </is>
      </c>
      <c r="B322" s="5" t="n">
        <v>10</v>
      </c>
      <c r="C322" s="5" t="inlineStr">
        <is>
          <t>85 yaş 6 ay</t>
        </is>
      </c>
      <c r="D322" s="5" t="inlineStr">
        <is>
          <t>🪑</t>
        </is>
      </c>
      <c r="E322" s="6" t="inlineStr">
        <is>
          <t>Yalnız ama Özgür</t>
        </is>
      </c>
      <c r="F322" s="6" t="inlineStr">
        <is>
          <t>Kimseye hesap vermeden akşam yemeğini saat beşte yedin. Kumandanın tek sahibi sensin. Evde kimse 'Işığı kapattın mı?' demiyor.</t>
        </is>
      </c>
      <c r="G322" s="5" t="inlineStr">
        <is>
          <t>ev</t>
        </is>
      </c>
      <c r="H322" s="5" t="inlineStr"/>
      <c r="I322" s="5" t="inlineStr"/>
      <c r="J322" s="5" t="n">
        <v>1</v>
      </c>
      <c r="K322" s="5" t="inlineStr"/>
      <c r="L322" s="5" t="inlineStr">
        <is>
          <t>evli</t>
        </is>
      </c>
      <c r="M322" s="5" t="inlineStr"/>
      <c r="N322" s="5" t="inlineStr"/>
      <c r="O322" s="5" t="inlineStr"/>
      <c r="P322" s="5" t="inlineStr"/>
      <c r="Q322" s="5" t="inlineStr"/>
      <c r="R322" s="6" t="inlineStr"/>
      <c r="S322" s="5" t="inlineStr"/>
      <c r="T322" s="5" t="inlineStr"/>
    </row>
    <row r="323">
      <c r="A323" s="5" t="inlineStr">
        <is>
          <t>b10-komsu-kedisi</t>
        </is>
      </c>
      <c r="B323" s="5" t="n">
        <v>10</v>
      </c>
      <c r="C323" s="5" t="inlineStr">
        <is>
          <t>86 yaş</t>
        </is>
      </c>
      <c r="D323" s="5" t="inlineStr">
        <is>
          <t>🐈</t>
        </is>
      </c>
      <c r="E323" s="6" t="inlineStr">
        <is>
          <t>Balkondaki Kedi</t>
        </is>
      </c>
      <c r="F323" s="6" t="inlineStr">
        <is>
          <t>Balkonuna her gün aynı kedi geliyor. Oturuyor, bakıyor, gidiyor. Bir denetim yapıyor olabilir.</t>
        </is>
      </c>
      <c r="G323" s="5" t="inlineStr">
        <is>
          <t>apartman</t>
        </is>
      </c>
      <c r="H323" s="5" t="inlineStr"/>
      <c r="I323" s="5" t="inlineStr"/>
      <c r="J323" s="5" t="n">
        <v>1</v>
      </c>
      <c r="K323" s="5" t="inlineStr"/>
      <c r="L323" s="5" t="inlineStr"/>
      <c r="M323" s="5" t="inlineStr"/>
      <c r="N323" s="5" t="inlineStr"/>
      <c r="O323" s="5" t="inlineStr"/>
      <c r="P323" s="5" t="inlineStr"/>
      <c r="Q323" s="5" t="inlineStr"/>
      <c r="R323" s="6" t="inlineStr"/>
      <c r="S323" s="5" t="inlineStr"/>
      <c r="T323" s="5" t="inlineStr"/>
    </row>
    <row r="324">
      <c r="A324" s="5" t="inlineStr">
        <is>
          <t>b10-sabah-yuruyusu</t>
        </is>
      </c>
      <c r="B324" s="5" t="n">
        <v>10</v>
      </c>
      <c r="C324" s="5" t="inlineStr">
        <is>
          <t>87 yaş</t>
        </is>
      </c>
      <c r="D324" s="5" t="inlineStr">
        <is>
          <t>🚶</t>
        </is>
      </c>
      <c r="E324" s="6" t="inlineStr">
        <is>
          <t>Sabah Yürüyüşü Grubu</t>
        </is>
      </c>
      <c r="F324" s="6" t="inlineStr">
        <is>
          <t>Parktaki sabah yürüyüş grubuna katıldın. Grubun gayriresmî bir hız sıralaması var. Kimse konuşmuyor ama herkes biliyor.</t>
        </is>
      </c>
      <c r="G324" s="5" t="inlineStr">
        <is>
          <t>park</t>
        </is>
      </c>
      <c r="H324" s="5" t="inlineStr"/>
      <c r="I324" s="5" t="inlineStr"/>
      <c r="J324" s="5" t="n">
        <v>1</v>
      </c>
      <c r="K324" s="5" t="inlineStr"/>
      <c r="L324" s="5" t="inlineStr"/>
      <c r="M324" s="5" t="inlineStr"/>
      <c r="N324" s="5" t="inlineStr"/>
      <c r="O324" s="5" t="inlineStr"/>
      <c r="P324" s="5" t="inlineStr"/>
      <c r="Q324" s="5" t="inlineStr"/>
      <c r="R324" s="6" t="inlineStr"/>
      <c r="S324" s="5" t="inlineStr"/>
      <c r="T324" s="5" t="inlineStr"/>
    </row>
    <row r="325">
      <c r="A325" s="5" t="inlineStr">
        <is>
          <t>b10-son-taksit</t>
        </is>
      </c>
      <c r="B325" s="5" t="n">
        <v>10</v>
      </c>
      <c r="C325" s="5" t="inlineStr">
        <is>
          <t>88 yaş</t>
        </is>
      </c>
      <c r="D325" s="5" t="inlineStr">
        <is>
          <t>🏦</t>
        </is>
      </c>
      <c r="E325" s="6" t="inlineStr">
        <is>
          <t>Son Taksit</t>
        </is>
      </c>
      <c r="F325" s="6" t="inlineStr">
        <is>
          <t>Bankadan bir mektup geldi: son taksit ödendi. Kırk yıl süren bir ilişki bir cümleyle bitti.</t>
        </is>
      </c>
      <c r="G325" s="5" t="inlineStr">
        <is>
          <t>banka</t>
        </is>
      </c>
      <c r="H325" s="5" t="inlineStr"/>
      <c r="I325" s="5" t="inlineStr"/>
      <c r="J325" s="5" t="n">
        <v>1</v>
      </c>
      <c r="K325" s="5" t="inlineStr"/>
      <c r="L325" s="5" t="inlineStr"/>
      <c r="M325" s="5" t="inlineStr"/>
      <c r="N325" s="5" t="inlineStr"/>
      <c r="O325" s="5" t="inlineStr"/>
      <c r="P325" s="5" t="inlineStr"/>
      <c r="Q325" s="5" t="inlineStr"/>
      <c r="R325" s="6" t="inlineStr"/>
      <c r="S325" s="5" t="inlineStr"/>
      <c r="T325" s="5" t="inlineStr"/>
    </row>
    <row r="326">
      <c r="A326" s="5" t="inlineStr">
        <is>
          <t>b10-ehliyet-yenileme</t>
        </is>
      </c>
      <c r="B326" s="5" t="n">
        <v>10</v>
      </c>
      <c r="C326" s="5" t="inlineStr">
        <is>
          <t>90 yaş</t>
        </is>
      </c>
      <c r="D326" s="5" t="inlineStr">
        <is>
          <t>🚗</t>
        </is>
      </c>
      <c r="E326" s="6" t="inlineStr">
        <is>
          <t>Ehliyet Yenileme</t>
        </is>
      </c>
      <c r="F326" s="6" t="inlineStr">
        <is>
          <t>Ehliyetinin süresi doldu. Yenileme için göz muayenesi, refleks testi ve memurun sana şaşkın bakışı gerekiyor.</t>
        </is>
      </c>
      <c r="G326" s="5" t="inlineStr">
        <is>
          <t>devlet-dairesi</t>
        </is>
      </c>
      <c r="H326" s="5" t="inlineStr"/>
      <c r="I326" s="5" t="inlineStr"/>
      <c r="J326" s="5" t="n">
        <v>1</v>
      </c>
      <c r="K326" s="5" t="inlineStr"/>
      <c r="L326" s="5" t="inlineStr"/>
      <c r="M326" s="5" t="inlineStr"/>
      <c r="N326" s="5" t="inlineStr"/>
      <c r="O326" s="5" t="inlineStr"/>
      <c r="P326" s="5" t="inlineStr"/>
      <c r="Q326" s="5" t="inlineStr"/>
      <c r="R326" s="6" t="inlineStr"/>
      <c r="S326" s="5" t="inlineStr"/>
      <c r="T326" s="5" t="inlineStr"/>
    </row>
    <row r="327">
      <c r="A327" s="5" t="inlineStr">
        <is>
          <t>b10-mahallenin-en-yaslisi</t>
        </is>
      </c>
      <c r="B327" s="5" t="n">
        <v>10</v>
      </c>
      <c r="C327" s="5" t="inlineStr">
        <is>
          <t>92 yaş</t>
        </is>
      </c>
      <c r="D327" s="5" t="inlineStr">
        <is>
          <t>🏅</t>
        </is>
      </c>
      <c r="E327" s="6" t="inlineStr">
        <is>
          <t>Mahallenin En Yaşlısı</t>
        </is>
      </c>
      <c r="F327" s="6" t="inlineStr">
        <is>
          <t>Belediye seni 'Mahallenin En Yaşlı Sakini' seçti. Plaket için bir tören ve kısa bir konuşma bekleniyor.</t>
        </is>
      </c>
      <c r="G327" s="5" t="inlineStr">
        <is>
          <t>devlet-dairesi</t>
        </is>
      </c>
      <c r="H327" s="5" t="inlineStr"/>
      <c r="I327" s="5" t="inlineStr"/>
      <c r="J327" s="5" t="n">
        <v>1</v>
      </c>
      <c r="K327" s="5" t="inlineStr"/>
      <c r="L327" s="5" t="inlineStr"/>
      <c r="M327" s="5" t="inlineStr"/>
      <c r="N327" s="5" t="inlineStr"/>
      <c r="O327" s="5" t="inlineStr"/>
      <c r="P327" s="5" t="inlineStr"/>
      <c r="Q327" s="5" t="inlineStr"/>
      <c r="R327" s="6" t="inlineStr"/>
      <c r="S327" s="5" t="inlineStr"/>
      <c r="T327" s="5" t="inlineStr"/>
    </row>
    <row r="328">
      <c r="A328" s="5" t="inlineStr">
        <is>
          <t>b10-mezar-tasi-fotografi</t>
        </is>
      </c>
      <c r="B328" s="5" t="n">
        <v>10</v>
      </c>
      <c r="C328" s="5" t="inlineStr">
        <is>
          <t>94 yaş</t>
        </is>
      </c>
      <c r="D328" s="5" t="inlineStr">
        <is>
          <t>📸</t>
        </is>
      </c>
      <c r="E328" s="6" t="inlineStr">
        <is>
          <t>Mezar Taşı Fotoğrafı</t>
        </is>
      </c>
      <c r="F328" s="6" t="inlineStr">
        <is>
          <t>Fotoğrafçıdasın. Mezar taşı için bir portre çektireceksin. Fotoğrafçı 'Gülümseyelim mi, ciddi mi olalım?' diye sordu.</t>
        </is>
      </c>
      <c r="G328" s="5" t="inlineStr">
        <is>
          <t>dukkan</t>
        </is>
      </c>
      <c r="H328" s="5" t="inlineStr"/>
      <c r="I328" s="5" t="inlineStr"/>
      <c r="J328" s="5" t="n">
        <v>1</v>
      </c>
      <c r="K328" s="5" t="inlineStr"/>
      <c r="L328" s="5" t="inlineStr"/>
      <c r="M328" s="5" t="inlineStr"/>
      <c r="N328" s="5" t="inlineStr"/>
      <c r="O328" s="5" t="inlineStr"/>
      <c r="P328" s="5" t="inlineStr"/>
      <c r="Q328" s="5" t="inlineStr"/>
      <c r="R328" s="6" t="inlineStr"/>
      <c r="S328" s="5" t="inlineStr"/>
      <c r="T328" s="5" t="inlineStr"/>
    </row>
    <row r="329">
      <c r="A329" s="5" t="inlineStr">
        <is>
          <t>son-soz</t>
        </is>
      </c>
      <c r="B329" s="5" t="n">
        <v>10</v>
      </c>
      <c r="C329" s="5" t="inlineStr">
        <is>
          <t>100 yaş</t>
        </is>
      </c>
      <c r="D329" s="5" t="inlineStr">
        <is>
          <t>🕯️</t>
        </is>
      </c>
      <c r="E329" s="6" t="inlineStr">
        <is>
          <t>Son Söz</t>
        </is>
      </c>
      <c r="F329" s="6" t="inlineStr">
        <is>
          <t>Oda sessiz. Pencereden ışık vuruyor. Etrafında birkaç yüz, birkaç telefon ve bir çaydanlık var. Söyleyeceğin son cümle kayda geçecek.</t>
        </is>
      </c>
      <c r="G329" s="5" t="inlineStr">
        <is>
          <t>ev</t>
        </is>
      </c>
      <c r="H329" s="5" t="inlineStr"/>
      <c r="I329" s="5" t="inlineStr">
        <is>
          <t>E</t>
        </is>
      </c>
      <c r="J329" s="5" t="n">
        <v>1</v>
      </c>
      <c r="K329" s="5" t="inlineStr"/>
      <c r="L329" s="5" t="inlineStr"/>
      <c r="M329" s="5" t="inlineStr"/>
      <c r="N329" s="5" t="inlineStr"/>
      <c r="O329" s="5" t="inlineStr"/>
      <c r="P329" s="5" t="inlineStr"/>
      <c r="Q329" s="5" t="inlineStr"/>
      <c r="R329" s="6" t="inlineStr"/>
      <c r="S329" s="5" t="inlineStr"/>
      <c r="T329" s="5" t="inlineStr"/>
    </row>
    <row r="330">
      <c r="A330" s="5" t="inlineStr">
        <is>
          <t>sokak-mi-ekran-mi</t>
        </is>
      </c>
      <c r="B330" s="5" t="n">
        <v>2</v>
      </c>
      <c r="C330" s="5" t="inlineStr">
        <is>
          <t>4 yaş 3 ay</t>
        </is>
      </c>
      <c r="D330" s="5" t="inlineStr">
        <is>
          <t>⚽</t>
        </is>
      </c>
      <c r="E330" s="6" t="inlineStr">
        <is>
          <t>Sokak mı, Ekran mı?</t>
        </is>
      </c>
      <c r="F330" s="6" t="inlineStr">
        <is>
          <t>Aşağıdan top sesi ve “Hadi insene!” diye bağıran çocuklar geliyor. Masada şarjı yüzde yüz bir tablet duruyor. İkisi de seni çağırıyor; biri daha yüksek sesle.</t>
        </is>
      </c>
      <c r="G330" s="5" t="inlineStr">
        <is>
          <t>sokak</t>
        </is>
      </c>
      <c r="H330" s="5" t="inlineStr">
        <is>
          <t>sosyal</t>
        </is>
      </c>
      <c r="I330" s="5" t="inlineStr">
        <is>
          <t>E</t>
        </is>
      </c>
      <c r="J330" s="5" t="inlineStr"/>
      <c r="K330" s="5" t="inlineStr"/>
      <c r="L330" s="5" t="inlineStr"/>
      <c r="M330" s="5" t="inlineStr"/>
      <c r="N330" s="5" t="inlineStr"/>
      <c r="O330" s="5" t="inlineStr"/>
      <c r="P330" s="5" t="inlineStr"/>
      <c r="Q330" s="5" t="inlineStr"/>
      <c r="R330" s="6" t="inlineStr"/>
      <c r="S330" s="5" t="inlineStr"/>
      <c r="T330" s="5" t="inlineStr"/>
    </row>
  </sheetData>
  <autoFilter ref="A1:T330"/>
  <dataValidations count="6">
    <dataValidation sqref="B2:B729" showDropDown="0" showInputMessage="0" showErrorMessage="1" allowBlank="1" errorTitle="Geçersiz değer" error="Listeden bir değer seçin." type="list">
      <formula1>"1,2,3,4,5,6,7,8,9,10"</formula1>
    </dataValidation>
    <dataValidation sqref="G2:G729" showDropDown="0" showInputMessage="0" showErrorMessage="1" allowBlank="1" errorTitle="Geçersiz değer" error="Listeden bir değer seçin." type="list">
      <formula1>"ev,mutfak,cocuk-odasi,okul,sinif,okul-bahcesi,sokak,park,bakkal,market,carsi,ofis,dukkan,devlet-dairesi,hastane,dugun-salonu,kafe,toplu-tasima,trafik,universite,kisla,banka,apartman,sahil,huzurevi,mezarlik,yazlik,stadyum,sahne,mahkeme"</formula1>
    </dataValidation>
    <dataValidation sqref="H2:H729" showDropDown="0" showInputMessage="0" showErrorMessage="1" allowBlank="1" errorTitle="Geçersiz değer" error="Listeden bir değer seçin." type="list">
      <formula1>"ev,para,sosyal,okul-iş"</formula1>
    </dataValidation>
    <dataValidation sqref="I2:I729" showDropDown="0" showInputMessage="0" showErrorMessage="1" allowBlank="1" errorTitle="Geçersiz değer" error="Listeden bir değer seçin." type="list">
      <formula1>"E"</formula1>
    </dataValidation>
    <dataValidation sqref="N2:N729" showDropDown="0" showInputMessage="0" showErrorMessage="1" allowBlank="1" errorTitle="Geçersiz değer" error="Listeden bir değer seçin." type="list">
      <formula1>"erkek,kız"</formula1>
    </dataValidation>
    <dataValidation sqref="Q2:Q729" showDropDown="0" showInputMessage="0" showErrorMessage="1" allowBlank="1" errorTitle="Geçersiz değer" error="Listeden bir değer seçin." type="list">
      <formula1>"1,2,3,4,5,6,7,8,9,10,11,12"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34" customWidth="1" min="3" max="3"/>
    <col width="13" customWidth="1" min="4" max="4"/>
    <col width="10" customWidth="1" min="5" max="5"/>
    <col width="20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36" customWidth="1" min="12" max="12"/>
    <col width="11" customWidth="1" min="13" max="13"/>
    <col width="20" customWidth="1" min="14" max="14"/>
    <col width="34" customWidth="1" min="15" max="15"/>
    <col width="30" customWidth="1" min="16" max="16"/>
    <col width="18" customWidth="1" min="17" max="17"/>
    <col width="18" customWidth="1" min="18" max="18"/>
    <col width="13" customWidth="1" min="19" max="19"/>
    <col width="18" customWidth="1" min="20" max="20"/>
    <col width="16" customWidth="1" min="21" max="21"/>
    <col width="16" customWidth="1" min="22" max="22"/>
    <col width="16" customWidth="1" min="23" max="23"/>
    <col width="14" customWidth="1" min="24" max="24"/>
    <col width="9" customWidth="1" min="25" max="25"/>
    <col width="44" customWidth="1" min="26" max="26"/>
  </cols>
  <sheetData>
    <row r="1" ht="32" customHeight="1">
      <c r="A1" s="4" t="inlineStr">
        <is>
          <t>Olay ID</t>
        </is>
      </c>
      <c r="B1" s="4" t="inlineStr">
        <is>
          <t>Sıra</t>
        </is>
      </c>
      <c r="C1" s="4" t="inlineStr">
        <is>
          <t>Seçim metni</t>
        </is>
      </c>
      <c r="D1" s="4" t="inlineStr">
        <is>
          <t>Stat</t>
        </is>
      </c>
      <c r="E1" s="4" t="inlineStr">
        <is>
          <t>Zorluk</t>
        </is>
      </c>
      <c r="F1" s="4" t="inlineStr">
        <is>
          <t>Kesin etki</t>
        </is>
      </c>
      <c r="G1" s="4" t="inlineStr">
        <is>
          <t>Kesin sonuç metni</t>
        </is>
      </c>
      <c r="H1" s="4" t="inlineStr">
        <is>
          <t>Başarı</t>
        </is>
      </c>
      <c r="I1" s="4" t="inlineStr">
        <is>
          <t>Kritik başarı</t>
        </is>
      </c>
      <c r="J1" s="4" t="inlineStr">
        <is>
          <t>Başarısız</t>
        </is>
      </c>
      <c r="K1" s="4" t="inlineStr">
        <is>
          <t>Kritik hata</t>
        </is>
      </c>
      <c r="L1" s="4" t="inlineStr">
        <is>
          <t>Yarım (mini oyun)</t>
        </is>
      </c>
      <c r="M1" s="4" t="inlineStr">
        <is>
          <t>Mini oyun</t>
        </is>
      </c>
      <c r="N1" s="4" t="inlineStr">
        <is>
          <t>Mini oyun başlığı</t>
        </is>
      </c>
      <c r="O1" s="4" t="inlineStr">
        <is>
          <t>Mini oyun ipucu</t>
        </is>
      </c>
      <c r="P1" s="4" t="inlineStr">
        <is>
          <t>Mini oyun ayarı</t>
        </is>
      </c>
      <c r="Q1" s="4" t="inlineStr">
        <is>
          <t>Gereken özellik</t>
        </is>
      </c>
      <c r="R1" s="4" t="inlineStr">
        <is>
          <t>Gereken hafıza</t>
        </is>
      </c>
      <c r="S1" s="4" t="inlineStr">
        <is>
          <t>İç ses açar</t>
        </is>
      </c>
      <c r="T1" s="4" t="inlineStr">
        <is>
          <t>Kazandırdığı özellik</t>
        </is>
      </c>
      <c r="U1" s="4" t="inlineStr">
        <is>
          <t>Seçince hafıza</t>
        </is>
      </c>
      <c r="V1" s="4" t="inlineStr">
        <is>
          <t>Başarıda hafıza</t>
        </is>
      </c>
      <c r="W1" s="4" t="inlineStr">
        <is>
          <t>Kritik hatada hafıza</t>
        </is>
      </c>
      <c r="X1" s="4" t="inlineStr">
        <is>
          <t>Silinen hafıza</t>
        </is>
      </c>
      <c r="Y1" s="4" t="inlineStr">
        <is>
          <t>Ölüm riski %</t>
        </is>
      </c>
      <c r="Z1" s="4" t="inlineStr">
        <is>
          <t>Ölüm sebebi</t>
        </is>
      </c>
    </row>
    <row r="2">
      <c r="A2" s="5" t="inlineStr">
        <is>
          <t>dogum</t>
        </is>
      </c>
      <c r="B2" s="5" t="n">
        <v>1</v>
      </c>
      <c r="C2" s="6" t="inlineStr">
        <is>
          <t>Ağla</t>
        </is>
      </c>
      <c r="D2" s="5" t="inlineStr"/>
      <c r="E2" s="5" t="inlineStr"/>
      <c r="F2" s="5" t="inlineStr">
        <is>
          <t>Çene +2</t>
        </is>
      </c>
      <c r="G2" s="6" t="inlineStr">
        <is>
          <t>İlk basın açıklamanı yaptın.</t>
        </is>
      </c>
      <c r="H2" s="6" t="inlineStr"/>
      <c r="I2" s="6" t="inlineStr"/>
      <c r="J2" s="6" t="inlineStr"/>
      <c r="K2" s="6" t="inlineStr"/>
      <c r="L2" s="6" t="inlineStr"/>
      <c r="M2" s="5" t="inlineStr"/>
      <c r="N2" s="5" t="inlineStr"/>
      <c r="O2" s="6" t="inlineStr"/>
      <c r="P2" s="6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6" t="inlineStr"/>
    </row>
    <row r="3">
      <c r="A3" s="5" t="inlineStr">
        <is>
          <t>dogum</t>
        </is>
      </c>
      <c r="B3" s="5" t="n">
        <v>2</v>
      </c>
      <c r="C3" s="6" t="inlineStr">
        <is>
          <t>Daha çok ağla</t>
        </is>
      </c>
      <c r="D3" s="5" t="inlineStr">
        <is>
          <t>Çene</t>
        </is>
      </c>
      <c r="E3" s="5" t="inlineStr">
        <is>
          <t>Orta</t>
        </is>
      </c>
      <c r="F3" s="5" t="inlineStr"/>
      <c r="G3" s="6" t="inlineStr"/>
      <c r="H3" s="6" t="inlineStr">
        <is>
          <t>Ses seviyesinin bir müzakere aracı olabileceğini keşfettin.</t>
        </is>
      </c>
      <c r="I3" s="6" t="inlineStr">
        <is>
          <t>Doğumhanedeki herkes aynı anda sustu, sonra hepsi sana koştu. İlk günden masada söz hakkın var.</t>
        </is>
      </c>
      <c r="J3" s="6" t="inlineStr">
        <is>
          <t>Daha çok ağladın ama yandaki bebek senden yüksek sesliydi. İlk gün, ilk rekabet.</t>
        </is>
      </c>
      <c r="K3" s="6" t="inlineStr">
        <is>
          <t>O kadar ağladın ki hıçkırık tuttu. İlk basın toplantın teknik arızayla sona erdi.</t>
        </is>
      </c>
      <c r="L3" s="6" t="inlineStr"/>
      <c r="M3" s="5" t="inlineStr"/>
      <c r="N3" s="5" t="inlineStr"/>
      <c r="O3" s="6" t="inlineStr"/>
      <c r="P3" s="6" t="inlineStr"/>
      <c r="Q3" s="5" t="inlineStr"/>
      <c r="R3" s="5" t="inlineStr"/>
      <c r="S3" s="5" t="inlineStr"/>
      <c r="T3" s="5" t="inlineStr">
        <is>
          <t>Ses Yükseltince Oluyor</t>
        </is>
      </c>
      <c r="U3" s="5" t="inlineStr"/>
      <c r="V3" s="5" t="inlineStr"/>
      <c r="W3" s="5" t="inlineStr"/>
      <c r="X3" s="5" t="inlineStr"/>
      <c r="Y3" s="5" t="inlineStr"/>
      <c r="Z3" s="6" t="inlineStr"/>
    </row>
    <row r="4">
      <c r="A4" s="5" t="inlineStr">
        <is>
          <t>dogum</t>
        </is>
      </c>
      <c r="B4" s="5" t="n">
        <v>3</v>
      </c>
      <c r="C4" s="6" t="inlineStr">
        <is>
          <t>Etrafı izle</t>
        </is>
      </c>
      <c r="D4" s="5" t="inlineStr">
        <is>
          <t>Sosyal Radar</t>
        </is>
      </c>
      <c r="E4" s="5" t="inlineStr">
        <is>
          <t>Orta</t>
        </is>
      </c>
      <c r="F4" s="5" t="inlineStr"/>
      <c r="G4" s="6" t="inlineStr"/>
      <c r="H4" s="6" t="inlineStr">
        <is>
          <t>Konuşmadan önce ortamı okumayı seçtin. İyi refleks, kötü zamanlama.</t>
        </is>
      </c>
      <c r="I4" s="6" t="inlineStr">
        <is>
          <t>Odadaki altı kişiyi tek tek süzdün. Hemşire seni “müfettiş” diye çağırmaya başladı.</t>
        </is>
      </c>
      <c r="J4" s="6" t="inlineStr">
        <is>
          <t>Etrafı izledin ama ışıklar fazla parlaktı. Gördüğün tek şey tavandı.</t>
        </is>
      </c>
      <c r="K4" s="6" t="inlineStr">
        <is>
          <t>İzlemeye öyle daldın ki doktor uyuduğunu sandı ve seni sarsarak uyandırdı.</t>
        </is>
      </c>
      <c r="L4" s="6" t="inlineStr"/>
      <c r="M4" s="5" t="inlineStr"/>
      <c r="N4" s="5" t="inlineStr"/>
      <c r="O4" s="6" t="inlineStr"/>
      <c r="P4" s="6" t="inlineStr"/>
      <c r="Q4" s="5" t="inlineStr"/>
      <c r="R4" s="5" t="inlineStr"/>
      <c r="S4" s="5" t="inlineStr"/>
      <c r="T4" s="5" t="inlineStr">
        <is>
          <t>Sessiz Gözlemci</t>
        </is>
      </c>
      <c r="U4" s="5" t="inlineStr"/>
      <c r="V4" s="5" t="inlineStr"/>
      <c r="W4" s="5" t="inlineStr"/>
      <c r="X4" s="5" t="inlineStr"/>
      <c r="Y4" s="5" t="inlineStr"/>
      <c r="Z4" s="6" t="inlineStr"/>
    </row>
    <row r="5">
      <c r="A5" s="5" t="inlineStr">
        <is>
          <t>dogum</t>
        </is>
      </c>
      <c r="B5" s="5" t="n">
        <v>4</v>
      </c>
      <c r="C5" s="6" t="inlineStr">
        <is>
          <t>Sessiz kal</t>
        </is>
      </c>
      <c r="D5" s="5" t="inlineStr"/>
      <c r="E5" s="5" t="inlineStr"/>
      <c r="F5" s="5" t="inlineStr">
        <is>
          <t>Sosyal Radar +2</t>
        </is>
      </c>
      <c r="G5" s="6" t="inlineStr">
        <is>
          <t>Herkes endişelendi. Sen sadece veri topluyordun.</t>
        </is>
      </c>
      <c r="H5" s="6" t="inlineStr"/>
      <c r="I5" s="6" t="inlineStr"/>
      <c r="J5" s="6" t="inlineStr"/>
      <c r="K5" s="6" t="inlineStr"/>
      <c r="L5" s="6" t="inlineStr"/>
      <c r="M5" s="5" t="inlineStr"/>
      <c r="N5" s="5" t="inlineStr"/>
      <c r="O5" s="6" t="inlineStr"/>
      <c r="P5" s="6" t="inlineStr"/>
      <c r="Q5" s="5" t="inlineStr"/>
      <c r="R5" s="5" t="inlineStr"/>
      <c r="S5" s="5" t="inlineStr"/>
      <c r="T5" s="5" t="inlineStr"/>
      <c r="U5" s="5" t="inlineStr"/>
      <c r="V5" s="5" t="inlineStr"/>
      <c r="W5" s="5" t="inlineStr"/>
      <c r="X5" s="5" t="inlineStr"/>
      <c r="Y5" s="5" t="inlineStr"/>
      <c r="Z5" s="6" t="inlineStr"/>
    </row>
    <row r="6">
      <c r="A6" s="5" t="inlineStr">
        <is>
          <t>gece-vardiyasi</t>
        </is>
      </c>
      <c r="B6" s="5" t="n">
        <v>1</v>
      </c>
      <c r="C6" s="6" t="inlineStr">
        <is>
          <t>Kendi kendine uyu</t>
        </is>
      </c>
      <c r="D6" s="5" t="inlineStr">
        <is>
          <t>Dayanıklılık</t>
        </is>
      </c>
      <c r="E6" s="5" t="inlineStr">
        <is>
          <t>Çok Kolay</t>
        </is>
      </c>
      <c r="F6" s="5" t="inlineStr"/>
      <c r="G6" s="6" t="inlineStr"/>
      <c r="H6" s="6" t="inlineStr">
        <is>
          <t>Kısa süreliğine ev ekonomisine katkıda bulundun.</t>
        </is>
      </c>
      <c r="I6" s="6" t="inlineStr">
        <is>
          <t>Sabaha kadar deliksiz uyudun. Ailen seni 'Ayın Çalışanı' ilan etmeyi düşündü.</t>
        </is>
      </c>
      <c r="J6" s="6" t="inlineStr">
        <is>
          <t>Uyumaya çalıştın. Uyku seni reddetti.</t>
        </is>
      </c>
      <c r="K6" s="6" t="inlineStr">
        <is>
          <t>Kendi kendine uyumaya çalışırken kendi kendini uyandırdın. Vardiya uzadı.</t>
        </is>
      </c>
      <c r="L6" s="6" t="inlineStr">
        <is>
          <t>Yarım saat uyudun. Ev halkı bunu tam bir gece gibi kutladı.</t>
        </is>
      </c>
      <c r="M6" s="5" t="inlineStr">
        <is>
          <t>rhythm</t>
        </is>
      </c>
      <c r="N6" s="5" t="inlineStr">
        <is>
          <t>Ninni Ritmi</t>
        </is>
      </c>
      <c r="O6" s="6" t="inlineStr">
        <is>
          <t>Ay ışığı her parladığında dokun. Ritmi tut, uyku gelsin.</t>
        </is>
      </c>
      <c r="P6" s="6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6" t="inlineStr"/>
    </row>
    <row r="7">
      <c r="A7" s="5" t="inlineStr">
        <is>
          <t>gece-vardiyasi</t>
        </is>
      </c>
      <c r="B7" s="5" t="n">
        <v>2</v>
      </c>
      <c r="C7" s="6" t="inlineStr">
        <is>
          <t>Ağlayarak yardım çağır</t>
        </is>
      </c>
      <c r="D7" s="5" t="inlineStr">
        <is>
          <t>Çene</t>
        </is>
      </c>
      <c r="E7" s="5" t="inlineStr">
        <is>
          <t>Çok Kolay</t>
        </is>
      </c>
      <c r="F7" s="5" t="inlineStr"/>
      <c r="G7" s="6" t="inlineStr"/>
      <c r="H7" s="6" t="inlineStr">
        <is>
          <t>Gece ekibini başarıyla göreve çağırdın.</t>
        </is>
      </c>
      <c r="I7" s="6" t="inlineStr">
        <is>
          <t>Tek bir 'ıngaa' ile tüm ev halkı toplandı. Yönetim becerilerin not edildi.</t>
        </is>
      </c>
      <c r="J7" s="6" t="inlineStr">
        <is>
          <t>Ağladın ama ses kapıya ulaşmadı. Talebin sıraya alındı.</t>
        </is>
      </c>
      <c r="K7" s="6" t="inlineStr">
        <is>
          <t>Ağladın, yanlış kişi uyandı. Sonra komşu uyandı. Toplantı sabaha sarktı.</t>
        </is>
      </c>
      <c r="L7" s="6" t="inlineStr"/>
      <c r="M7" s="5" t="inlineStr"/>
      <c r="N7" s="5" t="inlineStr"/>
      <c r="O7" s="6" t="inlineStr"/>
      <c r="P7" s="6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6" t="inlineStr"/>
    </row>
    <row r="8">
      <c r="A8" s="5" t="inlineStr">
        <is>
          <t>gece-vardiyasi</t>
        </is>
      </c>
      <c r="B8" s="5" t="n">
        <v>3</v>
      </c>
      <c r="C8" s="6" t="inlineStr">
        <is>
          <t>Sessizce bekle</t>
        </is>
      </c>
      <c r="D8" s="5" t="inlineStr"/>
      <c r="E8" s="5" t="inlineStr"/>
      <c r="F8" s="5" t="inlineStr">
        <is>
          <t>Sosyal Radar +1</t>
        </is>
      </c>
      <c r="G8" s="6" t="inlineStr">
        <is>
          <t>Bir süre bekledin. Dünya dönmeye devam etti.</t>
        </is>
      </c>
      <c r="H8" s="6" t="inlineStr"/>
      <c r="I8" s="6" t="inlineStr"/>
      <c r="J8" s="6" t="inlineStr"/>
      <c r="K8" s="6" t="inlineStr"/>
      <c r="L8" s="6" t="inlineStr"/>
      <c r="M8" s="5" t="inlineStr"/>
      <c r="N8" s="5" t="inlineStr"/>
      <c r="O8" s="6" t="inlineStr"/>
      <c r="P8" s="6" t="inlineStr"/>
      <c r="Q8" s="5" t="inlineStr"/>
      <c r="R8" s="5" t="inlineStr"/>
      <c r="S8" s="5" t="inlineStr"/>
      <c r="T8" s="5" t="inlineStr"/>
      <c r="U8" s="5" t="inlineStr"/>
      <c r="V8" s="5" t="inlineStr"/>
      <c r="W8" s="5" t="inlineStr"/>
      <c r="X8" s="5" t="inlineStr"/>
      <c r="Y8" s="5" t="inlineStr"/>
      <c r="Z8" s="6" t="inlineStr"/>
    </row>
    <row r="9">
      <c r="A9" s="5" t="inlineStr">
        <is>
          <t>yabanci-krizi</t>
        </is>
      </c>
      <c r="B9" s="5" t="n">
        <v>1</v>
      </c>
      <c r="C9" s="6" t="inlineStr">
        <is>
          <t>Anneni ara</t>
        </is>
      </c>
      <c r="D9" s="5" t="inlineStr">
        <is>
          <t>Sosyal Radar</t>
        </is>
      </c>
      <c r="E9" s="5" t="inlineStr">
        <is>
          <t>Kolay</t>
        </is>
      </c>
      <c r="F9" s="5" t="inlineStr"/>
      <c r="G9" s="6" t="inlineStr"/>
      <c r="H9" s="6" t="inlineStr">
        <is>
          <t>Güvenli limanı doğru tespit ettin.</t>
        </is>
      </c>
      <c r="I9" s="6" t="inlineStr">
        <is>
          <t>Anneni tek bakışta buldun; yabancı, hiç yaklaşmamış gibi geri çekildi.</t>
        </is>
      </c>
      <c r="J9" s="6" t="inlineStr">
        <is>
          <t>Anneni aradın. Bulduğun kişi halanmış.</t>
        </is>
      </c>
      <c r="K9" s="6" t="inlineStr">
        <is>
          <t>Anne diye kucağına atladığın kişi yabancının ta kendisiydi.</t>
        </is>
      </c>
      <c r="L9" s="6" t="inlineStr"/>
      <c r="M9" s="5" t="inlineStr"/>
      <c r="N9" s="5" t="inlineStr"/>
      <c r="O9" s="6" t="inlineStr"/>
      <c r="P9" s="6" t="inlineStr"/>
      <c r="Q9" s="5" t="inlineStr"/>
      <c r="R9" s="5" t="inlineStr"/>
      <c r="S9" s="5" t="inlineStr"/>
      <c r="T9" s="5" t="inlineStr"/>
      <c r="U9" s="5" t="inlineStr"/>
      <c r="V9" s="5" t="inlineStr"/>
      <c r="W9" s="5" t="inlineStr"/>
      <c r="X9" s="5" t="inlineStr"/>
      <c r="Y9" s="5" t="inlineStr"/>
      <c r="Z9" s="6" t="inlineStr"/>
    </row>
    <row r="10">
      <c r="A10" s="5" t="inlineStr">
        <is>
          <t>yabanci-krizi</t>
        </is>
      </c>
      <c r="B10" s="5" t="n">
        <v>2</v>
      </c>
      <c r="C10" s="6" t="inlineStr">
        <is>
          <t>Gözlüğüne saldır</t>
        </is>
      </c>
      <c r="D10" s="5" t="inlineStr">
        <is>
          <t>Cesaret</t>
        </is>
      </c>
      <c r="E10" s="5" t="inlineStr">
        <is>
          <t>Orta</t>
        </is>
      </c>
      <c r="F10" s="5" t="inlineStr"/>
      <c r="G10" s="6" t="inlineStr"/>
      <c r="H10" s="6" t="inlineStr">
        <is>
          <t>Bir hamlede gözlüğü kaptın. Diplomatik ilişkiler kısa süreliğine askıya alındı.</t>
        </is>
      </c>
      <c r="I10" s="6" t="inlineStr">
        <is>
          <t>Gözlük elinde. Kadın ne olduğunu anlayana kadar sen çoktan zaferini ilan ettin.</t>
        </is>
      </c>
      <c r="J10" s="6" t="inlineStr">
        <is>
          <t>Kadın senden hızlı çıktı.</t>
        </is>
      </c>
      <c r="K10" s="6" t="inlineStr">
        <is>
          <t>Gözlüğe uzandın; onun yerine kendi burnunu yakaladın.</t>
        </is>
      </c>
      <c r="L10" s="6" t="inlineStr">
        <is>
          <t>Parmakların çerçeveye değdi ama gözlük sende kalmadı.</t>
        </is>
      </c>
      <c r="M10" s="5" t="inlineStr">
        <is>
          <t>timing</t>
        </is>
      </c>
      <c r="N10" s="5" t="inlineStr">
        <is>
          <t>Gözlüğü Kap!</t>
        </is>
      </c>
      <c r="O10" s="6" t="inlineStr">
        <is>
          <t>Kırmızı işareti yeşil alanda durdur.</t>
        </is>
      </c>
      <c r="P10" s="6" t="inlineStr"/>
      <c r="Q10" s="5" t="inlineStr"/>
      <c r="R10" s="5" t="inlineStr"/>
      <c r="S10" s="5" t="inlineStr"/>
      <c r="T10" s="5" t="inlineStr"/>
      <c r="U10" s="5" t="inlineStr"/>
      <c r="V10" s="5" t="inlineStr"/>
      <c r="W10" s="5" t="inlineStr"/>
      <c r="X10" s="5" t="inlineStr"/>
      <c r="Y10" s="5" t="inlineStr"/>
      <c r="Z10" s="6" t="inlineStr"/>
    </row>
    <row r="11">
      <c r="A11" s="5" t="inlineStr">
        <is>
          <t>yabanci-krizi</t>
        </is>
      </c>
      <c r="B11" s="5" t="n">
        <v>3</v>
      </c>
      <c r="C11" s="6" t="inlineStr">
        <is>
          <t>Kabullen</t>
        </is>
      </c>
      <c r="D11" s="5" t="inlineStr"/>
      <c r="E11" s="5" t="inlineStr"/>
      <c r="F11" s="5" t="inlineStr">
        <is>
          <t>Sosyal Radar +1</t>
        </is>
      </c>
      <c r="G11" s="6" t="inlineStr">
        <is>
          <t>Krizi düşük profille atlattın.</t>
        </is>
      </c>
      <c r="H11" s="6" t="inlineStr"/>
      <c r="I11" s="6" t="inlineStr"/>
      <c r="J11" s="6" t="inlineStr"/>
      <c r="K11" s="6" t="inlineStr"/>
      <c r="L11" s="6" t="inlineStr"/>
      <c r="M11" s="5" t="inlineStr"/>
      <c r="N11" s="5" t="inlineStr"/>
      <c r="O11" s="6" t="inlineStr"/>
      <c r="P11" s="6" t="inlineStr"/>
      <c r="Q11" s="5" t="inlineStr"/>
      <c r="R11" s="5" t="inlineStr"/>
      <c r="S11" s="5" t="inlineStr"/>
      <c r="T11" s="5" t="inlineStr"/>
      <c r="U11" s="5" t="inlineStr"/>
      <c r="V11" s="5" t="inlineStr"/>
      <c r="W11" s="5" t="inlineStr"/>
      <c r="X11" s="5" t="inlineStr"/>
      <c r="Y11" s="5" t="inlineStr"/>
      <c r="Z11" s="6" t="inlineStr"/>
    </row>
    <row r="12">
      <c r="A12" s="5" t="inlineStr">
        <is>
          <t>yabanci-krizi</t>
        </is>
      </c>
      <c r="B12" s="5" t="n">
        <v>4</v>
      </c>
      <c r="C12" s="6" t="inlineStr">
        <is>
          <t>Ağla</t>
        </is>
      </c>
      <c r="D12" s="5" t="inlineStr"/>
      <c r="E12" s="5" t="inlineStr"/>
      <c r="F12" s="5" t="inlineStr">
        <is>
          <t>Çene +1</t>
        </is>
      </c>
      <c r="G12" s="6" t="inlineStr">
        <is>
          <t>Toplantı erken sona erdi.</t>
        </is>
      </c>
      <c r="H12" s="6" t="inlineStr"/>
      <c r="I12" s="6" t="inlineStr"/>
      <c r="J12" s="6" t="inlineStr"/>
      <c r="K12" s="6" t="inlineStr"/>
      <c r="L12" s="6" t="inlineStr"/>
      <c r="M12" s="5" t="inlineStr"/>
      <c r="N12" s="5" t="inlineStr"/>
      <c r="O12" s="6" t="inlineStr"/>
      <c r="P12" s="6" t="inlineStr"/>
      <c r="Q12" s="5" t="inlineStr"/>
      <c r="R12" s="5" t="inlineStr"/>
      <c r="S12" s="5" t="inlineStr"/>
      <c r="T12" s="5" t="inlineStr"/>
      <c r="U12" s="5" t="inlineStr"/>
      <c r="V12" s="5" t="inlineStr"/>
      <c r="W12" s="5" t="inlineStr"/>
      <c r="X12" s="5" t="inlineStr"/>
      <c r="Y12" s="5" t="inlineStr"/>
      <c r="Z12" s="6" t="inlineStr"/>
    </row>
    <row r="13">
      <c r="A13" s="5" t="inlineStr">
        <is>
          <t>yasak-nesne</t>
        </is>
      </c>
      <c r="B13" s="5" t="n">
        <v>1</v>
      </c>
      <c r="C13" s="6" t="inlineStr">
        <is>
          <t>Dokunma</t>
        </is>
      </c>
      <c r="D13" s="5" t="inlineStr"/>
      <c r="E13" s="5" t="inlineStr"/>
      <c r="F13" s="5" t="inlineStr">
        <is>
          <t>Vicdan +1</t>
        </is>
      </c>
      <c r="G13" s="6" t="inlineStr">
        <is>
          <t>İlk kez bir yasağı uyguladın.</t>
        </is>
      </c>
      <c r="H13" s="6" t="inlineStr"/>
      <c r="I13" s="6" t="inlineStr"/>
      <c r="J13" s="6" t="inlineStr"/>
      <c r="K13" s="6" t="inlineStr"/>
      <c r="L13" s="6" t="inlineStr"/>
      <c r="M13" s="5" t="inlineStr"/>
      <c r="N13" s="5" t="inlineStr"/>
      <c r="O13" s="6" t="inlineStr"/>
      <c r="P13" s="6" t="inlineStr"/>
      <c r="Q13" s="5" t="inlineStr"/>
      <c r="R13" s="5" t="inlineStr"/>
      <c r="S13" s="5" t="inlineStr"/>
      <c r="T13" s="5" t="inlineStr"/>
      <c r="U13" s="5" t="inlineStr"/>
      <c r="V13" s="5" t="inlineStr"/>
      <c r="W13" s="5" t="inlineStr"/>
      <c r="X13" s="5" t="inlineStr"/>
      <c r="Y13" s="5" t="inlineStr"/>
      <c r="Z13" s="6" t="inlineStr"/>
    </row>
    <row r="14">
      <c r="A14" s="5" t="inlineStr">
        <is>
          <t>yasak-nesne</t>
        </is>
      </c>
      <c r="B14" s="5" t="n">
        <v>2</v>
      </c>
      <c r="C14" s="6" t="inlineStr">
        <is>
          <t>Anne çıkana kadar bekle</t>
        </is>
      </c>
      <c r="D14" s="5" t="inlineStr">
        <is>
          <t>Kurnazlık</t>
        </is>
      </c>
      <c r="E14" s="5" t="inlineStr">
        <is>
          <t>Kolay</t>
        </is>
      </c>
      <c r="F14" s="5" t="inlineStr"/>
      <c r="G14" s="6" t="inlineStr"/>
      <c r="H14" s="6" t="inlineStr">
        <is>
          <t>Zamanlama kavramını keşfettin.</t>
        </is>
      </c>
      <c r="I14" s="6" t="inlineStr">
        <is>
          <t>Anne çıktı, sen aldın, anne döndü, nesne yerindeydi. Kimse hiçbir şey anlamadı.</t>
        </is>
      </c>
      <c r="J14" s="6" t="inlineStr">
        <is>
          <t>Beklerken uyuyakaldın. Fırsat penceresi kapandı.</t>
        </is>
      </c>
      <c r="K14" s="6" t="inlineStr">
        <is>
          <t>Anne çıkmadı. Sadece çıkıyormuş gibi yaptı. Seni izliyordu.</t>
        </is>
      </c>
      <c r="L14" s="6" t="inlineStr"/>
      <c r="M14" s="5" t="inlineStr"/>
      <c r="N14" s="5" t="inlineStr"/>
      <c r="O14" s="6" t="inlineStr"/>
      <c r="P14" s="6" t="inlineStr"/>
      <c r="Q14" s="5" t="inlineStr"/>
      <c r="R14" s="5" t="inlineStr"/>
      <c r="S14" s="5" t="inlineStr"/>
      <c r="T14" s="5" t="inlineStr"/>
      <c r="U14" s="5" t="inlineStr"/>
      <c r="V14" s="5" t="inlineStr"/>
      <c r="W14" s="5" t="inlineStr"/>
      <c r="X14" s="5" t="inlineStr"/>
      <c r="Y14" s="5" t="inlineStr"/>
      <c r="Z14" s="6" t="inlineStr"/>
    </row>
    <row r="15">
      <c r="A15" s="5" t="inlineStr">
        <is>
          <t>yasak-nesne</t>
        </is>
      </c>
      <c r="B15" s="5" t="n">
        <v>3</v>
      </c>
      <c r="C15" s="6" t="inlineStr">
        <is>
          <t>Direkt al</t>
        </is>
      </c>
      <c r="D15" s="5" t="inlineStr">
        <is>
          <t>Pişkinlik</t>
        </is>
      </c>
      <c r="E15" s="5" t="inlineStr">
        <is>
          <t>Kolay</t>
        </is>
      </c>
      <c r="F15" s="5" t="inlineStr"/>
      <c r="G15" s="6" t="inlineStr"/>
      <c r="H15" s="6" t="inlineStr">
        <is>
          <t>Mülkiyet hukukuna farklı bir yorum getirdin.</t>
        </is>
      </c>
      <c r="I15" s="6" t="inlineStr">
        <is>
          <t>Aldın ve kimse itiraz edemedi. Yüz ifaden tüm soruları cevapladı.</t>
        </is>
      </c>
      <c r="J15" s="6" t="inlineStr">
        <is>
          <t>Uzandın. Masa senden uzunmuş.</t>
        </is>
      </c>
      <c r="K15" s="6" t="inlineStr">
        <is>
          <t>Aldın, düşürdün, kırıldı. Hukuk sisteminde yeni dosya açıldı.</t>
        </is>
      </c>
      <c r="L15" s="6" t="inlineStr"/>
      <c r="M15" s="5" t="inlineStr"/>
      <c r="N15" s="5" t="inlineStr"/>
      <c r="O15" s="6" t="inlineStr"/>
      <c r="P15" s="6" t="inlineStr"/>
      <c r="Q15" s="5" t="inlineStr"/>
      <c r="R15" s="5" t="inlineStr"/>
      <c r="S15" s="5" t="inlineStr"/>
      <c r="T15" s="5" t="inlineStr"/>
      <c r="U15" s="5" t="inlineStr"/>
      <c r="V15" s="5" t="inlineStr"/>
      <c r="W15" s="5" t="inlineStr"/>
      <c r="X15" s="5" t="inlineStr"/>
      <c r="Y15" s="5" t="inlineStr"/>
      <c r="Z15" s="6" t="inlineStr"/>
    </row>
    <row r="16">
      <c r="A16" s="5" t="inlineStr">
        <is>
          <t>ilk-kelime</t>
        </is>
      </c>
      <c r="B16" s="5" t="n">
        <v>1</v>
      </c>
      <c r="C16" s="6" t="inlineStr">
        <is>
          <t>Anne</t>
        </is>
      </c>
      <c r="D16" s="5" t="inlineStr"/>
      <c r="E16" s="5" t="inlineStr"/>
      <c r="F16" s="5" t="inlineStr">
        <is>
          <t>Vicdan +1</t>
        </is>
      </c>
      <c r="G16" s="6" t="inlineStr">
        <is>
          <t>Diplomatik olarak güvenli bir başlangıç.</t>
        </is>
      </c>
      <c r="H16" s="6" t="inlineStr"/>
      <c r="I16" s="6" t="inlineStr"/>
      <c r="J16" s="6" t="inlineStr"/>
      <c r="K16" s="6" t="inlineStr"/>
      <c r="L16" s="6" t="inlineStr"/>
      <c r="M16" s="5" t="inlineStr"/>
      <c r="N16" s="5" t="inlineStr"/>
      <c r="O16" s="6" t="inlineStr"/>
      <c r="P16" s="6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6" t="inlineStr"/>
    </row>
    <row r="17">
      <c r="A17" s="5" t="inlineStr">
        <is>
          <t>ilk-kelime</t>
        </is>
      </c>
      <c r="B17" s="5" t="n">
        <v>2</v>
      </c>
      <c r="C17" s="6" t="inlineStr">
        <is>
          <t>Baba</t>
        </is>
      </c>
      <c r="D17" s="5" t="inlineStr"/>
      <c r="E17" s="5" t="inlineStr"/>
      <c r="F17" s="5" t="inlineStr">
        <is>
          <t>Çene +1</t>
        </is>
      </c>
      <c r="G17" s="6" t="inlineStr">
        <is>
          <t>Salonda kısa süreli bir zafer havası oluştu.</t>
        </is>
      </c>
      <c r="H17" s="6" t="inlineStr"/>
      <c r="I17" s="6" t="inlineStr"/>
      <c r="J17" s="6" t="inlineStr"/>
      <c r="K17" s="6" t="inlineStr"/>
      <c r="L17" s="6" t="inlineStr"/>
      <c r="M17" s="5" t="inlineStr"/>
      <c r="N17" s="5" t="inlineStr"/>
      <c r="O17" s="6" t="inlineStr"/>
      <c r="P17" s="6" t="inlineStr"/>
      <c r="Q17" s="5" t="inlineStr"/>
      <c r="R17" s="5" t="inlineStr"/>
      <c r="S17" s="5" t="inlineStr"/>
      <c r="T17" s="5" t="inlineStr"/>
      <c r="U17" s="5" t="inlineStr"/>
      <c r="V17" s="5" t="inlineStr"/>
      <c r="W17" s="5" t="inlineStr"/>
      <c r="X17" s="5" t="inlineStr"/>
      <c r="Y17" s="5" t="inlineStr"/>
      <c r="Z17" s="6" t="inlineStr"/>
    </row>
    <row r="18">
      <c r="A18" s="5" t="inlineStr">
        <is>
          <t>ilk-kelime</t>
        </is>
      </c>
      <c r="B18" s="5" t="n">
        <v>3</v>
      </c>
      <c r="C18" s="6" t="inlineStr">
        <is>
          <t>Mama</t>
        </is>
      </c>
      <c r="D18" s="5" t="inlineStr"/>
      <c r="E18" s="5" t="inlineStr"/>
      <c r="F18" s="5" t="inlineStr">
        <is>
          <t>Dayanıklılık +1</t>
        </is>
      </c>
      <c r="G18" s="6" t="inlineStr">
        <is>
          <t>Önceliklerini açıkça belirttin.</t>
        </is>
      </c>
      <c r="H18" s="6" t="inlineStr"/>
      <c r="I18" s="6" t="inlineStr"/>
      <c r="J18" s="6" t="inlineStr"/>
      <c r="K18" s="6" t="inlineStr"/>
      <c r="L18" s="6" t="inlineStr"/>
      <c r="M18" s="5" t="inlineStr"/>
      <c r="N18" s="5" t="inlineStr"/>
      <c r="O18" s="6" t="inlineStr"/>
      <c r="P18" s="6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6" t="inlineStr"/>
    </row>
    <row r="19">
      <c r="A19" s="5" t="inlineStr">
        <is>
          <t>ilk-kelime</t>
        </is>
      </c>
      <c r="B19" s="5" t="n">
        <v>4</v>
      </c>
      <c r="C19" s="6" t="inlineStr">
        <is>
          <t>Para</t>
        </is>
      </c>
      <c r="D19" s="5" t="inlineStr">
        <is>
          <t>Kurnazlık</t>
        </is>
      </c>
      <c r="E19" s="5" t="inlineStr">
        <is>
          <t>Zor</t>
        </is>
      </c>
      <c r="F19" s="5" t="inlineStr"/>
      <c r="G19" s="6" t="inlineStr"/>
      <c r="H19" s="6" t="inlineStr">
        <is>
          <t>Aile bir an sessiz kaldı. Gelecek hakkında bazı sorular oluştu.</t>
        </is>
      </c>
      <c r="I19" s="6" t="inlineStr">
        <is>
          <t>“Para” dedin ve elini uzattın. Deden cüzdanını çıkardı. Aile bunu hâlâ konuşuyor.</t>
        </is>
      </c>
      <c r="J19" s="6" t="inlineStr">
        <is>
          <t>“Para” dedin ama televizyon açıktı, kimse duymadı. Yine de sen ne dediğini biliyorsun.</t>
        </is>
      </c>
      <c r="K19" s="6" t="inlineStr">
        <is>
          <t>“Para” dedin. Babaannen üç gün boyunca seni “küçük tefeci” diye çağırdı.</t>
        </is>
      </c>
      <c r="L19" s="6" t="inlineStr"/>
      <c r="M19" s="5" t="inlineStr"/>
      <c r="N19" s="5" t="inlineStr"/>
      <c r="O19" s="6" t="inlineStr"/>
      <c r="P19" s="6" t="inlineStr"/>
      <c r="Q19" s="5" t="inlineStr"/>
      <c r="R19" s="5" t="inlineStr"/>
      <c r="S19" s="5" t="inlineStr"/>
      <c r="T19" s="5" t="inlineStr">
        <is>
          <t>Erken Ekonomi Bilinci</t>
        </is>
      </c>
      <c r="U19" s="5" t="inlineStr">
        <is>
          <t>ilkKelimePara</t>
        </is>
      </c>
      <c r="V19" s="5" t="inlineStr"/>
      <c r="W19" s="5" t="inlineStr"/>
      <c r="X19" s="5" t="inlineStr"/>
      <c r="Y19" s="5" t="inlineStr"/>
      <c r="Z19" s="6" t="inlineStr"/>
    </row>
    <row r="20">
      <c r="A20" s="5" t="inlineStr">
        <is>
          <t>ilk-adimlar</t>
        </is>
      </c>
      <c r="B20" s="5" t="n">
        <v>1</v>
      </c>
      <c r="C20" s="6" t="inlineStr">
        <is>
          <t>Koşmayı dene</t>
        </is>
      </c>
      <c r="D20" s="5" t="inlineStr">
        <is>
          <t>Cesaret</t>
        </is>
      </c>
      <c r="E20" s="5" t="inlineStr">
        <is>
          <t>Kolay</t>
        </is>
      </c>
      <c r="F20" s="5" t="inlineStr"/>
      <c r="G20" s="6" t="inlineStr"/>
      <c r="H20" s="6" t="inlineStr">
        <is>
          <t>Yürümeden önce hızlanmayı tercih ettin. Adımlar sallantılı ama gerçek.</t>
        </is>
      </c>
      <c r="I20" s="6" t="inlineStr">
        <is>
          <t>İki ayağın da yerde, rüzgâr arkanda. Bir anlığına evren dengede.</t>
        </is>
      </c>
      <c r="J20" s="6" t="inlineStr">
        <is>
          <t>Denge seni henüz ikna etmedi.</t>
        </is>
      </c>
      <c r="K20" s="6" t="inlineStr">
        <is>
          <t>Bir adım attın. Yer senden daha hızlı davrandı.</t>
        </is>
      </c>
      <c r="L20" s="6" t="inlineStr">
        <is>
          <t>Bir adım, sonra güvenli bir oturuş.</t>
        </is>
      </c>
      <c r="M20" s="5" t="inlineStr">
        <is>
          <t>hold</t>
        </is>
      </c>
      <c r="N20" s="5" t="inlineStr">
        <is>
          <t>İlk Adımlar</t>
        </is>
      </c>
      <c r="O20" s="6" t="inlineStr">
        <is>
          <t>Basılı tut, gücü topla. Çubuk yeşil alana geldiğinde bırak.</t>
        </is>
      </c>
      <c r="P20" s="6" t="inlineStr"/>
      <c r="Q20" s="5" t="inlineStr"/>
      <c r="R20" s="5" t="inlineStr"/>
      <c r="S20" s="5" t="inlineStr"/>
      <c r="T20" s="5" t="inlineStr"/>
      <c r="U20" s="5" t="inlineStr"/>
      <c r="V20" s="5" t="inlineStr"/>
      <c r="W20" s="5" t="inlineStr"/>
      <c r="X20" s="5" t="inlineStr"/>
      <c r="Y20" s="5" t="inlineStr"/>
      <c r="Z20" s="6" t="inlineStr"/>
    </row>
    <row r="21">
      <c r="A21" s="5" t="inlineStr">
        <is>
          <t>ilk-adimlar</t>
        </is>
      </c>
      <c r="B21" s="5" t="n">
        <v>2</v>
      </c>
      <c r="C21" s="6" t="inlineStr">
        <is>
          <t>Mobilyaya tutun</t>
        </is>
      </c>
      <c r="D21" s="5" t="inlineStr">
        <is>
          <t>Dayanıklılık</t>
        </is>
      </c>
      <c r="E21" s="5" t="inlineStr">
        <is>
          <t>Çok Kolay</t>
        </is>
      </c>
      <c r="F21" s="5" t="inlineStr"/>
      <c r="G21" s="6" t="inlineStr"/>
      <c r="H21" s="6" t="inlineStr">
        <is>
          <t>Risk yönetimi bölümünü erken açtın.</t>
        </is>
      </c>
      <c r="I21" s="6" t="inlineStr">
        <is>
          <t>Koltuktan sehpaya, sehpadan kapıya: ilk lojistik hattını kurdun.</t>
        </is>
      </c>
      <c r="J21" s="6" t="inlineStr">
        <is>
          <t>Tuttuğun mobilya tekerlekliymiş.</t>
        </is>
      </c>
      <c r="K21" s="6" t="inlineStr">
        <is>
          <t>Tuttuğun şey masa örtüsüydü. Üstündekilerle birlikte indin.</t>
        </is>
      </c>
      <c r="L21" s="6" t="inlineStr"/>
      <c r="M21" s="5" t="inlineStr"/>
      <c r="N21" s="5" t="inlineStr"/>
      <c r="O21" s="6" t="inlineStr"/>
      <c r="P21" s="6" t="inlineStr"/>
      <c r="Q21" s="5" t="inlineStr"/>
      <c r="R21" s="5" t="inlineStr"/>
      <c r="S21" s="5" t="inlineStr"/>
      <c r="T21" s="5" t="inlineStr"/>
      <c r="U21" s="5" t="inlineStr"/>
      <c r="V21" s="5" t="inlineStr"/>
      <c r="W21" s="5" t="inlineStr"/>
      <c r="X21" s="5" t="inlineStr"/>
      <c r="Y21" s="5" t="inlineStr"/>
      <c r="Z21" s="6" t="inlineStr"/>
    </row>
    <row r="22">
      <c r="A22" s="5" t="inlineStr">
        <is>
          <t>ilk-adimlar</t>
        </is>
      </c>
      <c r="B22" s="5" t="n">
        <v>3</v>
      </c>
      <c r="C22" s="6" t="inlineStr">
        <is>
          <t>Önce diğerlerini izle</t>
        </is>
      </c>
      <c r="D22" s="5" t="inlineStr">
        <is>
          <t>Akıl</t>
        </is>
      </c>
      <c r="E22" s="5" t="inlineStr">
        <is>
          <t>Kolay</t>
        </is>
      </c>
      <c r="F22" s="5" t="inlineStr"/>
      <c r="G22" s="6" t="inlineStr"/>
      <c r="H22" s="6" t="inlineStr">
        <is>
          <t>Rakip analizi yaptın. Yöntem not edildi.</t>
        </is>
      </c>
      <c r="I22" s="6" t="inlineStr">
        <is>
          <t>Kediyi izledin: dört ayak daha dengeli, iki ayak daha prestijli. Prestij kazandı.</t>
        </is>
      </c>
      <c r="J22" s="6" t="inlineStr">
        <is>
          <t>İzledin, izledin. O sırada herkes oturuyordu.</t>
        </is>
      </c>
      <c r="K22" s="6" t="inlineStr">
        <is>
          <t>Örnek aldığın kişi dedendi. Bastonsuz model henüz piyasada yok.</t>
        </is>
      </c>
      <c r="L22" s="6" t="inlineStr"/>
      <c r="M22" s="5" t="inlineStr"/>
      <c r="N22" s="5" t="inlineStr"/>
      <c r="O22" s="6" t="inlineStr"/>
      <c r="P22" s="6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6" t="inlineStr"/>
    </row>
    <row r="23">
      <c r="A23" s="5" t="inlineStr">
        <is>
          <t>masadaki-telefon</t>
        </is>
      </c>
      <c r="B23" s="5" t="n">
        <v>1</v>
      </c>
      <c r="C23" s="6" t="inlineStr">
        <is>
          <t>Dokunma</t>
        </is>
      </c>
      <c r="D23" s="5" t="inlineStr"/>
      <c r="E23" s="5" t="inlineStr"/>
      <c r="F23" s="5" t="inlineStr">
        <is>
          <t>Vicdan +1</t>
        </is>
      </c>
      <c r="G23" s="6" t="inlineStr">
        <is>
          <t>Nadir görülen bir özdenetim anı.</t>
        </is>
      </c>
      <c r="H23" s="6" t="inlineStr"/>
      <c r="I23" s="6" t="inlineStr"/>
      <c r="J23" s="6" t="inlineStr"/>
      <c r="K23" s="6" t="inlineStr"/>
      <c r="L23" s="6" t="inlineStr"/>
      <c r="M23" s="5" t="inlineStr"/>
      <c r="N23" s="5" t="inlineStr"/>
      <c r="O23" s="6" t="inlineStr"/>
      <c r="P23" s="6" t="inlineStr"/>
      <c r="Q23" s="5" t="inlineStr"/>
      <c r="R23" s="5" t="inlineStr"/>
      <c r="S23" s="5" t="inlineStr"/>
      <c r="T23" s="5" t="inlineStr"/>
      <c r="U23" s="5" t="inlineStr"/>
      <c r="V23" s="5" t="inlineStr"/>
      <c r="W23" s="5" t="inlineStr"/>
      <c r="X23" s="5" t="inlineStr"/>
      <c r="Y23" s="5" t="inlineStr"/>
      <c r="Z23" s="6" t="inlineStr"/>
    </row>
    <row r="24">
      <c r="A24" s="5" t="inlineStr">
        <is>
          <t>masadaki-telefon</t>
        </is>
      </c>
      <c r="B24" s="5" t="n">
        <v>2</v>
      </c>
      <c r="C24" s="6" t="inlineStr">
        <is>
          <t>Ekranı kurcala</t>
        </is>
      </c>
      <c r="D24" s="5" t="inlineStr">
        <is>
          <t>Kurnazlık</t>
        </is>
      </c>
      <c r="E24" s="5" t="inlineStr">
        <is>
          <t>Kolay</t>
        </is>
      </c>
      <c r="F24" s="5" t="inlineStr"/>
      <c r="G24" s="6" t="inlineStr"/>
      <c r="H24" s="6" t="inlineStr">
        <is>
          <t>Teknoloji departmanına izinsiz giriş yaptın.</t>
        </is>
      </c>
      <c r="I24" s="6" t="inlineStr">
        <is>
          <t>Ekranı açtın ve babanın çalma listesini 'Ninniler' olarak güncelledin.</t>
        </is>
      </c>
      <c r="J24" s="6" t="inlineStr">
        <is>
          <t>Ekran kilitliydi. Sen de bir süre kilitlendin.</t>
        </is>
      </c>
      <c r="K24" s="6" t="inlineStr">
        <is>
          <t>Rastgele dokunuşlar babanın patronunu görüntülü aradı.</t>
        </is>
      </c>
      <c r="L24" s="6" t="inlineStr"/>
      <c r="M24" s="5" t="inlineStr"/>
      <c r="N24" s="5" t="inlineStr"/>
      <c r="O24" s="6" t="inlineStr"/>
      <c r="P24" s="6" t="inlineStr"/>
      <c r="Q24" s="5" t="inlineStr"/>
      <c r="R24" s="5" t="inlineStr"/>
      <c r="S24" s="5" t="inlineStr"/>
      <c r="T24" s="5" t="inlineStr"/>
      <c r="U24" s="5" t="inlineStr"/>
      <c r="V24" s="5" t="inlineStr"/>
      <c r="W24" s="5" t="inlineStr"/>
      <c r="X24" s="5" t="inlineStr"/>
      <c r="Y24" s="5" t="inlineStr"/>
      <c r="Z24" s="6" t="inlineStr"/>
    </row>
    <row r="25">
      <c r="A25" s="5" t="inlineStr">
        <is>
          <t>masadaki-telefon</t>
        </is>
      </c>
      <c r="B25" s="5" t="n">
        <v>3</v>
      </c>
      <c r="C25" s="6" t="inlineStr">
        <is>
          <t>Gizlice al</t>
        </is>
      </c>
      <c r="D25" s="5" t="inlineStr">
        <is>
          <t>Kurnazlık</t>
        </is>
      </c>
      <c r="E25" s="5" t="inlineStr">
        <is>
          <t>Zor</t>
        </is>
      </c>
      <c r="F25" s="5" t="inlineStr"/>
      <c r="G25" s="6" t="inlineStr"/>
      <c r="H25" s="6" t="inlineStr">
        <is>
          <t>Cihaz güvenliği kısa süreliğine çöktü.</t>
        </is>
      </c>
      <c r="I25" s="6" t="inlineStr">
        <is>
          <t>Telefonu aldın, bir oyun açtın, rekor kırdın. Kimse şifreyi nasıl bildiğini anlamadı.</t>
        </is>
      </c>
      <c r="J25" s="6" t="inlineStr">
        <is>
          <t>Telefon titreşti, sen irkildin, operasyon iptal.</t>
        </is>
      </c>
      <c r="K25" s="6" t="inlineStr">
        <is>
          <t>Telefonu aldın ve doğrudan su bardağına bıraktın. Pirinç torbası devreye girdi.</t>
        </is>
      </c>
      <c r="L25" s="6" t="inlineStr"/>
      <c r="M25" s="5" t="inlineStr"/>
      <c r="N25" s="5" t="inlineStr"/>
      <c r="O25" s="6" t="inlineStr"/>
      <c r="P25" s="6" t="inlineStr"/>
      <c r="Q25" s="5" t="inlineStr"/>
      <c r="R25" s="5" t="inlineStr"/>
      <c r="S25" s="5" t="inlineStr"/>
      <c r="T25" s="5" t="inlineStr">
        <is>
          <t>Teknoloji Merakı</t>
        </is>
      </c>
      <c r="U25" s="5" t="inlineStr"/>
      <c r="V25" s="5" t="inlineStr"/>
      <c r="W25" s="5" t="inlineStr"/>
      <c r="X25" s="5" t="inlineStr"/>
      <c r="Y25" s="5" t="inlineStr"/>
      <c r="Z25" s="6" t="inlineStr"/>
    </row>
    <row r="26">
      <c r="A26" s="5" t="inlineStr">
        <is>
          <t>dogum-gunu-pastasi</t>
        </is>
      </c>
      <c r="B26" s="5" t="n">
        <v>1</v>
      </c>
      <c r="C26" s="6" t="inlineStr">
        <is>
          <t>Bekle</t>
        </is>
      </c>
      <c r="D26" s="5" t="inlineStr">
        <is>
          <t>Dayanıklılık</t>
        </is>
      </c>
      <c r="E26" s="5" t="inlineStr">
        <is>
          <t>Kolay</t>
        </is>
      </c>
      <c r="F26" s="5" t="inlineStr"/>
      <c r="G26" s="6" t="inlineStr"/>
      <c r="H26" s="6" t="inlineStr">
        <is>
          <t>Pasta hâlâ orada. Sen de hâlâ buradasın.</t>
        </is>
      </c>
      <c r="I26" s="6" t="inlineStr">
        <is>
          <t>Sabrın ödüllendirildi: en büyük dilim, üstünde çilekle sana geldi.</t>
        </is>
      </c>
      <c r="J26" s="6" t="inlineStr">
        <is>
          <t>Bekledin, bekledin; sıra sana geldiğinde kremalı kısım bitmişti.</t>
        </is>
      </c>
      <c r="K26" s="6" t="inlineStr">
        <is>
          <t>Beklemekten sıkıldın ve pastanın yanında uyuyakaldın. Fotoğraflarda yüzün kremalı.</t>
        </is>
      </c>
      <c r="L26" s="6" t="inlineStr"/>
      <c r="M26" s="5" t="inlineStr"/>
      <c r="N26" s="5" t="inlineStr"/>
      <c r="O26" s="6" t="inlineStr"/>
      <c r="P26" s="6" t="inlineStr"/>
      <c r="Q26" s="5" t="inlineStr"/>
      <c r="R26" s="5" t="inlineStr"/>
      <c r="S26" s="5" t="inlineStr"/>
      <c r="T26" s="5" t="inlineStr"/>
      <c r="U26" s="5" t="inlineStr"/>
      <c r="V26" s="5" t="inlineStr"/>
      <c r="W26" s="5" t="inlineStr"/>
      <c r="X26" s="5" t="inlineStr"/>
      <c r="Y26" s="5" t="inlineStr"/>
      <c r="Z26" s="6" t="inlineStr"/>
    </row>
    <row r="27">
      <c r="A27" s="5" t="inlineStr">
        <is>
          <t>dogum-gunu-pastasi</t>
        </is>
      </c>
      <c r="B27" s="5" t="n">
        <v>2</v>
      </c>
      <c r="C27" s="6" t="inlineStr">
        <is>
          <t>Pastaya erken saldır</t>
        </is>
      </c>
      <c r="D27" s="5" t="inlineStr">
        <is>
          <t>Pişkinlik</t>
        </is>
      </c>
      <c r="E27" s="5" t="inlineStr">
        <is>
          <t>Orta</t>
        </is>
      </c>
      <c r="F27" s="5" t="inlineStr"/>
      <c r="G27" s="6" t="inlineStr"/>
      <c r="H27" s="6" t="inlineStr">
        <is>
          <t>Protokolü kremayla yeniden yazdın.</t>
        </is>
      </c>
      <c r="I27" s="6" t="inlineStr">
        <is>
          <t>Pastanın en güzel köşesi artık senin. Herkes alkışladı, çünkü başka seçenek yoktu.</t>
        </is>
      </c>
      <c r="J27" s="6" t="inlineStr">
        <is>
          <t>Uzandın, biri tabağı kaydırdı. Elin havayı kremaladı.</t>
        </is>
      </c>
      <c r="K27" s="6" t="inlineStr">
        <is>
          <t>Pastaya daldın. Pasta da sana daldı. Aile albümüne kalıcı kayıt.</t>
        </is>
      </c>
      <c r="L27" s="6" t="inlineStr"/>
      <c r="M27" s="5" t="inlineStr"/>
      <c r="N27" s="5" t="inlineStr"/>
      <c r="O27" s="6" t="inlineStr"/>
      <c r="P27" s="6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6" t="inlineStr"/>
    </row>
    <row r="28">
      <c r="A28" s="5" t="inlineStr">
        <is>
          <t>dogum-gunu-pastasi</t>
        </is>
      </c>
      <c r="B28" s="5" t="n">
        <v>3</v>
      </c>
      <c r="C28" s="6" t="inlineStr">
        <is>
          <t>Mumları önce üfle</t>
        </is>
      </c>
      <c r="D28" s="5" t="inlineStr">
        <is>
          <t>Pişkinlik</t>
        </is>
      </c>
      <c r="E28" s="5" t="inlineStr">
        <is>
          <t>Orta</t>
        </is>
      </c>
      <c r="F28" s="5" t="inlineStr"/>
      <c r="G28" s="6" t="inlineStr"/>
      <c r="H28" s="6" t="inlineStr">
        <is>
          <t>Doğum günü sahibinin kim olduğu geçici olarak belirsizleşti.</t>
        </is>
      </c>
      <c r="I28" s="6" t="inlineStr">
        <is>
          <t>Mumları söndürdün, dilek tuttun, alkışları topladın. Hediyeler de yön değiştirmek üzere.</t>
        </is>
      </c>
      <c r="J28" s="6" t="inlineStr">
        <is>
          <t>Üfledin ama mumlar senden daha kararlıydı.</t>
        </is>
      </c>
      <c r="K28" s="6" t="inlineStr">
        <is>
          <t>Üfledin; mum yerine pastanın süsü uçtu. Doğum günü çocuğu ağlamaya başladı.</t>
        </is>
      </c>
      <c r="L28" s="6" t="inlineStr"/>
      <c r="M28" s="5" t="inlineStr"/>
      <c r="N28" s="5" t="inlineStr"/>
      <c r="O28" s="6" t="inlineStr"/>
      <c r="P28" s="6" t="inlineStr"/>
      <c r="Q28" s="5" t="inlineStr"/>
      <c r="R28" s="5" t="inlineStr"/>
      <c r="S28" s="5" t="inlineStr"/>
      <c r="T28" s="5" t="inlineStr">
        <is>
          <t>Sahne Sever</t>
        </is>
      </c>
      <c r="U28" s="5" t="inlineStr"/>
      <c r="V28" s="5" t="inlineStr"/>
      <c r="W28" s="5" t="inlineStr"/>
      <c r="X28" s="5" t="inlineStr"/>
      <c r="Y28" s="5" t="inlineStr"/>
      <c r="Z28" s="6" t="inlineStr"/>
    </row>
    <row r="29">
      <c r="A29" s="5" t="inlineStr">
        <is>
          <t>vazo-kirildi</t>
        </is>
      </c>
      <c r="B29" s="5" t="n">
        <v>1</v>
      </c>
      <c r="C29" s="6" t="inlineStr">
        <is>
          <t>Bekle</t>
        </is>
      </c>
      <c r="D29" s="5" t="inlineStr"/>
      <c r="E29" s="5" t="inlineStr"/>
      <c r="F29" s="5" t="inlineStr">
        <is>
          <t>Vicdan +2</t>
        </is>
      </c>
      <c r="G29" s="6" t="inlineStr">
        <is>
          <t>Olay yeri incelemesine gönüllü oldun.</t>
        </is>
      </c>
      <c r="H29" s="6" t="inlineStr"/>
      <c r="I29" s="6" t="inlineStr"/>
      <c r="J29" s="6" t="inlineStr"/>
      <c r="K29" s="6" t="inlineStr"/>
      <c r="L29" s="6" t="inlineStr"/>
      <c r="M29" s="5" t="inlineStr"/>
      <c r="N29" s="5" t="inlineStr"/>
      <c r="O29" s="6" t="inlineStr"/>
      <c r="P29" s="6" t="inlineStr"/>
      <c r="Q29" s="5" t="inlineStr"/>
      <c r="R29" s="5" t="inlineStr"/>
      <c r="S29" s="5" t="inlineStr"/>
      <c r="T29" s="5" t="inlineStr"/>
      <c r="U29" s="5" t="inlineStr"/>
      <c r="V29" s="5" t="inlineStr"/>
      <c r="W29" s="5" t="inlineStr"/>
      <c r="X29" s="5" t="inlineStr"/>
      <c r="Y29" s="5" t="inlineStr"/>
      <c r="Z29" s="6" t="inlineStr"/>
    </row>
    <row r="30">
      <c r="A30" s="5" t="inlineStr">
        <is>
          <t>vazo-kirildi</t>
        </is>
      </c>
      <c r="B30" s="5" t="n">
        <v>2</v>
      </c>
      <c r="C30" s="6" t="inlineStr">
        <is>
          <t>Kaç</t>
        </is>
      </c>
      <c r="D30" s="5" t="inlineStr">
        <is>
          <t>Kurnazlık</t>
        </is>
      </c>
      <c r="E30" s="5" t="inlineStr">
        <is>
          <t>Orta</t>
        </is>
      </c>
      <c r="F30" s="5" t="inlineStr"/>
      <c r="G30" s="6" t="inlineStr"/>
      <c r="H30" s="6" t="inlineStr">
        <is>
          <t>Şüpheli olay yerinden uzaklaştı.</t>
        </is>
      </c>
      <c r="I30" s="6" t="inlineStr">
        <is>
          <t>Kaçtın ve üç dakika sonra 'Ne oldu?' diye içeri girdin. Ödüllük performans.</t>
        </is>
      </c>
      <c r="J30" s="6" t="inlineStr">
        <is>
          <t>Kaçarken terlikler ses yaptı. Şüpheli tespit edildi.</t>
        </is>
      </c>
      <c r="K30" s="6" t="inlineStr">
        <is>
          <t>Kaçarken ikinci vazoyu da devirdin. Dosya kabardı.</t>
        </is>
      </c>
      <c r="L30" s="6" t="inlineStr"/>
      <c r="M30" s="5" t="inlineStr"/>
      <c r="N30" s="5" t="inlineStr"/>
      <c r="O30" s="6" t="inlineStr"/>
      <c r="P30" s="6" t="inlineStr"/>
      <c r="Q30" s="5" t="inlineStr"/>
      <c r="R30" s="5" t="inlineStr"/>
      <c r="S30" s="5" t="inlineStr"/>
      <c r="T30" s="5" t="inlineStr"/>
      <c r="U30" s="5" t="inlineStr"/>
      <c r="V30" s="5" t="inlineStr"/>
      <c r="W30" s="5" t="inlineStr"/>
      <c r="X30" s="5" t="inlineStr"/>
      <c r="Y30" s="5" t="inlineStr"/>
      <c r="Z30" s="6" t="inlineStr"/>
    </row>
    <row r="31">
      <c r="A31" s="5" t="inlineStr">
        <is>
          <t>vazo-kirildi</t>
        </is>
      </c>
      <c r="B31" s="5" t="n">
        <v>3</v>
      </c>
      <c r="C31" s="6" t="inlineStr">
        <is>
          <t>Kediyi suçla</t>
        </is>
      </c>
      <c r="D31" s="5" t="inlineStr">
        <is>
          <t>Pişkinlik</t>
        </is>
      </c>
      <c r="E31" s="5" t="inlineStr">
        <is>
          <t>Çok Zor</t>
        </is>
      </c>
      <c r="F31" s="5" t="inlineStr"/>
      <c r="G31" s="6" t="inlineStr"/>
      <c r="H31" s="6" t="inlineStr">
        <is>
          <t>Savunma yaratıcıydı. Kedinin odada olmaması küçük bir ayrıntıydı.</t>
        </is>
      </c>
      <c r="I31" s="6" t="inlineStr">
        <is>
          <t>Kedi mahkûm edildi. Mama tayınları kısıldı. Sen o gece iki tatlı yedin.</t>
        </is>
      </c>
      <c r="J31" s="6" t="inlineStr">
        <is>
          <t>Kediye baktın. Kedi sana baktı. Ailen ikinize de baktı. Kimse ikna olmadı.</t>
        </is>
      </c>
      <c r="K31" s="6" t="inlineStr">
        <is>
          <t>Kediyi suçladın. Kedi o sırada annenin kucağındaydı.</t>
        </is>
      </c>
      <c r="L31" s="6" t="inlineStr"/>
      <c r="M31" s="5" t="inlineStr"/>
      <c r="N31" s="5" t="inlineStr"/>
      <c r="O31" s="6" t="inlineStr"/>
      <c r="P31" s="6" t="inlineStr"/>
      <c r="Q31" s="5" t="inlineStr"/>
      <c r="R31" s="5" t="inlineStr"/>
      <c r="S31" s="5" t="inlineStr"/>
      <c r="T31" s="5" t="inlineStr"/>
      <c r="U31" s="5" t="inlineStr">
        <is>
          <t>kediSuclu</t>
        </is>
      </c>
      <c r="V31" s="5" t="inlineStr"/>
      <c r="W31" s="5" t="inlineStr"/>
      <c r="X31" s="5" t="inlineStr"/>
      <c r="Y31" s="5" t="inlineStr"/>
      <c r="Z31" s="6" t="inlineStr"/>
    </row>
    <row r="32">
      <c r="A32" s="5" t="inlineStr">
        <is>
          <t>vazo-kirildi</t>
        </is>
      </c>
      <c r="B32" s="5" t="n">
        <v>4</v>
      </c>
      <c r="C32" s="6" t="inlineStr">
        <is>
          <t>Ayak seslerini say, tam zamanında ağla</t>
        </is>
      </c>
      <c r="D32" s="5" t="inlineStr">
        <is>
          <t>Çene</t>
        </is>
      </c>
      <c r="E32" s="5" t="inlineStr">
        <is>
          <t>Kolay</t>
        </is>
      </c>
      <c r="F32" s="5" t="inlineStr"/>
      <c r="G32" s="6" t="inlineStr"/>
      <c r="H32" s="6" t="inlineStr">
        <is>
          <t>Ağladın. Anne seni teselli etti. Vazo gündemin ikinci maddesine düştü.</t>
        </is>
      </c>
      <c r="I32" s="6" t="inlineStr">
        <is>
          <t>Ağladın; anne vazoyu değil seni sordu. Vazo resmî kayıtlara 'kaza' olarak geçti.</t>
        </is>
      </c>
      <c r="J32" s="6" t="inlineStr">
        <is>
          <t>Ağladın; anne önce vazoya baktı. Sonra sana. Sonra yine vazoya.</t>
        </is>
      </c>
      <c r="K32" s="6" t="inlineStr">
        <is>
          <t>Ağladın ama kediyle aynı anda. Anne ikinizi de şüpheli ilan etti.</t>
        </is>
      </c>
      <c r="L32" s="6" t="inlineStr"/>
      <c r="M32" s="5" t="inlineStr"/>
      <c r="N32" s="5" t="inlineStr"/>
      <c r="O32" s="6" t="inlineStr"/>
      <c r="P32" s="6" t="inlineStr"/>
      <c r="Q32" s="5" t="inlineStr"/>
      <c r="R32" s="5" t="inlineStr"/>
      <c r="S32" s="5" t="inlineStr">
        <is>
          <t>Sosyal Radar</t>
        </is>
      </c>
      <c r="T32" s="5" t="inlineStr"/>
      <c r="U32" s="5" t="inlineStr"/>
      <c r="V32" s="5" t="inlineStr"/>
      <c r="W32" s="5" t="inlineStr"/>
      <c r="X32" s="5" t="inlineStr"/>
      <c r="Y32" s="5" t="inlineStr"/>
      <c r="Z32" s="6" t="inlineStr"/>
    </row>
    <row r="33">
      <c r="A33" s="5" t="inlineStr">
        <is>
          <t>vazo-kirildi</t>
        </is>
      </c>
      <c r="B33" s="5" t="n">
        <v>5</v>
      </c>
      <c r="C33" s="6" t="inlineStr">
        <is>
          <t>Parçaları sakla</t>
        </is>
      </c>
      <c r="D33" s="5" t="inlineStr">
        <is>
          <t>Kurnazlık</t>
        </is>
      </c>
      <c r="E33" s="5" t="inlineStr">
        <is>
          <t>Orta</t>
        </is>
      </c>
      <c r="F33" s="5" t="inlineStr"/>
      <c r="G33" s="6" t="inlineStr"/>
      <c r="H33" s="6" t="inlineStr">
        <is>
          <t>Deliller toparlandı. Delil yönetimi departmanı kuruldu.</t>
        </is>
      </c>
      <c r="I33" s="6" t="inlineStr">
        <is>
          <t>Parçalar göz açıp kapayıncaya kadar kayboldu. Vazo hiç var olmamış gibi.</t>
        </is>
      </c>
      <c r="J33" s="6" t="inlineStr">
        <is>
          <t>Parçalar senden hızlı yayıldı.</t>
        </is>
      </c>
      <c r="K33" s="6" t="inlineStr">
        <is>
          <t>Parçaları toplarken daha fazla ses çıkardın. Ev halkı toplandı.</t>
        </is>
      </c>
      <c r="L33" s="6" t="inlineStr">
        <is>
          <t>Çoğunu sakladın ama bir parça hâlâ şüpheli biçimde ortada.</t>
        </is>
      </c>
      <c r="M33" s="5" t="inlineStr">
        <is>
          <t>collect</t>
        </is>
      </c>
      <c r="N33" s="5" t="inlineStr">
        <is>
          <t>Delilleri Topla</t>
        </is>
      </c>
      <c r="O33" s="6" t="inlineStr">
        <is>
          <t>Parçalar fark edilmeden önce hepsine dokun.</t>
        </is>
      </c>
      <c r="P33" s="6" t="inlineStr">
        <is>
          <t>{"piece": "🧩"}</t>
        </is>
      </c>
      <c r="Q33" s="5" t="inlineStr"/>
      <c r="R33" s="5" t="inlineStr"/>
      <c r="S33" s="5" t="inlineStr"/>
      <c r="T33" s="5" t="inlineStr"/>
      <c r="U33" s="5" t="inlineStr"/>
      <c r="V33" s="5" t="inlineStr"/>
      <c r="W33" s="5" t="inlineStr"/>
      <c r="X33" s="5" t="inlineStr"/>
      <c r="Y33" s="5" t="inlineStr"/>
      <c r="Z33" s="6" t="inlineStr"/>
    </row>
    <row r="34">
      <c r="A34" s="5" t="inlineStr">
        <is>
          <t>ilk-harclik</t>
        </is>
      </c>
      <c r="B34" s="5" t="n">
        <v>1</v>
      </c>
      <c r="C34" s="6" t="inlineStr">
        <is>
          <t>Annene ver</t>
        </is>
      </c>
      <c r="D34" s="5" t="inlineStr"/>
      <c r="E34" s="5" t="inlineStr"/>
      <c r="F34" s="5" t="inlineStr">
        <is>
          <t>Vicdan +2</t>
        </is>
      </c>
      <c r="G34" s="6" t="inlineStr">
        <is>
          <t>Varlık yönetimini dışarıya devrettin.</t>
        </is>
      </c>
      <c r="H34" s="6" t="inlineStr"/>
      <c r="I34" s="6" t="inlineStr"/>
      <c r="J34" s="6" t="inlineStr"/>
      <c r="K34" s="6" t="inlineStr"/>
      <c r="L34" s="6" t="inlineStr"/>
      <c r="M34" s="5" t="inlineStr"/>
      <c r="N34" s="5" t="inlineStr"/>
      <c r="O34" s="6" t="inlineStr"/>
      <c r="P34" s="6" t="inlineStr"/>
      <c r="Q34" s="5" t="inlineStr"/>
      <c r="R34" s="5" t="inlineStr"/>
      <c r="S34" s="5" t="inlineStr"/>
      <c r="T34" s="5" t="inlineStr"/>
      <c r="U34" s="5" t="inlineStr"/>
      <c r="V34" s="5" t="inlineStr"/>
      <c r="W34" s="5" t="inlineStr"/>
      <c r="X34" s="5" t="inlineStr"/>
      <c r="Y34" s="5" t="inlineStr"/>
      <c r="Z34" s="6" t="inlineStr"/>
    </row>
    <row r="35">
      <c r="A35" s="5" t="inlineStr">
        <is>
          <t>ilk-harclik</t>
        </is>
      </c>
      <c r="B35" s="5" t="n">
        <v>2</v>
      </c>
      <c r="C35" s="6" t="inlineStr">
        <is>
          <t>Oyuncak iste</t>
        </is>
      </c>
      <c r="D35" s="5" t="inlineStr"/>
      <c r="E35" s="5" t="inlineStr"/>
      <c r="F35" s="5" t="inlineStr">
        <is>
          <t>Çene +1</t>
        </is>
      </c>
      <c r="G35" s="6" t="inlineStr">
        <is>
          <t>Likidite anında tüketime döndü.</t>
        </is>
      </c>
      <c r="H35" s="6" t="inlineStr"/>
      <c r="I35" s="6" t="inlineStr"/>
      <c r="J35" s="6" t="inlineStr"/>
      <c r="K35" s="6" t="inlineStr"/>
      <c r="L35" s="6" t="inlineStr"/>
      <c r="M35" s="5" t="inlineStr"/>
      <c r="N35" s="5" t="inlineStr"/>
      <c r="O35" s="6" t="inlineStr"/>
      <c r="P35" s="6" t="inlineStr"/>
      <c r="Q35" s="5" t="inlineStr"/>
      <c r="R35" s="5" t="inlineStr"/>
      <c r="S35" s="5" t="inlineStr"/>
      <c r="T35" s="5" t="inlineStr"/>
      <c r="U35" s="5" t="inlineStr"/>
      <c r="V35" s="5" t="inlineStr"/>
      <c r="W35" s="5" t="inlineStr"/>
      <c r="X35" s="5" t="inlineStr"/>
      <c r="Y35" s="5" t="inlineStr"/>
      <c r="Z35" s="6" t="inlineStr"/>
    </row>
    <row r="36">
      <c r="A36" s="5" t="inlineStr">
        <is>
          <t>ilk-harclik</t>
        </is>
      </c>
      <c r="B36" s="5" t="n">
        <v>3</v>
      </c>
      <c r="C36" s="6" t="inlineStr">
        <is>
          <t>Parayı sakla</t>
        </is>
      </c>
      <c r="D36" s="5" t="inlineStr">
        <is>
          <t>Kurnazlık</t>
        </is>
      </c>
      <c r="E36" s="5" t="inlineStr">
        <is>
          <t>Zor</t>
        </is>
      </c>
      <c r="F36" s="5" t="inlineStr"/>
      <c r="G36" s="6" t="inlineStr"/>
      <c r="H36" s="6" t="inlineStr">
        <is>
          <t>Makarya Merkez Bankası seni henüz izlemiyor.</t>
        </is>
      </c>
      <c r="I36" s="6" t="inlineStr">
        <is>
          <t>Parayı sakladın, bir hafta sonra unuttuğun bir sürpriz olarak buldun. Faiz kavramına ilk adım.</t>
        </is>
      </c>
      <c r="J36" s="6" t="inlineStr">
        <is>
          <t>Sakladığın yeri unuttun. Para artık evin ortak mirası.</t>
        </is>
      </c>
      <c r="K36" s="6" t="inlineStr">
        <is>
          <t>Parayı ağzına sakladın. Acil müdahale ekibi ve babaanne devreye girdi.</t>
        </is>
      </c>
      <c r="L36" s="6" t="inlineStr"/>
      <c r="M36" s="5" t="inlineStr"/>
      <c r="N36" s="5" t="inlineStr"/>
      <c r="O36" s="6" t="inlineStr"/>
      <c r="P36" s="6" t="inlineStr"/>
      <c r="Q36" s="5" t="inlineStr"/>
      <c r="R36" s="5" t="inlineStr"/>
      <c r="S36" s="5" t="inlineStr"/>
      <c r="T36" s="5" t="inlineStr">
        <is>
          <t>Yastık Altı Ekonomisti</t>
        </is>
      </c>
      <c r="U36" s="5" t="inlineStr"/>
      <c r="V36" s="5" t="inlineStr"/>
      <c r="W36" s="5" t="inlineStr"/>
      <c r="X36" s="5" t="inlineStr"/>
      <c r="Y36" s="5" t="inlineStr"/>
      <c r="Z36" s="6" t="inlineStr"/>
    </row>
    <row r="37">
      <c r="A37" s="5" t="inlineStr">
        <is>
          <t>ilk-harclik</t>
        </is>
      </c>
      <c r="B37" s="5" t="n">
        <v>4</v>
      </c>
      <c r="C37" s="6" t="inlineStr">
        <is>
          <t>Bir çocukla takas yap</t>
        </is>
      </c>
      <c r="D37" s="5" t="inlineStr">
        <is>
          <t>Çene</t>
        </is>
      </c>
      <c r="E37" s="5" t="inlineStr">
        <is>
          <t>Zor</t>
        </is>
      </c>
      <c r="F37" s="5" t="inlineStr"/>
      <c r="G37" s="6" t="inlineStr"/>
      <c r="H37" s="6" t="inlineStr">
        <is>
          <t>İlk mikro ticaret operasyonun gerçekleşti.</t>
        </is>
      </c>
      <c r="I37" s="6" t="inlineStr">
        <is>
          <t>İki bozuk parayı bir oyuncak arabaya çevirdin, sonra arabayı üç bozuk paraya. Kârdasın.</t>
        </is>
      </c>
      <c r="J37" s="6" t="inlineStr">
        <is>
          <t>Karşı taraf teklifini değerlendirmeye aldı. Hiç dönmedi.</t>
        </is>
      </c>
      <c r="K37" s="6" t="inlineStr">
        <is>
          <t>Takas ettin. Eline yarım bir kraker geçti. Kötü anlaşmaydı.</t>
        </is>
      </c>
      <c r="L37" s="6" t="inlineStr"/>
      <c r="M37" s="5" t="inlineStr"/>
      <c r="N37" s="5" t="inlineStr"/>
      <c r="O37" s="6" t="inlineStr"/>
      <c r="P37" s="6" t="inlineStr"/>
      <c r="Q37" s="5" t="inlineStr"/>
      <c r="R37" s="5" t="inlineStr"/>
      <c r="S37" s="5" t="inlineStr"/>
      <c r="T37" s="5" t="inlineStr">
        <is>
          <t>Küçük Tüccar</t>
        </is>
      </c>
      <c r="U37" s="5" t="inlineStr"/>
      <c r="V37" s="5" t="inlineStr"/>
      <c r="W37" s="5" t="inlineStr"/>
      <c r="X37" s="5" t="inlineStr"/>
      <c r="Y37" s="5" t="inlineStr"/>
      <c r="Z37" s="6" t="inlineStr"/>
    </row>
    <row r="38">
      <c r="A38" s="5" t="inlineStr">
        <is>
          <t>ilk-harclik</t>
        </is>
      </c>
      <c r="B38" s="5" t="n">
        <v>5</v>
      </c>
      <c r="C38" s="6" t="inlineStr">
        <is>
          <t>Faiz sor</t>
        </is>
      </c>
      <c r="D38" s="5" t="inlineStr">
        <is>
          <t>Kurnazlık</t>
        </is>
      </c>
      <c r="E38" s="5" t="inlineStr">
        <is>
          <t>Kolay</t>
        </is>
      </c>
      <c r="F38" s="5" t="inlineStr"/>
      <c r="G38" s="6" t="inlineStr"/>
      <c r="H38" s="6" t="inlineStr">
        <is>
          <t>“Bunu bir hafta tutarsam kaç olur?” diye sordun. Deden cebinden bir bozukluk daha çıkardı; faiz kavramı ailede ilk kez konuşuldu.</t>
        </is>
      </c>
      <c r="I38" s="6" t="inlineStr">
        <is>
          <t>Dedene, bir hafta sonra geri ödemesi şartıyla iki bozukluk borç verdin. Ödedi. Faiziyle.</t>
        </is>
      </c>
      <c r="J38" s="6" t="inlineStr">
        <is>
          <t>Faiz sordun. Kimse ne dediğini anlamadı, eline bir bisküvi tutuşturdular.</t>
        </is>
      </c>
      <c r="K38" s="6" t="inlineStr">
        <is>
          <t>Faiz istedin. Babaannen “Bu çocuk tefeci olacak” dedi ve paranın hepsine el koydu.</t>
        </is>
      </c>
      <c r="L38" s="6" t="inlineStr"/>
      <c r="M38" s="5" t="inlineStr"/>
      <c r="N38" s="5" t="inlineStr"/>
      <c r="O38" s="6" t="inlineStr"/>
      <c r="P38" s="6" t="inlineStr"/>
      <c r="Q38" s="5" t="inlineStr"/>
      <c r="R38" s="5" t="inlineStr">
        <is>
          <t>ilkKelimePara</t>
        </is>
      </c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6" t="inlineStr"/>
    </row>
    <row r="39">
      <c r="A39" s="5" t="inlineStr">
        <is>
          <t>oyuncak-krizi</t>
        </is>
      </c>
      <c r="B39" s="5" t="n">
        <v>1</v>
      </c>
      <c r="C39" s="6" t="inlineStr">
        <is>
          <t>Paylaş</t>
        </is>
      </c>
      <c r="D39" s="5" t="inlineStr"/>
      <c r="E39" s="5" t="inlineStr"/>
      <c r="F39" s="5" t="inlineStr">
        <is>
          <t>Vicdan +2</t>
        </is>
      </c>
      <c r="G39" s="6" t="inlineStr">
        <is>
          <t>Paylaştın. Gerginlik bitti, oyuncak da bitti — artık ikisi de ortak.</t>
        </is>
      </c>
      <c r="H39" s="6" t="inlineStr"/>
      <c r="I39" s="6" t="inlineStr"/>
      <c r="J39" s="6" t="inlineStr"/>
      <c r="K39" s="6" t="inlineStr"/>
      <c r="L39" s="6" t="inlineStr"/>
      <c r="M39" s="5" t="inlineStr"/>
      <c r="N39" s="5" t="inlineStr"/>
      <c r="O39" s="6" t="inlineStr"/>
      <c r="P39" s="6" t="inlineStr"/>
      <c r="Q39" s="5" t="inlineStr"/>
      <c r="R39" s="5" t="inlineStr"/>
      <c r="S39" s="5" t="inlineStr"/>
      <c r="T39" s="5" t="inlineStr"/>
      <c r="U39" s="5" t="inlineStr"/>
      <c r="V39" s="5" t="inlineStr"/>
      <c r="W39" s="5" t="inlineStr"/>
      <c r="X39" s="5" t="inlineStr"/>
      <c r="Y39" s="5" t="inlineStr"/>
      <c r="Z39" s="6" t="inlineStr"/>
    </row>
    <row r="40">
      <c r="A40" s="5" t="inlineStr">
        <is>
          <t>oyuncak-krizi</t>
        </is>
      </c>
      <c r="B40" s="5" t="n">
        <v>2</v>
      </c>
      <c r="C40" s="6" t="inlineStr">
        <is>
          <t>Başka oyuncak teklif et</t>
        </is>
      </c>
      <c r="D40" s="5" t="inlineStr">
        <is>
          <t>Çene</t>
        </is>
      </c>
      <c r="E40" s="5" t="inlineStr">
        <is>
          <t>Kolay</t>
        </is>
      </c>
      <c r="F40" s="5" t="inlineStr"/>
      <c r="G40" s="6" t="inlineStr"/>
      <c r="H40" s="6" t="inlineStr">
        <is>
          <t>Takas diplomasisi işe yaradı; iki taraf da kazandığını sandı.</t>
        </is>
      </c>
      <c r="I40" s="6" t="inlineStr">
        <is>
          <t>Eski oyuncağını teklif ettin, yenisini geri aldın, karşı taraf sana teşekkür bile etti. Tarihe 'başarılı takas' olarak geçti.</t>
        </is>
      </c>
      <c r="J40" s="6" t="inlineStr">
        <is>
          <t>Teklifin reddedildi. Müzakere masası — yani kum havuzu — devrildi.</t>
        </is>
      </c>
      <c r="K40" s="6" t="inlineStr">
        <is>
          <t>Teklif ettiğin oyuncağı da aldı. Şimdi resmen iki oyuncak açığın var.</t>
        </is>
      </c>
      <c r="L40" s="6" t="inlineStr"/>
      <c r="M40" s="5" t="inlineStr"/>
      <c r="N40" s="5" t="inlineStr"/>
      <c r="O40" s="6" t="inlineStr"/>
      <c r="P40" s="6" t="inlineStr"/>
      <c r="Q40" s="5" t="inlineStr"/>
      <c r="R40" s="5" t="inlineStr"/>
      <c r="S40" s="5" t="inlineStr"/>
      <c r="T40" s="5" t="inlineStr"/>
      <c r="U40" s="5" t="inlineStr"/>
      <c r="V40" s="5" t="inlineStr"/>
      <c r="W40" s="5" t="inlineStr"/>
      <c r="X40" s="5" t="inlineStr"/>
      <c r="Y40" s="5" t="inlineStr"/>
      <c r="Z40" s="6" t="inlineStr"/>
    </row>
    <row r="41">
      <c r="A41" s="5" t="inlineStr">
        <is>
          <t>oyuncak-krizi</t>
        </is>
      </c>
      <c r="B41" s="5" t="n">
        <v>3</v>
      </c>
      <c r="C41" s="6" t="inlineStr">
        <is>
          <t>Elinden al</t>
        </is>
      </c>
      <c r="D41" s="5" t="inlineStr">
        <is>
          <t>Cesaret</t>
        </is>
      </c>
      <c r="E41" s="5" t="inlineStr">
        <is>
          <t>Orta</t>
        </is>
      </c>
      <c r="F41" s="5" t="inlineStr"/>
      <c r="G41" s="6" t="inlineStr"/>
      <c r="H41" s="6" t="inlineStr">
        <is>
          <t>Müzakere fiziksel aşamaya geçti; oyuncak nihayet sende.</t>
        </is>
      </c>
      <c r="I41" s="6" t="inlineStr">
        <is>
          <t>Tek hamlede aldın. Karşı taraf itiraz edecek kelimeyi daha bulamadan sen çoktan oynamaya başlamıştın.</t>
        </is>
      </c>
      <c r="J41" s="6" t="inlineStr">
        <is>
          <t>Çektin, o da çekti. Oyuncak artık ikiye bölünme tehdidiyle yaşıyor.</t>
        </is>
      </c>
      <c r="K41" s="6" t="inlineStr">
        <is>
          <t>Çektin, o bıraktı, sen düz popo üstü oturdun. Kum havuzu tarihine geçtin, ama yanlış sebepten.</t>
        </is>
      </c>
      <c r="L41" s="6" t="inlineStr"/>
      <c r="M41" s="5" t="inlineStr"/>
      <c r="N41" s="5" t="inlineStr"/>
      <c r="O41" s="6" t="inlineStr"/>
      <c r="P41" s="6" t="inlineStr"/>
      <c r="Q41" s="5" t="inlineStr"/>
      <c r="R41" s="5" t="inlineStr"/>
      <c r="S41" s="5" t="inlineStr"/>
      <c r="T41" s="5" t="inlineStr"/>
      <c r="U41" s="5" t="inlineStr"/>
      <c r="V41" s="5" t="inlineStr"/>
      <c r="W41" s="5" t="inlineStr"/>
      <c r="X41" s="5" t="inlineStr"/>
      <c r="Y41" s="5" t="inlineStr"/>
      <c r="Z41" s="6" t="inlineStr"/>
    </row>
    <row r="42">
      <c r="A42" s="5" t="inlineStr">
        <is>
          <t>oyuncak-krizi</t>
        </is>
      </c>
      <c r="B42" s="5" t="n">
        <v>4</v>
      </c>
      <c r="C42" s="6" t="inlineStr">
        <is>
          <t>Sıkılmasını bekle</t>
        </is>
      </c>
      <c r="D42" s="5" t="inlineStr">
        <is>
          <t>Dayanıklılık</t>
        </is>
      </c>
      <c r="E42" s="5" t="inlineStr">
        <is>
          <t>Kolay</t>
        </is>
      </c>
      <c r="F42" s="5" t="inlineStr"/>
      <c r="G42" s="6" t="inlineStr"/>
      <c r="H42" s="6" t="inlineStr">
        <is>
          <t>Zaman senden yana çalıştı; sabır, düşük bütçeli bir strateji.</t>
        </is>
      </c>
      <c r="I42" s="6" t="inlineStr">
        <is>
          <t>O sıkıldı, oyuncağı bıraktı, üstüne bir tane daha verdi — belli ki suçluluk duydu.</t>
        </is>
      </c>
      <c r="J42" s="6" t="inlineStr">
        <is>
          <t>O sıkılmadı. Sıkılan sendin, üstelik daha erken.</t>
        </is>
      </c>
      <c r="K42" s="6" t="inlineStr">
        <is>
          <t>Bekledin; bu arada oyuncak onun evine gitti. Sabrın yanlış adrese teslim edildi.</t>
        </is>
      </c>
      <c r="L42" s="6" t="inlineStr"/>
      <c r="M42" s="5" t="inlineStr"/>
      <c r="N42" s="5" t="inlineStr"/>
      <c r="O42" s="6" t="inlineStr"/>
      <c r="P42" s="6" t="inlineStr"/>
      <c r="Q42" s="5" t="inlineStr"/>
      <c r="R42" s="5" t="inlineStr"/>
      <c r="S42" s="5" t="inlineStr"/>
      <c r="T42" s="5" t="inlineStr"/>
      <c r="U42" s="5" t="inlineStr"/>
      <c r="V42" s="5" t="inlineStr"/>
      <c r="W42" s="5" t="inlineStr"/>
      <c r="X42" s="5" t="inlineStr"/>
      <c r="Y42" s="5" t="inlineStr"/>
      <c r="Z42" s="6" t="inlineStr"/>
    </row>
    <row r="43">
      <c r="A43" s="5" t="inlineStr">
        <is>
          <t>aile-toplantisi</t>
        </is>
      </c>
      <c r="B43" s="5" t="n">
        <v>1</v>
      </c>
      <c r="C43" s="6" t="inlineStr">
        <is>
          <t>Dinle</t>
        </is>
      </c>
      <c r="D43" s="5" t="inlineStr">
        <is>
          <t>Sosyal Radar</t>
        </is>
      </c>
      <c r="E43" s="5" t="inlineStr">
        <is>
          <t>Kolay</t>
        </is>
      </c>
      <c r="F43" s="5" t="inlineStr"/>
      <c r="G43" s="6" t="inlineStr"/>
      <c r="H43" s="6" t="inlineStr">
        <is>
          <t>Yetişkinlerin söylediklerinden çok söylemediklerini duydun.</t>
        </is>
      </c>
      <c r="I43" s="6" t="inlineStr">
        <is>
          <t>Toplantının gerçek gündemini senden başka kimse anlamadı: yaz tatili iptal değil, ertelenmiş.</t>
        </is>
      </c>
      <c r="J43" s="6" t="inlineStr">
        <is>
          <t>Dinledin ama kelimeler çok uzundu.</t>
        </is>
      </c>
      <c r="K43" s="6" t="inlineStr">
        <is>
          <t>Dinlerken duyduğun bir kelimeyi misafirlerin önünde tekrar ettin.</t>
        </is>
      </c>
      <c r="L43" s="6" t="inlineStr"/>
      <c r="M43" s="5" t="inlineStr"/>
      <c r="N43" s="5" t="inlineStr"/>
      <c r="O43" s="6" t="inlineStr"/>
      <c r="P43" s="6" t="inlineStr"/>
      <c r="Q43" s="5" t="inlineStr"/>
      <c r="R43" s="5" t="inlineStr"/>
      <c r="S43" s="5" t="inlineStr"/>
      <c r="T43" s="5" t="inlineStr"/>
      <c r="U43" s="5" t="inlineStr"/>
      <c r="V43" s="5" t="inlineStr"/>
      <c r="W43" s="5" t="inlineStr"/>
      <c r="X43" s="5" t="inlineStr"/>
      <c r="Y43" s="5" t="inlineStr"/>
      <c r="Z43" s="6" t="inlineStr"/>
    </row>
    <row r="44">
      <c r="A44" s="5" t="inlineStr">
        <is>
          <t>aile-toplantisi</t>
        </is>
      </c>
      <c r="B44" s="5" t="n">
        <v>2</v>
      </c>
      <c r="C44" s="6" t="inlineStr">
        <is>
          <t>İlgi çek</t>
        </is>
      </c>
      <c r="D44" s="5" t="inlineStr">
        <is>
          <t>Pişkinlik</t>
        </is>
      </c>
      <c r="E44" s="5" t="inlineStr">
        <is>
          <t>Orta</t>
        </is>
      </c>
      <c r="F44" s="5" t="inlineStr"/>
      <c r="G44" s="6" t="inlineStr"/>
      <c r="H44" s="6" t="inlineStr">
        <is>
          <t>Gündem başarıyla değiştirildi.</t>
        </is>
      </c>
      <c r="I44" s="6" t="inlineStr">
        <is>
          <t>Tüm toplantı senin şovuna dönüştü. Gündem maddeleri bir sonraki yıla ertelendi.</t>
        </is>
      </c>
      <c r="J44" s="6" t="inlineStr">
        <is>
          <t>Dans ettin, kimse bakmadı. Bütçe konuşuluyordu.</t>
        </is>
      </c>
      <c r="K44" s="6" t="inlineStr">
        <is>
          <t>İlgi çekmek için çaydanlığa uzandın. Toplantı acil durum toplantısına dönüştü.</t>
        </is>
      </c>
      <c r="L44" s="6" t="inlineStr"/>
      <c r="M44" s="5" t="inlineStr"/>
      <c r="N44" s="5" t="inlineStr"/>
      <c r="O44" s="6" t="inlineStr"/>
      <c r="P44" s="6" t="inlineStr"/>
      <c r="Q44" s="5" t="inlineStr"/>
      <c r="R44" s="5" t="inlineStr"/>
      <c r="S44" s="5" t="inlineStr"/>
      <c r="T44" s="5" t="inlineStr"/>
      <c r="U44" s="5" t="inlineStr"/>
      <c r="V44" s="5" t="inlineStr"/>
      <c r="W44" s="5" t="inlineStr"/>
      <c r="X44" s="5" t="inlineStr"/>
      <c r="Y44" s="5" t="inlineStr"/>
      <c r="Z44" s="6" t="inlineStr"/>
    </row>
    <row r="45">
      <c r="A45" s="5" t="inlineStr">
        <is>
          <t>aile-toplantisi</t>
        </is>
      </c>
      <c r="B45" s="5" t="n">
        <v>3</v>
      </c>
      <c r="C45" s="6" t="inlineStr">
        <is>
          <t>Oyuncağınla ilgilen</t>
        </is>
      </c>
      <c r="D45" s="5" t="inlineStr"/>
      <c r="E45" s="5" t="inlineStr"/>
      <c r="F45" s="5" t="inlineStr">
        <is>
          <t>Dayanıklılık +1</t>
        </is>
      </c>
      <c r="G45" s="6" t="inlineStr">
        <is>
          <t>Kriz yönetimini profesyonellere bıraktın.</t>
        </is>
      </c>
      <c r="H45" s="6" t="inlineStr"/>
      <c r="I45" s="6" t="inlineStr"/>
      <c r="J45" s="6" t="inlineStr"/>
      <c r="K45" s="6" t="inlineStr"/>
      <c r="L45" s="6" t="inlineStr"/>
      <c r="M45" s="5" t="inlineStr"/>
      <c r="N45" s="5" t="inlineStr"/>
      <c r="O45" s="6" t="inlineStr"/>
      <c r="P45" s="6" t="inlineStr"/>
      <c r="Q45" s="5" t="inlineStr"/>
      <c r="R45" s="5" t="inlineStr"/>
      <c r="S45" s="5" t="inlineStr"/>
      <c r="T45" s="5" t="inlineStr"/>
      <c r="U45" s="5" t="inlineStr"/>
      <c r="V45" s="5" t="inlineStr"/>
      <c r="W45" s="5" t="inlineStr"/>
      <c r="X45" s="5" t="inlineStr"/>
      <c r="Y45" s="5" t="inlineStr"/>
      <c r="Z45" s="6" t="inlineStr"/>
    </row>
    <row r="46">
      <c r="A46" s="5" t="inlineStr">
        <is>
          <t>parkta-sira</t>
        </is>
      </c>
      <c r="B46" s="5" t="n">
        <v>1</v>
      </c>
      <c r="C46" s="6" t="inlineStr">
        <is>
          <t>Sıraya gir</t>
        </is>
      </c>
      <c r="D46" s="5" t="inlineStr"/>
      <c r="E46" s="5" t="inlineStr"/>
      <c r="F46" s="5" t="inlineStr">
        <is>
          <t>Vicdan +1</t>
        </is>
      </c>
      <c r="G46" s="6" t="inlineStr">
        <is>
          <t>Kurallı toplum deneyine katıldın.</t>
        </is>
      </c>
      <c r="H46" s="6" t="inlineStr"/>
      <c r="I46" s="6" t="inlineStr"/>
      <c r="J46" s="6" t="inlineStr"/>
      <c r="K46" s="6" t="inlineStr"/>
      <c r="L46" s="6" t="inlineStr"/>
      <c r="M46" s="5" t="inlineStr"/>
      <c r="N46" s="5" t="inlineStr"/>
      <c r="O46" s="6" t="inlineStr"/>
      <c r="P46" s="6" t="inlineStr"/>
      <c r="Q46" s="5" t="inlineStr"/>
      <c r="R46" s="5" t="inlineStr"/>
      <c r="S46" s="5" t="inlineStr"/>
      <c r="T46" s="5" t="inlineStr"/>
      <c r="U46" s="5" t="inlineStr"/>
      <c r="V46" s="5" t="inlineStr"/>
      <c r="W46" s="5" t="inlineStr"/>
      <c r="X46" s="5" t="inlineStr"/>
      <c r="Y46" s="5" t="inlineStr"/>
      <c r="Z46" s="6" t="inlineStr"/>
    </row>
    <row r="47">
      <c r="A47" s="5" t="inlineStr">
        <is>
          <t>parkta-sira</t>
        </is>
      </c>
      <c r="B47" s="5" t="n">
        <v>2</v>
      </c>
      <c r="C47" s="6" t="inlineStr">
        <is>
          <t>Öne geç</t>
        </is>
      </c>
      <c r="D47" s="5" t="inlineStr">
        <is>
          <t>Pişkinlik</t>
        </is>
      </c>
      <c r="E47" s="5" t="inlineStr">
        <is>
          <t>Orta</t>
        </is>
      </c>
      <c r="F47" s="5" t="inlineStr"/>
      <c r="G47" s="6" t="inlineStr"/>
      <c r="H47" s="6" t="inlineStr">
        <is>
          <t>Öne geçtin. Toplumsal tepki geldiğinde sen zaten aşağı kayıyordun.</t>
        </is>
      </c>
      <c r="I47" s="6" t="inlineStr">
        <is>
          <t>Öne geçtin ve kimse fark etmedi. Hatta biri sana yer verdi.</t>
        </is>
      </c>
      <c r="J47" s="6" t="inlineStr">
        <is>
          <t>Öne geçmeye çalıştın; sıradaki anneler komitesi seni geri gönderdi.</t>
        </is>
      </c>
      <c r="K47" s="6" t="inlineStr">
        <is>
          <t>Öne geçtin, kaydıraktan ters indin. Sıradakiler alkışladı.</t>
        </is>
      </c>
      <c r="L47" s="6" t="inlineStr">
        <is>
          <t>Yarıya kadar geldin. Sonra biri seni fark etti. Yarım zafer.</t>
        </is>
      </c>
      <c r="M47" s="5" t="inlineStr">
        <is>
          <t>lanes</t>
        </is>
      </c>
      <c r="N47" s="5" t="inlineStr">
        <is>
          <t>Sıranın Arasından Geç</t>
        </is>
      </c>
      <c r="O47" s="6" t="inlineStr">
        <is>
          <t>Sağa sola kaydırarak (ya da oklara basarak) çocuklara çarpmadan en öne ulaş.</t>
        </is>
      </c>
      <c r="P47" s="6" t="inlineStr"/>
      <c r="Q47" s="5" t="inlineStr"/>
      <c r="R47" s="5" t="inlineStr"/>
      <c r="S47" s="5" t="inlineStr"/>
      <c r="T47" s="5" t="inlineStr"/>
      <c r="U47" s="5" t="inlineStr"/>
      <c r="V47" s="5" t="inlineStr"/>
      <c r="W47" s="5" t="inlineStr"/>
      <c r="X47" s="5" t="inlineStr"/>
      <c r="Y47" s="5" t="inlineStr"/>
      <c r="Z47" s="6" t="inlineStr"/>
    </row>
    <row r="48">
      <c r="A48" s="5" t="inlineStr">
        <is>
          <t>parkta-sira</t>
        </is>
      </c>
      <c r="B48" s="5" t="n">
        <v>3</v>
      </c>
      <c r="C48" s="6" t="inlineStr">
        <is>
          <t>Konuşarak çöz</t>
        </is>
      </c>
      <c r="D48" s="5" t="inlineStr">
        <is>
          <t>Çene</t>
        </is>
      </c>
      <c r="E48" s="5" t="inlineStr">
        <is>
          <t>Kolay</t>
        </is>
      </c>
      <c r="F48" s="5" t="inlineStr"/>
      <c r="G48" s="6" t="inlineStr"/>
      <c r="H48" s="6" t="inlineStr">
        <is>
          <t>İki dakikalık diplomasi, üç dakikalık kaydırak.</t>
        </is>
      </c>
      <c r="I48" s="6" t="inlineStr">
        <is>
          <t>Konuştun ve sıradaki herkes sana geçiş hakkı verdi. Nedeni belirsiz.</t>
        </is>
      </c>
      <c r="J48" s="6" t="inlineStr">
        <is>
          <t>Konuştun; herkes dinledi, kimse kıpırdamadı.</t>
        </is>
      </c>
      <c r="K48" s="6" t="inlineStr">
        <is>
          <t>Konuşurken sıradaki yerini de kaybettin.</t>
        </is>
      </c>
      <c r="L48" s="6" t="inlineStr"/>
      <c r="M48" s="5" t="inlineStr"/>
      <c r="N48" s="5" t="inlineStr"/>
      <c r="O48" s="6" t="inlineStr"/>
      <c r="P48" s="6" t="inlineStr"/>
      <c r="Q48" s="5" t="inlineStr"/>
      <c r="R48" s="5" t="inlineStr"/>
      <c r="S48" s="5" t="inlineStr"/>
      <c r="T48" s="5" t="inlineStr"/>
      <c r="U48" s="5" t="inlineStr"/>
      <c r="V48" s="5" t="inlineStr"/>
      <c r="W48" s="5" t="inlineStr"/>
      <c r="X48" s="5" t="inlineStr"/>
      <c r="Y48" s="5" t="inlineStr"/>
      <c r="Z48" s="6" t="inlineStr"/>
    </row>
    <row r="49">
      <c r="A49" s="5" t="inlineStr">
        <is>
          <t>parkta-sira</t>
        </is>
      </c>
      <c r="B49" s="5" t="n">
        <v>4</v>
      </c>
      <c r="C49" s="6" t="inlineStr">
        <is>
          <t>Sistemi izle</t>
        </is>
      </c>
      <c r="D49" s="5" t="inlineStr">
        <is>
          <t>Sosyal Radar</t>
        </is>
      </c>
      <c r="E49" s="5" t="inlineStr">
        <is>
          <t>Kolay</t>
        </is>
      </c>
      <c r="F49" s="5" t="inlineStr"/>
      <c r="G49" s="6" t="inlineStr"/>
      <c r="H49" s="6" t="inlineStr">
        <is>
          <t>Kimin gerçekten sırada olduğunu anlamaya başladın.</t>
        </is>
      </c>
      <c r="I49" s="6" t="inlineStr">
        <is>
          <t>Sıranın aslında iki ayrı sıra olduğunu fark ettin ve boş olanına geçtin.</t>
        </is>
      </c>
      <c r="J49" s="6" t="inlineStr">
        <is>
          <t>İzledin; sistem çok karışıktı. Kaydırak kapandı.</t>
        </is>
      </c>
      <c r="K49" s="6" t="inlineStr">
        <is>
          <t>Sistemi izlerken salıncak kafana çarptı.</t>
        </is>
      </c>
      <c r="L49" s="6" t="inlineStr"/>
      <c r="M49" s="5" t="inlineStr"/>
      <c r="N49" s="5" t="inlineStr"/>
      <c r="O49" s="6" t="inlineStr"/>
      <c r="P49" s="6" t="inlineStr"/>
      <c r="Q49" s="5" t="inlineStr"/>
      <c r="R49" s="5" t="inlineStr"/>
      <c r="S49" s="5" t="inlineStr"/>
      <c r="T49" s="5" t="inlineStr"/>
      <c r="U49" s="5" t="inlineStr"/>
      <c r="V49" s="5" t="inlineStr"/>
      <c r="W49" s="5" t="inlineStr"/>
      <c r="X49" s="5" t="inlineStr"/>
      <c r="Y49" s="5" t="inlineStr"/>
      <c r="Z49" s="6" t="inlineStr"/>
    </row>
    <row r="50">
      <c r="A50" s="5" t="inlineStr">
        <is>
          <t>kim-yapti</t>
        </is>
      </c>
      <c r="B50" s="5" t="n">
        <v>1</v>
      </c>
      <c r="C50" s="6" t="inlineStr">
        <is>
          <t>Doğruyu söyle</t>
        </is>
      </c>
      <c r="D50" s="5" t="inlineStr"/>
      <c r="E50" s="5" t="inlineStr"/>
      <c r="F50" s="5" t="inlineStr">
        <is>
          <t>Vicdan +2</t>
        </is>
      </c>
      <c r="G50" s="6" t="inlineStr">
        <is>
          <t>Kısa vadede kötü, uzun vadede kullanışlı bir alışkanlık.</t>
        </is>
      </c>
      <c r="H50" s="6" t="inlineStr"/>
      <c r="I50" s="6" t="inlineStr"/>
      <c r="J50" s="6" t="inlineStr"/>
      <c r="K50" s="6" t="inlineStr"/>
      <c r="L50" s="6" t="inlineStr"/>
      <c r="M50" s="5" t="inlineStr"/>
      <c r="N50" s="5" t="inlineStr"/>
      <c r="O50" s="6" t="inlineStr"/>
      <c r="P50" s="6" t="inlineStr"/>
      <c r="Q50" s="5" t="inlineStr"/>
      <c r="R50" s="5" t="inlineStr"/>
      <c r="S50" s="5" t="inlineStr"/>
      <c r="T50" s="5" t="inlineStr"/>
      <c r="U50" s="5" t="inlineStr"/>
      <c r="V50" s="5" t="inlineStr"/>
      <c r="W50" s="5" t="inlineStr"/>
      <c r="X50" s="5" t="inlineStr"/>
      <c r="Y50" s="5" t="inlineStr"/>
      <c r="Z50" s="6" t="inlineStr"/>
    </row>
    <row r="51">
      <c r="A51" s="5" t="inlineStr">
        <is>
          <t>kim-yapti</t>
        </is>
      </c>
      <c r="B51" s="5" t="n">
        <v>2</v>
      </c>
      <c r="C51" s="6" t="inlineStr">
        <is>
          <t>Bilmiyorum de</t>
        </is>
      </c>
      <c r="D51" s="5" t="inlineStr">
        <is>
          <t>Çene</t>
        </is>
      </c>
      <c r="E51" s="5" t="inlineStr">
        <is>
          <t>Orta</t>
        </is>
      </c>
      <c r="F51" s="5" t="inlineStr"/>
      <c r="G51" s="6" t="inlineStr"/>
      <c r="H51" s="6" t="inlineStr">
        <is>
          <t>Bilgi eksikliği stratejik olarak kullanıldı.</t>
        </is>
      </c>
      <c r="I51" s="6" t="inlineStr">
        <is>
          <t>'Bilmiyorum' dedin. O kadar ikna ediciydin ki soruşturma kapandı ve sana dondurma verildi.</t>
        </is>
      </c>
      <c r="J51" s="6" t="inlineStr">
        <is>
          <t>'Bilmiyorum' dedin. Yüzün 'biliyorum' dedi.</t>
        </is>
      </c>
      <c r="K51" s="6" t="inlineStr">
        <is>
          <t>'Bilmiyorum' dedin ve hemen ardından 'ama ben yapmadım' ekledin. Kimse sormamıştı.</t>
        </is>
      </c>
      <c r="L51" s="6" t="inlineStr"/>
      <c r="M51" s="5" t="inlineStr"/>
      <c r="N51" s="5" t="inlineStr"/>
      <c r="O51" s="6" t="inlineStr"/>
      <c r="P51" s="6" t="inlineStr"/>
      <c r="Q51" s="5" t="inlineStr"/>
      <c r="R51" s="5" t="inlineStr"/>
      <c r="S51" s="5" t="inlineStr"/>
      <c r="T51" s="5" t="inlineStr"/>
      <c r="U51" s="5" t="inlineStr"/>
      <c r="V51" s="5" t="inlineStr"/>
      <c r="W51" s="5" t="inlineStr"/>
      <c r="X51" s="5" t="inlineStr"/>
      <c r="Y51" s="5" t="inlineStr"/>
      <c r="Z51" s="6" t="inlineStr"/>
    </row>
    <row r="52">
      <c r="A52" s="5" t="inlineStr">
        <is>
          <t>kim-yapti</t>
        </is>
      </c>
      <c r="B52" s="5" t="n">
        <v>3</v>
      </c>
      <c r="C52" s="6" t="inlineStr">
        <is>
          <t>'Siz ne düşünüyorsunuz?' diye sor</t>
        </is>
      </c>
      <c r="D52" s="5" t="inlineStr">
        <is>
          <t>Akıl</t>
        </is>
      </c>
      <c r="E52" s="5" t="inlineStr">
        <is>
          <t>Orta</t>
        </is>
      </c>
      <c r="F52" s="5" t="inlineStr"/>
      <c r="G52" s="6" t="inlineStr"/>
      <c r="H52" s="6" t="inlineStr">
        <is>
          <t>Soruyu soruya çevirdin. Yetişkin kendi teorisini anlatırken sen sessizce aklandın.</t>
        </is>
      </c>
      <c r="I52" s="6" t="inlineStr">
        <is>
          <t>Yetişkin cevap verirken kendini suçlu hissetti ve sana kurabiye verdi.</t>
        </is>
      </c>
      <c r="J52" s="6" t="inlineStr">
        <is>
          <t>'Soruyu ben sordum' dedi yetişkin. Tartışma bitti.</t>
        </is>
      </c>
      <c r="K52" s="6" t="inlineStr">
        <is>
          <t>Soruyu sordun; yetişkin 'Sen yaptın' dedi. Kendi sorunla yakalandın.</t>
        </is>
      </c>
      <c r="L52" s="6" t="inlineStr"/>
      <c r="M52" s="5" t="inlineStr"/>
      <c r="N52" s="5" t="inlineStr"/>
      <c r="O52" s="6" t="inlineStr"/>
      <c r="P52" s="6" t="inlineStr"/>
      <c r="Q52" s="5" t="inlineStr"/>
      <c r="R52" s="5" t="inlineStr"/>
      <c r="S52" s="5" t="inlineStr">
        <is>
          <t>Akıl</t>
        </is>
      </c>
      <c r="T52" s="5" t="inlineStr"/>
      <c r="U52" s="5" t="inlineStr"/>
      <c r="V52" s="5" t="inlineStr"/>
      <c r="W52" s="5" t="inlineStr"/>
      <c r="X52" s="5" t="inlineStr"/>
      <c r="Y52" s="5" t="inlineStr"/>
      <c r="Z52" s="6" t="inlineStr"/>
    </row>
    <row r="53">
      <c r="A53" s="5" t="inlineStr">
        <is>
          <t>kim-yapti</t>
        </is>
      </c>
      <c r="B53" s="5" t="n">
        <v>4</v>
      </c>
      <c r="C53" s="6" t="inlineStr">
        <is>
          <t>Başkasını suçla</t>
        </is>
      </c>
      <c r="D53" s="5" t="inlineStr">
        <is>
          <t>Pişkinlik</t>
        </is>
      </c>
      <c r="E53" s="5" t="inlineStr">
        <is>
          <t>Çok Zor</t>
        </is>
      </c>
      <c r="F53" s="5" t="inlineStr"/>
      <c r="G53" s="6" t="inlineStr"/>
      <c r="H53" s="6" t="inlineStr">
        <is>
          <t>Dosya başka birinin masasına gönderildi.</t>
        </is>
      </c>
      <c r="I53" s="6" t="inlineStr">
        <is>
          <t>Dosya kuzenin masasına gönderildi. Kuzen hâlâ ne olduğunu anlamaya çalışıyor.</t>
        </is>
      </c>
      <c r="J53" s="6" t="inlineStr">
        <is>
          <t>Suçladığın kişi o gün evde değildi.</t>
        </is>
      </c>
      <c r="K53" s="6" t="inlineStr">
        <is>
          <t>Suçladığın kişi olayın videosunu çekmişti.</t>
        </is>
      </c>
      <c r="L53" s="6" t="inlineStr"/>
      <c r="M53" s="5" t="inlineStr"/>
      <c r="N53" s="5" t="inlineStr"/>
      <c r="O53" s="6" t="inlineStr"/>
      <c r="P53" s="6" t="inlineStr"/>
      <c r="Q53" s="5" t="inlineStr"/>
      <c r="R53" s="5" t="inlineStr"/>
      <c r="S53" s="5" t="inlineStr"/>
      <c r="T53" s="5" t="inlineStr"/>
      <c r="U53" s="5" t="inlineStr">
        <is>
          <t>yalanci</t>
        </is>
      </c>
      <c r="V53" s="5" t="inlineStr"/>
      <c r="W53" s="5" t="inlineStr"/>
      <c r="X53" s="5" t="inlineStr"/>
      <c r="Y53" s="5" t="inlineStr"/>
      <c r="Z53" s="6" t="inlineStr"/>
    </row>
    <row r="54">
      <c r="A54" s="5" t="inlineStr">
        <is>
          <t>kim-yapti</t>
        </is>
      </c>
      <c r="B54" s="5" t="n">
        <v>5</v>
      </c>
      <c r="C54" s="6" t="inlineStr">
        <is>
          <t>Kediyi yine suçla</t>
        </is>
      </c>
      <c r="D54" s="5" t="inlineStr">
        <is>
          <t>Pişkinlik</t>
        </is>
      </c>
      <c r="E54" s="5" t="inlineStr">
        <is>
          <t>Zor</t>
        </is>
      </c>
      <c r="F54" s="5" t="inlineStr"/>
      <c r="G54" s="6" t="inlineStr"/>
      <c r="H54" s="6" t="inlineStr">
        <is>
          <t>Kedi ikinci kez mahkûm edildi. Artık sabıkalı.</t>
        </is>
      </c>
      <c r="I54" s="6" t="inlineStr">
        <is>
          <t>Kedi öyle ikna edici bir şekilde suçlandı ki bir haftalığına teyzene gönderildi. Ev sessiz, sen memnun.</t>
        </is>
      </c>
      <c r="J54" s="6" t="inlineStr">
        <is>
          <t>“Kedi mi?” dedi annen. “Kedi o gün veterinerdeydi.”</t>
        </is>
      </c>
      <c r="K54" s="6" t="inlineStr">
        <is>
          <t>Kediyi suçladın. Kedi o sırada kucağında uyuyordu. Artık ikinizi ayrı ayrı sorguluyorlar.</t>
        </is>
      </c>
      <c r="L54" s="6" t="inlineStr"/>
      <c r="M54" s="5" t="inlineStr"/>
      <c r="N54" s="5" t="inlineStr"/>
      <c r="O54" s="6" t="inlineStr"/>
      <c r="P54" s="6" t="inlineStr"/>
      <c r="Q54" s="5" t="inlineStr"/>
      <c r="R54" s="5" t="inlineStr">
        <is>
          <t>kediSuclu</t>
        </is>
      </c>
      <c r="S54" s="5" t="inlineStr"/>
      <c r="T54" s="5" t="inlineStr"/>
      <c r="U54" s="5" t="inlineStr">
        <is>
          <t>yalanci</t>
        </is>
      </c>
      <c r="V54" s="5" t="inlineStr"/>
      <c r="W54" s="5" t="inlineStr"/>
      <c r="X54" s="5" t="inlineStr"/>
      <c r="Y54" s="5" t="inlineStr"/>
      <c r="Z54" s="6" t="inlineStr"/>
    </row>
    <row r="55">
      <c r="A55" s="5" t="inlineStr">
        <is>
          <t>kres-kapisi</t>
        </is>
      </c>
      <c r="B55" s="5" t="n">
        <v>1</v>
      </c>
      <c r="C55" s="6" t="inlineStr">
        <is>
          <t>Bacağına sarıl</t>
        </is>
      </c>
      <c r="D55" s="5" t="inlineStr"/>
      <c r="E55" s="5" t="inlineStr"/>
      <c r="F55" s="5" t="inlineStr">
        <is>
          <t>Vicdan +1</t>
        </is>
      </c>
      <c r="G55" s="6" t="inlineStr">
        <is>
          <t>Ayrılık müzakeresi uzadı.</t>
        </is>
      </c>
      <c r="H55" s="6" t="inlineStr"/>
      <c r="I55" s="6" t="inlineStr"/>
      <c r="J55" s="6" t="inlineStr"/>
      <c r="K55" s="6" t="inlineStr"/>
      <c r="L55" s="6" t="inlineStr"/>
      <c r="M55" s="5" t="inlineStr"/>
      <c r="N55" s="5" t="inlineStr"/>
      <c r="O55" s="6" t="inlineStr"/>
      <c r="P55" s="6" t="inlineStr"/>
      <c r="Q55" s="5" t="inlineStr"/>
      <c r="R55" s="5" t="inlineStr"/>
      <c r="S55" s="5" t="inlineStr"/>
      <c r="T55" s="5" t="inlineStr"/>
      <c r="U55" s="5" t="inlineStr">
        <is>
          <t>yapiskan</t>
        </is>
      </c>
      <c r="V55" s="5" t="inlineStr"/>
      <c r="W55" s="5" t="inlineStr"/>
      <c r="X55" s="5" t="inlineStr"/>
      <c r="Y55" s="5" t="inlineStr"/>
      <c r="Z55" s="6" t="inlineStr"/>
    </row>
    <row r="56">
      <c r="A56" s="5" t="inlineStr">
        <is>
          <t>kres-kapisi</t>
        </is>
      </c>
      <c r="B56" s="5" t="n">
        <v>2</v>
      </c>
      <c r="C56" s="6" t="inlineStr">
        <is>
          <t>İçeri gir</t>
        </is>
      </c>
      <c r="D56" s="5" t="inlineStr">
        <is>
          <t>Cesaret</t>
        </is>
      </c>
      <c r="E56" s="5" t="inlineStr">
        <is>
          <t>Orta</t>
        </is>
      </c>
      <c r="F56" s="5" t="inlineStr"/>
      <c r="G56" s="6" t="inlineStr"/>
      <c r="H56" s="6" t="inlineStr">
        <is>
          <t>Yeni harita açıldı.</t>
        </is>
      </c>
      <c r="I56" s="6" t="inlineStr">
        <is>
          <t>İçeri girdin, arkana bakmadın, öğle yemeğinde masa başkanıydın.</t>
        </is>
      </c>
      <c r="J56" s="6" t="inlineStr">
        <is>
          <t>Kapıya kadar gittin, geri döndün. Plan B: yarın.</t>
        </is>
      </c>
      <c r="K56" s="6" t="inlineStr">
        <is>
          <t>İçeri girdin; yanlış sınıfa. Bir saat bebek grubunda kaldın.</t>
        </is>
      </c>
      <c r="L56" s="6" t="inlineStr"/>
      <c r="M56" s="5" t="inlineStr"/>
      <c r="N56" s="5" t="inlineStr"/>
      <c r="O56" s="6" t="inlineStr"/>
      <c r="P56" s="6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6" t="inlineStr"/>
    </row>
    <row r="57">
      <c r="A57" s="5" t="inlineStr">
        <is>
          <t>kres-kapisi</t>
        </is>
      </c>
      <c r="B57" s="5" t="n">
        <v>3</v>
      </c>
      <c r="C57" s="6" t="inlineStr">
        <is>
          <t>Önce ortamı izle</t>
        </is>
      </c>
      <c r="D57" s="5" t="inlineStr">
        <is>
          <t>Sosyal Radar</t>
        </is>
      </c>
      <c r="E57" s="5" t="inlineStr">
        <is>
          <t>Kolay</t>
        </is>
      </c>
      <c r="F57" s="5" t="inlineStr"/>
      <c r="G57" s="6" t="inlineStr"/>
      <c r="H57" s="6" t="inlineStr">
        <is>
          <t>Kim kimdir, kim neye sahip, hızlıca kaydettin.</t>
        </is>
      </c>
      <c r="I57" s="6" t="inlineStr">
        <is>
          <t>Beş dakikada sınıfın haritasını çıkardın: en iyi oyuncak, en iyi köşe, en tatlı öğretmen.</t>
        </is>
      </c>
      <c r="J57" s="6" t="inlineStr">
        <is>
          <t>İzlerken kapı kapandı. Ortam içeride kaldı, sen dışarıda.</t>
        </is>
      </c>
      <c r="K57" s="6" t="inlineStr">
        <is>
          <t>İzlerken biri seni yeni oyuncak sandı.</t>
        </is>
      </c>
      <c r="L57" s="6" t="inlineStr"/>
      <c r="M57" s="5" t="inlineStr"/>
      <c r="N57" s="5" t="inlineStr"/>
      <c r="O57" s="6" t="inlineStr"/>
      <c r="P57" s="6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6" t="inlineStr"/>
    </row>
    <row r="58">
      <c r="A58" s="5" t="inlineStr">
        <is>
          <t>kres-kapisi</t>
        </is>
      </c>
      <c r="B58" s="5" t="n">
        <v>4</v>
      </c>
      <c r="C58" s="6" t="inlineStr">
        <is>
          <t>Kapıda veda turu at</t>
        </is>
      </c>
      <c r="D58" s="5" t="inlineStr">
        <is>
          <t>Pişkinlik</t>
        </is>
      </c>
      <c r="E58" s="5" t="inlineStr">
        <is>
          <t>Orta</t>
        </is>
      </c>
      <c r="F58" s="5" t="inlineStr"/>
      <c r="G58" s="6" t="inlineStr"/>
      <c r="H58" s="6" t="inlineStr">
        <is>
          <t>Kapıda herkese tek tek el salladın. İki veli alkışladı, öğretmen bir şey not etti.</t>
        </is>
      </c>
      <c r="I58" s="6" t="inlineStr">
        <is>
          <t>Veda turun o kadar etkileyiciydi ki diğer çocuklar da el sallamaya başladı. Kreşin ilk sabahını sen yönettin.</t>
        </is>
      </c>
      <c r="J58" s="6" t="inlineStr">
        <is>
          <t>El salladın; kimse bakmadı. Herkes kendi ağlamasıyla meşguldü.</t>
        </is>
      </c>
      <c r="K58" s="6" t="inlineStr">
        <is>
          <t>Turu fazla uzattın. Kapı kapandı, sen dışarıda kaldın. Seyircisiz bir gösteri.</t>
        </is>
      </c>
      <c r="L58" s="6" t="inlineStr"/>
      <c r="M58" s="5" t="inlineStr"/>
      <c r="N58" s="5" t="inlineStr"/>
      <c r="O58" s="6" t="inlineStr"/>
      <c r="P58" s="6" t="inlineStr"/>
      <c r="Q58" s="5" t="inlineStr"/>
      <c r="R58" s="5" t="inlineStr"/>
      <c r="S58" s="5" t="inlineStr"/>
      <c r="T58" s="5" t="inlineStr">
        <is>
          <t>Sahne Sever</t>
        </is>
      </c>
      <c r="U58" s="5" t="inlineStr"/>
      <c r="V58" s="5" t="inlineStr"/>
      <c r="W58" s="5" t="inlineStr"/>
      <c r="X58" s="5" t="inlineStr"/>
      <c r="Y58" s="5" t="inlineStr"/>
      <c r="Z58" s="6" t="inlineStr"/>
    </row>
    <row r="59">
      <c r="A59" s="5" t="inlineStr">
        <is>
          <t>ilk-arkadas</t>
        </is>
      </c>
      <c r="B59" s="5" t="n">
        <v>1</v>
      </c>
      <c r="C59" s="6" t="inlineStr">
        <is>
          <t>İsmini söyle</t>
        </is>
      </c>
      <c r="D59" s="5" t="inlineStr"/>
      <c r="E59" s="5" t="inlineStr"/>
      <c r="F59" s="5" t="inlineStr">
        <is>
          <t>Çene +1</t>
        </is>
      </c>
      <c r="G59" s="6" t="inlineStr">
        <is>
          <t>Diplomatik ilişki kuruldu.</t>
        </is>
      </c>
      <c r="H59" s="6" t="inlineStr"/>
      <c r="I59" s="6" t="inlineStr"/>
      <c r="J59" s="6" t="inlineStr"/>
      <c r="K59" s="6" t="inlineStr"/>
      <c r="L59" s="6" t="inlineStr"/>
      <c r="M59" s="5" t="inlineStr"/>
      <c r="N59" s="5" t="inlineStr"/>
      <c r="O59" s="6" t="inlineStr"/>
      <c r="P59" s="6" t="inlineStr"/>
      <c r="Q59" s="5" t="inlineStr"/>
      <c r="R59" s="5" t="inlineStr"/>
      <c r="S59" s="5" t="inlineStr"/>
      <c r="T59" s="5" t="inlineStr"/>
      <c r="U59" s="5" t="inlineStr"/>
      <c r="V59" s="5" t="inlineStr"/>
      <c r="W59" s="5" t="inlineStr"/>
      <c r="X59" s="5" t="inlineStr"/>
      <c r="Y59" s="5" t="inlineStr"/>
      <c r="Z59" s="6" t="inlineStr"/>
    </row>
    <row r="60">
      <c r="A60" s="5" t="inlineStr">
        <is>
          <t>ilk-arkadas</t>
        </is>
      </c>
      <c r="B60" s="5" t="n">
        <v>2</v>
      </c>
      <c r="C60" s="6" t="inlineStr">
        <is>
          <t>Oyuncağını sor</t>
        </is>
      </c>
      <c r="D60" s="5" t="inlineStr">
        <is>
          <t>Çene</t>
        </is>
      </c>
      <c r="E60" s="5" t="inlineStr">
        <is>
          <t>Çok Kolay</t>
        </is>
      </c>
      <c r="F60" s="5" t="inlineStr"/>
      <c r="G60" s="6" t="inlineStr"/>
      <c r="H60" s="6" t="inlineStr">
        <is>
          <t>Ortak ilgi alanı bulundu.</t>
        </is>
      </c>
      <c r="I60" s="6" t="inlineStr">
        <is>
          <t>Oyuncağını sordun; sana koleksiyonunun tam envanterini sundu. Dostluk tescillendi.</t>
        </is>
      </c>
      <c r="J60" s="6" t="inlineStr">
        <is>
          <t>Sordun, cevap vermedi. Oyuncak daha ilginçti.</t>
        </is>
      </c>
      <c r="K60" s="6" t="inlineStr">
        <is>
          <t>Sordun; oyuncağın kendisine ait olduğunu yüksek sesle ilan etti.</t>
        </is>
      </c>
      <c r="L60" s="6" t="inlineStr"/>
      <c r="M60" s="5" t="inlineStr"/>
      <c r="N60" s="5" t="inlineStr"/>
      <c r="O60" s="6" t="inlineStr"/>
      <c r="P60" s="6" t="inlineStr"/>
      <c r="Q60" s="5" t="inlineStr"/>
      <c r="R60" s="5" t="inlineStr"/>
      <c r="S60" s="5" t="inlineStr"/>
      <c r="T60" s="5" t="inlineStr"/>
      <c r="U60" s="5" t="inlineStr"/>
      <c r="V60" s="5" t="inlineStr"/>
      <c r="W60" s="5" t="inlineStr"/>
      <c r="X60" s="5" t="inlineStr"/>
      <c r="Y60" s="5" t="inlineStr"/>
      <c r="Z60" s="6" t="inlineStr"/>
    </row>
    <row r="61">
      <c r="A61" s="5" t="inlineStr">
        <is>
          <t>ilk-arkadas</t>
        </is>
      </c>
      <c r="B61" s="5" t="n">
        <v>3</v>
      </c>
      <c r="C61" s="6" t="inlineStr">
        <is>
          <t>Konuşmadan yanında dur</t>
        </is>
      </c>
      <c r="D61" s="5" t="inlineStr">
        <is>
          <t>Sosyal Radar</t>
        </is>
      </c>
      <c r="E61" s="5" t="inlineStr">
        <is>
          <t>Kolay</t>
        </is>
      </c>
      <c r="F61" s="5" t="inlineStr"/>
      <c r="G61" s="6" t="inlineStr"/>
      <c r="H61" s="6" t="inlineStr">
        <is>
          <t>Sessizlik garip değildi. Bu iyi işaret.</t>
        </is>
      </c>
      <c r="I61" s="6" t="inlineStr">
        <is>
          <t>Hiç konuşmadınız. Ertesi gün aynı yerde buluştunuz. Gerçek dostluk.</t>
        </is>
      </c>
      <c r="J61" s="6" t="inlineStr">
        <is>
          <t>Sessizlik biraz garipti.</t>
        </is>
      </c>
      <c r="K61" s="6" t="inlineStr">
        <is>
          <t>Sessizce durdun; o da sessizce uzaklaştı.</t>
        </is>
      </c>
      <c r="L61" s="6" t="inlineStr"/>
      <c r="M61" s="5" t="inlineStr"/>
      <c r="N61" s="5" t="inlineStr"/>
      <c r="O61" s="6" t="inlineStr"/>
      <c r="P61" s="6" t="inlineStr"/>
      <c r="Q61" s="5" t="inlineStr"/>
      <c r="R61" s="5" t="inlineStr"/>
      <c r="S61" s="5" t="inlineStr"/>
      <c r="T61" s="5" t="inlineStr"/>
      <c r="U61" s="5" t="inlineStr"/>
      <c r="V61" s="5" t="inlineStr"/>
      <c r="W61" s="5" t="inlineStr"/>
      <c r="X61" s="5" t="inlineStr"/>
      <c r="Y61" s="5" t="inlineStr"/>
      <c r="Z61" s="6" t="inlineStr"/>
    </row>
    <row r="62">
      <c r="A62" s="5" t="inlineStr">
        <is>
          <t>oyuncagimi-aldi</t>
        </is>
      </c>
      <c r="B62" s="5" t="n">
        <v>1</v>
      </c>
      <c r="C62" s="6" t="inlineStr">
        <is>
          <t>Geri iste</t>
        </is>
      </c>
      <c r="D62" s="5" t="inlineStr">
        <is>
          <t>Çene</t>
        </is>
      </c>
      <c r="E62" s="5" t="inlineStr">
        <is>
          <t>Kolay</t>
        </is>
      </c>
      <c r="F62" s="5" t="inlineStr"/>
      <c r="G62" s="6" t="inlineStr"/>
      <c r="H62" s="6" t="inlineStr">
        <is>
          <t>Mülkiyet hakkını sözlü savundun.</t>
        </is>
      </c>
      <c r="I62" s="6" t="inlineStr">
        <is>
          <t>Öyle bir savunma yaptın ki oyuncağı özür dileyerek geri verdi.</t>
        </is>
      </c>
      <c r="J62" s="6" t="inlineStr">
        <is>
          <t>İstedin. Duymamış gibi yaptı.</t>
        </is>
      </c>
      <c r="K62" s="6" t="inlineStr">
        <is>
          <t>İstedin; o da senin diğer oyuncağını istedi. Dava büyüdü.</t>
        </is>
      </c>
      <c r="L62" s="6" t="inlineStr"/>
      <c r="M62" s="5" t="inlineStr"/>
      <c r="N62" s="5" t="inlineStr"/>
      <c r="O62" s="6" t="inlineStr"/>
      <c r="P62" s="6" t="inlineStr"/>
      <c r="Q62" s="5" t="inlineStr"/>
      <c r="R62" s="5" t="inlineStr"/>
      <c r="S62" s="5" t="inlineStr"/>
      <c r="T62" s="5" t="inlineStr"/>
      <c r="U62" s="5" t="inlineStr"/>
      <c r="V62" s="5" t="inlineStr"/>
      <c r="W62" s="5" t="inlineStr"/>
      <c r="X62" s="5" t="inlineStr"/>
      <c r="Y62" s="5" t="inlineStr"/>
      <c r="Z62" s="6" t="inlineStr"/>
    </row>
    <row r="63">
      <c r="A63" s="5" t="inlineStr">
        <is>
          <t>oyuncagimi-aldi</t>
        </is>
      </c>
      <c r="B63" s="5" t="n">
        <v>2</v>
      </c>
      <c r="C63" s="6" t="inlineStr">
        <is>
          <t>Elinden al</t>
        </is>
      </c>
      <c r="D63" s="5" t="inlineStr">
        <is>
          <t>Cesaret</t>
        </is>
      </c>
      <c r="E63" s="5" t="inlineStr">
        <is>
          <t>Orta</t>
        </is>
      </c>
      <c r="F63" s="5" t="inlineStr"/>
      <c r="G63" s="6" t="inlineStr"/>
      <c r="H63" s="6" t="inlineStr">
        <is>
          <t>Hızlı çözüm, uzun bakışmalar.</t>
        </is>
      </c>
      <c r="I63" s="6" t="inlineStr">
        <is>
          <t>Aldın. Karşı taraf bir daha bu konuyu açmadı.</t>
        </is>
      </c>
      <c r="J63" s="6" t="inlineStr">
        <is>
          <t>Aldın, geri aldı. Oyun berabere.</t>
        </is>
      </c>
      <c r="K63" s="6" t="inlineStr">
        <is>
          <t>Almaya çalışırken öğretmen tam o an döndü. Sadece seni gördü.</t>
        </is>
      </c>
      <c r="L63" s="6" t="inlineStr"/>
      <c r="M63" s="5" t="inlineStr"/>
      <c r="N63" s="5" t="inlineStr"/>
      <c r="O63" s="6" t="inlineStr"/>
      <c r="P63" s="6" t="inlineStr"/>
      <c r="Q63" s="5" t="inlineStr"/>
      <c r="R63" s="5" t="inlineStr"/>
      <c r="S63" s="5" t="inlineStr"/>
      <c r="T63" s="5" t="inlineStr"/>
      <c r="U63" s="5" t="inlineStr"/>
      <c r="V63" s="5" t="inlineStr"/>
      <c r="W63" s="5" t="inlineStr"/>
      <c r="X63" s="5" t="inlineStr"/>
      <c r="Y63" s="5" t="inlineStr"/>
      <c r="Z63" s="6" t="inlineStr"/>
    </row>
    <row r="64">
      <c r="A64" s="5" t="inlineStr">
        <is>
          <t>oyuncagimi-aldi</t>
        </is>
      </c>
      <c r="B64" s="5" t="n">
        <v>3</v>
      </c>
      <c r="C64" s="6" t="inlineStr">
        <is>
          <t>Takas öner</t>
        </is>
      </c>
      <c r="D64" s="5" t="inlineStr">
        <is>
          <t>Kurnazlık</t>
        </is>
      </c>
      <c r="E64" s="5" t="inlineStr">
        <is>
          <t>Kolay</t>
        </is>
      </c>
      <c r="F64" s="5" t="inlineStr"/>
      <c r="G64" s="6" t="inlineStr"/>
      <c r="H64" s="6" t="inlineStr">
        <is>
          <t>Piyasa mekanizması devreye girdi.</t>
        </is>
      </c>
      <c r="I64" s="6" t="inlineStr">
        <is>
          <t>Takas ettin ve üstüne bir de kurabiye aldın. Arbitraj.</t>
        </is>
      </c>
      <c r="J64" s="6" t="inlineStr">
        <is>
          <t>Teklifin reddedildi. Piyasa durgun.</t>
        </is>
      </c>
      <c r="K64" s="6" t="inlineStr">
        <is>
          <t>Takas ettin; eline geçen oyuncağın sahibi başka bir çocuk çıktı.</t>
        </is>
      </c>
      <c r="L64" s="6" t="inlineStr"/>
      <c r="M64" s="5" t="inlineStr"/>
      <c r="N64" s="5" t="inlineStr"/>
      <c r="O64" s="6" t="inlineStr"/>
      <c r="P64" s="6" t="inlineStr"/>
      <c r="Q64" s="5" t="inlineStr"/>
      <c r="R64" s="5" t="inlineStr"/>
      <c r="S64" s="5" t="inlineStr"/>
      <c r="T64" s="5" t="inlineStr"/>
      <c r="U64" s="5" t="inlineStr"/>
      <c r="V64" s="5" t="inlineStr"/>
      <c r="W64" s="5" t="inlineStr"/>
      <c r="X64" s="5" t="inlineStr"/>
      <c r="Y64" s="5" t="inlineStr"/>
      <c r="Z64" s="6" t="inlineStr"/>
    </row>
    <row r="65">
      <c r="A65" s="5" t="inlineStr">
        <is>
          <t>oyuncagimi-aldi</t>
        </is>
      </c>
      <c r="B65" s="5" t="n">
        <v>4</v>
      </c>
      <c r="C65" s="6" t="inlineStr">
        <is>
          <t>Öğretmene söyle</t>
        </is>
      </c>
      <c r="D65" s="5" t="inlineStr"/>
      <c r="E65" s="5" t="inlineStr"/>
      <c r="F65" s="5" t="inlineStr">
        <is>
          <t>Vicdan +1</t>
        </is>
      </c>
      <c r="G65" s="6" t="inlineStr">
        <is>
          <t>Uyuşmazlık kurumsal kanala taşındı.</t>
        </is>
      </c>
      <c r="H65" s="6" t="inlineStr"/>
      <c r="I65" s="6" t="inlineStr"/>
      <c r="J65" s="6" t="inlineStr"/>
      <c r="K65" s="6" t="inlineStr"/>
      <c r="L65" s="6" t="inlineStr"/>
      <c r="M65" s="5" t="inlineStr"/>
      <c r="N65" s="5" t="inlineStr"/>
      <c r="O65" s="6" t="inlineStr"/>
      <c r="P65" s="6" t="inlineStr"/>
      <c r="Q65" s="5" t="inlineStr"/>
      <c r="R65" s="5" t="inlineStr"/>
      <c r="S65" s="5" t="inlineStr"/>
      <c r="T65" s="5" t="inlineStr"/>
      <c r="U65" s="5" t="inlineStr"/>
      <c r="V65" s="5" t="inlineStr"/>
      <c r="W65" s="5" t="inlineStr"/>
      <c r="X65" s="5" t="inlineStr"/>
      <c r="Y65" s="5" t="inlineStr"/>
      <c r="Z65" s="6" t="inlineStr"/>
    </row>
    <row r="66">
      <c r="A66" s="5" t="inlineStr">
        <is>
          <t>ogretmen-yanlis-anladi</t>
        </is>
      </c>
      <c r="B66" s="5" t="n">
        <v>1</v>
      </c>
      <c r="C66" s="6" t="inlineStr">
        <is>
          <t>Kendini anlat</t>
        </is>
      </c>
      <c r="D66" s="5" t="inlineStr">
        <is>
          <t>Çene</t>
        </is>
      </c>
      <c r="E66" s="5" t="inlineStr">
        <is>
          <t>Kolay</t>
        </is>
      </c>
      <c r="F66" s="5" t="inlineStr"/>
      <c r="G66" s="6" t="inlineStr"/>
      <c r="H66" s="6" t="inlineStr">
        <is>
          <t>Dosyaya kendi ifaden eklendi.</t>
        </is>
      </c>
      <c r="I66" s="6" t="inlineStr">
        <is>
          <t>Öyle net anlattın ki öğretmen sana teşekkür edip seni sınıf sözcüsü yaptı.</t>
        </is>
      </c>
      <c r="J66" s="6" t="inlineStr">
        <is>
          <t>Anlattın ama ağlamaklı ses tonu mesajın önüne geçti.</t>
        </is>
      </c>
      <c r="K66" s="6" t="inlineStr">
        <is>
          <t>Anlatırken olayı daha da karıştırdın. Artık sen de ne olduğunu bilmiyorsun.</t>
        </is>
      </c>
      <c r="L66" s="6" t="inlineStr"/>
      <c r="M66" s="5" t="inlineStr"/>
      <c r="N66" s="5" t="inlineStr"/>
      <c r="O66" s="6" t="inlineStr"/>
      <c r="P66" s="6" t="inlineStr"/>
      <c r="Q66" s="5" t="inlineStr"/>
      <c r="R66" s="5" t="inlineStr"/>
      <c r="S66" s="5" t="inlineStr"/>
      <c r="T66" s="5" t="inlineStr"/>
      <c r="U66" s="5" t="inlineStr"/>
      <c r="V66" s="5" t="inlineStr"/>
      <c r="W66" s="5" t="inlineStr"/>
      <c r="X66" s="5" t="inlineStr"/>
      <c r="Y66" s="5" t="inlineStr"/>
      <c r="Z66" s="6" t="inlineStr"/>
    </row>
    <row r="67">
      <c r="A67" s="5" t="inlineStr">
        <is>
          <t>ogretmen-yanlis-anladi</t>
        </is>
      </c>
      <c r="B67" s="5" t="n">
        <v>2</v>
      </c>
      <c r="C67" s="6" t="inlineStr">
        <is>
          <t>Sakin kal</t>
        </is>
      </c>
      <c r="D67" s="5" t="inlineStr">
        <is>
          <t>Vicdan</t>
        </is>
      </c>
      <c r="E67" s="5" t="inlineStr">
        <is>
          <t>Kolay</t>
        </is>
      </c>
      <c r="F67" s="5" t="inlineStr"/>
      <c r="G67" s="6" t="inlineStr"/>
      <c r="H67" s="6" t="inlineStr">
        <is>
          <t>Gerilim büyümeden geçti.</t>
        </is>
      </c>
      <c r="I67" s="6" t="inlineStr">
        <is>
          <t>Sakin kaldın; öğretmen gerçeği kendisi fark etti ve özür diledi. Bu nadir görülür.</t>
        </is>
      </c>
      <c r="J67" s="6" t="inlineStr">
        <is>
          <t>Sakin kaldın ama içinden kaynıyordun. Yüzüne yansıdı.</t>
        </is>
      </c>
      <c r="K67" s="6" t="inlineStr">
        <is>
          <t>Sakin kaldın; suskunluğun itiraf sayıldı.</t>
        </is>
      </c>
      <c r="L67" s="6" t="inlineStr"/>
      <c r="M67" s="5" t="inlineStr"/>
      <c r="N67" s="5" t="inlineStr"/>
      <c r="O67" s="6" t="inlineStr"/>
      <c r="P67" s="6" t="inlineStr"/>
      <c r="Q67" s="5" t="inlineStr"/>
      <c r="R67" s="5" t="inlineStr"/>
      <c r="S67" s="5" t="inlineStr"/>
      <c r="T67" s="5" t="inlineStr"/>
      <c r="U67" s="5" t="inlineStr"/>
      <c r="V67" s="5" t="inlineStr"/>
      <c r="W67" s="5" t="inlineStr"/>
      <c r="X67" s="5" t="inlineStr"/>
      <c r="Y67" s="5" t="inlineStr"/>
      <c r="Z67" s="6" t="inlineStr"/>
    </row>
    <row r="68">
      <c r="A68" s="5" t="inlineStr">
        <is>
          <t>ogretmen-yanlis-anladi</t>
        </is>
      </c>
      <c r="B68" s="5" t="n">
        <v>3</v>
      </c>
      <c r="C68" s="6" t="inlineStr">
        <is>
          <t>Boş ver</t>
        </is>
      </c>
      <c r="D68" s="5" t="inlineStr"/>
      <c r="E68" s="5" t="inlineStr"/>
      <c r="F68" s="5" t="inlineStr">
        <is>
          <t>Dayanıklılık +1</t>
        </is>
      </c>
      <c r="G68" s="6" t="inlineStr">
        <is>
          <t>Her yanlış anlaşılma toplantı gerektirmiyor.</t>
        </is>
      </c>
      <c r="H68" s="6" t="inlineStr"/>
      <c r="I68" s="6" t="inlineStr"/>
      <c r="J68" s="6" t="inlineStr"/>
      <c r="K68" s="6" t="inlineStr"/>
      <c r="L68" s="6" t="inlineStr"/>
      <c r="M68" s="5" t="inlineStr"/>
      <c r="N68" s="5" t="inlineStr"/>
      <c r="O68" s="6" t="inlineStr"/>
      <c r="P68" s="6" t="inlineStr"/>
      <c r="Q68" s="5" t="inlineStr"/>
      <c r="R68" s="5" t="inlineStr"/>
      <c r="S68" s="5" t="inlineStr"/>
      <c r="T68" s="5" t="inlineStr"/>
      <c r="U68" s="5" t="inlineStr"/>
      <c r="V68" s="5" t="inlineStr"/>
      <c r="W68" s="5" t="inlineStr"/>
      <c r="X68" s="5" t="inlineStr"/>
      <c r="Y68" s="5" t="inlineStr"/>
      <c r="Z68" s="6" t="inlineStr"/>
    </row>
    <row r="69">
      <c r="A69" s="5" t="inlineStr">
        <is>
          <t>ogretmen-yanlis-anladi</t>
        </is>
      </c>
      <c r="B69" s="5" t="n">
        <v>4</v>
      </c>
      <c r="C69" s="6" t="inlineStr">
        <is>
          <t>Gerçek suçluyu gösteren ayrıntıyı hatırla</t>
        </is>
      </c>
      <c r="D69" s="5" t="inlineStr">
        <is>
          <t>Sosyal Radar</t>
        </is>
      </c>
      <c r="E69" s="5" t="inlineStr">
        <is>
          <t>Kolay</t>
        </is>
      </c>
      <c r="F69" s="5" t="inlineStr"/>
      <c r="G69" s="6" t="inlineStr"/>
      <c r="H69" s="6" t="inlineStr">
        <is>
          <t>Suçlunun elindeki boyayı hatırladın. Dosya yeniden açıldı.</t>
        </is>
      </c>
      <c r="I69" s="6" t="inlineStr">
        <is>
          <t>Ayrıntıları öyle sıraladın ki öğretmen seni sınıfın dedektifi ilan etti.</t>
        </is>
      </c>
      <c r="J69" s="6" t="inlineStr">
        <is>
          <t>Ayrıntıyı hatırladın ama kimse inanmadı.</t>
        </is>
      </c>
      <c r="K69" s="6" t="inlineStr">
        <is>
          <t>Yanlış ayrıntıyı hatırladın. Suçlu, masum bir boya kalemi oldu.</t>
        </is>
      </c>
      <c r="L69" s="6" t="inlineStr"/>
      <c r="M69" s="5" t="inlineStr"/>
      <c r="N69" s="5" t="inlineStr"/>
      <c r="O69" s="6" t="inlineStr"/>
      <c r="P69" s="6" t="inlineStr"/>
      <c r="Q69" s="5" t="inlineStr">
        <is>
          <t>Sessiz Gözlemci</t>
        </is>
      </c>
      <c r="R69" s="5" t="inlineStr"/>
      <c r="S69" s="5" t="inlineStr"/>
      <c r="T69" s="5" t="inlineStr"/>
      <c r="U69" s="5" t="inlineStr"/>
      <c r="V69" s="5" t="inlineStr"/>
      <c r="W69" s="5" t="inlineStr"/>
      <c r="X69" s="5" t="inlineStr"/>
      <c r="Y69" s="5" t="inlineStr"/>
      <c r="Z69" s="6" t="inlineStr"/>
    </row>
    <row r="70">
      <c r="A70" s="5" t="inlineStr">
        <is>
          <t>parkin-buyuk-cocugu</t>
        </is>
      </c>
      <c r="B70" s="5" t="n">
        <v>1</v>
      </c>
      <c r="C70" s="6" t="inlineStr">
        <is>
          <t>Başka yere git</t>
        </is>
      </c>
      <c r="D70" s="5" t="inlineStr"/>
      <c r="E70" s="5" t="inlineStr"/>
      <c r="F70" s="5" t="inlineStr">
        <is>
          <t>Dayanıklılık +1</t>
        </is>
      </c>
      <c r="G70" s="6" t="inlineStr">
        <is>
          <t>Kaynakları yeniden dağıttın.</t>
        </is>
      </c>
      <c r="H70" s="6" t="inlineStr"/>
      <c r="I70" s="6" t="inlineStr"/>
      <c r="J70" s="6" t="inlineStr"/>
      <c r="K70" s="6" t="inlineStr"/>
      <c r="L70" s="6" t="inlineStr"/>
      <c r="M70" s="5" t="inlineStr"/>
      <c r="N70" s="5" t="inlineStr"/>
      <c r="O70" s="6" t="inlineStr"/>
      <c r="P70" s="6" t="inlineStr"/>
      <c r="Q70" s="5" t="inlineStr"/>
      <c r="R70" s="5" t="inlineStr"/>
      <c r="S70" s="5" t="inlineStr"/>
      <c r="T70" s="5" t="inlineStr"/>
      <c r="U70" s="5" t="inlineStr"/>
      <c r="V70" s="5" t="inlineStr"/>
      <c r="W70" s="5" t="inlineStr"/>
      <c r="X70" s="5" t="inlineStr"/>
      <c r="Y70" s="5" t="inlineStr"/>
      <c r="Z70" s="6" t="inlineStr"/>
    </row>
    <row r="71">
      <c r="A71" s="5" t="inlineStr">
        <is>
          <t>parkin-buyuk-cocugu</t>
        </is>
      </c>
      <c r="B71" s="5" t="n">
        <v>2</v>
      </c>
      <c r="C71" s="6" t="inlineStr">
        <is>
          <t>'Herkesin burası' de</t>
        </is>
      </c>
      <c r="D71" s="5" t="inlineStr">
        <is>
          <t>Cesaret</t>
        </is>
      </c>
      <c r="E71" s="5" t="inlineStr">
        <is>
          <t>Zor</t>
        </is>
      </c>
      <c r="F71" s="5" t="inlineStr"/>
      <c r="G71" s="6" t="inlineStr"/>
      <c r="H71" s="6" t="inlineStr">
        <is>
          <t>Kamusal alan savunması yaptın. Büyük çocuk kenara çekildi.</t>
        </is>
      </c>
      <c r="I71" s="6" t="inlineStr">
        <is>
          <t>Konuşmanı bitirdiğinde parktaki tüm küçük çocuklar arkandaydı. Kaydırak halka açıldı.</t>
        </is>
      </c>
      <c r="J71" s="6" t="inlineStr">
        <is>
          <t>Söyledin. Büyük çocuk güldü. Biraz daha büyüyünce tekrar denersin.</t>
        </is>
      </c>
      <c r="K71" s="6" t="inlineStr">
        <is>
          <t>Söyledin. Büyük çocuk kaydıraktan kaydı ve tam önüne indi. Sessizlik.</t>
        </is>
      </c>
      <c r="L71" s="6" t="inlineStr"/>
      <c r="M71" s="5" t="inlineStr"/>
      <c r="N71" s="5" t="inlineStr"/>
      <c r="O71" s="6" t="inlineStr"/>
      <c r="P71" s="6" t="inlineStr"/>
      <c r="Q71" s="5" t="inlineStr"/>
      <c r="R71" s="5" t="inlineStr"/>
      <c r="S71" s="5" t="inlineStr"/>
      <c r="T71" s="5" t="inlineStr"/>
      <c r="U71" s="5" t="inlineStr"/>
      <c r="V71" s="5" t="inlineStr">
        <is>
          <t>cesurPark</t>
        </is>
      </c>
      <c r="W71" s="5" t="inlineStr"/>
      <c r="X71" s="5" t="inlineStr"/>
      <c r="Y71" s="5" t="inlineStr"/>
      <c r="Z71" s="6" t="inlineStr"/>
    </row>
    <row r="72">
      <c r="A72" s="5" t="inlineStr">
        <is>
          <t>parkin-buyuk-cocugu</t>
        </is>
      </c>
      <c r="B72" s="5" t="n">
        <v>3</v>
      </c>
      <c r="C72" s="6" t="inlineStr">
        <is>
          <t>Diğer çocukları ölç</t>
        </is>
      </c>
      <c r="D72" s="5" t="inlineStr">
        <is>
          <t>Sosyal Radar</t>
        </is>
      </c>
      <c r="E72" s="5" t="inlineStr">
        <is>
          <t>Orta</t>
        </is>
      </c>
      <c r="F72" s="5" t="inlineStr"/>
      <c r="G72" s="6" t="inlineStr"/>
      <c r="H72" s="6" t="inlineStr">
        <is>
          <t>Koalisyon ihtimalini değerlendirdin ve kurdun.</t>
        </is>
      </c>
      <c r="I72" s="6" t="inlineStr">
        <is>
          <t>Üç çocukla koalisyon kurdun. Büyük çocuk çoğunluğa boyun eğdi.</t>
        </is>
      </c>
      <c r="J72" s="6" t="inlineStr">
        <is>
          <t>Çocukları ölçtün; hepsi senden de küçüktü.</t>
        </is>
      </c>
      <c r="K72" s="6" t="inlineStr">
        <is>
          <t>Koalisyon kurdun; koalisyon büyük çocuğun tarafına geçti.</t>
        </is>
      </c>
      <c r="L72" s="6" t="inlineStr"/>
      <c r="M72" s="5" t="inlineStr"/>
      <c r="N72" s="5" t="inlineStr"/>
      <c r="O72" s="6" t="inlineStr"/>
      <c r="P72" s="6" t="inlineStr"/>
      <c r="Q72" s="5" t="inlineStr"/>
      <c r="R72" s="5" t="inlineStr"/>
      <c r="S72" s="5" t="inlineStr"/>
      <c r="T72" s="5" t="inlineStr"/>
      <c r="U72" s="5" t="inlineStr"/>
      <c r="V72" s="5" t="inlineStr"/>
      <c r="W72" s="5" t="inlineStr"/>
      <c r="X72" s="5" t="inlineStr"/>
      <c r="Y72" s="5" t="inlineStr"/>
      <c r="Z72" s="6" t="inlineStr"/>
    </row>
    <row r="73">
      <c r="A73" s="5" t="inlineStr">
        <is>
          <t>market-kasasi</t>
        </is>
      </c>
      <c r="B73" s="5" t="n">
        <v>1</v>
      </c>
      <c r="C73" s="6" t="inlineStr">
        <is>
          <t>Şekeri iste</t>
        </is>
      </c>
      <c r="D73" s="5" t="inlineStr"/>
      <c r="E73" s="5" t="inlineStr"/>
      <c r="F73" s="5" t="inlineStr">
        <is>
          <t>Çene +1</t>
        </is>
      </c>
      <c r="G73" s="6" t="inlineStr">
        <is>
          <t>Talep açıkça iletildi.</t>
        </is>
      </c>
      <c r="H73" s="6" t="inlineStr"/>
      <c r="I73" s="6" t="inlineStr"/>
      <c r="J73" s="6" t="inlineStr"/>
      <c r="K73" s="6" t="inlineStr"/>
      <c r="L73" s="6" t="inlineStr"/>
      <c r="M73" s="5" t="inlineStr"/>
      <c r="N73" s="5" t="inlineStr"/>
      <c r="O73" s="6" t="inlineStr"/>
      <c r="P73" s="6" t="inlineStr"/>
      <c r="Q73" s="5" t="inlineStr"/>
      <c r="R73" s="5" t="inlineStr"/>
      <c r="S73" s="5" t="inlineStr"/>
      <c r="T73" s="5" t="inlineStr"/>
      <c r="U73" s="5" t="inlineStr"/>
      <c r="V73" s="5" t="inlineStr"/>
      <c r="W73" s="5" t="inlineStr"/>
      <c r="X73" s="5" t="inlineStr"/>
      <c r="Y73" s="5" t="inlineStr"/>
      <c r="Z73" s="6" t="inlineStr"/>
    </row>
    <row r="74">
      <c r="A74" s="5" t="inlineStr">
        <is>
          <t>market-kasasi</t>
        </is>
      </c>
      <c r="B74" s="5" t="n">
        <v>2</v>
      </c>
      <c r="C74" s="6" t="inlineStr">
        <is>
          <t>Sepete gizlice koy</t>
        </is>
      </c>
      <c r="D74" s="5" t="inlineStr">
        <is>
          <t>Kurnazlık</t>
        </is>
      </c>
      <c r="E74" s="5" t="inlineStr">
        <is>
          <t>Orta</t>
        </is>
      </c>
      <c r="F74" s="5" t="inlineStr"/>
      <c r="G74" s="6" t="inlineStr"/>
      <c r="H74" s="6" t="inlineStr">
        <is>
          <t>Satın alma sürecine gölge operasyon eklendi.</t>
        </is>
      </c>
      <c r="I74" s="6" t="inlineStr">
        <is>
          <t>Şeker kasadan geçti, eve geldi, kimse fark etmedi. Kusursuz tedarik zinciri.</t>
        </is>
      </c>
      <c r="J74" s="6" t="inlineStr">
        <is>
          <t>Kasiyer şekeri gördü ve sana göz kırptı. Şeker rafa döndü.</t>
        </is>
      </c>
      <c r="K74" s="6" t="inlineStr">
        <is>
          <t>Sepete koyduğun şey şeker değil, pilmiş. Ailen çok şaşırdı.</t>
        </is>
      </c>
      <c r="L74" s="6" t="inlineStr"/>
      <c r="M74" s="5" t="inlineStr"/>
      <c r="N74" s="5" t="inlineStr"/>
      <c r="O74" s="6" t="inlineStr"/>
      <c r="P74" s="6" t="inlineStr"/>
      <c r="Q74" s="5" t="inlineStr"/>
      <c r="R74" s="5" t="inlineStr"/>
      <c r="S74" s="5" t="inlineStr"/>
      <c r="T74" s="5" t="inlineStr"/>
      <c r="U74" s="5" t="inlineStr"/>
      <c r="V74" s="5" t="inlineStr"/>
      <c r="W74" s="5" t="inlineStr"/>
      <c r="X74" s="5" t="inlineStr"/>
      <c r="Y74" s="5" t="inlineStr"/>
      <c r="Z74" s="6" t="inlineStr"/>
    </row>
    <row r="75">
      <c r="A75" s="5" t="inlineStr">
        <is>
          <t>market-kasasi</t>
        </is>
      </c>
      <c r="B75" s="5" t="n">
        <v>3</v>
      </c>
      <c r="C75" s="6" t="inlineStr">
        <is>
          <t>Dokunma</t>
        </is>
      </c>
      <c r="D75" s="5" t="inlineStr">
        <is>
          <t>Vicdan</t>
        </is>
      </c>
      <c r="E75" s="5" t="inlineStr">
        <is>
          <t>Çok Kolay</t>
        </is>
      </c>
      <c r="F75" s="5" t="inlineStr"/>
      <c r="G75" s="6" t="inlineStr"/>
      <c r="H75" s="6" t="inlineStr">
        <is>
          <t>Perakende psikolojisine karşı ilk zafer.</t>
        </is>
      </c>
      <c r="I75" s="6" t="inlineStr">
        <is>
          <t>Dokunmadın; kasiyer ödül olarak sana bir şeker hediye etti. Sistem kendi silahıyla yenildi.</t>
        </is>
      </c>
      <c r="J75" s="6" t="inlineStr">
        <is>
          <t>Dokunmadın ama gözün şekerde kaldı. Kasiyer gördü, ailen gördü.</t>
        </is>
      </c>
      <c r="K75" s="6" t="inlineStr">
        <is>
          <t>Dokunmamaya çalışırken tüm şeker standını devirdin.</t>
        </is>
      </c>
      <c r="L75" s="6" t="inlineStr"/>
      <c r="M75" s="5" t="inlineStr"/>
      <c r="N75" s="5" t="inlineStr"/>
      <c r="O75" s="6" t="inlineStr"/>
      <c r="P75" s="6" t="inlineStr"/>
      <c r="Q75" s="5" t="inlineStr"/>
      <c r="R75" s="5" t="inlineStr"/>
      <c r="S75" s="5" t="inlineStr"/>
      <c r="T75" s="5" t="inlineStr"/>
      <c r="U75" s="5" t="inlineStr"/>
      <c r="V75" s="5" t="inlineStr"/>
      <c r="W75" s="5" t="inlineStr"/>
      <c r="X75" s="5" t="inlineStr"/>
      <c r="Y75" s="5" t="inlineStr"/>
      <c r="Z75" s="6" t="inlineStr"/>
    </row>
    <row r="76">
      <c r="A76" s="5" t="inlineStr">
        <is>
          <t>baskasinin-dogum-gunu</t>
        </is>
      </c>
      <c r="B76" s="5" t="n">
        <v>1</v>
      </c>
      <c r="C76" s="6" t="inlineStr">
        <is>
          <t>Alkışla</t>
        </is>
      </c>
      <c r="D76" s="5" t="inlineStr"/>
      <c r="E76" s="5" t="inlineStr"/>
      <c r="F76" s="5" t="inlineStr">
        <is>
          <t>Vicdan +1</t>
        </is>
      </c>
      <c r="G76" s="6" t="inlineStr">
        <is>
          <t>Sisteme uyum gösterdin.</t>
        </is>
      </c>
      <c r="H76" s="6" t="inlineStr"/>
      <c r="I76" s="6" t="inlineStr"/>
      <c r="J76" s="6" t="inlineStr"/>
      <c r="K76" s="6" t="inlineStr"/>
      <c r="L76" s="6" t="inlineStr"/>
      <c r="M76" s="5" t="inlineStr"/>
      <c r="N76" s="5" t="inlineStr"/>
      <c r="O76" s="6" t="inlineStr"/>
      <c r="P76" s="6" t="inlineStr"/>
      <c r="Q76" s="5" t="inlineStr"/>
      <c r="R76" s="5" t="inlineStr"/>
      <c r="S76" s="5" t="inlineStr"/>
      <c r="T76" s="5" t="inlineStr"/>
      <c r="U76" s="5" t="inlineStr"/>
      <c r="V76" s="5" t="inlineStr"/>
      <c r="W76" s="5" t="inlineStr"/>
      <c r="X76" s="5" t="inlineStr"/>
      <c r="Y76" s="5" t="inlineStr"/>
      <c r="Z76" s="6" t="inlineStr"/>
    </row>
    <row r="77">
      <c r="A77" s="5" t="inlineStr">
        <is>
          <t>baskasinin-dogum-gunu</t>
        </is>
      </c>
      <c r="B77" s="5" t="n">
        <v>2</v>
      </c>
      <c r="C77" s="6" t="inlineStr">
        <is>
          <t>İlgi çek</t>
        </is>
      </c>
      <c r="D77" s="5" t="inlineStr">
        <is>
          <t>Pişkinlik</t>
        </is>
      </c>
      <c r="E77" s="5" t="inlineStr">
        <is>
          <t>Orta</t>
        </is>
      </c>
      <c r="F77" s="5" t="inlineStr"/>
      <c r="G77" s="6" t="inlineStr"/>
      <c r="H77" s="6" t="inlineStr">
        <is>
          <t>Spot ışığı kısa süreliğine yön değiştirdi.</t>
        </is>
      </c>
      <c r="I77" s="6" t="inlineStr">
        <is>
          <t>Sahneye çıktın, şarkıyı sen söyledin, fotoğraflarda ortadasın.</t>
        </is>
      </c>
      <c r="J77" s="6" t="inlineStr">
        <is>
          <t>İlgi çekmeye çalıştın; palyaço daha iyiydi.</t>
        </is>
      </c>
      <c r="K77" s="6" t="inlineStr">
        <is>
          <t>İlgi çekerken bir hediyeyi açtın. Senin değildi.</t>
        </is>
      </c>
      <c r="L77" s="6" t="inlineStr"/>
      <c r="M77" s="5" t="inlineStr"/>
      <c r="N77" s="5" t="inlineStr"/>
      <c r="O77" s="6" t="inlineStr"/>
      <c r="P77" s="6" t="inlineStr"/>
      <c r="Q77" s="5" t="inlineStr"/>
      <c r="R77" s="5" t="inlineStr"/>
      <c r="S77" s="5" t="inlineStr"/>
      <c r="T77" s="5" t="inlineStr"/>
      <c r="U77" s="5" t="inlineStr"/>
      <c r="V77" s="5" t="inlineStr"/>
      <c r="W77" s="5" t="inlineStr"/>
      <c r="X77" s="5" t="inlineStr"/>
      <c r="Y77" s="5" t="inlineStr"/>
      <c r="Z77" s="6" t="inlineStr"/>
    </row>
    <row r="78">
      <c r="A78" s="5" t="inlineStr">
        <is>
          <t>baskasinin-dogum-gunu</t>
        </is>
      </c>
      <c r="B78" s="5" t="n">
        <v>3</v>
      </c>
      <c r="C78" s="6" t="inlineStr">
        <is>
          <t>Pastaya odaklan</t>
        </is>
      </c>
      <c r="D78" s="5" t="inlineStr"/>
      <c r="E78" s="5" t="inlineStr"/>
      <c r="F78" s="5" t="inlineStr">
        <is>
          <t>Dayanıklılık +1</t>
        </is>
      </c>
      <c r="G78" s="6" t="inlineStr">
        <is>
          <t>Stratejik öncelikler net.</t>
        </is>
      </c>
      <c r="H78" s="6" t="inlineStr"/>
      <c r="I78" s="6" t="inlineStr"/>
      <c r="J78" s="6" t="inlineStr"/>
      <c r="K78" s="6" t="inlineStr"/>
      <c r="L78" s="6" t="inlineStr"/>
      <c r="M78" s="5" t="inlineStr"/>
      <c r="N78" s="5" t="inlineStr"/>
      <c r="O78" s="6" t="inlineStr"/>
      <c r="P78" s="6" t="inlineStr"/>
      <c r="Q78" s="5" t="inlineStr"/>
      <c r="R78" s="5" t="inlineStr"/>
      <c r="S78" s="5" t="inlineStr"/>
      <c r="T78" s="5" t="inlineStr"/>
      <c r="U78" s="5" t="inlineStr"/>
      <c r="V78" s="5" t="inlineStr"/>
      <c r="W78" s="5" t="inlineStr"/>
      <c r="X78" s="5" t="inlineStr"/>
      <c r="Y78" s="5" t="inlineStr"/>
      <c r="Z78" s="6" t="inlineStr"/>
    </row>
    <row r="79">
      <c r="A79" s="5" t="inlineStr">
        <is>
          <t>en-guzel-oyuncak</t>
        </is>
      </c>
      <c r="B79" s="5" t="n">
        <v>1</v>
      </c>
      <c r="C79" s="6" t="inlineStr">
        <is>
          <t>İste</t>
        </is>
      </c>
      <c r="D79" s="5" t="inlineStr">
        <is>
          <t>Çene</t>
        </is>
      </c>
      <c r="E79" s="5" t="inlineStr">
        <is>
          <t>Kolay</t>
        </is>
      </c>
      <c r="F79" s="5" t="inlineStr"/>
      <c r="G79" s="6" t="inlineStr"/>
      <c r="H79" s="6" t="inlineStr">
        <is>
          <t>Talebini medeni şekilde ilettin.</t>
        </is>
      </c>
      <c r="I79" s="6" t="inlineStr">
        <is>
          <t>İstedin; sahibi 'sen oyna' dedi ve bir de nasıl çalıştığını anlattı.</t>
        </is>
      </c>
      <c r="J79" s="6" t="inlineStr">
        <is>
          <t>İstedin; sıraya alındın. Sıra hiç gelmedi.</t>
        </is>
      </c>
      <c r="K79" s="6" t="inlineStr">
        <is>
          <t>İstedin, sahibi ağladı. Oyuncak dolaba kilitlendi.</t>
        </is>
      </c>
      <c r="L79" s="6" t="inlineStr"/>
      <c r="M79" s="5" t="inlineStr"/>
      <c r="N79" s="5" t="inlineStr"/>
      <c r="O79" s="6" t="inlineStr"/>
      <c r="P79" s="6" t="inlineStr"/>
      <c r="Q79" s="5" t="inlineStr"/>
      <c r="R79" s="5" t="inlineStr"/>
      <c r="S79" s="5" t="inlineStr"/>
      <c r="T79" s="5" t="inlineStr"/>
      <c r="U79" s="5" t="inlineStr"/>
      <c r="V79" s="5" t="inlineStr"/>
      <c r="W79" s="5" t="inlineStr"/>
      <c r="X79" s="5" t="inlineStr"/>
      <c r="Y79" s="5" t="inlineStr"/>
      <c r="Z79" s="6" t="inlineStr"/>
    </row>
    <row r="80">
      <c r="A80" s="5" t="inlineStr">
        <is>
          <t>en-guzel-oyuncak</t>
        </is>
      </c>
      <c r="B80" s="5" t="n">
        <v>2</v>
      </c>
      <c r="C80" s="6" t="inlineStr">
        <is>
          <t>Takas öner</t>
        </is>
      </c>
      <c r="D80" s="5" t="inlineStr">
        <is>
          <t>Kurnazlık</t>
        </is>
      </c>
      <c r="E80" s="5" t="inlineStr">
        <is>
          <t>Kolay</t>
        </is>
      </c>
      <c r="F80" s="5" t="inlineStr"/>
      <c r="G80" s="6" t="inlineStr"/>
      <c r="H80" s="6" t="inlineStr">
        <is>
          <t>Değer kavramı kişiden kişiye değişti.</t>
        </is>
      </c>
      <c r="I80" s="6" t="inlineStr">
        <is>
          <t>Sıradan bir kalemi 'nadir koleksiyon parçası' olarak sundun. Takas gerçekleşti.</t>
        </is>
      </c>
      <c r="J80" s="6" t="inlineStr">
        <is>
          <t>Teklifin kimseyi etkilemedi.</t>
        </is>
      </c>
      <c r="K80" s="6" t="inlineStr">
        <is>
          <t>Takas ettin; oyuncağın pili yokmuş.</t>
        </is>
      </c>
      <c r="L80" s="6" t="inlineStr"/>
      <c r="M80" s="5" t="inlineStr"/>
      <c r="N80" s="5" t="inlineStr"/>
      <c r="O80" s="6" t="inlineStr"/>
      <c r="P80" s="6" t="inlineStr"/>
      <c r="Q80" s="5" t="inlineStr"/>
      <c r="R80" s="5" t="inlineStr"/>
      <c r="S80" s="5" t="inlineStr"/>
      <c r="T80" s="5" t="inlineStr"/>
      <c r="U80" s="5" t="inlineStr"/>
      <c r="V80" s="5" t="inlineStr"/>
      <c r="W80" s="5" t="inlineStr"/>
      <c r="X80" s="5" t="inlineStr"/>
      <c r="Y80" s="5" t="inlineStr"/>
      <c r="Z80" s="6" t="inlineStr"/>
    </row>
    <row r="81">
      <c r="A81" s="5" t="inlineStr">
        <is>
          <t>en-guzel-oyuncak</t>
        </is>
      </c>
      <c r="B81" s="5" t="n">
        <v>3</v>
      </c>
      <c r="C81" s="6" t="inlineStr">
        <is>
          <t>Kendi oyuncağınla devam et</t>
        </is>
      </c>
      <c r="D81" s="5" t="inlineStr"/>
      <c r="E81" s="5" t="inlineStr"/>
      <c r="F81" s="5" t="inlineStr">
        <is>
          <t>Dayanıklılık +1</t>
        </is>
      </c>
      <c r="G81" s="6" t="inlineStr">
        <is>
          <t>Bir şeyi kaçırma korkusu henüz tam gelişmedi.</t>
        </is>
      </c>
      <c r="H81" s="6" t="inlineStr"/>
      <c r="I81" s="6" t="inlineStr"/>
      <c r="J81" s="6" t="inlineStr"/>
      <c r="K81" s="6" t="inlineStr"/>
      <c r="L81" s="6" t="inlineStr"/>
      <c r="M81" s="5" t="inlineStr"/>
      <c r="N81" s="5" t="inlineStr"/>
      <c r="O81" s="6" t="inlineStr"/>
      <c r="P81" s="6" t="inlineStr"/>
      <c r="Q81" s="5" t="inlineStr"/>
      <c r="R81" s="5" t="inlineStr"/>
      <c r="S81" s="5" t="inlineStr"/>
      <c r="T81" s="5" t="inlineStr"/>
      <c r="U81" s="5" t="inlineStr"/>
      <c r="V81" s="5" t="inlineStr"/>
      <c r="W81" s="5" t="inlineStr"/>
      <c r="X81" s="5" t="inlineStr"/>
      <c r="Y81" s="5" t="inlineStr"/>
      <c r="Z81" s="6" t="inlineStr"/>
    </row>
    <row r="82">
      <c r="A82" s="5" t="inlineStr">
        <is>
          <t>ilk-gercek-yalan</t>
        </is>
      </c>
      <c r="B82" s="5" t="n">
        <v>1</v>
      </c>
      <c r="C82" s="6" t="inlineStr">
        <is>
          <t>İtiraf et</t>
        </is>
      </c>
      <c r="D82" s="5" t="inlineStr"/>
      <c r="E82" s="5" t="inlineStr"/>
      <c r="F82" s="5" t="inlineStr">
        <is>
          <t>Vicdan +2</t>
        </is>
      </c>
      <c r="G82" s="6" t="inlineStr">
        <is>
          <t>Dosya hızlı kapandı.</t>
        </is>
      </c>
      <c r="H82" s="6" t="inlineStr"/>
      <c r="I82" s="6" t="inlineStr"/>
      <c r="J82" s="6" t="inlineStr"/>
      <c r="K82" s="6" t="inlineStr"/>
      <c r="L82" s="6" t="inlineStr"/>
      <c r="M82" s="5" t="inlineStr"/>
      <c r="N82" s="5" t="inlineStr"/>
      <c r="O82" s="6" t="inlineStr"/>
      <c r="P82" s="6" t="inlineStr"/>
      <c r="Q82" s="5" t="inlineStr"/>
      <c r="R82" s="5" t="inlineStr"/>
      <c r="S82" s="5" t="inlineStr"/>
      <c r="T82" s="5" t="inlineStr"/>
      <c r="U82" s="5" t="inlineStr"/>
      <c r="V82" s="5" t="inlineStr"/>
      <c r="W82" s="5" t="inlineStr"/>
      <c r="X82" s="5" t="inlineStr"/>
      <c r="Y82" s="5" t="inlineStr"/>
      <c r="Z82" s="6" t="inlineStr"/>
    </row>
    <row r="83">
      <c r="A83" s="5" t="inlineStr">
        <is>
          <t>ilk-gercek-yalan</t>
        </is>
      </c>
      <c r="B83" s="5" t="n">
        <v>2</v>
      </c>
      <c r="C83" s="6" t="inlineStr">
        <is>
          <t>'Hayır' de</t>
        </is>
      </c>
      <c r="D83" s="5" t="inlineStr">
        <is>
          <t>Çene</t>
        </is>
      </c>
      <c r="E83" s="5" t="inlineStr">
        <is>
          <t>Zor</t>
        </is>
      </c>
      <c r="F83" s="5" t="inlineStr"/>
      <c r="G83" s="6" t="inlineStr"/>
      <c r="H83" s="6" t="inlineStr">
        <is>
          <t>Ses tonun gerçeğin yerine geçti.</t>
        </is>
      </c>
      <c r="I83" s="6" t="inlineStr">
        <is>
          <t>'Hayır' dedin; o kadar samimiydin ki karşındaki yetişkin kendisinden şüphelenmeye başladı.</t>
        </is>
      </c>
      <c r="J83" s="6" t="inlineStr">
        <is>
          <t>'Hayır' dedin, kulakların kızardı. Kulaklar yalan söylemiyor.</t>
        </is>
      </c>
      <c r="K83" s="6" t="inlineStr">
        <is>
          <t>'Hayır' dedin, sonra 'evet' dedin, sonra ağladın. Dosya kapanmadı, genişledi.</t>
        </is>
      </c>
      <c r="L83" s="6" t="inlineStr">
        <is>
          <t>Yüzün yarı yarıya ikna ediciydi. Yetişkin konuyu şimdilik kapattı ama dosyayı değil.</t>
        </is>
      </c>
      <c r="M83" s="5" t="inlineStr">
        <is>
          <t>poker</t>
        </is>
      </c>
      <c r="N83" s="5" t="inlineStr">
        <is>
          <t>Poker Yüzü</t>
        </is>
      </c>
      <c r="O83" s="6" t="inlineStr">
        <is>
          <t>Parmağını daireye koy ve 5 saniye boyunca dairenin içinde tut. Kıpırdama. Göz kırpma.</t>
        </is>
      </c>
      <c r="P83" s="6" t="inlineStr"/>
      <c r="Q83" s="5" t="inlineStr"/>
      <c r="R83" s="5" t="inlineStr"/>
      <c r="S83" s="5" t="inlineStr"/>
      <c r="T83" s="5" t="inlineStr"/>
      <c r="U83" s="5" t="inlineStr">
        <is>
          <t>yalanci</t>
        </is>
      </c>
      <c r="V83" s="5" t="inlineStr"/>
      <c r="W83" s="5" t="inlineStr"/>
      <c r="X83" s="5" t="inlineStr"/>
      <c r="Y83" s="5" t="inlineStr"/>
      <c r="Z83" s="6" t="inlineStr"/>
    </row>
    <row r="84">
      <c r="A84" s="5" t="inlineStr">
        <is>
          <t>ilk-gercek-yalan</t>
        </is>
      </c>
      <c r="B84" s="5" t="n">
        <v>3</v>
      </c>
      <c r="C84" s="6" t="inlineStr">
        <is>
          <t>'O kendi oldu' de</t>
        </is>
      </c>
      <c r="D84" s="5" t="inlineStr">
        <is>
          <t>Pişkinlik</t>
        </is>
      </c>
      <c r="E84" s="5" t="inlineStr">
        <is>
          <t>Çok Zor</t>
        </is>
      </c>
      <c r="F84" s="5" t="inlineStr"/>
      <c r="G84" s="6" t="inlineStr"/>
      <c r="H84" s="6" t="inlineStr">
        <is>
          <t>Nedensellik bilimine meydan okudun ve kazandın.</t>
        </is>
      </c>
      <c r="I84" s="6" t="inlineStr">
        <is>
          <t>Fizik kurallarını yeniden yazdın. Yetişkin bir an kendi kendine olabileceğine inandı.</t>
        </is>
      </c>
      <c r="J84" s="6" t="inlineStr">
        <is>
          <t>'Kendi oldu' dedin. Kimse gülmedi. Bir kişi gülmek üzereydi.</t>
        </is>
      </c>
      <c r="K84" s="6" t="inlineStr">
        <is>
          <t>'Kendi oldu' dedin; tam o sırada yine 'kendi oldu'. Elin hâlâ üstündeydi.</t>
        </is>
      </c>
      <c r="L84" s="6" t="inlineStr"/>
      <c r="M84" s="5" t="inlineStr"/>
      <c r="N84" s="5" t="inlineStr"/>
      <c r="O84" s="6" t="inlineStr"/>
      <c r="P84" s="6" t="inlineStr"/>
      <c r="Q84" s="5" t="inlineStr"/>
      <c r="R84" s="5" t="inlineStr"/>
      <c r="S84" s="5" t="inlineStr"/>
      <c r="T84" s="5" t="inlineStr"/>
      <c r="U84" s="5" t="inlineStr">
        <is>
          <t>yalanci</t>
        </is>
      </c>
      <c r="V84" s="5" t="inlineStr"/>
      <c r="W84" s="5" t="inlineStr"/>
      <c r="X84" s="5" t="inlineStr"/>
      <c r="Y84" s="5" t="inlineStr"/>
      <c r="Z84" s="6" t="inlineStr"/>
    </row>
    <row r="85">
      <c r="A85" s="5" t="inlineStr">
        <is>
          <t>mahalle-bakkali</t>
        </is>
      </c>
      <c r="B85" s="5" t="n">
        <v>1</v>
      </c>
      <c r="C85" s="6" t="inlineStr">
        <is>
          <t>Listeyi ver</t>
        </is>
      </c>
      <c r="D85" s="5" t="inlineStr"/>
      <c r="E85" s="5" t="inlineStr"/>
      <c r="F85" s="5" t="inlineStr">
        <is>
          <t>Dayanıklılık +1</t>
        </is>
      </c>
      <c r="G85" s="6" t="inlineStr">
        <is>
          <t>Operasyon standart prosedürle tamamlandı.</t>
        </is>
      </c>
      <c r="H85" s="6" t="inlineStr"/>
      <c r="I85" s="6" t="inlineStr"/>
      <c r="J85" s="6" t="inlineStr"/>
      <c r="K85" s="6" t="inlineStr"/>
      <c r="L85" s="6" t="inlineStr"/>
      <c r="M85" s="5" t="inlineStr"/>
      <c r="N85" s="5" t="inlineStr"/>
      <c r="O85" s="6" t="inlineStr"/>
      <c r="P85" s="6" t="inlineStr"/>
      <c r="Q85" s="5" t="inlineStr"/>
      <c r="R85" s="5" t="inlineStr"/>
      <c r="S85" s="5" t="inlineStr"/>
      <c r="T85" s="5" t="inlineStr"/>
      <c r="U85" s="5" t="inlineStr"/>
      <c r="V85" s="5" t="inlineStr"/>
      <c r="W85" s="5" t="inlineStr"/>
      <c r="X85" s="5" t="inlineStr"/>
      <c r="Y85" s="5" t="inlineStr"/>
      <c r="Z85" s="6" t="inlineStr"/>
    </row>
    <row r="86">
      <c r="A86" s="5" t="inlineStr">
        <is>
          <t>mahalle-bakkali</t>
        </is>
      </c>
      <c r="B86" s="5" t="n">
        <v>2</v>
      </c>
      <c r="C86" s="6" t="inlineStr">
        <is>
          <t>Fiyat sor</t>
        </is>
      </c>
      <c r="D86" s="5" t="inlineStr">
        <is>
          <t>Çene</t>
        </is>
      </c>
      <c r="E86" s="5" t="inlineStr">
        <is>
          <t>Çok Kolay</t>
        </is>
      </c>
      <c r="F86" s="5" t="inlineStr"/>
      <c r="G86" s="6" t="inlineStr"/>
      <c r="H86" s="6" t="inlineStr">
        <is>
          <t>Piyasa araştırması başladı.</t>
        </is>
      </c>
      <c r="I86" s="6" t="inlineStr">
        <is>
          <t>Fiyat sordun, bakkal indirim yaptı. Nedenini kendisi de bilmiyor.</t>
        </is>
      </c>
      <c r="J86" s="6" t="inlineStr">
        <is>
          <t>Sordun, bakkal duymadı. Radyo açıktı.</t>
        </is>
      </c>
      <c r="K86" s="6" t="inlineStr">
        <is>
          <t>Fiyat sordun, bakkal 'Paran yetmez' dedi. Haklıydı.</t>
        </is>
      </c>
      <c r="L86" s="6" t="inlineStr"/>
      <c r="M86" s="5" t="inlineStr"/>
      <c r="N86" s="5" t="inlineStr"/>
      <c r="O86" s="6" t="inlineStr"/>
      <c r="P86" s="6" t="inlineStr"/>
      <c r="Q86" s="5" t="inlineStr"/>
      <c r="R86" s="5" t="inlineStr"/>
      <c r="S86" s="5" t="inlineStr"/>
      <c r="T86" s="5" t="inlineStr"/>
      <c r="U86" s="5" t="inlineStr"/>
      <c r="V86" s="5" t="inlineStr"/>
      <c r="W86" s="5" t="inlineStr"/>
      <c r="X86" s="5" t="inlineStr"/>
      <c r="Y86" s="5" t="inlineStr"/>
      <c r="Z86" s="6" t="inlineStr"/>
    </row>
    <row r="87">
      <c r="A87" s="5" t="inlineStr">
        <is>
          <t>mahalle-bakkali</t>
        </is>
      </c>
      <c r="B87" s="5" t="n">
        <v>3</v>
      </c>
      <c r="C87" s="6" t="inlineStr">
        <is>
          <t>Para üstünü kontrol et</t>
        </is>
      </c>
      <c r="D87" s="5" t="inlineStr">
        <is>
          <t>Kurnazlık</t>
        </is>
      </c>
      <c r="E87" s="5" t="inlineStr">
        <is>
          <t>Zor</t>
        </is>
      </c>
      <c r="F87" s="5" t="inlineStr"/>
      <c r="G87" s="6" t="inlineStr"/>
      <c r="H87" s="6" t="inlineStr">
        <is>
          <t>İlk finansal denetimin başarıyla tamamlandı.</t>
        </is>
      </c>
      <c r="I87" s="6" t="inlineStr">
        <is>
          <t>Eksik para üstünü buldun. Bakkal seni gelecekteki muhasebecisi ilan etti.</t>
        </is>
      </c>
      <c r="J87" s="6" t="inlineStr">
        <is>
          <t>Saydın, bir daha saydın. Sonuç her seferinde farklı.</t>
        </is>
      </c>
      <c r="K87" s="6" t="inlineStr">
        <is>
          <t>Kontrol ederken paraları yere düşürdün. Bir tanesi rafın altına gitti.</t>
        </is>
      </c>
      <c r="L87" s="6" t="inlineStr"/>
      <c r="M87" s="5" t="inlineStr"/>
      <c r="N87" s="5" t="inlineStr"/>
      <c r="O87" s="6" t="inlineStr"/>
      <c r="P87" s="6" t="inlineStr"/>
      <c r="Q87" s="5" t="inlineStr"/>
      <c r="R87" s="5" t="inlineStr"/>
      <c r="S87" s="5" t="inlineStr"/>
      <c r="T87" s="5" t="inlineStr">
        <is>
          <t>Para Üstü Radarı</t>
        </is>
      </c>
      <c r="U87" s="5" t="inlineStr"/>
      <c r="V87" s="5" t="inlineStr"/>
      <c r="W87" s="5" t="inlineStr"/>
      <c r="X87" s="5" t="inlineStr"/>
      <c r="Y87" s="5" t="inlineStr"/>
      <c r="Z87" s="6" t="inlineStr"/>
    </row>
    <row r="88">
      <c r="A88" s="5" t="inlineStr">
        <is>
          <t>mahalle-bakkali</t>
        </is>
      </c>
      <c r="B88" s="5" t="n">
        <v>4</v>
      </c>
      <c r="C88" s="6" t="inlineStr">
        <is>
          <t>Veresiye defterine yazdır</t>
        </is>
      </c>
      <c r="D88" s="5" t="inlineStr">
        <is>
          <t>Çene</t>
        </is>
      </c>
      <c r="E88" s="5" t="inlineStr">
        <is>
          <t>Kolay</t>
        </is>
      </c>
      <c r="F88" s="5" t="inlineStr"/>
      <c r="G88" s="6" t="inlineStr"/>
      <c r="H88" s="6" t="inlineStr">
        <is>
          <t>Adın veresiye defterine girdi. Kredi notun oluştu.</t>
        </is>
      </c>
      <c r="I88" s="6" t="inlineStr">
        <is>
          <t>Bakkal defterine yazdı ve sana bir de sakız ikram etti. Seçkin müşteri.</t>
        </is>
      </c>
      <c r="J88" s="6" t="inlineStr">
        <is>
          <t>Bakkal defteri kapattı: 'Önce annen gelsin.'</t>
        </is>
      </c>
      <c r="K88" s="6" t="inlineStr">
        <is>
          <t>Defter açıldı; ailenin önceki borçları da yüksek sesle okundu. Ortam gerildi.</t>
        </is>
      </c>
      <c r="L88" s="6" t="inlineStr"/>
      <c r="M88" s="5" t="inlineStr"/>
      <c r="N88" s="5" t="inlineStr"/>
      <c r="O88" s="6" t="inlineStr"/>
      <c r="P88" s="6" t="inlineStr"/>
      <c r="Q88" s="5" t="inlineStr">
        <is>
          <t>Küçük Tüccar</t>
        </is>
      </c>
      <c r="R88" s="5" t="inlineStr"/>
      <c r="S88" s="5" t="inlineStr"/>
      <c r="T88" s="5" t="inlineStr"/>
      <c r="U88" s="5" t="inlineStr"/>
      <c r="V88" s="5" t="inlineStr"/>
      <c r="W88" s="5" t="inlineStr"/>
      <c r="X88" s="5" t="inlineStr"/>
      <c r="Y88" s="5" t="inlineStr"/>
      <c r="Z88" s="6" t="inlineStr"/>
    </row>
    <row r="89">
      <c r="A89" s="5" t="inlineStr">
        <is>
          <t>kaybolan-bozuk-para</t>
        </is>
      </c>
      <c r="B89" s="5" t="n">
        <v>1</v>
      </c>
      <c r="C89" s="6" t="inlineStr">
        <is>
          <t>Yetişkine ver</t>
        </is>
      </c>
      <c r="D89" s="5" t="inlineStr"/>
      <c r="E89" s="5" t="inlineStr"/>
      <c r="F89" s="5" t="inlineStr">
        <is>
          <t>Vicdan +2</t>
        </is>
      </c>
      <c r="G89" s="6" t="inlineStr">
        <is>
          <t>Kayıp eşya prosedürü uygulandı.</t>
        </is>
      </c>
      <c r="H89" s="6" t="inlineStr"/>
      <c r="I89" s="6" t="inlineStr"/>
      <c r="J89" s="6" t="inlineStr"/>
      <c r="K89" s="6" t="inlineStr"/>
      <c r="L89" s="6" t="inlineStr"/>
      <c r="M89" s="5" t="inlineStr"/>
      <c r="N89" s="5" t="inlineStr"/>
      <c r="O89" s="6" t="inlineStr"/>
      <c r="P89" s="6" t="inlineStr"/>
      <c r="Q89" s="5" t="inlineStr"/>
      <c r="R89" s="5" t="inlineStr"/>
      <c r="S89" s="5" t="inlineStr"/>
      <c r="T89" s="5" t="inlineStr"/>
      <c r="U89" s="5" t="inlineStr"/>
      <c r="V89" s="5" t="inlineStr"/>
      <c r="W89" s="5" t="inlineStr"/>
      <c r="X89" s="5" t="inlineStr"/>
      <c r="Y89" s="5" t="inlineStr"/>
      <c r="Z89" s="6" t="inlineStr"/>
    </row>
    <row r="90">
      <c r="A90" s="5" t="inlineStr">
        <is>
          <t>kaybolan-bozuk-para</t>
        </is>
      </c>
      <c r="B90" s="5" t="n">
        <v>2</v>
      </c>
      <c r="C90" s="6" t="inlineStr">
        <is>
          <t>Cebe koy</t>
        </is>
      </c>
      <c r="D90" s="5" t="inlineStr">
        <is>
          <t>Kurnazlık</t>
        </is>
      </c>
      <c r="E90" s="5" t="inlineStr">
        <is>
          <t>Kolay</t>
        </is>
      </c>
      <c r="F90" s="5" t="inlineStr"/>
      <c r="G90" s="6" t="inlineStr"/>
      <c r="H90" s="6" t="inlineStr">
        <is>
          <t>Bütçeye beklenmedik gelir yazıldı.</t>
        </is>
      </c>
      <c r="I90" s="6" t="inlineStr">
        <is>
          <t>Tek bakışta doğru yeri buldun. Bozuk para sende ve kimse görmedi.</t>
        </is>
      </c>
      <c r="J90" s="6" t="inlineStr">
        <is>
          <t>Yanlış yere uzandın. Para başkasının oldu.</t>
        </is>
      </c>
      <c r="K90" s="6" t="inlineStr">
        <is>
          <t>Yanlış kutu. Bozuk para hâlâ kayıp; senin cebindeki de düştü.</t>
        </is>
      </c>
      <c r="L90" s="6" t="inlineStr">
        <is>
          <t>Parayı buldun ama biri de gördü.</t>
        </is>
      </c>
      <c r="M90" s="5" t="inlineStr">
        <is>
          <t>cups</t>
        </is>
      </c>
      <c r="N90" s="5" t="inlineStr">
        <is>
          <t>Bozuk Parayı Bul</t>
        </is>
      </c>
      <c r="O90" s="6" t="inlineStr">
        <is>
          <t>Paranın hangi kutunun altına girdiğini izle. Kutular karışacak.</t>
        </is>
      </c>
      <c r="P90" s="6" t="inlineStr"/>
      <c r="Q90" s="5" t="inlineStr"/>
      <c r="R90" s="5" t="inlineStr"/>
      <c r="S90" s="5" t="inlineStr"/>
      <c r="T90" s="5" t="inlineStr"/>
      <c r="U90" s="5" t="inlineStr"/>
      <c r="V90" s="5" t="inlineStr"/>
      <c r="W90" s="5" t="inlineStr"/>
      <c r="X90" s="5" t="inlineStr"/>
      <c r="Y90" s="5" t="inlineStr"/>
      <c r="Z90" s="6" t="inlineStr"/>
    </row>
    <row r="91">
      <c r="A91" s="5" t="inlineStr">
        <is>
          <t>kaybolan-bozuk-para</t>
        </is>
      </c>
      <c r="B91" s="5" t="n">
        <v>3</v>
      </c>
      <c r="C91" s="6" t="inlineStr">
        <is>
          <t>Olduğu yerde bırak</t>
        </is>
      </c>
      <c r="D91" s="5" t="inlineStr"/>
      <c r="E91" s="5" t="inlineStr"/>
      <c r="F91" s="5" t="inlineStr">
        <is>
          <t>Vicdan +1</t>
        </is>
      </c>
      <c r="G91" s="6" t="inlineStr">
        <is>
          <t>Meseleyi evrene devrettin.</t>
        </is>
      </c>
      <c r="H91" s="6" t="inlineStr"/>
      <c r="I91" s="6" t="inlineStr"/>
      <c r="J91" s="6" t="inlineStr"/>
      <c r="K91" s="6" t="inlineStr"/>
      <c r="L91" s="6" t="inlineStr"/>
      <c r="M91" s="5" t="inlineStr"/>
      <c r="N91" s="5" t="inlineStr"/>
      <c r="O91" s="6" t="inlineStr"/>
      <c r="P91" s="6" t="inlineStr"/>
      <c r="Q91" s="5" t="inlineStr"/>
      <c r="R91" s="5" t="inlineStr"/>
      <c r="S91" s="5" t="inlineStr"/>
      <c r="T91" s="5" t="inlineStr"/>
      <c r="U91" s="5" t="inlineStr"/>
      <c r="V91" s="5" t="inlineStr"/>
      <c r="W91" s="5" t="inlineStr"/>
      <c r="X91" s="5" t="inlineStr"/>
      <c r="Y91" s="5" t="inlineStr"/>
      <c r="Z91" s="6" t="inlineStr"/>
    </row>
    <row r="92">
      <c r="A92" s="5" t="inlineStr">
        <is>
          <t>takim-seciliyor</t>
        </is>
      </c>
      <c r="B92" s="5" t="n">
        <v>1</v>
      </c>
      <c r="C92" s="6" t="inlineStr">
        <is>
          <t>Bekle</t>
        </is>
      </c>
      <c r="D92" s="5" t="inlineStr">
        <is>
          <t>Dayanıklılık</t>
        </is>
      </c>
      <c r="E92" s="5" t="inlineStr">
        <is>
          <t>Kolay</t>
        </is>
      </c>
      <c r="F92" s="5" t="inlineStr"/>
      <c r="G92" s="6" t="inlineStr"/>
      <c r="H92" s="6" t="inlineStr">
        <is>
          <t>Seçilme sırası karakter testi oldu; testi geçtin.</t>
        </is>
      </c>
      <c r="I92" s="6" t="inlineStr">
        <is>
          <t>Beklerken kaptanlardan biri seni ilk seçti. Sabır ödüllendi.</t>
        </is>
      </c>
      <c r="J92" s="6" t="inlineStr">
        <is>
          <t>Son seçilen oldun. Takıma kaleci olarak katıldın.</t>
        </is>
      </c>
      <c r="K92" s="6" t="inlineStr">
        <is>
          <t>Hiç seçilmedin. Top senindi. Oyun top olmadan başladı.</t>
        </is>
      </c>
      <c r="L92" s="6" t="inlineStr"/>
      <c r="M92" s="5" t="inlineStr"/>
      <c r="N92" s="5" t="inlineStr"/>
      <c r="O92" s="6" t="inlineStr"/>
      <c r="P92" s="6" t="inlineStr"/>
      <c r="Q92" s="5" t="inlineStr"/>
      <c r="R92" s="5" t="inlineStr"/>
      <c r="S92" s="5" t="inlineStr"/>
      <c r="T92" s="5" t="inlineStr"/>
      <c r="U92" s="5" t="inlineStr"/>
      <c r="V92" s="5" t="inlineStr"/>
      <c r="W92" s="5" t="inlineStr"/>
      <c r="X92" s="5" t="inlineStr"/>
      <c r="Y92" s="5" t="inlineStr"/>
      <c r="Z92" s="6" t="inlineStr"/>
    </row>
    <row r="93">
      <c r="A93" s="5" t="inlineStr">
        <is>
          <t>takim-seciliyor</t>
        </is>
      </c>
      <c r="B93" s="5" t="n">
        <v>2</v>
      </c>
      <c r="C93" s="6" t="inlineStr">
        <is>
          <t>'Beni al' de</t>
        </is>
      </c>
      <c r="D93" s="5" t="inlineStr">
        <is>
          <t>Çene</t>
        </is>
      </c>
      <c r="E93" s="5" t="inlineStr">
        <is>
          <t>Kolay</t>
        </is>
      </c>
      <c r="F93" s="5" t="inlineStr"/>
      <c r="G93" s="6" t="inlineStr"/>
      <c r="H93" s="6" t="inlineStr">
        <is>
          <t>Kendi pazarlamanı yaptın.</t>
        </is>
      </c>
      <c r="I93" s="6" t="inlineStr">
        <is>
          <t>Öyle bir tanıtım yaptın ki iki kaptan seni almak için tartıştı.</t>
        </is>
      </c>
      <c r="J93" s="6" t="inlineStr">
        <is>
          <t>'Beni al' dedin. Kaptan 'bakarız' dedi.</t>
        </is>
      </c>
      <c r="K93" s="6" t="inlineStr">
        <is>
          <t>'Beni al' dedin, karşı takım kaptanı aldı. Kendi takımın bunu fark etmedi bile.</t>
        </is>
      </c>
      <c r="L93" s="6" t="inlineStr"/>
      <c r="M93" s="5" t="inlineStr"/>
      <c r="N93" s="5" t="inlineStr"/>
      <c r="O93" s="6" t="inlineStr"/>
      <c r="P93" s="6" t="inlineStr"/>
      <c r="Q93" s="5" t="inlineStr"/>
      <c r="R93" s="5" t="inlineStr"/>
      <c r="S93" s="5" t="inlineStr"/>
      <c r="T93" s="5" t="inlineStr"/>
      <c r="U93" s="5" t="inlineStr"/>
      <c r="V93" s="5" t="inlineStr"/>
      <c r="W93" s="5" t="inlineStr"/>
      <c r="X93" s="5" t="inlineStr"/>
      <c r="Y93" s="5" t="inlineStr"/>
      <c r="Z93" s="6" t="inlineStr"/>
    </row>
    <row r="94">
      <c r="A94" s="5" t="inlineStr">
        <is>
          <t>takim-seciliyor</t>
        </is>
      </c>
      <c r="B94" s="5" t="n">
        <v>3</v>
      </c>
      <c r="C94" s="6" t="inlineStr">
        <is>
          <t>İyi oynayan çocuğa git</t>
        </is>
      </c>
      <c r="D94" s="5" t="inlineStr">
        <is>
          <t>Sosyal Radar</t>
        </is>
      </c>
      <c r="E94" s="5" t="inlineStr">
        <is>
          <t>Orta</t>
        </is>
      </c>
      <c r="F94" s="5" t="inlineStr"/>
      <c r="G94" s="6" t="inlineStr"/>
      <c r="H94" s="6" t="inlineStr">
        <is>
          <t>Doğru kişiyi hatırladın. Network etkisini erken keşfettin.</t>
        </is>
      </c>
      <c r="I94" s="6" t="inlineStr">
        <is>
          <t>Bir bakışta en güçlü oyuncuyu seçtin.</t>
        </is>
      </c>
      <c r="J94" s="6" t="inlineStr">
        <is>
          <t>Yanlış oyuncuyu seçtin.</t>
        </is>
      </c>
      <c r="K94" s="6" t="inlineStr">
        <is>
          <t>En zayıf seçeneği takım yıldızı ilan ettin.</t>
        </is>
      </c>
      <c r="L94" s="6" t="inlineStr">
        <is>
          <t>Fena değildi ama en iyisi değildi.</t>
        </is>
      </c>
      <c r="M94" s="5" t="inlineStr">
        <is>
          <t>memory</t>
        </is>
      </c>
      <c r="N94" s="5" t="inlineStr">
        <is>
          <t>Takımı Oku</t>
        </is>
      </c>
      <c r="O94" s="6" t="inlineStr">
        <is>
          <t>Çocukları kısa süre göreceksin. En iyi top kontrolü olanı hatırla.</t>
        </is>
      </c>
      <c r="P94" s="6" t="inlineStr"/>
      <c r="Q94" s="5" t="inlineStr"/>
      <c r="R94" s="5" t="inlineStr"/>
      <c r="S94" s="5" t="inlineStr"/>
      <c r="T94" s="5" t="inlineStr"/>
      <c r="U94" s="5" t="inlineStr"/>
      <c r="V94" s="5" t="inlineStr"/>
      <c r="W94" s="5" t="inlineStr"/>
      <c r="X94" s="5" t="inlineStr"/>
      <c r="Y94" s="5" t="inlineStr"/>
      <c r="Z94" s="6" t="inlineStr"/>
    </row>
    <row r="95">
      <c r="A95" s="5" t="inlineStr">
        <is>
          <t>sana-guluyorlar</t>
        </is>
      </c>
      <c r="B95" s="5" t="n">
        <v>1</v>
      </c>
      <c r="C95" s="6" t="inlineStr">
        <is>
          <t>Sus</t>
        </is>
      </c>
      <c r="D95" s="5" t="inlineStr"/>
      <c r="E95" s="5" t="inlineStr"/>
      <c r="F95" s="5" t="inlineStr">
        <is>
          <t>Dayanıklılık +1</t>
        </is>
      </c>
      <c r="G95" s="6" t="inlineStr">
        <is>
          <t>Olayın ömrünü kısalttın.</t>
        </is>
      </c>
      <c r="H95" s="6" t="inlineStr"/>
      <c r="I95" s="6" t="inlineStr"/>
      <c r="J95" s="6" t="inlineStr"/>
      <c r="K95" s="6" t="inlineStr"/>
      <c r="L95" s="6" t="inlineStr"/>
      <c r="M95" s="5" t="inlineStr"/>
      <c r="N95" s="5" t="inlineStr"/>
      <c r="O95" s="6" t="inlineStr"/>
      <c r="P95" s="6" t="inlineStr"/>
      <c r="Q95" s="5" t="inlineStr"/>
      <c r="R95" s="5" t="inlineStr"/>
      <c r="S95" s="5" t="inlineStr"/>
      <c r="T95" s="5" t="inlineStr"/>
      <c r="U95" s="5" t="inlineStr"/>
      <c r="V95" s="5" t="inlineStr"/>
      <c r="W95" s="5" t="inlineStr"/>
      <c r="X95" s="5" t="inlineStr"/>
      <c r="Y95" s="5" t="inlineStr"/>
      <c r="Z95" s="6" t="inlineStr"/>
    </row>
    <row r="96">
      <c r="A96" s="5" t="inlineStr">
        <is>
          <t>sana-guluyorlar</t>
        </is>
      </c>
      <c r="B96" s="5" t="n">
        <v>2</v>
      </c>
      <c r="C96" s="6" t="inlineStr">
        <is>
          <t>Kendine de gül</t>
        </is>
      </c>
      <c r="D96" s="5" t="inlineStr">
        <is>
          <t>Pişkinlik</t>
        </is>
      </c>
      <c r="E96" s="5" t="inlineStr">
        <is>
          <t>Zor</t>
        </is>
      </c>
      <c r="F96" s="5" t="inlineStr"/>
      <c r="G96" s="6" t="inlineStr"/>
      <c r="H96" s="6" t="inlineStr">
        <is>
          <t>Silahı ellerinden aldın.</t>
        </is>
      </c>
      <c r="I96" s="6" t="inlineStr">
        <is>
          <t>Kendine güldün, herkes seninle güldü; bir saat sonra aynı espriyi onlar tekrar ediyordu.</t>
        </is>
      </c>
      <c r="J96" s="6" t="inlineStr">
        <is>
          <t>Güldün ama biraz geç. Kahkahalar çoktan bitmişti.</t>
        </is>
      </c>
      <c r="K96" s="6" t="inlineStr">
        <is>
          <t>Güldün, burnundan süt geldi. İkinci bir gülme dalgası başladı.</t>
        </is>
      </c>
      <c r="L96" s="6" t="inlineStr"/>
      <c r="M96" s="5" t="inlineStr"/>
      <c r="N96" s="5" t="inlineStr"/>
      <c r="O96" s="6" t="inlineStr"/>
      <c r="P96" s="6" t="inlineStr"/>
      <c r="Q96" s="5" t="inlineStr"/>
      <c r="R96" s="5" t="inlineStr"/>
      <c r="S96" s="5" t="inlineStr"/>
      <c r="T96" s="5" t="inlineStr">
        <is>
          <t>Kendine Gülebilir</t>
        </is>
      </c>
      <c r="U96" s="5" t="inlineStr"/>
      <c r="V96" s="5" t="inlineStr"/>
      <c r="W96" s="5" t="inlineStr"/>
      <c r="X96" s="5" t="inlineStr"/>
      <c r="Y96" s="5" t="inlineStr"/>
      <c r="Z96" s="6" t="inlineStr"/>
    </row>
    <row r="97">
      <c r="A97" s="5" t="inlineStr">
        <is>
          <t>sana-guluyorlar</t>
        </is>
      </c>
      <c r="B97" s="5" t="n">
        <v>3</v>
      </c>
      <c r="C97" s="6" t="inlineStr">
        <is>
          <t>Laf yetiştir</t>
        </is>
      </c>
      <c r="D97" s="5" t="inlineStr">
        <is>
          <t>Çene</t>
        </is>
      </c>
      <c r="E97" s="5" t="inlineStr">
        <is>
          <t>Zor</t>
        </is>
      </c>
      <c r="F97" s="5" t="inlineStr"/>
      <c r="G97" s="6" t="inlineStr"/>
      <c r="H97" s="6" t="inlineStr">
        <is>
          <t>Karşı ateş etkili oldu.</t>
        </is>
      </c>
      <c r="I97" s="6" t="inlineStr">
        <is>
          <t>Tek cümlelik cevabın okul bahçesinde efsaneye dönüştü.</t>
        </is>
      </c>
      <c r="J97" s="6" t="inlineStr">
        <is>
          <t>Cevabı buldun; eve gidince.</t>
        </is>
      </c>
      <c r="K97" s="6" t="inlineStr">
        <is>
          <t>Laf yetiştirdin, sonra kelimeleri karıştırdın. Gülme ikiye katlandı.</t>
        </is>
      </c>
      <c r="L97" s="6" t="inlineStr"/>
      <c r="M97" s="5" t="inlineStr"/>
      <c r="N97" s="5" t="inlineStr"/>
      <c r="O97" s="6" t="inlineStr"/>
      <c r="P97" s="6" t="inlineStr"/>
      <c r="Q97" s="5" t="inlineStr"/>
      <c r="R97" s="5" t="inlineStr"/>
      <c r="S97" s="5" t="inlineStr"/>
      <c r="T97" s="5" t="inlineStr"/>
      <c r="U97" s="5" t="inlineStr"/>
      <c r="V97" s="5" t="inlineStr"/>
      <c r="W97" s="5" t="inlineStr"/>
      <c r="X97" s="5" t="inlineStr"/>
      <c r="Y97" s="5" t="inlineStr"/>
      <c r="Z97" s="6" t="inlineStr"/>
    </row>
    <row r="98">
      <c r="A98" s="5" t="inlineStr">
        <is>
          <t>sana-guluyorlar</t>
        </is>
      </c>
      <c r="B98" s="5" t="n">
        <v>4</v>
      </c>
      <c r="C98" s="6" t="inlineStr">
        <is>
          <t>Sahneyi devral</t>
        </is>
      </c>
      <c r="D98" s="5" t="inlineStr">
        <is>
          <t>Pişkinlik</t>
        </is>
      </c>
      <c r="E98" s="5" t="inlineStr">
        <is>
          <t>Kolay</t>
        </is>
      </c>
      <c r="F98" s="5" t="inlineStr"/>
      <c r="G98" s="6" t="inlineStr"/>
      <c r="H98" s="6" t="inlineStr">
        <is>
          <t>Gülüşmeleri alkışa çevirdin. Artık gösterinin sahibisin.</t>
        </is>
      </c>
      <c r="I98" s="6" t="inlineStr">
        <is>
          <t>Doğaçlama bir şov yaptın. Ertesi gün tekrar istendi.</t>
        </is>
      </c>
      <c r="J98" s="6" t="inlineStr">
        <is>
          <t>Sahneyi devraldın; seyirci dağıldı.</t>
        </is>
      </c>
      <c r="K98" s="6" t="inlineStr">
        <is>
          <t>Sahneyi devraldın ve takıldın. Artık gerçekten gülüyorlar.</t>
        </is>
      </c>
      <c r="L98" s="6" t="inlineStr"/>
      <c r="M98" s="5" t="inlineStr"/>
      <c r="N98" s="5" t="inlineStr"/>
      <c r="O98" s="6" t="inlineStr"/>
      <c r="P98" s="6" t="inlineStr"/>
      <c r="Q98" s="5" t="inlineStr">
        <is>
          <t>Sahne Sever</t>
        </is>
      </c>
      <c r="R98" s="5" t="inlineStr"/>
      <c r="S98" s="5" t="inlineStr"/>
      <c r="T98" s="5" t="inlineStr"/>
      <c r="U98" s="5" t="inlineStr"/>
      <c r="V98" s="5" t="inlineStr"/>
      <c r="W98" s="5" t="inlineStr"/>
      <c r="X98" s="5" t="inlineStr"/>
      <c r="Y98" s="5" t="inlineStr"/>
      <c r="Z98" s="6" t="inlineStr"/>
    </row>
    <row r="99">
      <c r="A99" s="5" t="inlineStr">
        <is>
          <t>ilk-kucuk-sir</t>
        </is>
      </c>
      <c r="B99" s="5" t="n">
        <v>1</v>
      </c>
      <c r="C99" s="6" t="inlineStr">
        <is>
          <t>Sırrı tut</t>
        </is>
      </c>
      <c r="D99" s="5" t="inlineStr">
        <is>
          <t>Vicdan</t>
        </is>
      </c>
      <c r="E99" s="5" t="inlineStr">
        <is>
          <t>Kolay</t>
        </is>
      </c>
      <c r="F99" s="5" t="inlineStr"/>
      <c r="G99" s="6" t="inlineStr"/>
      <c r="H99" s="6" t="inlineStr">
        <is>
          <t>Güven puanı görünmeden arttı.</t>
        </is>
      </c>
      <c r="I99" s="6" t="inlineStr">
        <is>
          <t>Sırrı tuttun. Arkadaşın sana ikinci, daha büyük bir sır verdi. Terfi aldın.</t>
        </is>
      </c>
      <c r="J99" s="6" t="inlineStr">
        <is>
          <t>Sırrı tuttun ama ağzından yarım kelime kaçtı.</t>
        </is>
      </c>
      <c r="K99" s="6" t="inlineStr">
        <is>
          <t>Sırrı tutmaya o kadar odaklandın ki uykunda söyledin.</t>
        </is>
      </c>
      <c r="L99" s="6" t="inlineStr"/>
      <c r="M99" s="5" t="inlineStr"/>
      <c r="N99" s="5" t="inlineStr"/>
      <c r="O99" s="6" t="inlineStr"/>
      <c r="P99" s="6" t="inlineStr"/>
      <c r="Q99" s="5" t="inlineStr"/>
      <c r="R99" s="5" t="inlineStr"/>
      <c r="S99" s="5" t="inlineStr"/>
      <c r="T99" s="5" t="inlineStr"/>
      <c r="U99" s="5" t="inlineStr"/>
      <c r="V99" s="5" t="inlineStr"/>
      <c r="W99" s="5" t="inlineStr"/>
      <c r="X99" s="5" t="inlineStr"/>
      <c r="Y99" s="5" t="inlineStr"/>
      <c r="Z99" s="6" t="inlineStr"/>
    </row>
    <row r="100">
      <c r="A100" s="5" t="inlineStr">
        <is>
          <t>ilk-kucuk-sir</t>
        </is>
      </c>
      <c r="B100" s="5" t="n">
        <v>2</v>
      </c>
      <c r="C100" s="6" t="inlineStr">
        <is>
          <t>Başkasına anlat</t>
        </is>
      </c>
      <c r="D100" s="5" t="inlineStr">
        <is>
          <t>Çene</t>
        </is>
      </c>
      <c r="E100" s="5" t="inlineStr">
        <is>
          <t>Orta</t>
        </is>
      </c>
      <c r="F100" s="5" t="inlineStr"/>
      <c r="G100" s="6" t="inlineStr"/>
      <c r="H100" s="6" t="inlineStr">
        <is>
          <t>Bilgi hızla dolaşıma girdi. Sen de bir anda popüler oldun.</t>
        </is>
      </c>
      <c r="I100" s="6" t="inlineStr">
        <is>
          <t>Sırrı öyle anlattın ki kimse kaynağın sen olduğunu bilmiyor. Profesyonel.</t>
        </is>
      </c>
      <c r="J100" s="6" t="inlineStr">
        <is>
          <t>Anlattın; dinleyen zaten biliyormuş.</t>
        </is>
      </c>
      <c r="K100" s="6" t="inlineStr">
        <is>
          <t>Anlattığın kişi, sırrın sahibinin en yakın arkadaşıydı.</t>
        </is>
      </c>
      <c r="L100" s="6" t="inlineStr"/>
      <c r="M100" s="5" t="inlineStr"/>
      <c r="N100" s="5" t="inlineStr"/>
      <c r="O100" s="6" t="inlineStr"/>
      <c r="P100" s="6" t="inlineStr"/>
      <c r="Q100" s="5" t="inlineStr"/>
      <c r="R100" s="5" t="inlineStr"/>
      <c r="S100" s="5" t="inlineStr"/>
      <c r="T100" s="5" t="inlineStr"/>
      <c r="U100" s="5" t="inlineStr">
        <is>
          <t>sirVerdi</t>
        </is>
      </c>
      <c r="V100" s="5" t="inlineStr"/>
      <c r="W100" s="5" t="inlineStr"/>
      <c r="X100" s="5" t="inlineStr"/>
      <c r="Y100" s="5" t="inlineStr"/>
      <c r="Z100" s="6" t="inlineStr"/>
    </row>
    <row r="101">
      <c r="A101" s="5" t="inlineStr">
        <is>
          <t>ilk-kucuk-sir</t>
        </is>
      </c>
      <c r="B101" s="5" t="n">
        <v>3</v>
      </c>
      <c r="C101" s="6" t="inlineStr">
        <is>
          <t>Önemini değerlendir</t>
        </is>
      </c>
      <c r="D101" s="5" t="inlineStr">
        <is>
          <t>Sosyal Radar</t>
        </is>
      </c>
      <c r="E101" s="5" t="inlineStr">
        <is>
          <t>Kolay</t>
        </is>
      </c>
      <c r="F101" s="5" t="inlineStr"/>
      <c r="G101" s="6" t="inlineStr"/>
      <c r="H101" s="6" t="inlineStr">
        <is>
          <t>Her sırrın aynı ağırlıkta olmadığını fark ettin.</t>
        </is>
      </c>
      <c r="I101" s="6" t="inlineStr">
        <is>
          <t>Sırrın aslında sır bile olmadığını fark ettin. Herkes biliyordu.</t>
        </is>
      </c>
      <c r="J101" s="6" t="inlineStr">
        <is>
          <t>Değerlendirmeye çalıştın; sır çok karışıktı.</t>
        </is>
      </c>
      <c r="K101" s="6" t="inlineStr">
        <is>
          <t>Değerlendirirken yüksek sesle düşündün.</t>
        </is>
      </c>
      <c r="L101" s="6" t="inlineStr"/>
      <c r="M101" s="5" t="inlineStr"/>
      <c r="N101" s="5" t="inlineStr"/>
      <c r="O101" s="6" t="inlineStr"/>
      <c r="P101" s="6" t="inlineStr"/>
      <c r="Q101" s="5" t="inlineStr"/>
      <c r="R101" s="5" t="inlineStr"/>
      <c r="S101" s="5" t="inlineStr"/>
      <c r="T101" s="5" t="inlineStr"/>
      <c r="U101" s="5" t="inlineStr"/>
      <c r="V101" s="5" t="inlineStr"/>
      <c r="W101" s="5" t="inlineStr"/>
      <c r="X101" s="5" t="inlineStr"/>
      <c r="Y101" s="5" t="inlineStr"/>
      <c r="Z101" s="6" t="inlineStr"/>
    </row>
    <row r="102">
      <c r="A102" s="5" t="inlineStr">
        <is>
          <t>aileler-kiyasliyor</t>
        </is>
      </c>
      <c r="B102" s="5" t="n">
        <v>1</v>
      </c>
      <c r="C102" s="6" t="inlineStr">
        <is>
          <t>Görmezden gel</t>
        </is>
      </c>
      <c r="D102" s="5" t="inlineStr">
        <is>
          <t>Dayanıklılık</t>
        </is>
      </c>
      <c r="E102" s="5" t="inlineStr">
        <is>
          <t>Kolay</t>
        </is>
      </c>
      <c r="F102" s="5" t="inlineStr"/>
      <c r="G102" s="6" t="inlineStr"/>
      <c r="H102" s="6" t="inlineStr">
        <is>
          <t>Yetişkin olimpiyatlarından çekildin.</t>
        </is>
      </c>
      <c r="I102" s="6" t="inlineStr">
        <is>
          <t>Görmezden geldin; yetişkinler senin olgunluğunu kıyaslamaya başladı. Kazandın.</t>
        </is>
      </c>
      <c r="J102" s="6" t="inlineStr">
        <is>
          <t>Görmezden gelmeye çalıştın; adın on kez geçti.</t>
        </is>
      </c>
      <c r="K102" s="6" t="inlineStr">
        <is>
          <t>Görmezden gelirken 'Bizimki okumayı söktü' cümlesini duydun. Sen sökmemiştin.</t>
        </is>
      </c>
      <c r="L102" s="6" t="inlineStr"/>
      <c r="M102" s="5" t="inlineStr"/>
      <c r="N102" s="5" t="inlineStr"/>
      <c r="O102" s="6" t="inlineStr"/>
      <c r="P102" s="6" t="inlineStr"/>
      <c r="Q102" s="5" t="inlineStr"/>
      <c r="R102" s="5" t="inlineStr"/>
      <c r="S102" s="5" t="inlineStr"/>
      <c r="T102" s="5" t="inlineStr"/>
      <c r="U102" s="5" t="inlineStr"/>
      <c r="V102" s="5" t="inlineStr"/>
      <c r="W102" s="5" t="inlineStr"/>
      <c r="X102" s="5" t="inlineStr"/>
      <c r="Y102" s="5" t="inlineStr"/>
      <c r="Z102" s="6" t="inlineStr"/>
    </row>
    <row r="103">
      <c r="A103" s="5" t="inlineStr">
        <is>
          <t>aileler-kiyasliyor</t>
        </is>
      </c>
      <c r="B103" s="5" t="n">
        <v>2</v>
      </c>
      <c r="C103" s="6" t="inlineStr">
        <is>
          <t>Bildiğini göster</t>
        </is>
      </c>
      <c r="D103" s="5" t="inlineStr">
        <is>
          <t>Pişkinlik</t>
        </is>
      </c>
      <c r="E103" s="5" t="inlineStr">
        <is>
          <t>Orta</t>
        </is>
      </c>
      <c r="F103" s="5" t="inlineStr"/>
      <c r="G103" s="6" t="inlineStr"/>
      <c r="H103" s="6" t="inlineStr">
        <is>
          <t>Rekabetin ortasına gönüllü girdin ve puan aldın.</t>
        </is>
      </c>
      <c r="I103" s="6" t="inlineStr">
        <is>
          <t>Alfabeyi tersten okudun. Karşı aile çocuğunu hemen kursa yazdırdı.</t>
        </is>
      </c>
      <c r="J103" s="6" t="inlineStr">
        <is>
          <t>Göstermeye çalıştın; heyecandan unuttun.</t>
        </is>
      </c>
      <c r="K103" s="6" t="inlineStr">
        <is>
          <t>Bildiğini gösterdin. Yanlış biliyormuşsun.</t>
        </is>
      </c>
      <c r="L103" s="6" t="inlineStr"/>
      <c r="M103" s="5" t="inlineStr"/>
      <c r="N103" s="5" t="inlineStr"/>
      <c r="O103" s="6" t="inlineStr"/>
      <c r="P103" s="6" t="inlineStr"/>
      <c r="Q103" s="5" t="inlineStr"/>
      <c r="R103" s="5" t="inlineStr"/>
      <c r="S103" s="5" t="inlineStr"/>
      <c r="T103" s="5" t="inlineStr"/>
      <c r="U103" s="5" t="inlineStr"/>
      <c r="V103" s="5" t="inlineStr"/>
      <c r="W103" s="5" t="inlineStr"/>
      <c r="X103" s="5" t="inlineStr"/>
      <c r="Y103" s="5" t="inlineStr"/>
      <c r="Z103" s="6" t="inlineStr"/>
    </row>
    <row r="104">
      <c r="A104" s="5" t="inlineStr">
        <is>
          <t>aileler-kiyasliyor</t>
        </is>
      </c>
      <c r="B104" s="5" t="n">
        <v>3</v>
      </c>
      <c r="C104" s="6" t="inlineStr">
        <is>
          <t>Yetişkinleri gözlemle</t>
        </is>
      </c>
      <c r="D104" s="5" t="inlineStr">
        <is>
          <t>Sosyal Radar</t>
        </is>
      </c>
      <c r="E104" s="5" t="inlineStr">
        <is>
          <t>Orta</t>
        </is>
      </c>
      <c r="F104" s="5" t="inlineStr"/>
      <c r="G104" s="6" t="inlineStr"/>
      <c r="H104" s="6" t="inlineStr">
        <is>
          <t>Bunun aslında çocuklarla ilgili olmadığını fark ettin.</t>
        </is>
      </c>
      <c r="I104" s="6" t="inlineStr">
        <is>
          <t>Kimin kiminle neden yarıştığını çözdün. Aile sosyolojisinde ilk makale.</t>
        </is>
      </c>
      <c r="J104" s="6" t="inlineStr">
        <is>
          <t>Gözlemledin. Sonuç: yetişkinler garip.</t>
        </is>
      </c>
      <c r="K104" s="6" t="inlineStr">
        <is>
          <t>Gözlemlerini yüksek sesle paylaştın. Misafirler erken kalktı.</t>
        </is>
      </c>
      <c r="L104" s="6" t="inlineStr"/>
      <c r="M104" s="5" t="inlineStr"/>
      <c r="N104" s="5" t="inlineStr"/>
      <c r="O104" s="6" t="inlineStr"/>
      <c r="P104" s="6" t="inlineStr"/>
      <c r="Q104" s="5" t="inlineStr"/>
      <c r="R104" s="5" t="inlineStr"/>
      <c r="S104" s="5" t="inlineStr"/>
      <c r="T104" s="5" t="inlineStr"/>
      <c r="U104" s="5" t="inlineStr"/>
      <c r="V104" s="5" t="inlineStr"/>
      <c r="W104" s="5" t="inlineStr"/>
      <c r="X104" s="5" t="inlineStr"/>
      <c r="Y104" s="5" t="inlineStr"/>
      <c r="Z104" s="6" t="inlineStr"/>
    </row>
    <row r="105">
      <c r="A105" s="5" t="inlineStr">
        <is>
          <t>kirilan-oyuncak</t>
        </is>
      </c>
      <c r="B105" s="5" t="n">
        <v>1</v>
      </c>
      <c r="C105" s="6" t="inlineStr">
        <is>
          <t>Hemen söyle</t>
        </is>
      </c>
      <c r="D105" s="5" t="inlineStr"/>
      <c r="E105" s="5" t="inlineStr"/>
      <c r="F105" s="5" t="inlineStr">
        <is>
          <t>Vicdan +2</t>
        </is>
      </c>
      <c r="G105" s="6" t="inlineStr">
        <is>
          <t>Hasar raporu gecikmeden teslim edildi.</t>
        </is>
      </c>
      <c r="H105" s="6" t="inlineStr"/>
      <c r="I105" s="6" t="inlineStr"/>
      <c r="J105" s="6" t="inlineStr"/>
      <c r="K105" s="6" t="inlineStr"/>
      <c r="L105" s="6" t="inlineStr"/>
      <c r="M105" s="5" t="inlineStr"/>
      <c r="N105" s="5" t="inlineStr"/>
      <c r="O105" s="6" t="inlineStr"/>
      <c r="P105" s="6" t="inlineStr"/>
      <c r="Q105" s="5" t="inlineStr"/>
      <c r="R105" s="5" t="inlineStr"/>
      <c r="S105" s="5" t="inlineStr"/>
      <c r="T105" s="5" t="inlineStr"/>
      <c r="U105" s="5" t="inlineStr"/>
      <c r="V105" s="5" t="inlineStr"/>
      <c r="W105" s="5" t="inlineStr"/>
      <c r="X105" s="5" t="inlineStr"/>
      <c r="Y105" s="5" t="inlineStr"/>
      <c r="Z105" s="6" t="inlineStr"/>
    </row>
    <row r="106">
      <c r="A106" s="5" t="inlineStr">
        <is>
          <t>kirilan-oyuncak</t>
        </is>
      </c>
      <c r="B106" s="5" t="n">
        <v>2</v>
      </c>
      <c r="C106" s="6" t="inlineStr">
        <is>
          <t>Yerine koy, uzaklaş</t>
        </is>
      </c>
      <c r="D106" s="5" t="inlineStr">
        <is>
          <t>Kurnazlık</t>
        </is>
      </c>
      <c r="E106" s="5" t="inlineStr">
        <is>
          <t>Zor</t>
        </is>
      </c>
      <c r="F106" s="5" t="inlineStr"/>
      <c r="G106" s="6" t="inlineStr"/>
      <c r="H106" s="6" t="inlineStr">
        <is>
          <t>Olayın keşif saatini erteledin.</t>
        </is>
      </c>
      <c r="I106" s="6" t="inlineStr">
        <is>
          <t>Oyuncağı öyle yerleştirdin ki kırık, bir hafta sonra başkasının elinde ortaya çıktı.</t>
        </is>
      </c>
      <c r="J106" s="6" t="inlineStr">
        <is>
          <t>Yerine koydun; tam o sırada bir parça düştü.</t>
        </is>
      </c>
      <c r="K106" s="6" t="inlineStr">
        <is>
          <t>Uzaklaşırken çağrıldın: 'Bu ne?'</t>
        </is>
      </c>
      <c r="L106" s="6" t="inlineStr"/>
      <c r="M106" s="5" t="inlineStr"/>
      <c r="N106" s="5" t="inlineStr"/>
      <c r="O106" s="6" t="inlineStr"/>
      <c r="P106" s="6" t="inlineStr"/>
      <c r="Q106" s="5" t="inlineStr"/>
      <c r="R106" s="5" t="inlineStr"/>
      <c r="S106" s="5" t="inlineStr"/>
      <c r="T106" s="5" t="inlineStr"/>
      <c r="U106" s="5" t="inlineStr"/>
      <c r="V106" s="5" t="inlineStr"/>
      <c r="W106" s="5" t="inlineStr"/>
      <c r="X106" s="5" t="inlineStr"/>
      <c r="Y106" s="5" t="inlineStr"/>
      <c r="Z106" s="6" t="inlineStr"/>
    </row>
    <row r="107">
      <c r="A107" s="5" t="inlineStr">
        <is>
          <t>kirilan-oyuncak</t>
        </is>
      </c>
      <c r="B107" s="5" t="n">
        <v>3</v>
      </c>
      <c r="C107" s="6" t="inlineStr">
        <is>
          <t>Tamir etmeye çalış</t>
        </is>
      </c>
      <c r="D107" s="5" t="inlineStr">
        <is>
          <t>Akıl</t>
        </is>
      </c>
      <c r="E107" s="5" t="inlineStr">
        <is>
          <t>Orta</t>
        </is>
      </c>
      <c r="F107" s="5" t="inlineStr"/>
      <c r="G107" s="6" t="inlineStr"/>
      <c r="H107" s="6" t="inlineStr">
        <is>
          <t>Mühendislik departmanı kuruldu.</t>
        </is>
      </c>
      <c r="I107" s="6" t="inlineStr">
        <is>
          <t>Tamir ettin; oyuncak eskisinden iyi çalışıyor. Üstelik artık ışığı da yanıyor.</t>
        </is>
      </c>
      <c r="J107" s="6" t="inlineStr">
        <is>
          <t>Tamir ettin; bir parça arttı.</t>
        </is>
      </c>
      <c r="K107" s="6" t="inlineStr">
        <is>
          <t>Tamir ederken ikinci oyuncağı da söktün.</t>
        </is>
      </c>
      <c r="L107" s="6" t="inlineStr"/>
      <c r="M107" s="5" t="inlineStr"/>
      <c r="N107" s="5" t="inlineStr"/>
      <c r="O107" s="6" t="inlineStr"/>
      <c r="P107" s="6" t="inlineStr"/>
      <c r="Q107" s="5" t="inlineStr"/>
      <c r="R107" s="5" t="inlineStr"/>
      <c r="S107" s="5" t="inlineStr"/>
      <c r="T107" s="5" t="inlineStr"/>
      <c r="U107" s="5" t="inlineStr"/>
      <c r="V107" s="5" t="inlineStr"/>
      <c r="W107" s="5" t="inlineStr"/>
      <c r="X107" s="5" t="inlineStr"/>
      <c r="Y107" s="5" t="inlineStr"/>
      <c r="Z107" s="6" t="inlineStr"/>
    </row>
    <row r="108">
      <c r="A108" s="5" t="inlineStr">
        <is>
          <t>mahalle-turnuvasi</t>
        </is>
      </c>
      <c r="B108" s="5" t="n">
        <v>1</v>
      </c>
      <c r="C108" s="6" t="inlineStr">
        <is>
          <t>Yarış</t>
        </is>
      </c>
      <c r="D108" s="5" t="inlineStr">
        <is>
          <t>Dayanıklılık</t>
        </is>
      </c>
      <c r="E108" s="5" t="inlineStr">
        <is>
          <t>Orta</t>
        </is>
      </c>
      <c r="F108" s="5" t="inlineStr"/>
      <c r="G108" s="6" t="inlineStr"/>
      <c r="H108" s="6" t="inlineStr">
        <is>
          <t>Burun farkıyla öndesin. Zafer yine zaferdir.</t>
        </is>
      </c>
      <c r="I108" s="6" t="inlineStr">
        <is>
          <t>Bitiş çizgisine vardığında rakibin hâlâ yarı yoldaydı.</t>
        </is>
      </c>
      <c r="J108" s="6" t="inlineStr">
        <is>
          <t>Rakibin biraz daha hızlıydı.</t>
        </is>
      </c>
      <c r="K108" s="6" t="inlineStr">
        <is>
          <t>Başlangıçta ayakkabın çıktı. Yarış ayakkabısız devam etti.</t>
        </is>
      </c>
      <c r="L108" s="6" t="inlineStr">
        <is>
          <t>Neredeyse aynı anda vardınız.</t>
        </is>
      </c>
      <c r="M108" s="5" t="inlineStr">
        <is>
          <t>race</t>
        </is>
      </c>
      <c r="N108" s="5" t="inlineStr">
        <is>
          <t>Mahalle Yarışı</t>
        </is>
      </c>
      <c r="O108" s="6" t="inlineStr">
        <is>
          <t>5 saniye boyunca olabildiğince hızlı dokun.</t>
        </is>
      </c>
      <c r="P108" s="6" t="inlineStr"/>
      <c r="Q108" s="5" t="inlineStr"/>
      <c r="R108" s="5" t="inlineStr"/>
      <c r="S108" s="5" t="inlineStr"/>
      <c r="T108" s="5" t="inlineStr"/>
      <c r="U108" s="5" t="inlineStr"/>
      <c r="V108" s="5" t="inlineStr"/>
      <c r="W108" s="5" t="inlineStr"/>
      <c r="X108" s="5" t="inlineStr"/>
      <c r="Y108" s="5" t="inlineStr"/>
      <c r="Z108" s="6" t="inlineStr"/>
    </row>
    <row r="109">
      <c r="A109" s="5" t="inlineStr">
        <is>
          <t>mahalle-turnuvasi</t>
        </is>
      </c>
      <c r="B109" s="5" t="n">
        <v>2</v>
      </c>
      <c r="C109" s="6" t="inlineStr">
        <is>
          <t>Başlangıç avantajı bul</t>
        </is>
      </c>
      <c r="D109" s="5" t="inlineStr">
        <is>
          <t>Kurnazlık</t>
        </is>
      </c>
      <c r="E109" s="5" t="inlineStr">
        <is>
          <t>Zor</t>
        </is>
      </c>
      <c r="F109" s="5" t="inlineStr"/>
      <c r="G109" s="6" t="inlineStr"/>
      <c r="H109" s="6" t="inlineStr">
        <is>
          <t>Kurallarda küçük bir boşluk keşfettin.</t>
        </is>
      </c>
      <c r="I109" s="6" t="inlineStr">
        <is>
          <t>Boşluğu buldun, kullandın; kural kitabına senin adın eklendi.</t>
        </is>
      </c>
      <c r="J109" s="6" t="inlineStr">
        <is>
          <t>Boşluk bulamadın. Kurallar sıkıymış.</t>
        </is>
      </c>
      <c r="K109" s="6" t="inlineStr">
        <is>
          <t>Erken çıktın, diskalifiye edildin. Hakem mahalle bakkalıydı.</t>
        </is>
      </c>
      <c r="L109" s="6" t="inlineStr"/>
      <c r="M109" s="5" t="inlineStr"/>
      <c r="N109" s="5" t="inlineStr"/>
      <c r="O109" s="6" t="inlineStr"/>
      <c r="P109" s="6" t="inlineStr"/>
      <c r="Q109" s="5" t="inlineStr"/>
      <c r="R109" s="5" t="inlineStr"/>
      <c r="S109" s="5" t="inlineStr"/>
      <c r="T109" s="5" t="inlineStr"/>
      <c r="U109" s="5" t="inlineStr"/>
      <c r="V109" s="5" t="inlineStr"/>
      <c r="W109" s="5" t="inlineStr"/>
      <c r="X109" s="5" t="inlineStr"/>
      <c r="Y109" s="5" t="inlineStr"/>
      <c r="Z109" s="6" t="inlineStr"/>
    </row>
    <row r="110">
      <c r="A110" s="5" t="inlineStr">
        <is>
          <t>mahalle-turnuvasi</t>
        </is>
      </c>
      <c r="B110" s="5" t="n">
        <v>3</v>
      </c>
      <c r="C110" s="6" t="inlineStr">
        <is>
          <t>Hakem olmaya çalış</t>
        </is>
      </c>
      <c r="D110" s="5" t="inlineStr">
        <is>
          <t>Çene</t>
        </is>
      </c>
      <c r="E110" s="5" t="inlineStr">
        <is>
          <t>Zor</t>
        </is>
      </c>
      <c r="F110" s="5" t="inlineStr"/>
      <c r="G110" s="6" t="inlineStr"/>
      <c r="H110" s="6" t="inlineStr">
        <is>
          <t>Yarışmadın. Yarışın kurallarına karar verdin.</t>
        </is>
      </c>
      <c r="I110" s="6" t="inlineStr">
        <is>
          <t>Hakem oldun, ödül töreni düzenledin, madalyaları kendin dağıttın.</t>
        </is>
      </c>
      <c r="J110" s="6" t="inlineStr">
        <is>
          <t>Hakemlik başvurun reddedildi. Yarışçı olarak kaydedildin.</t>
        </is>
      </c>
      <c r="K110" s="6" t="inlineStr">
        <is>
          <t>Hakem oldun ama iki taraf da sana itiraz etti. Turnuva iptal.</t>
        </is>
      </c>
      <c r="L110" s="6" t="inlineStr"/>
      <c r="M110" s="5" t="inlineStr"/>
      <c r="N110" s="5" t="inlineStr"/>
      <c r="O110" s="6" t="inlineStr"/>
      <c r="P110" s="6" t="inlineStr"/>
      <c r="Q110" s="5" t="inlineStr"/>
      <c r="R110" s="5" t="inlineStr"/>
      <c r="S110" s="5" t="inlineStr"/>
      <c r="T110" s="5" t="inlineStr">
        <is>
          <t>Organizatör</t>
        </is>
      </c>
      <c r="U110" s="5" t="inlineStr"/>
      <c r="V110" s="5" t="inlineStr"/>
      <c r="W110" s="5" t="inlineStr"/>
      <c r="X110" s="5" t="inlineStr"/>
      <c r="Y110" s="5" t="inlineStr"/>
      <c r="Z110" s="6" t="inlineStr"/>
    </row>
    <row r="111">
      <c r="A111" s="5" t="inlineStr">
        <is>
          <t>mahalle-turnuvasi</t>
        </is>
      </c>
      <c r="B111" s="5" t="n">
        <v>4</v>
      </c>
      <c r="C111" s="6" t="inlineStr">
        <is>
          <t>Mahallenin kestirmesini kullan</t>
        </is>
      </c>
      <c r="D111" s="5" t="inlineStr">
        <is>
          <t>Kurnazlık</t>
        </is>
      </c>
      <c r="E111" s="5" t="inlineStr">
        <is>
          <t>Orta</t>
        </is>
      </c>
      <c r="F111" s="5" t="inlineStr"/>
      <c r="G111" s="6" t="inlineStr"/>
      <c r="H111" s="6" t="inlineStr">
        <is>
          <t>Yarışın ortasında bahçe duvarının arkasından çıktın. Kurallarda bununla ilgili bir madde yoktu.</t>
        </is>
      </c>
      <c r="I111" s="6" t="inlineStr">
        <is>
          <t>Kestirmeyi kullandın, birinci geldin. Hakem de mahalleden olduğu için itiraz eden çıkmadı.</t>
        </is>
      </c>
      <c r="J111" s="6" t="inlineStr">
        <is>
          <t>Kestirmeye saptın; duvarın arkasında komşunun köpeği vardı. Yarışın sonunu duvarın üstünden izledin.</t>
        </is>
      </c>
      <c r="K111" s="6" t="inlineStr">
        <is>
          <t>Kestirmeden çıktığında yarış bitmişti. Birinci sen değildin ama en çok çamura bulanan sendin.</t>
        </is>
      </c>
      <c r="L111" s="6" t="inlineStr"/>
      <c r="M111" s="5" t="inlineStr"/>
      <c r="N111" s="5" t="inlineStr"/>
      <c r="O111" s="6" t="inlineStr"/>
      <c r="P111" s="6" t="inlineStr"/>
      <c r="Q111" s="5" t="inlineStr"/>
      <c r="R111" s="5" t="inlineStr">
        <is>
          <t>mahalle-cocugu</t>
        </is>
      </c>
      <c r="S111" s="5" t="inlineStr"/>
      <c r="T111" s="5" t="inlineStr"/>
      <c r="U111" s="5" t="inlineStr"/>
      <c r="V111" s="5" t="inlineStr"/>
      <c r="W111" s="5" t="inlineStr"/>
      <c r="X111" s="5" t="inlineStr"/>
      <c r="Y111" s="5" t="inlineStr"/>
      <c r="Z111" s="6" t="inlineStr"/>
    </row>
    <row r="112">
      <c r="A112" s="5" t="inlineStr">
        <is>
          <t>harclik-pazarligi</t>
        </is>
      </c>
      <c r="B112" s="5" t="n">
        <v>1</v>
      </c>
      <c r="C112" s="6" t="inlineStr">
        <is>
          <t>Kabul et</t>
        </is>
      </c>
      <c r="D112" s="5" t="inlineStr"/>
      <c r="E112" s="5" t="inlineStr"/>
      <c r="F112" s="5" t="inlineStr">
        <is>
          <t>Vicdan +1</t>
        </is>
      </c>
      <c r="G112" s="6" t="inlineStr">
        <is>
          <t>Sözleşme imzalandı.</t>
        </is>
      </c>
      <c r="H112" s="6" t="inlineStr"/>
      <c r="I112" s="6" t="inlineStr"/>
      <c r="J112" s="6" t="inlineStr"/>
      <c r="K112" s="6" t="inlineStr"/>
      <c r="L112" s="6" t="inlineStr"/>
      <c r="M112" s="5" t="inlineStr"/>
      <c r="N112" s="5" t="inlineStr"/>
      <c r="O112" s="6" t="inlineStr"/>
      <c r="P112" s="6" t="inlineStr"/>
      <c r="Q112" s="5" t="inlineStr"/>
      <c r="R112" s="5" t="inlineStr"/>
      <c r="S112" s="5" t="inlineStr"/>
      <c r="T112" s="5" t="inlineStr"/>
      <c r="U112" s="5" t="inlineStr"/>
      <c r="V112" s="5" t="inlineStr"/>
      <c r="W112" s="5" t="inlineStr"/>
      <c r="X112" s="5" t="inlineStr"/>
      <c r="Y112" s="5" t="inlineStr"/>
      <c r="Z112" s="6" t="inlineStr"/>
    </row>
    <row r="113">
      <c r="A113" s="5" t="inlineStr">
        <is>
          <t>harclik-pazarligi</t>
        </is>
      </c>
      <c r="B113" s="5" t="n">
        <v>2</v>
      </c>
      <c r="C113" s="6" t="inlineStr">
        <is>
          <t>Biraz daha iste</t>
        </is>
      </c>
      <c r="D113" s="5" t="inlineStr">
        <is>
          <t>Çene</t>
        </is>
      </c>
      <c r="E113" s="5" t="inlineStr">
        <is>
          <t>Zor</t>
        </is>
      </c>
      <c r="F113" s="5" t="inlineStr"/>
      <c r="G113" s="6" t="inlineStr"/>
      <c r="H113" s="6" t="inlineStr">
        <is>
          <t>Ücret pazarlığı başladı ve zam aldın.</t>
        </is>
      </c>
      <c r="I113" s="6" t="inlineStr">
        <is>
          <t>Yüzde elli zam aldın. Aile bütçesi yeniden düzenlendi.</t>
        </is>
      </c>
      <c r="J113" s="6" t="inlineStr">
        <is>
          <t>İstedin; 'büyüyünce' denildi.</t>
        </is>
      </c>
      <c r="K113" s="6" t="inlineStr">
        <is>
          <t>İstedin; harçlığın donduruldu ve denetime alındı.</t>
        </is>
      </c>
      <c r="L113" s="6" t="inlineStr"/>
      <c r="M113" s="5" t="inlineStr"/>
      <c r="N113" s="5" t="inlineStr"/>
      <c r="O113" s="6" t="inlineStr"/>
      <c r="P113" s="6" t="inlineStr"/>
      <c r="Q113" s="5" t="inlineStr"/>
      <c r="R113" s="5" t="inlineStr"/>
      <c r="S113" s="5" t="inlineStr"/>
      <c r="T113" s="5" t="inlineStr"/>
      <c r="U113" s="5" t="inlineStr"/>
      <c r="V113" s="5" t="inlineStr"/>
      <c r="W113" s="5" t="inlineStr"/>
      <c r="X113" s="5" t="inlineStr"/>
      <c r="Y113" s="5" t="inlineStr"/>
      <c r="Z113" s="6" t="inlineStr"/>
    </row>
    <row r="114">
      <c r="A114" s="5" t="inlineStr">
        <is>
          <t>harclik-pazarligi</t>
        </is>
      </c>
      <c r="B114" s="5" t="n">
        <v>3</v>
      </c>
      <c r="C114" s="6" t="inlineStr">
        <is>
          <t>Ev işi karşılığı teklif et</t>
        </is>
      </c>
      <c r="D114" s="5" t="inlineStr">
        <is>
          <t>Kurnazlık</t>
        </is>
      </c>
      <c r="E114" s="5" t="inlineStr">
        <is>
          <t>Zor</t>
        </is>
      </c>
      <c r="F114" s="5" t="inlineStr"/>
      <c r="G114" s="6" t="inlineStr"/>
      <c r="H114" s="6" t="inlineStr">
        <is>
          <t>Hizmet karşılığı gelir modeli doğdu.</t>
        </is>
      </c>
      <c r="I114" s="6" t="inlineStr">
        <is>
          <t>Sofra kurmak için tarife açıkladın, bulaşık için ek paket. Ailen kabul etti.</t>
        </is>
      </c>
      <c r="J114" s="6" t="inlineStr">
        <is>
          <t>Teklifin kabul edildi; ücretsiz stajyer olarak.</t>
        </is>
      </c>
      <c r="K114" s="6" t="inlineStr">
        <is>
          <t>Ev işi teklif ettin; tüm ev işleri sana verildi, ücret konusu ertelendi.</t>
        </is>
      </c>
      <c r="L114" s="6" t="inlineStr"/>
      <c r="M114" s="5" t="inlineStr"/>
      <c r="N114" s="5" t="inlineStr"/>
      <c r="O114" s="6" t="inlineStr"/>
      <c r="P114" s="6" t="inlineStr"/>
      <c r="Q114" s="5" t="inlineStr"/>
      <c r="R114" s="5" t="inlineStr"/>
      <c r="S114" s="5" t="inlineStr"/>
      <c r="T114" s="5" t="inlineStr">
        <is>
          <t>İş Modeli Kurar</t>
        </is>
      </c>
      <c r="U114" s="5" t="inlineStr"/>
      <c r="V114" s="5" t="inlineStr"/>
      <c r="W114" s="5" t="inlineStr"/>
      <c r="X114" s="5" t="inlineStr"/>
      <c r="Y114" s="5" t="inlineStr"/>
      <c r="Z114" s="6" t="inlineStr"/>
    </row>
    <row r="115">
      <c r="A115" s="5" t="inlineStr">
        <is>
          <t>harclik-pazarligi</t>
        </is>
      </c>
      <c r="B115" s="5" t="n">
        <v>4</v>
      </c>
      <c r="C115" s="6" t="inlineStr">
        <is>
          <t>Enflasyon farkı talep et</t>
        </is>
      </c>
      <c r="D115" s="5" t="inlineStr">
        <is>
          <t>Akıl</t>
        </is>
      </c>
      <c r="E115" s="5" t="inlineStr">
        <is>
          <t>Orta</t>
        </is>
      </c>
      <c r="F115" s="5" t="inlineStr"/>
      <c r="G115" s="6" t="inlineStr"/>
      <c r="H115" s="6" t="inlineStr">
        <is>
          <t>Enflasyon farkı talep ettin. Ailen şaşkınlıkla kabul etti.</t>
        </is>
      </c>
      <c r="I115" s="6" t="inlineStr">
        <is>
          <t>Farkı hesapladın, geriye dönük talep ettin, tahsil ettin.</t>
        </is>
      </c>
      <c r="J115" s="6" t="inlineStr">
        <is>
          <t>'Enflasyon' kelimesini doğru söyleyemedin. Dava düştü.</t>
        </is>
      </c>
      <c r="K115" s="6" t="inlineStr">
        <is>
          <t>Enflasyon farkı istedin; babanın maaş konuşması başladı. Kimse mutlu değil.</t>
        </is>
      </c>
      <c r="L115" s="6" t="inlineStr"/>
      <c r="M115" s="5" t="inlineStr"/>
      <c r="N115" s="5" t="inlineStr"/>
      <c r="O115" s="6" t="inlineStr"/>
      <c r="P115" s="6" t="inlineStr"/>
      <c r="Q115" s="5" t="inlineStr">
        <is>
          <t>Erken Ekonomi Bilinci</t>
        </is>
      </c>
      <c r="R115" s="5" t="inlineStr"/>
      <c r="S115" s="5" t="inlineStr"/>
      <c r="T115" s="5" t="inlineStr"/>
      <c r="U115" s="5" t="inlineStr"/>
      <c r="V115" s="5" t="inlineStr"/>
      <c r="W115" s="5" t="inlineStr"/>
      <c r="X115" s="5" t="inlineStr"/>
      <c r="Y115" s="5" t="inlineStr"/>
      <c r="Z115" s="6" t="inlineStr"/>
    </row>
    <row r="116">
      <c r="A116" s="5" t="inlineStr">
        <is>
          <t>okul-hazirligi</t>
        </is>
      </c>
      <c r="B116" s="5" t="n">
        <v>1</v>
      </c>
      <c r="C116" s="6" t="inlineStr">
        <is>
          <t>Harflerle ilgilen</t>
        </is>
      </c>
      <c r="D116" s="5" t="inlineStr">
        <is>
          <t>Akıl</t>
        </is>
      </c>
      <c r="E116" s="5" t="inlineStr">
        <is>
          <t>Kolay</t>
        </is>
      </c>
      <c r="F116" s="5" t="inlineStr"/>
      <c r="G116" s="6" t="inlineStr"/>
      <c r="H116" s="6" t="inlineStr">
        <is>
          <t>Sistemle ilk dostane temas.</t>
        </is>
      </c>
      <c r="I116" s="6" t="inlineStr">
        <is>
          <t>Harfleri öğrendin ve markette etiketleri okumaya başladın. Fiyatlar seni endişelendirdi.</t>
        </is>
      </c>
      <c r="J116" s="6" t="inlineStr">
        <is>
          <t>Harflerle ilgilendin; harfler seninle ilgilenmedi.</t>
        </is>
      </c>
      <c r="K116" s="6" t="inlineStr">
        <is>
          <t>B ile D'yi karıştırdın. Hâlâ karıştırıyorsun.</t>
        </is>
      </c>
      <c r="L116" s="6" t="inlineStr">
        <is>
          <t>Harf oldu ama biraz yamuk. Öğretmen yine de yıldız verdi.</t>
        </is>
      </c>
      <c r="M116" s="5" t="inlineStr">
        <is>
          <t>trace</t>
        </is>
      </c>
      <c r="N116" s="5" t="inlineStr">
        <is>
          <t>İlk Harf</t>
        </is>
      </c>
      <c r="O116" s="6" t="inlineStr">
        <is>
          <t>Parmağını kaldırmadan kesikli çizginin üstünden M harfini çiz.</t>
        </is>
      </c>
      <c r="P116" s="6" t="inlineStr"/>
      <c r="Q116" s="5" t="inlineStr"/>
      <c r="R116" s="5" t="inlineStr"/>
      <c r="S116" s="5" t="inlineStr"/>
      <c r="T116" s="5" t="inlineStr"/>
      <c r="U116" s="5" t="inlineStr"/>
      <c r="V116" s="5" t="inlineStr"/>
      <c r="W116" s="5" t="inlineStr"/>
      <c r="X116" s="5" t="inlineStr"/>
      <c r="Y116" s="5" t="inlineStr"/>
      <c r="Z116" s="6" t="inlineStr"/>
    </row>
    <row r="117">
      <c r="A117" s="5" t="inlineStr">
        <is>
          <t>okul-hazirligi</t>
        </is>
      </c>
      <c r="B117" s="5" t="n">
        <v>2</v>
      </c>
      <c r="C117" s="6" t="inlineStr">
        <is>
          <t>Çantayı kendin hazırla</t>
        </is>
      </c>
      <c r="D117" s="5" t="inlineStr">
        <is>
          <t>Dayanıklılık</t>
        </is>
      </c>
      <c r="E117" s="5" t="inlineStr">
        <is>
          <t>Kolay</t>
        </is>
      </c>
      <c r="F117" s="5" t="inlineStr"/>
      <c r="G117" s="6" t="inlineStr"/>
      <c r="H117" s="6" t="inlineStr">
        <is>
          <t>Operasyonel bağımsızlık arttı.</t>
        </is>
      </c>
      <c r="I117" s="6" t="inlineStr">
        <is>
          <t>Beslenme, kalem, yedek çorap. Ailen sana kendi çantasını da verdi.</t>
        </is>
      </c>
      <c r="J117" s="6" t="inlineStr">
        <is>
          <t>Çantayı hazırladın; içinde sadece oyuncak var.</t>
        </is>
      </c>
      <c r="K117" s="6" t="inlineStr">
        <is>
          <t>Çantayı öyle doldurdun ki kaldıramadın.</t>
        </is>
      </c>
      <c r="L117" s="6" t="inlineStr"/>
      <c r="M117" s="5" t="inlineStr"/>
      <c r="N117" s="5" t="inlineStr"/>
      <c r="O117" s="6" t="inlineStr"/>
      <c r="P117" s="6" t="inlineStr"/>
      <c r="Q117" s="5" t="inlineStr"/>
      <c r="R117" s="5" t="inlineStr"/>
      <c r="S117" s="5" t="inlineStr"/>
      <c r="T117" s="5" t="inlineStr"/>
      <c r="U117" s="5" t="inlineStr"/>
      <c r="V117" s="5" t="inlineStr"/>
      <c r="W117" s="5" t="inlineStr"/>
      <c r="X117" s="5" t="inlineStr"/>
      <c r="Y117" s="5" t="inlineStr"/>
      <c r="Z117" s="6" t="inlineStr"/>
    </row>
    <row r="118">
      <c r="A118" s="5" t="inlineStr">
        <is>
          <t>okul-hazirligi</t>
        </is>
      </c>
      <c r="B118" s="5" t="n">
        <v>3</v>
      </c>
      <c r="C118" s="6" t="inlineStr">
        <is>
          <t>Aileye bırak</t>
        </is>
      </c>
      <c r="D118" s="5" t="inlineStr"/>
      <c r="E118" s="5" t="inlineStr"/>
      <c r="F118" s="5" t="inlineStr">
        <is>
          <t>Sosyal Radar +1</t>
        </is>
      </c>
      <c r="G118" s="6" t="inlineStr">
        <is>
          <t>Görev dağılımı da bir yetkinliktir.</t>
        </is>
      </c>
      <c r="H118" s="6" t="inlineStr"/>
      <c r="I118" s="6" t="inlineStr"/>
      <c r="J118" s="6" t="inlineStr"/>
      <c r="K118" s="6" t="inlineStr"/>
      <c r="L118" s="6" t="inlineStr"/>
      <c r="M118" s="5" t="inlineStr"/>
      <c r="N118" s="5" t="inlineStr"/>
      <c r="O118" s="6" t="inlineStr"/>
      <c r="P118" s="6" t="inlineStr"/>
      <c r="Q118" s="5" t="inlineStr"/>
      <c r="R118" s="5" t="inlineStr"/>
      <c r="S118" s="5" t="inlineStr"/>
      <c r="T118" s="5" t="inlineStr"/>
      <c r="U118" s="5" t="inlineStr"/>
      <c r="V118" s="5" t="inlineStr"/>
      <c r="W118" s="5" t="inlineStr"/>
      <c r="X118" s="5" t="inlineStr"/>
      <c r="Y118" s="5" t="inlineStr"/>
      <c r="Z118" s="6" t="inlineStr"/>
    </row>
    <row r="119">
      <c r="A119" s="5" t="inlineStr">
        <is>
          <t>okul-hazirligi</t>
        </is>
      </c>
      <c r="B119" s="5" t="n">
        <v>4</v>
      </c>
      <c r="C119" s="6" t="inlineStr">
        <is>
          <t>Harfleri tabletten bildiğini göster</t>
        </is>
      </c>
      <c r="D119" s="5" t="inlineStr">
        <is>
          <t>Akıl</t>
        </is>
      </c>
      <c r="E119" s="5" t="inlineStr">
        <is>
          <t>Orta</t>
        </is>
      </c>
      <c r="F119" s="5" t="inlineStr"/>
      <c r="G119" s="6" t="inlineStr"/>
      <c r="H119" s="6" t="inlineStr">
        <is>
          <t>Harfleri tabletteki bir oyundan öğrenmiştin. Öğretmen “Bunu kim öğretti?” diye sordu; “Bir uygulama” dedin.</t>
        </is>
      </c>
      <c r="I119" s="6" t="inlineStr">
        <is>
          <t>Harfleri sayıp döktün, sonra hepsini sıraya dizdin. Öğretmen defterine “dijital yerli” diye not düştü.</t>
        </is>
      </c>
      <c r="J119" s="6" t="inlineStr">
        <is>
          <t>Harfleri biliyordun ama sadece dokunmatik ekranda. Kâğıt dokunuşuna tepki vermedi.</t>
        </is>
      </c>
      <c r="K119" s="6" t="inlineStr">
        <is>
          <t>Deftere harf yazmak yerine sayfayı kaydırmaya çalıştın. Defter yırtıldı, harfler dağıldı.</t>
        </is>
      </c>
      <c r="L119" s="6" t="inlineStr"/>
      <c r="M119" s="5" t="inlineStr"/>
      <c r="N119" s="5" t="inlineStr"/>
      <c r="O119" s="6" t="inlineStr"/>
      <c r="P119" s="6" t="inlineStr"/>
      <c r="Q119" s="5" t="inlineStr"/>
      <c r="R119" s="5" t="inlineStr">
        <is>
          <t>ekran-cocugu</t>
        </is>
      </c>
      <c r="S119" s="5" t="inlineStr"/>
      <c r="T119" s="5" t="inlineStr"/>
      <c r="U119" s="5" t="inlineStr"/>
      <c r="V119" s="5" t="inlineStr"/>
      <c r="W119" s="5" t="inlineStr"/>
      <c r="X119" s="5" t="inlineStr"/>
      <c r="Y119" s="5" t="inlineStr"/>
      <c r="Z119" s="6" t="inlineStr"/>
    </row>
    <row r="120">
      <c r="A120" s="5" t="inlineStr">
        <is>
          <t>tepsiyle-kayak</t>
        </is>
      </c>
      <c r="B120" s="5" t="n">
        <v>1</v>
      </c>
      <c r="C120" s="6" t="inlineStr">
        <is>
          <t>Pencereden izle</t>
        </is>
      </c>
      <c r="D120" s="5" t="inlineStr"/>
      <c r="E120" s="5" t="inlineStr"/>
      <c r="F120" s="5" t="inlineStr">
        <is>
          <t>Akıl +1</t>
        </is>
      </c>
      <c r="G120" s="6" t="inlineStr">
        <is>
          <t>Kar fiziğini güvenli bir mesafeden inceledin. Bilim böyle ilerler.</t>
        </is>
      </c>
      <c r="H120" s="6" t="inlineStr"/>
      <c r="I120" s="6" t="inlineStr"/>
      <c r="J120" s="6" t="inlineStr"/>
      <c r="K120" s="6" t="inlineStr"/>
      <c r="L120" s="6" t="inlineStr"/>
      <c r="M120" s="5" t="inlineStr"/>
      <c r="N120" s="5" t="inlineStr"/>
      <c r="O120" s="6" t="inlineStr"/>
      <c r="P120" s="6" t="inlineStr"/>
      <c r="Q120" s="5" t="inlineStr"/>
      <c r="R120" s="5" t="inlineStr"/>
      <c r="S120" s="5" t="inlineStr"/>
      <c r="T120" s="5" t="inlineStr"/>
      <c r="U120" s="5" t="inlineStr"/>
      <c r="V120" s="5" t="inlineStr"/>
      <c r="W120" s="5" t="inlineStr"/>
      <c r="X120" s="5" t="inlineStr"/>
      <c r="Y120" s="5" t="inlineStr"/>
      <c r="Z120" s="6" t="inlineStr"/>
    </row>
    <row r="121">
      <c r="A121" s="5" t="inlineStr">
        <is>
          <t>tepsiyle-kayak</t>
        </is>
      </c>
      <c r="B121" s="5" t="n">
        <v>2</v>
      </c>
      <c r="C121" s="6" t="inlineStr">
        <is>
          <t>Tepsiyle kay</t>
        </is>
      </c>
      <c r="D121" s="5" t="inlineStr">
        <is>
          <t>Cesaret</t>
        </is>
      </c>
      <c r="E121" s="5" t="inlineStr">
        <is>
          <t>Orta</t>
        </is>
      </c>
      <c r="F121" s="5" t="inlineStr"/>
      <c r="G121" s="6" t="inlineStr"/>
      <c r="H121" s="6" t="inlineStr">
        <is>
          <t>Yokuşu baştan sona kaydın. Mahalle seni alkışladı, annen seni aradı.</t>
        </is>
      </c>
      <c r="I121" s="6" t="inlineStr">
        <is>
          <t>Öyle bir kaydın ki yokuşun sonunda bir tur daha attın. Efsane doğdu.</t>
        </is>
      </c>
      <c r="J121" s="6" t="inlineStr">
        <is>
          <t>Tepsi döndü, sen döndün, yokuş dönmedi. Kar dolu bir kafayla eve vardın.</t>
        </is>
      </c>
      <c r="K121" s="6" t="inlineStr">
        <is>
          <t>Tepsi bir yöne, sen öbür yöne. Kolun alçıya alındı; alçının üstü mahallenin imza defterine döndü.</t>
        </is>
      </c>
      <c r="L121" s="6" t="inlineStr"/>
      <c r="M121" s="5" t="inlineStr"/>
      <c r="N121" s="5" t="inlineStr"/>
      <c r="O121" s="6" t="inlineStr"/>
      <c r="P121" s="6" t="inlineStr"/>
      <c r="Q121" s="5" t="inlineStr"/>
      <c r="R121" s="5" t="inlineStr"/>
      <c r="S121" s="5" t="inlineStr"/>
      <c r="T121" s="5" t="inlineStr"/>
      <c r="U121" s="5" t="inlineStr"/>
      <c r="V121" s="5" t="inlineStr"/>
      <c r="W121" s="5" t="inlineStr">
        <is>
          <t>alcili-kol</t>
        </is>
      </c>
      <c r="X121" s="5" t="inlineStr"/>
      <c r="Y121" s="5" t="inlineStr"/>
      <c r="Z121" s="6" t="inlineStr"/>
    </row>
    <row r="122">
      <c r="A122" s="5" t="inlineStr">
        <is>
          <t>tepsiyle-kayak</t>
        </is>
      </c>
      <c r="B122" s="5" t="n">
        <v>3</v>
      </c>
      <c r="C122" s="6" t="inlineStr">
        <is>
          <t>Tepsi kiralama işi kur</t>
        </is>
      </c>
      <c r="D122" s="5" t="inlineStr">
        <is>
          <t>Kurnazlık</t>
        </is>
      </c>
      <c r="E122" s="5" t="inlineStr">
        <is>
          <t>Orta</t>
        </is>
      </c>
      <c r="F122" s="5" t="inlineStr"/>
      <c r="G122" s="6" t="inlineStr"/>
      <c r="H122" s="6" t="inlineStr">
        <is>
          <t>Evden üç tepsi getirdin, tur başına bir şeker. Kış ekonomisi canlandı.</t>
        </is>
      </c>
      <c r="I122" s="6" t="inlineStr">
        <is>
          <t>Öğlene kadar tüm mahallenin tepsileri sende toplandı. Kar tekeli.</t>
        </is>
      </c>
      <c r="J122" s="6" t="inlineStr">
        <is>
          <t>Tepsileri kiraladın; kimse geri getirmedi.</t>
        </is>
      </c>
      <c r="K122" s="6" t="inlineStr">
        <is>
          <t>Kiraladığın tepsilerden biri annenin baklava tepsisiydi.</t>
        </is>
      </c>
      <c r="L122" s="6" t="inlineStr"/>
      <c r="M122" s="5" t="inlineStr"/>
      <c r="N122" s="5" t="inlineStr"/>
      <c r="O122" s="6" t="inlineStr"/>
      <c r="P122" s="6" t="inlineStr"/>
      <c r="Q122" s="5" t="inlineStr"/>
      <c r="R122" s="5" t="inlineStr"/>
      <c r="S122" s="5" t="inlineStr"/>
      <c r="T122" s="5" t="inlineStr"/>
      <c r="U122" s="5" t="inlineStr">
        <is>
          <t>tepsiTekeli</t>
        </is>
      </c>
      <c r="V122" s="5" t="inlineStr"/>
      <c r="W122" s="5" t="inlineStr"/>
      <c r="X122" s="5" t="inlineStr"/>
      <c r="Y122" s="5" t="inlineStr"/>
      <c r="Z122" s="6" t="inlineStr"/>
    </row>
    <row r="123">
      <c r="A123" s="5" t="inlineStr">
        <is>
          <t>tepsiyle-kayak</t>
        </is>
      </c>
      <c r="B123" s="5" t="n">
        <v>4</v>
      </c>
      <c r="C123" s="6" t="inlineStr">
        <is>
          <t>Kardan adam yap</t>
        </is>
      </c>
      <c r="D123" s="5" t="inlineStr">
        <is>
          <t>Dayanıklılık</t>
        </is>
      </c>
      <c r="E123" s="5" t="inlineStr">
        <is>
          <t>Kolay</t>
        </is>
      </c>
      <c r="F123" s="5" t="inlineStr"/>
      <c r="G123" s="6" t="inlineStr"/>
      <c r="H123" s="6" t="inlineStr">
        <is>
          <t>Sağlam bir kardan adam yaptın. Havuçlu, düğmeli, vakur.</t>
        </is>
      </c>
      <c r="I123" s="6" t="inlineStr">
        <is>
          <t>Kardan adamın o kadar iyi oldu ki mahalle muhtarı fotoğrafını çekti.</t>
        </is>
      </c>
      <c r="J123" s="6" t="inlineStr">
        <is>
          <t>Kardan adam yarıda eridi. Tam bir kardan yarım adam.</t>
        </is>
      </c>
      <c r="K123" s="6" t="inlineStr">
        <is>
          <t>Kardan adamın kafası düştü. Çocuklar bunu bir işaret olarak yorumladı.</t>
        </is>
      </c>
      <c r="L123" s="6" t="inlineStr"/>
      <c r="M123" s="5" t="inlineStr"/>
      <c r="N123" s="5" t="inlineStr"/>
      <c r="O123" s="6" t="inlineStr"/>
      <c r="P123" s="6" t="inlineStr"/>
      <c r="Q123" s="5" t="inlineStr"/>
      <c r="R123" s="5" t="inlineStr"/>
      <c r="S123" s="5" t="inlineStr"/>
      <c r="T123" s="5" t="inlineStr"/>
      <c r="U123" s="5" t="inlineStr"/>
      <c r="V123" s="5" t="inlineStr"/>
      <c r="W123" s="5" t="inlineStr"/>
      <c r="X123" s="5" t="inlineStr"/>
      <c r="Y123" s="5" t="inlineStr"/>
      <c r="Z123" s="6" t="inlineStr"/>
    </row>
    <row r="124">
      <c r="A124" s="5" t="inlineStr">
        <is>
          <t>ilkokul-kapisi</t>
        </is>
      </c>
      <c r="B124" s="5" t="n">
        <v>1</v>
      </c>
      <c r="C124" s="6" t="inlineStr">
        <is>
          <t>Cesurca gir</t>
        </is>
      </c>
      <c r="D124" s="5" t="inlineStr">
        <is>
          <t>Cesaret</t>
        </is>
      </c>
      <c r="E124" s="5" t="inlineStr">
        <is>
          <t>Orta</t>
        </is>
      </c>
      <c r="F124" s="5" t="inlineStr"/>
      <c r="G124" s="6" t="inlineStr"/>
      <c r="H124" s="6" t="inlineStr">
        <is>
          <t>Yeni sistem açıldı.</t>
        </is>
      </c>
      <c r="I124" s="6" t="inlineStr">
        <is>
          <t>İçeri girdin, öğretmene 'Günaydın' dedin, en öndeki sırayı aldın.</t>
        </is>
      </c>
      <c r="J124" s="6" t="inlineStr">
        <is>
          <t>Kapıda bir an durdun. Arkadaki kalabalık seni içeri itti.</t>
        </is>
      </c>
      <c r="K124" s="6" t="inlineStr">
        <is>
          <t>Cesurca girdin; tuvalete.</t>
        </is>
      </c>
      <c r="L124" s="6" t="inlineStr"/>
      <c r="M124" s="5" t="inlineStr"/>
      <c r="N124" s="5" t="inlineStr"/>
      <c r="O124" s="6" t="inlineStr"/>
      <c r="P124" s="6" t="inlineStr"/>
      <c r="Q124" s="5" t="inlineStr"/>
      <c r="R124" s="5" t="inlineStr"/>
      <c r="S124" s="5" t="inlineStr"/>
      <c r="T124" s="5" t="inlineStr"/>
      <c r="U124" s="5" t="inlineStr"/>
      <c r="V124" s="5" t="inlineStr"/>
      <c r="W124" s="5" t="inlineStr"/>
      <c r="X124" s="5" t="inlineStr"/>
      <c r="Y124" s="5" t="inlineStr"/>
      <c r="Z124" s="6" t="inlineStr"/>
    </row>
    <row r="125">
      <c r="A125" s="5" t="inlineStr">
        <is>
          <t>ilkokul-kapisi</t>
        </is>
      </c>
      <c r="B125" s="5" t="n">
        <v>2</v>
      </c>
      <c r="C125" s="6" t="inlineStr">
        <is>
          <t>Önce ortamı oku</t>
        </is>
      </c>
      <c r="D125" s="5" t="inlineStr">
        <is>
          <t>Sosyal Radar</t>
        </is>
      </c>
      <c r="E125" s="5" t="inlineStr">
        <is>
          <t>Orta</t>
        </is>
      </c>
      <c r="F125" s="5" t="inlineStr"/>
      <c r="G125" s="6" t="inlineStr"/>
      <c r="H125" s="6" t="inlineStr">
        <is>
          <t>Sınıfın görünmeyen haritasını çıkarmaya başladın.</t>
        </is>
      </c>
      <c r="I125" s="6" t="inlineStr">
        <is>
          <t>Kimin lider, kimin sessiz dahi, kimin kantincinin yeğeni olduğunu ilk gün öğrendin.</t>
        </is>
      </c>
      <c r="J125" s="6" t="inlineStr">
        <is>
          <t>Ortamı okudun; ortam seni okumadı.</t>
        </is>
      </c>
      <c r="K125" s="6" t="inlineStr">
        <is>
          <t>Ortamı okurken zil çaldı ve kapı kapandı.</t>
        </is>
      </c>
      <c r="L125" s="6" t="inlineStr"/>
      <c r="M125" s="5" t="inlineStr"/>
      <c r="N125" s="5" t="inlineStr"/>
      <c r="O125" s="6" t="inlineStr"/>
      <c r="P125" s="6" t="inlineStr"/>
      <c r="Q125" s="5" t="inlineStr"/>
      <c r="R125" s="5" t="inlineStr"/>
      <c r="S125" s="5" t="inlineStr"/>
      <c r="T125" s="5" t="inlineStr"/>
      <c r="U125" s="5" t="inlineStr"/>
      <c r="V125" s="5" t="inlineStr"/>
      <c r="W125" s="5" t="inlineStr"/>
      <c r="X125" s="5" t="inlineStr"/>
      <c r="Y125" s="5" t="inlineStr"/>
      <c r="Z125" s="6" t="inlineStr"/>
    </row>
    <row r="126">
      <c r="A126" s="5" t="inlineStr">
        <is>
          <t>ilkokul-kapisi</t>
        </is>
      </c>
      <c r="B126" s="5" t="n">
        <v>3</v>
      </c>
      <c r="C126" s="6" t="inlineStr">
        <is>
          <t>Sınıfı kendin bul</t>
        </is>
      </c>
      <c r="D126" s="5" t="inlineStr">
        <is>
          <t>Akıl</t>
        </is>
      </c>
      <c r="E126" s="5" t="inlineStr">
        <is>
          <t>Kolay</t>
        </is>
      </c>
      <c r="F126" s="5" t="inlineStr"/>
      <c r="G126" s="6" t="inlineStr"/>
      <c r="H126" s="6" t="inlineStr">
        <is>
          <t>Kapıyı buldun ve içeri girdin.</t>
        </is>
      </c>
      <c r="I126" s="6" t="inlineStr">
        <is>
          <t>İpucunu tek bakışta çözdün. Doğru sınıf, ilk sıra.</t>
        </is>
      </c>
      <c r="J126" s="6" t="inlineStr">
        <is>
          <t>Yanlış sınıfa girdin, sonra doğrusunu buldun.</t>
        </is>
      </c>
      <c r="K126" s="6" t="inlineStr">
        <is>
          <t>Yanlış sınıfa girdin. Herkes sana baktı. Dördüncü sınıftı.</t>
        </is>
      </c>
      <c r="L126" s="6" t="inlineStr">
        <is>
          <t>Doğru koridor, yanlış kapı; ama öğretmen seni yönlendirdi.</t>
        </is>
      </c>
      <c r="M126" s="5" t="inlineStr">
        <is>
          <t>doors</t>
        </is>
      </c>
      <c r="N126" s="5" t="inlineStr">
        <is>
          <t>Doğru Sınıfı Bul</t>
        </is>
      </c>
      <c r="O126" s="6" t="inlineStr">
        <is>
          <t>Sınıfının işaretini aklında tut. Birazdan kaybolacak.</t>
        </is>
      </c>
      <c r="P126" s="6" t="inlineStr"/>
      <c r="Q126" s="5" t="inlineStr"/>
      <c r="R126" s="5" t="inlineStr"/>
      <c r="S126" s="5" t="inlineStr"/>
      <c r="T126" s="5" t="inlineStr"/>
      <c r="U126" s="5" t="inlineStr"/>
      <c r="V126" s="5" t="inlineStr"/>
      <c r="W126" s="5" t="inlineStr"/>
      <c r="X126" s="5" t="inlineStr"/>
      <c r="Y126" s="5" t="inlineStr"/>
      <c r="Z126" s="6" t="inlineStr"/>
    </row>
    <row r="127">
      <c r="A127" s="5" t="inlineStr">
        <is>
          <t>ilk-ders</t>
        </is>
      </c>
      <c r="B127" s="5" t="n">
        <v>1</v>
      </c>
      <c r="C127" s="6" t="inlineStr">
        <is>
          <t>El kaldır</t>
        </is>
      </c>
      <c r="D127" s="5" t="inlineStr">
        <is>
          <t>Cesaret</t>
        </is>
      </c>
      <c r="E127" s="5" t="inlineStr">
        <is>
          <t>Kolay</t>
        </is>
      </c>
      <c r="F127" s="5" t="inlineStr"/>
      <c r="G127" s="6" t="inlineStr"/>
      <c r="H127" s="6" t="inlineStr">
        <is>
          <t>Tahtaya kalktın, adını yazdın. İlk kamu görevin.</t>
        </is>
      </c>
      <c r="I127" s="6" t="inlineStr">
        <is>
          <t>Tahtaya çıktın ve koca bir cümle yazdın. Öğretmen defterine yıldız koydu.</t>
        </is>
      </c>
      <c r="J127" s="6" t="inlineStr">
        <is>
          <t>El kaldırdın; öğretmen başkasını seçti.</t>
        </is>
      </c>
      <c r="K127" s="6" t="inlineStr">
        <is>
          <t>Tahtaya kalktın, kalemi ters tuttun.</t>
        </is>
      </c>
      <c r="L127" s="6" t="inlineStr"/>
      <c r="M127" s="5" t="inlineStr"/>
      <c r="N127" s="5" t="inlineStr"/>
      <c r="O127" s="6" t="inlineStr"/>
      <c r="P127" s="6" t="inlineStr"/>
      <c r="Q127" s="5" t="inlineStr"/>
      <c r="R127" s="5" t="inlineStr"/>
      <c r="S127" s="5" t="inlineStr"/>
      <c r="T127" s="5" t="inlineStr"/>
      <c r="U127" s="5" t="inlineStr"/>
      <c r="V127" s="5" t="inlineStr"/>
      <c r="W127" s="5" t="inlineStr"/>
      <c r="X127" s="5" t="inlineStr"/>
      <c r="Y127" s="5" t="inlineStr"/>
      <c r="Z127" s="6" t="inlineStr"/>
    </row>
    <row r="128">
      <c r="A128" s="5" t="inlineStr">
        <is>
          <t>ilk-ders</t>
        </is>
      </c>
      <c r="B128" s="5" t="n">
        <v>2</v>
      </c>
      <c r="C128" s="6" t="inlineStr">
        <is>
          <t>Sessizce defterine yaz</t>
        </is>
      </c>
      <c r="D128" s="5" t="inlineStr">
        <is>
          <t>Akıl</t>
        </is>
      </c>
      <c r="E128" s="5" t="inlineStr">
        <is>
          <t>Kolay</t>
        </is>
      </c>
      <c r="F128" s="5" t="inlineStr"/>
      <c r="G128" s="6" t="inlineStr"/>
      <c r="H128" s="6" t="inlineStr">
        <is>
          <t>Sessizce yaptın. Öğretmen defterini görünce kaşlarını kaldırdı.</t>
        </is>
      </c>
      <c r="I128" s="6" t="inlineStr">
        <is>
          <t>Defterin sınıfa örnek olarak gösterildi.</t>
        </is>
      </c>
      <c r="J128" s="6" t="inlineStr">
        <is>
          <t>Yazdın ama silgi de yazdı.</t>
        </is>
      </c>
      <c r="K128" s="6" t="inlineStr">
        <is>
          <t>Deftere değil sıraya yazdın.</t>
        </is>
      </c>
      <c r="L128" s="6" t="inlineStr"/>
      <c r="M128" s="5" t="inlineStr"/>
      <c r="N128" s="5" t="inlineStr"/>
      <c r="O128" s="6" t="inlineStr"/>
      <c r="P128" s="6" t="inlineStr"/>
      <c r="Q128" s="5" t="inlineStr"/>
      <c r="R128" s="5" t="inlineStr"/>
      <c r="S128" s="5" t="inlineStr"/>
      <c r="T128" s="5" t="inlineStr"/>
      <c r="U128" s="5" t="inlineStr"/>
      <c r="V128" s="5" t="inlineStr"/>
      <c r="W128" s="5" t="inlineStr"/>
      <c r="X128" s="5" t="inlineStr"/>
      <c r="Y128" s="5" t="inlineStr"/>
      <c r="Z128" s="6" t="inlineStr"/>
    </row>
    <row r="129">
      <c r="A129" s="5" t="inlineStr">
        <is>
          <t>ilk-ders</t>
        </is>
      </c>
      <c r="B129" s="5" t="n">
        <v>3</v>
      </c>
      <c r="C129" s="6" t="inlineStr">
        <is>
          <t>Yanındakine yardım et</t>
        </is>
      </c>
      <c r="D129" s="5" t="inlineStr"/>
      <c r="E129" s="5" t="inlineStr"/>
      <c r="F129" s="5" t="inlineStr">
        <is>
          <t>Vicdan +1, Sosyal Radar +1</t>
        </is>
      </c>
      <c r="G129" s="6" t="inlineStr">
        <is>
          <t>İlk dayanışma ağın kuruldu.</t>
        </is>
      </c>
      <c r="H129" s="6" t="inlineStr"/>
      <c r="I129" s="6" t="inlineStr"/>
      <c r="J129" s="6" t="inlineStr"/>
      <c r="K129" s="6" t="inlineStr"/>
      <c r="L129" s="6" t="inlineStr"/>
      <c r="M129" s="5" t="inlineStr"/>
      <c r="N129" s="5" t="inlineStr"/>
      <c r="O129" s="6" t="inlineStr"/>
      <c r="P129" s="6" t="inlineStr"/>
      <c r="Q129" s="5" t="inlineStr"/>
      <c r="R129" s="5" t="inlineStr"/>
      <c r="S129" s="5" t="inlineStr"/>
      <c r="T129" s="5" t="inlineStr"/>
      <c r="U129" s="5" t="inlineStr"/>
      <c r="V129" s="5" t="inlineStr"/>
      <c r="W129" s="5" t="inlineStr"/>
      <c r="X129" s="5" t="inlineStr"/>
      <c r="Y129" s="5" t="inlineStr"/>
      <c r="Z129" s="6" t="inlineStr"/>
    </row>
    <row r="130">
      <c r="A130" s="5" t="inlineStr">
        <is>
          <t>ilk-ders</t>
        </is>
      </c>
      <c r="B130" s="5" t="n">
        <v>4</v>
      </c>
      <c r="C130" s="6" t="inlineStr">
        <is>
          <t>Tabletten öğrendiklerini göster</t>
        </is>
      </c>
      <c r="D130" s="5" t="inlineStr">
        <is>
          <t>Akıl</t>
        </is>
      </c>
      <c r="E130" s="5" t="inlineStr">
        <is>
          <t>Kolay</t>
        </is>
      </c>
      <c r="F130" s="5" t="inlineStr"/>
      <c r="G130" s="6" t="inlineStr"/>
      <c r="H130" s="6" t="inlineStr">
        <is>
          <t>Harfleri bir oyundan öğrendiğini anlattın. Öğretmen not aldı.</t>
        </is>
      </c>
      <c r="I130" s="6" t="inlineStr">
        <is>
          <t>Sınıfa harf oyunu tanıttın. Öğretmen dersin yarısını sana bıraktı.</t>
        </is>
      </c>
      <c r="J130" s="6" t="inlineStr">
        <is>
          <t>Anlatırken oyunun adını hatırlayamadın.</t>
        </is>
      </c>
      <c r="K130" s="6" t="inlineStr">
        <is>
          <t>Tabletten öğrendiğin şeyin reklam şarkısı olduğu anlaşıldı.</t>
        </is>
      </c>
      <c r="L130" s="6" t="inlineStr"/>
      <c r="M130" s="5" t="inlineStr"/>
      <c r="N130" s="5" t="inlineStr"/>
      <c r="O130" s="6" t="inlineStr"/>
      <c r="P130" s="6" t="inlineStr"/>
      <c r="Q130" s="5" t="inlineStr">
        <is>
          <t>Teknoloji Merakı</t>
        </is>
      </c>
      <c r="R130" s="5" t="inlineStr"/>
      <c r="S130" s="5" t="inlineStr"/>
      <c r="T130" s="5" t="inlineStr"/>
      <c r="U130" s="5" t="inlineStr"/>
      <c r="V130" s="5" t="inlineStr"/>
      <c r="W130" s="5" t="inlineStr"/>
      <c r="X130" s="5" t="inlineStr"/>
      <c r="Y130" s="5" t="inlineStr"/>
      <c r="Z130" s="6" t="inlineStr"/>
    </row>
    <row r="131">
      <c r="A131" s="5" t="inlineStr">
        <is>
          <t>sira-arkadasi</t>
        </is>
      </c>
      <c r="B131" s="5" t="n">
        <v>1</v>
      </c>
      <c r="C131" s="6" t="inlineStr">
        <is>
          <t>Kendini tanıt</t>
        </is>
      </c>
      <c r="D131" s="5" t="inlineStr">
        <is>
          <t>Çene</t>
        </is>
      </c>
      <c r="E131" s="5" t="inlineStr">
        <is>
          <t>Kolay</t>
        </is>
      </c>
      <c r="F131" s="5" t="inlineStr"/>
      <c r="G131" s="6" t="inlineStr"/>
      <c r="H131" s="6" t="inlineStr">
        <is>
          <t>Adını söyledin, o da söyledi. Diplomatik ilişkiler kuruldu.</t>
        </is>
      </c>
      <c r="I131" s="6" t="inlineStr">
        <is>
          <t>Tanıştınız, güldünüz, ortak düşman olarak matematiği seçtiniz. Ömürlük dostluk.</t>
        </is>
      </c>
      <c r="J131" s="6" t="inlineStr">
        <is>
          <t>Tanıttın; o kalem saymaya devam etti.</t>
        </is>
      </c>
      <c r="K131" s="6" t="inlineStr">
        <is>
          <t>Kendini tanıtırken adını yanlış söyledin. Tüm yıl öyle çağrıldın.</t>
        </is>
      </c>
      <c r="L131" s="6" t="inlineStr"/>
      <c r="M131" s="5" t="inlineStr"/>
      <c r="N131" s="5" t="inlineStr"/>
      <c r="O131" s="6" t="inlineStr"/>
      <c r="P131" s="6" t="inlineStr"/>
      <c r="Q131" s="5" t="inlineStr"/>
      <c r="R131" s="5" t="inlineStr"/>
      <c r="S131" s="5" t="inlineStr"/>
      <c r="T131" s="5" t="inlineStr"/>
      <c r="U131" s="5" t="inlineStr"/>
      <c r="V131" s="5" t="inlineStr"/>
      <c r="W131" s="5" t="inlineStr"/>
      <c r="X131" s="5" t="inlineStr"/>
      <c r="Y131" s="5" t="inlineStr"/>
      <c r="Z131" s="6" t="inlineStr"/>
    </row>
    <row r="132">
      <c r="A132" s="5" t="inlineStr">
        <is>
          <t>sira-arkadasi</t>
        </is>
      </c>
      <c r="B132" s="5" t="n">
        <v>2</v>
      </c>
      <c r="C132" s="6" t="inlineStr">
        <is>
          <t>Kalemlerini paylaş</t>
        </is>
      </c>
      <c r="D132" s="5" t="inlineStr"/>
      <c r="E132" s="5" t="inlineStr"/>
      <c r="F132" s="5" t="inlineStr">
        <is>
          <t>Vicdan +1</t>
        </is>
      </c>
      <c r="G132" s="6" t="inlineStr">
        <is>
          <t>Kalem ekonomisinde güven tesis edildi.</t>
        </is>
      </c>
      <c r="H132" s="6" t="inlineStr"/>
      <c r="I132" s="6" t="inlineStr"/>
      <c r="J132" s="6" t="inlineStr"/>
      <c r="K132" s="6" t="inlineStr"/>
      <c r="L132" s="6" t="inlineStr"/>
      <c r="M132" s="5" t="inlineStr"/>
      <c r="N132" s="5" t="inlineStr"/>
      <c r="O132" s="6" t="inlineStr"/>
      <c r="P132" s="6" t="inlineStr"/>
      <c r="Q132" s="5" t="inlineStr"/>
      <c r="R132" s="5" t="inlineStr"/>
      <c r="S132" s="5" t="inlineStr"/>
      <c r="T132" s="5" t="inlineStr"/>
      <c r="U132" s="5" t="inlineStr"/>
      <c r="V132" s="5" t="inlineStr"/>
      <c r="W132" s="5" t="inlineStr"/>
      <c r="X132" s="5" t="inlineStr"/>
      <c r="Y132" s="5" t="inlineStr"/>
      <c r="Z132" s="6" t="inlineStr"/>
    </row>
    <row r="133">
      <c r="A133" s="5" t="inlineStr">
        <is>
          <t>sira-arkadasi</t>
        </is>
      </c>
      <c r="B133" s="5" t="n">
        <v>3</v>
      </c>
      <c r="C133" s="6" t="inlineStr">
        <is>
          <t>Sıraya sınır çiz</t>
        </is>
      </c>
      <c r="D133" s="5" t="inlineStr">
        <is>
          <t>Cesaret</t>
        </is>
      </c>
      <c r="E133" s="5" t="inlineStr">
        <is>
          <t>Orta</t>
        </is>
      </c>
      <c r="F133" s="5" t="inlineStr"/>
      <c r="G133" s="6" t="inlineStr"/>
      <c r="H133" s="6" t="inlineStr">
        <is>
          <t>Sıranın ortasına görünmez bir sınır çektin. İki taraf da saygı duydu.</t>
        </is>
      </c>
      <c r="I133" s="6" t="inlineStr">
        <is>
          <t>Sınırı çizdin, anlaşma imzaladınız, ek protokolle silgi ortak kullanıma açıldı.</t>
        </is>
      </c>
      <c r="J133" s="6" t="inlineStr">
        <is>
          <t>Sınırı çizdin; dirseği her gün sınırı ihlal etti.</t>
        </is>
      </c>
      <c r="K133" s="6" t="inlineStr">
        <is>
          <t>Sınırı kalemle sıraya çizdin. Müdür yardımcısı tanıştırıldı.</t>
        </is>
      </c>
      <c r="L133" s="6" t="inlineStr"/>
      <c r="M133" s="5" t="inlineStr"/>
      <c r="N133" s="5" t="inlineStr"/>
      <c r="O133" s="6" t="inlineStr"/>
      <c r="P133" s="6" t="inlineStr"/>
      <c r="Q133" s="5" t="inlineStr"/>
      <c r="R133" s="5" t="inlineStr"/>
      <c r="S133" s="5" t="inlineStr"/>
      <c r="T133" s="5" t="inlineStr"/>
      <c r="U133" s="5" t="inlineStr"/>
      <c r="V133" s="5" t="inlineStr"/>
      <c r="W133" s="5" t="inlineStr"/>
      <c r="X133" s="5" t="inlineStr"/>
      <c r="Y133" s="5" t="inlineStr"/>
      <c r="Z133" s="6" t="inlineStr"/>
    </row>
    <row r="134">
      <c r="A134" s="5" t="inlineStr">
        <is>
          <t>sira-arkadasi</t>
        </is>
      </c>
      <c r="B134" s="5" t="n">
        <v>4</v>
      </c>
      <c r="C134" s="6" t="inlineStr">
        <is>
          <t>Espriyle buzları kır</t>
        </is>
      </c>
      <c r="D134" s="5" t="inlineStr">
        <is>
          <t>Pişkinlik</t>
        </is>
      </c>
      <c r="E134" s="5" t="inlineStr">
        <is>
          <t>Çok Kolay</t>
        </is>
      </c>
      <c r="F134" s="5" t="inlineStr"/>
      <c r="G134" s="6" t="inlineStr"/>
      <c r="H134" s="6" t="inlineStr">
        <is>
          <t>Bir espri yaptın, o güldü. Sıra artık ortak bölge.</t>
        </is>
      </c>
      <c r="I134" s="6" t="inlineStr">
        <is>
          <t>Espriyi o kadar beğendi ki teneffüste başkalarına anlattı. Kaynak olarak seni gösterdi.</t>
        </is>
      </c>
      <c r="J134" s="6" t="inlineStr">
        <is>
          <t>Espri havada kaldı. Kalem saymaya devam edildi.</t>
        </is>
      </c>
      <c r="K134" s="6" t="inlineStr">
        <is>
          <t>Espri yaparken sandalyeden düştün. Aslında bu daha komikti.</t>
        </is>
      </c>
      <c r="L134" s="6" t="inlineStr"/>
      <c r="M134" s="5" t="inlineStr"/>
      <c r="N134" s="5" t="inlineStr"/>
      <c r="O134" s="6" t="inlineStr"/>
      <c r="P134" s="6" t="inlineStr"/>
      <c r="Q134" s="5" t="inlineStr">
        <is>
          <t>Kendine Gülebilir</t>
        </is>
      </c>
      <c r="R134" s="5" t="inlineStr"/>
      <c r="S134" s="5" t="inlineStr"/>
      <c r="T134" s="5" t="inlineStr"/>
      <c r="U134" s="5" t="inlineStr"/>
      <c r="V134" s="5" t="inlineStr"/>
      <c r="W134" s="5" t="inlineStr"/>
      <c r="X134" s="5" t="inlineStr"/>
      <c r="Y134" s="5" t="inlineStr"/>
      <c r="Z134" s="6" t="inlineStr"/>
    </row>
    <row r="135">
      <c r="A135" s="5" t="inlineStr">
        <is>
          <t>teneffus-kantini</t>
        </is>
      </c>
      <c r="B135" s="5" t="n">
        <v>1</v>
      </c>
      <c r="C135" s="6" t="inlineStr">
        <is>
          <t>Sırada bekle</t>
        </is>
      </c>
      <c r="D135" s="5" t="inlineStr"/>
      <c r="E135" s="5" t="inlineStr"/>
      <c r="F135" s="5" t="inlineStr">
        <is>
          <t>Dayanıklılık +1, Vicdan +1</t>
        </is>
      </c>
      <c r="G135" s="6" t="inlineStr">
        <is>
          <t>Tost soğuktu ama vicdanın sıcak.</t>
        </is>
      </c>
      <c r="H135" s="6" t="inlineStr"/>
      <c r="I135" s="6" t="inlineStr"/>
      <c r="J135" s="6" t="inlineStr"/>
      <c r="K135" s="6" t="inlineStr"/>
      <c r="L135" s="6" t="inlineStr"/>
      <c r="M135" s="5" t="inlineStr"/>
      <c r="N135" s="5" t="inlineStr"/>
      <c r="O135" s="6" t="inlineStr"/>
      <c r="P135" s="6" t="inlineStr"/>
      <c r="Q135" s="5" t="inlineStr"/>
      <c r="R135" s="5" t="inlineStr"/>
      <c r="S135" s="5" t="inlineStr"/>
      <c r="T135" s="5" t="inlineStr"/>
      <c r="U135" s="5" t="inlineStr"/>
      <c r="V135" s="5" t="inlineStr"/>
      <c r="W135" s="5" t="inlineStr"/>
      <c r="X135" s="5" t="inlineStr"/>
      <c r="Y135" s="5" t="inlineStr"/>
      <c r="Z135" s="6" t="inlineStr"/>
    </row>
    <row r="136">
      <c r="A136" s="5" t="inlineStr">
        <is>
          <t>teneffus-kantini</t>
        </is>
      </c>
      <c r="B136" s="5" t="n">
        <v>2</v>
      </c>
      <c r="C136" s="6" t="inlineStr">
        <is>
          <t>Öndeki arkadaşına sipariş verdir</t>
        </is>
      </c>
      <c r="D136" s="5" t="inlineStr">
        <is>
          <t>Çene</t>
        </is>
      </c>
      <c r="E136" s="5" t="inlineStr">
        <is>
          <t>Orta</t>
        </is>
      </c>
      <c r="F136" s="5" t="inlineStr"/>
      <c r="G136" s="6" t="inlineStr"/>
      <c r="H136" s="6" t="inlineStr">
        <is>
          <t>Sipariş zincirini kurdun, tost sana ulaştı.</t>
        </is>
      </c>
      <c r="I136" s="6" t="inlineStr">
        <is>
          <t>Üç arkadaşının siparişini birleştirip toplu indirim aldın.</t>
        </is>
      </c>
      <c r="J136" s="6" t="inlineStr">
        <is>
          <t>Arkadaşın siparişi unuttu. Kendi tostunu yedi.</t>
        </is>
      </c>
      <c r="K136" s="6" t="inlineStr">
        <is>
          <t>Sipariş verdirdin; kantinci ikinizi de sıranın sonuna gönderdi.</t>
        </is>
      </c>
      <c r="L136" s="6" t="inlineStr">
        <is>
          <t>Siparişin yarısı doğru geldi. Tost geldi, ayran yerine su geldi.</t>
        </is>
      </c>
      <c r="M136" s="5" t="inlineStr">
        <is>
          <t>simon</t>
        </is>
      </c>
      <c r="N136" s="5" t="inlineStr">
        <is>
          <t>Siparişi Ezberle</t>
        </is>
      </c>
      <c r="O136" s="6" t="inlineStr">
        <is>
          <t>Arkadaşın siparişi bir kez söyleyecek. Aynı sırayla tekrar et.</t>
        </is>
      </c>
      <c r="P136" s="6" t="inlineStr"/>
      <c r="Q136" s="5" t="inlineStr"/>
      <c r="R136" s="5" t="inlineStr"/>
      <c r="S136" s="5" t="inlineStr"/>
      <c r="T136" s="5" t="inlineStr"/>
      <c r="U136" s="5" t="inlineStr"/>
      <c r="V136" s="5" t="inlineStr"/>
      <c r="W136" s="5" t="inlineStr"/>
      <c r="X136" s="5" t="inlineStr"/>
      <c r="Y136" s="5" t="inlineStr"/>
      <c r="Z136" s="6" t="inlineStr"/>
    </row>
    <row r="137">
      <c r="A137" s="5" t="inlineStr">
        <is>
          <t>teneffus-kantini</t>
        </is>
      </c>
      <c r="B137" s="5" t="n">
        <v>3</v>
      </c>
      <c r="C137" s="6" t="inlineStr">
        <is>
          <t>Kantinciye yardım et</t>
        </is>
      </c>
      <c r="D137" s="5" t="inlineStr">
        <is>
          <t>Dayanıklılık</t>
        </is>
      </c>
      <c r="E137" s="5" t="inlineStr">
        <is>
          <t>Orta</t>
        </is>
      </c>
      <c r="F137" s="5" t="inlineStr"/>
      <c r="G137" s="6" t="inlineStr"/>
      <c r="H137" s="6" t="inlineStr">
        <is>
          <t>Dökülen bozuklukları topladın. Kantinci seni sıranın önüne aldı.</t>
        </is>
      </c>
      <c r="I137" s="6" t="inlineStr">
        <is>
          <t>Kantinci sana ömür boyu 'ekstra kaşar' hakkı tanıdı.</t>
        </is>
      </c>
      <c r="J137" s="6" t="inlineStr">
        <is>
          <t>Topladın ama zil çaldı. Yardım ettin, aç kaldın.</t>
        </is>
      </c>
      <c r="K137" s="6" t="inlineStr">
        <is>
          <t>Yardım ederken peynir kasesini devirdin. Kantin geçici olarak kapandı.</t>
        </is>
      </c>
      <c r="L137" s="6" t="inlineStr">
        <is>
          <t>Çoğunu topladın; kantinci teşekkür etti ama sıra aynı.</t>
        </is>
      </c>
      <c r="M137" s="5" t="inlineStr">
        <is>
          <t>collect</t>
        </is>
      </c>
      <c r="N137" s="5" t="inlineStr">
        <is>
          <t>Bozuklukları Topla</t>
        </is>
      </c>
      <c r="O137" s="6" t="inlineStr">
        <is>
          <t>Yere saçılan paraları zil çalmadan topla.</t>
        </is>
      </c>
      <c r="P137" s="6" t="inlineStr">
        <is>
          <t>{"piece": "🪙"}</t>
        </is>
      </c>
      <c r="Q137" s="5" t="inlineStr"/>
      <c r="R137" s="5" t="inlineStr"/>
      <c r="S137" s="5" t="inlineStr"/>
      <c r="T137" s="5" t="inlineStr"/>
      <c r="U137" s="5" t="inlineStr"/>
      <c r="V137" s="5" t="inlineStr"/>
      <c r="W137" s="5" t="inlineStr"/>
      <c r="X137" s="5" t="inlineStr"/>
      <c r="Y137" s="5" t="inlineStr"/>
      <c r="Z137" s="6" t="inlineStr"/>
    </row>
    <row r="138">
      <c r="A138" s="5" t="inlineStr">
        <is>
          <t>teneffus-kantini</t>
        </is>
      </c>
      <c r="B138" s="5" t="n">
        <v>4</v>
      </c>
      <c r="C138" s="6" t="inlineStr">
        <is>
          <t>Kantincinin hesap hatasını düzelt</t>
        </is>
      </c>
      <c r="D138" s="5" t="inlineStr">
        <is>
          <t>Kurnazlık</t>
        </is>
      </c>
      <c r="E138" s="5" t="inlineStr">
        <is>
          <t>Kolay</t>
        </is>
      </c>
      <c r="F138" s="5" t="inlineStr"/>
      <c r="G138" s="6" t="inlineStr"/>
      <c r="H138" s="6" t="inlineStr">
        <is>
          <t>Kantincinin hesabındaki hatayı buldun. Sana 'Muhasebeci' lakabı takıldı.</t>
        </is>
      </c>
      <c r="I138" s="6" t="inlineStr">
        <is>
          <t>Hatayı buldun, kantinci ödül olarak sana çikolata verdi. Hata aslında senin lehineydi.</t>
        </is>
      </c>
      <c r="J138" s="6" t="inlineStr">
        <is>
          <t>Hatayı söyledin; kantinci 'Sen önce toplama öğren' dedi.</t>
        </is>
      </c>
      <c r="K138" s="6" t="inlineStr">
        <is>
          <t>Hatayı söyledin; hata yokmuş. Kuyruk seni izledi.</t>
        </is>
      </c>
      <c r="L138" s="6" t="inlineStr"/>
      <c r="M138" s="5" t="inlineStr"/>
      <c r="N138" s="5" t="inlineStr"/>
      <c r="O138" s="6" t="inlineStr"/>
      <c r="P138" s="6" t="inlineStr"/>
      <c r="Q138" s="5" t="inlineStr">
        <is>
          <t>Para Üstü Radarı</t>
        </is>
      </c>
      <c r="R138" s="5" t="inlineStr"/>
      <c r="S138" s="5" t="inlineStr"/>
      <c r="T138" s="5" t="inlineStr"/>
      <c r="U138" s="5" t="inlineStr"/>
      <c r="V138" s="5" t="inlineStr"/>
      <c r="W138" s="5" t="inlineStr"/>
      <c r="X138" s="5" t="inlineStr"/>
      <c r="Y138" s="5" t="inlineStr"/>
      <c r="Z138" s="6" t="inlineStr"/>
    </row>
    <row r="139">
      <c r="A139" s="5" t="inlineStr">
        <is>
          <t>odev-nerede</t>
        </is>
      </c>
      <c r="B139" s="5" t="n">
        <v>1</v>
      </c>
      <c r="C139" s="6" t="inlineStr">
        <is>
          <t>Doğruyu söyle</t>
        </is>
      </c>
      <c r="D139" s="5" t="inlineStr"/>
      <c r="E139" s="5" t="inlineStr"/>
      <c r="F139" s="5" t="inlineStr">
        <is>
          <t>Vicdan +2</t>
        </is>
      </c>
      <c r="G139" s="6" t="inlineStr">
        <is>
          <t>Öğretmen dürüstlüğünü not etti. Ödevi de not etti.</t>
        </is>
      </c>
      <c r="H139" s="6" t="inlineStr"/>
      <c r="I139" s="6" t="inlineStr"/>
      <c r="J139" s="6" t="inlineStr"/>
      <c r="K139" s="6" t="inlineStr"/>
      <c r="L139" s="6" t="inlineStr"/>
      <c r="M139" s="5" t="inlineStr"/>
      <c r="N139" s="5" t="inlineStr"/>
      <c r="O139" s="6" t="inlineStr"/>
      <c r="P139" s="6" t="inlineStr"/>
      <c r="Q139" s="5" t="inlineStr"/>
      <c r="R139" s="5" t="inlineStr"/>
      <c r="S139" s="5" t="inlineStr"/>
      <c r="T139" s="5" t="inlineStr"/>
      <c r="U139" s="5" t="inlineStr"/>
      <c r="V139" s="5" t="inlineStr"/>
      <c r="W139" s="5" t="inlineStr"/>
      <c r="X139" s="5" t="inlineStr"/>
      <c r="Y139" s="5" t="inlineStr"/>
      <c r="Z139" s="6" t="inlineStr"/>
    </row>
    <row r="140">
      <c r="A140" s="5" t="inlineStr">
        <is>
          <t>odev-nerede</t>
        </is>
      </c>
      <c r="B140" s="5" t="n">
        <v>2</v>
      </c>
      <c r="C140" s="6" t="inlineStr">
        <is>
          <t>Teneffüste yetiştir</t>
        </is>
      </c>
      <c r="D140" s="5" t="inlineStr">
        <is>
          <t>Akıl</t>
        </is>
      </c>
      <c r="E140" s="5" t="inlineStr">
        <is>
          <t>Orta</t>
        </is>
      </c>
      <c r="F140" s="5" t="inlineStr"/>
      <c r="G140" s="6" t="inlineStr"/>
      <c r="H140" s="6" t="inlineStr">
        <is>
          <t>On dakikada iki sayfa. Kalite tartışılır, teslim kesin.</t>
        </is>
      </c>
      <c r="I140" s="6" t="inlineStr">
        <is>
          <t>Teneffüste bitirdin; öğretmen 'En temiz ödev bu' dedi. Kimse sormadı.</t>
        </is>
      </c>
      <c r="J140" s="6" t="inlineStr">
        <is>
          <t>Yetiştiremedin; yarım ödev teslim edildi.</t>
        </is>
      </c>
      <c r="K140" s="6" t="inlineStr">
        <is>
          <t>Yazarken kalemin bitti. Sonra zil çaldı. Sonra silgin kayboldu.</t>
        </is>
      </c>
      <c r="L140" s="6" t="inlineStr"/>
      <c r="M140" s="5" t="inlineStr"/>
      <c r="N140" s="5" t="inlineStr"/>
      <c r="O140" s="6" t="inlineStr"/>
      <c r="P140" s="6" t="inlineStr"/>
      <c r="Q140" s="5" t="inlineStr"/>
      <c r="R140" s="5" t="inlineStr"/>
      <c r="S140" s="5" t="inlineStr"/>
      <c r="T140" s="5" t="inlineStr"/>
      <c r="U140" s="5" t="inlineStr"/>
      <c r="V140" s="5" t="inlineStr"/>
      <c r="W140" s="5" t="inlineStr"/>
      <c r="X140" s="5" t="inlineStr"/>
      <c r="Y140" s="5" t="inlineStr"/>
      <c r="Z140" s="6" t="inlineStr"/>
    </row>
    <row r="141">
      <c r="A141" s="5" t="inlineStr">
        <is>
          <t>odev-nerede</t>
        </is>
      </c>
      <c r="B141" s="5" t="n">
        <v>3</v>
      </c>
      <c r="C141" s="6" t="inlineStr">
        <is>
          <t>'Köpek yedi' de</t>
        </is>
      </c>
      <c r="D141" s="5" t="inlineStr">
        <is>
          <t>Pişkinlik</t>
        </is>
      </c>
      <c r="E141" s="5" t="inlineStr">
        <is>
          <t>Zor</t>
        </is>
      </c>
      <c r="F141" s="5" t="inlineStr"/>
      <c r="G141" s="6" t="inlineStr"/>
      <c r="H141" s="6" t="inlineStr">
        <is>
          <t>Öğretmen güldü ve bir gün ek süre verdi.</t>
        </is>
      </c>
      <c r="I141" s="6" t="inlineStr">
        <is>
          <t>Öyle anlattın ki öğretmen köpeğin sağlığını sordu. Ek süre ve geçmiş olsun dileği.</t>
        </is>
      </c>
      <c r="J141" s="6" t="inlineStr">
        <is>
          <t>'Sizin köpeğiniz yok ki' dedi öğretmen.</t>
        </is>
      </c>
      <c r="K141" s="6" t="inlineStr">
        <is>
          <t>Veli toplantısında köpek konusu açıldı. Köpeğiniz yoktu.</t>
        </is>
      </c>
      <c r="L141" s="6" t="inlineStr"/>
      <c r="M141" s="5" t="inlineStr"/>
      <c r="N141" s="5" t="inlineStr"/>
      <c r="O141" s="6" t="inlineStr"/>
      <c r="P141" s="6" t="inlineStr"/>
      <c r="Q141" s="5" t="inlineStr"/>
      <c r="R141" s="5" t="inlineStr"/>
      <c r="S141" s="5" t="inlineStr"/>
      <c r="T141" s="5" t="inlineStr"/>
      <c r="U141" s="5" t="inlineStr">
        <is>
          <t>yalanci</t>
        </is>
      </c>
      <c r="V141" s="5" t="inlineStr"/>
      <c r="W141" s="5" t="inlineStr"/>
      <c r="X141" s="5" t="inlineStr"/>
      <c r="Y141" s="5" t="inlineStr"/>
      <c r="Z141" s="6" t="inlineStr"/>
    </row>
    <row r="142">
      <c r="A142" s="5" t="inlineStr">
        <is>
          <t>sinif-baskani</t>
        </is>
      </c>
      <c r="B142" s="5" t="n">
        <v>1</v>
      </c>
      <c r="C142" s="6" t="inlineStr">
        <is>
          <t>Aday ol</t>
        </is>
      </c>
      <c r="D142" s="5" t="inlineStr">
        <is>
          <t>Cesaret</t>
        </is>
      </c>
      <c r="E142" s="5" t="inlineStr">
        <is>
          <t>Zor</t>
        </is>
      </c>
      <c r="F142" s="5" t="inlineStr"/>
      <c r="G142" s="6" t="inlineStr"/>
      <c r="H142" s="6" t="inlineStr">
        <is>
          <t>Seçildin. İlk icraatın: akvaryum için bağış kampanyası.</t>
        </is>
      </c>
      <c r="I142" s="6" t="inlineStr">
        <is>
          <t>Oyların çoğunu aldın. Rakibin tebrik etti, sonra yardımcın oldu.</t>
        </is>
      </c>
      <c r="J142" s="6" t="inlineStr">
        <is>
          <t>Aday oldun; iki oy aldın. Biri senin, biri sıra arkadaşının.</t>
        </is>
      </c>
      <c r="K142" s="6" t="inlineStr">
        <is>
          <t>Seçim konuşmasında 'Herkese dondurma' dedin. Öğretmen adaylığını iptal etti.</t>
        </is>
      </c>
      <c r="L142" s="6" t="inlineStr"/>
      <c r="M142" s="5" t="inlineStr"/>
      <c r="N142" s="5" t="inlineStr"/>
      <c r="O142" s="6" t="inlineStr"/>
      <c r="P142" s="6" t="inlineStr"/>
      <c r="Q142" s="5" t="inlineStr"/>
      <c r="R142" s="5" t="inlineStr"/>
      <c r="S142" s="5" t="inlineStr"/>
      <c r="T142" s="5" t="inlineStr">
        <is>
          <t>Seçim Makinesi</t>
        </is>
      </c>
      <c r="U142" s="5" t="inlineStr"/>
      <c r="V142" s="5" t="inlineStr">
        <is>
          <t>baskan</t>
        </is>
      </c>
      <c r="W142" s="5" t="inlineStr"/>
      <c r="X142" s="5" t="inlineStr"/>
      <c r="Y142" s="5" t="inlineStr"/>
      <c r="Z142" s="6" t="inlineStr"/>
    </row>
    <row r="143">
      <c r="A143" s="5" t="inlineStr">
        <is>
          <t>sinif-baskani</t>
        </is>
      </c>
      <c r="B143" s="5" t="n">
        <v>2</v>
      </c>
      <c r="C143" s="6" t="inlineStr">
        <is>
          <t>Arkadaşının kampanyasını yönet</t>
        </is>
      </c>
      <c r="D143" s="5" t="inlineStr">
        <is>
          <t>Sosyal Radar</t>
        </is>
      </c>
      <c r="E143" s="5" t="inlineStr">
        <is>
          <t>Orta</t>
        </is>
      </c>
      <c r="F143" s="5" t="inlineStr"/>
      <c r="G143" s="6" t="inlineStr"/>
      <c r="H143" s="6" t="inlineStr">
        <is>
          <t>Adayın kazandı. Sen gölge başkansın.</t>
        </is>
      </c>
      <c r="I143" s="6" t="inlineStr">
        <is>
          <t>Adayın açık farkla kazandı. Tüm kararlar önce sana danışılıyor.</t>
        </is>
      </c>
      <c r="J143" s="6" t="inlineStr">
        <is>
          <t>Adayın kaybetti. Kampanya analizi yapılacak.</t>
        </is>
      </c>
      <c r="K143" s="6" t="inlineStr">
        <is>
          <t>Adayın kaybetti ve suçu sana attı.</t>
        </is>
      </c>
      <c r="L143" s="6" t="inlineStr"/>
      <c r="M143" s="5" t="inlineStr"/>
      <c r="N143" s="5" t="inlineStr"/>
      <c r="O143" s="6" t="inlineStr"/>
      <c r="P143" s="6" t="inlineStr"/>
      <c r="Q143" s="5" t="inlineStr"/>
      <c r="R143" s="5" t="inlineStr"/>
      <c r="S143" s="5" t="inlineStr"/>
      <c r="T143" s="5" t="inlineStr"/>
      <c r="U143" s="5" t="inlineStr"/>
      <c r="V143" s="5" t="inlineStr"/>
      <c r="W143" s="5" t="inlineStr"/>
      <c r="X143" s="5" t="inlineStr"/>
      <c r="Y143" s="5" t="inlineStr"/>
      <c r="Z143" s="6" t="inlineStr"/>
    </row>
    <row r="144">
      <c r="A144" s="5" t="inlineStr">
        <is>
          <t>sinif-baskani</t>
        </is>
      </c>
      <c r="B144" s="5" t="n">
        <v>3</v>
      </c>
      <c r="C144" s="6" t="inlineStr">
        <is>
          <t>Oy ver, geç</t>
        </is>
      </c>
      <c r="D144" s="5" t="inlineStr"/>
      <c r="E144" s="5" t="inlineStr"/>
      <c r="F144" s="5" t="inlineStr">
        <is>
          <t>Vicdan +1</t>
        </is>
      </c>
      <c r="G144" s="6" t="inlineStr">
        <is>
          <t>Demokrasiye katkıda bulundun. Akvaryum gelmedi.</t>
        </is>
      </c>
      <c r="H144" s="6" t="inlineStr"/>
      <c r="I144" s="6" t="inlineStr"/>
      <c r="J144" s="6" t="inlineStr"/>
      <c r="K144" s="6" t="inlineStr"/>
      <c r="L144" s="6" t="inlineStr"/>
      <c r="M144" s="5" t="inlineStr"/>
      <c r="N144" s="5" t="inlineStr"/>
      <c r="O144" s="6" t="inlineStr"/>
      <c r="P144" s="6" t="inlineStr"/>
      <c r="Q144" s="5" t="inlineStr"/>
      <c r="R144" s="5" t="inlineStr"/>
      <c r="S144" s="5" t="inlineStr"/>
      <c r="T144" s="5" t="inlineStr"/>
      <c r="U144" s="5" t="inlineStr"/>
      <c r="V144" s="5" t="inlineStr"/>
      <c r="W144" s="5" t="inlineStr"/>
      <c r="X144" s="5" t="inlineStr"/>
      <c r="Y144" s="5" t="inlineStr"/>
      <c r="Z144" s="6" t="inlineStr"/>
    </row>
    <row r="145">
      <c r="A145" s="5" t="inlineStr">
        <is>
          <t>sinif-baskani</t>
        </is>
      </c>
      <c r="B145" s="5" t="n">
        <v>4</v>
      </c>
      <c r="C145" s="6" t="inlineStr">
        <is>
          <t>Seçim kurulunu kur</t>
        </is>
      </c>
      <c r="D145" s="5" t="inlineStr">
        <is>
          <t>Çene</t>
        </is>
      </c>
      <c r="E145" s="5" t="inlineStr">
        <is>
          <t>Kolay</t>
        </is>
      </c>
      <c r="F145" s="5" t="inlineStr"/>
      <c r="G145" s="6" t="inlineStr"/>
      <c r="H145" s="6" t="inlineStr">
        <is>
          <t>Seçim kurulu başkanı oldun. Aday olmadan kazanmanın yolu.</t>
        </is>
      </c>
      <c r="I145" s="6" t="inlineStr">
        <is>
          <t>Sandığı sen tasarladın, oyları sen saydın, sonucu sen açıkladın. Tam yetki.</t>
        </is>
      </c>
      <c r="J145" s="6" t="inlineStr">
        <is>
          <t>Kurul kuruldu; kimse seni dinlemedi.</t>
        </is>
      </c>
      <c r="K145" s="6" t="inlineStr">
        <is>
          <t>Oyları sayarken iki kez saydın. Seçim yenilendi.</t>
        </is>
      </c>
      <c r="L145" s="6" t="inlineStr"/>
      <c r="M145" s="5" t="inlineStr"/>
      <c r="N145" s="5" t="inlineStr"/>
      <c r="O145" s="6" t="inlineStr"/>
      <c r="P145" s="6" t="inlineStr"/>
      <c r="Q145" s="5" t="inlineStr">
        <is>
          <t>Organizatör</t>
        </is>
      </c>
      <c r="R145" s="5" t="inlineStr"/>
      <c r="S145" s="5" t="inlineStr"/>
      <c r="T145" s="5" t="inlineStr"/>
      <c r="U145" s="5" t="inlineStr"/>
      <c r="V145" s="5" t="inlineStr"/>
      <c r="W145" s="5" t="inlineStr"/>
      <c r="X145" s="5" t="inlineStr"/>
      <c r="Y145" s="5" t="inlineStr"/>
      <c r="Z145" s="6" t="inlineStr"/>
    </row>
    <row r="146">
      <c r="A146" s="5" t="inlineStr">
        <is>
          <t>sinif-baskani</t>
        </is>
      </c>
      <c r="B146" s="5" t="n">
        <v>5</v>
      </c>
      <c r="C146" s="6" t="inlineStr">
        <is>
          <t>Seçim konuşması yap</t>
        </is>
      </c>
      <c r="D146" s="5" t="inlineStr">
        <is>
          <t>Pişkinlik</t>
        </is>
      </c>
      <c r="E146" s="5" t="inlineStr">
        <is>
          <t>Orta</t>
        </is>
      </c>
      <c r="F146" s="5" t="inlineStr"/>
      <c r="G146" s="6" t="inlineStr"/>
      <c r="H146" s="6" t="inlineStr">
        <is>
          <t>Konuşmanı yaptın; sınıf ayakta alkışladı.</t>
        </is>
      </c>
      <c r="I146" s="6" t="inlineStr">
        <is>
          <t>Konuşman o kadar etkiliydi ki diğer adaylar çekildi.</t>
        </is>
      </c>
      <c r="J146" s="6" t="inlineStr">
        <is>
          <t>Konuşman uzun sürdü; teneffüs zili yarıda kesti.</t>
        </is>
      </c>
      <c r="K146" s="6" t="inlineStr">
        <is>
          <t>Konuşmanın ortasında ne diyeceğini unuttun. Sessizlik 40 saniye sürdü.</t>
        </is>
      </c>
      <c r="L146" s="6" t="inlineStr"/>
      <c r="M146" s="5" t="inlineStr"/>
      <c r="N146" s="5" t="inlineStr"/>
      <c r="O146" s="6" t="inlineStr"/>
      <c r="P146" s="6" t="inlineStr"/>
      <c r="Q146" s="5" t="inlineStr">
        <is>
          <t>Sahne Sever</t>
        </is>
      </c>
      <c r="R146" s="5" t="inlineStr"/>
      <c r="S146" s="5" t="inlineStr"/>
      <c r="T146" s="5" t="inlineStr"/>
      <c r="U146" s="5" t="inlineStr"/>
      <c r="V146" s="5" t="inlineStr">
        <is>
          <t>baskan</t>
        </is>
      </c>
      <c r="W146" s="5" t="inlineStr"/>
      <c r="X146" s="5" t="inlineStr"/>
      <c r="Y146" s="5" t="inlineStr"/>
      <c r="Z146" s="6" t="inlineStr"/>
    </row>
    <row r="147">
      <c r="A147" s="5" t="inlineStr">
        <is>
          <t>davetiyeler</t>
        </is>
      </c>
      <c r="B147" s="5" t="n">
        <v>1</v>
      </c>
      <c r="C147" s="6" t="inlineStr">
        <is>
          <t>Umursama</t>
        </is>
      </c>
      <c r="D147" s="5" t="inlineStr"/>
      <c r="E147" s="5" t="inlineStr"/>
      <c r="F147" s="5" t="inlineStr">
        <is>
          <t>Dayanıklılık +2</t>
        </is>
      </c>
      <c r="G147" s="6" t="inlineStr">
        <is>
          <t>Davetiyesiz de hayat var. Hatta pastasız bile.</t>
        </is>
      </c>
      <c r="H147" s="6" t="inlineStr"/>
      <c r="I147" s="6" t="inlineStr"/>
      <c r="J147" s="6" t="inlineStr"/>
      <c r="K147" s="6" t="inlineStr"/>
      <c r="L147" s="6" t="inlineStr"/>
      <c r="M147" s="5" t="inlineStr"/>
      <c r="N147" s="5" t="inlineStr"/>
      <c r="O147" s="6" t="inlineStr"/>
      <c r="P147" s="6" t="inlineStr"/>
      <c r="Q147" s="5" t="inlineStr"/>
      <c r="R147" s="5" t="inlineStr"/>
      <c r="S147" s="5" t="inlineStr"/>
      <c r="T147" s="5" t="inlineStr"/>
      <c r="U147" s="5" t="inlineStr"/>
      <c r="V147" s="5" t="inlineStr"/>
      <c r="W147" s="5" t="inlineStr"/>
      <c r="X147" s="5" t="inlineStr"/>
      <c r="Y147" s="5" t="inlineStr"/>
      <c r="Z147" s="6" t="inlineStr"/>
    </row>
    <row r="148">
      <c r="A148" s="5" t="inlineStr">
        <is>
          <t>davetiyeler</t>
        </is>
      </c>
      <c r="B148" s="5" t="n">
        <v>2</v>
      </c>
      <c r="C148" s="6" t="inlineStr">
        <is>
          <t>Nedenini sor</t>
        </is>
      </c>
      <c r="D148" s="5" t="inlineStr">
        <is>
          <t>Çene</t>
        </is>
      </c>
      <c r="E148" s="5" t="inlineStr">
        <is>
          <t>Orta</t>
        </is>
      </c>
      <c r="F148" s="5" t="inlineStr"/>
      <c r="G148" s="6" t="inlineStr"/>
      <c r="H148" s="6" t="inlineStr">
        <is>
          <t>Sordun; davetiyen çantada unutulmuş.</t>
        </is>
      </c>
      <c r="I148" s="6" t="inlineStr">
        <is>
          <t>Sordun; sen 'onur konuğu' listesindeymişsin. Ayrı davetiye basılıyormuş.</t>
        </is>
      </c>
      <c r="J148" s="6" t="inlineStr">
        <is>
          <t>Sordun; cevap 'yer kalmadı' oldu.</t>
        </is>
      </c>
      <c r="K148" s="6" t="inlineStr">
        <is>
          <t>Sorarken sesin titredi; tüm sınıf duydu.</t>
        </is>
      </c>
      <c r="L148" s="6" t="inlineStr"/>
      <c r="M148" s="5" t="inlineStr"/>
      <c r="N148" s="5" t="inlineStr"/>
      <c r="O148" s="6" t="inlineStr"/>
      <c r="P148" s="6" t="inlineStr"/>
      <c r="Q148" s="5" t="inlineStr"/>
      <c r="R148" s="5" t="inlineStr"/>
      <c r="S148" s="5" t="inlineStr"/>
      <c r="T148" s="5" t="inlineStr"/>
      <c r="U148" s="5" t="inlineStr"/>
      <c r="V148" s="5" t="inlineStr"/>
      <c r="W148" s="5" t="inlineStr"/>
      <c r="X148" s="5" t="inlineStr"/>
      <c r="Y148" s="5" t="inlineStr"/>
      <c r="Z148" s="6" t="inlineStr"/>
    </row>
    <row r="149">
      <c r="A149" s="5" t="inlineStr">
        <is>
          <t>davetiyeler</t>
        </is>
      </c>
      <c r="B149" s="5" t="n">
        <v>3</v>
      </c>
      <c r="C149" s="6" t="inlineStr">
        <is>
          <t>Aynı gün kendi partini planla</t>
        </is>
      </c>
      <c r="D149" s="5" t="inlineStr">
        <is>
          <t>Kurnazlık</t>
        </is>
      </c>
      <c r="E149" s="5" t="inlineStr">
        <is>
          <t>Orta</t>
        </is>
      </c>
      <c r="F149" s="5" t="inlineStr"/>
      <c r="G149" s="6" t="inlineStr"/>
      <c r="H149" s="6" t="inlineStr">
        <is>
          <t>Aynı gün kendi partini ilan ettin. Katılım oranı yüzde elli.</t>
        </is>
      </c>
      <c r="I149" s="6" t="inlineStr">
        <is>
          <t>Partinde havuz olduğunu duyurdun. Diğer parti ertelendi.</t>
        </is>
      </c>
      <c r="J149" s="6" t="inlineStr">
        <is>
          <t>Parti planladın; kimse gelmedi, çünkü herkes öbür partideydi.</t>
        </is>
      </c>
      <c r="K149" s="6" t="inlineStr">
        <is>
          <t>Parti planladın; ailen haberdar değildi.</t>
        </is>
      </c>
      <c r="L149" s="6" t="inlineStr"/>
      <c r="M149" s="5" t="inlineStr"/>
      <c r="N149" s="5" t="inlineStr"/>
      <c r="O149" s="6" t="inlineStr"/>
      <c r="P149" s="6" t="inlineStr"/>
      <c r="Q149" s="5" t="inlineStr"/>
      <c r="R149" s="5" t="inlineStr"/>
      <c r="S149" s="5" t="inlineStr"/>
      <c r="T149" s="5" t="inlineStr"/>
      <c r="U149" s="5" t="inlineStr"/>
      <c r="V149" s="5" t="inlineStr"/>
      <c r="W149" s="5" t="inlineStr"/>
      <c r="X149" s="5" t="inlineStr"/>
      <c r="Y149" s="5" t="inlineStr"/>
      <c r="Z149" s="6" t="inlineStr"/>
    </row>
    <row r="150">
      <c r="A150" s="5" t="inlineStr">
        <is>
          <t>davetiyeler</t>
        </is>
      </c>
      <c r="B150" s="5" t="n">
        <v>4</v>
      </c>
      <c r="C150" s="6" t="inlineStr">
        <is>
          <t>Kimin gerçekten gideceğini tahmin et</t>
        </is>
      </c>
      <c r="D150" s="5" t="inlineStr">
        <is>
          <t>Sosyal Radar</t>
        </is>
      </c>
      <c r="E150" s="5" t="inlineStr">
        <is>
          <t>Kolay</t>
        </is>
      </c>
      <c r="F150" s="5" t="inlineStr"/>
      <c r="G150" s="6" t="inlineStr"/>
      <c r="H150" s="6" t="inlineStr">
        <is>
          <t>Partiye yarısının gitmeyeceğini tahmin ettin. Haklıydın.</t>
        </is>
      </c>
      <c r="I150" s="6" t="inlineStr">
        <is>
          <t>Tahminin o kadar isabetliydi ki parti sahibi davetiye listesini sana danıştı.</t>
        </is>
      </c>
      <c r="J150" s="6" t="inlineStr">
        <is>
          <t>Tahmin ettin; yanıldın. Herkes gitti.</t>
        </is>
      </c>
      <c r="K150" s="6" t="inlineStr">
        <is>
          <t>Tahminini yüksek sesle söyledin. Parti sahibi duydu.</t>
        </is>
      </c>
      <c r="L150" s="6" t="inlineStr"/>
      <c r="M150" s="5" t="inlineStr"/>
      <c r="N150" s="5" t="inlineStr"/>
      <c r="O150" s="6" t="inlineStr"/>
      <c r="P150" s="6" t="inlineStr"/>
      <c r="Q150" s="5" t="inlineStr">
        <is>
          <t>Odayı Okur</t>
        </is>
      </c>
      <c r="R150" s="5" t="inlineStr"/>
      <c r="S150" s="5" t="inlineStr"/>
      <c r="T150" s="5" t="inlineStr"/>
      <c r="U150" s="5" t="inlineStr"/>
      <c r="V150" s="5" t="inlineStr"/>
      <c r="W150" s="5" t="inlineStr"/>
      <c r="X150" s="5" t="inlineStr"/>
      <c r="Y150" s="5" t="inlineStr"/>
      <c r="Z150" s="6" t="inlineStr"/>
    </row>
    <row r="151">
      <c r="A151" s="5" t="inlineStr">
        <is>
          <t>bayram-harcligi</t>
        </is>
      </c>
      <c r="B151" s="5" t="n">
        <v>1</v>
      </c>
      <c r="C151" s="6" t="inlineStr">
        <is>
          <t>Ailene teslim et</t>
        </is>
      </c>
      <c r="D151" s="5" t="inlineStr"/>
      <c r="E151" s="5" t="inlineStr"/>
      <c r="F151" s="5" t="inlineStr">
        <is>
          <t>Vicdan +2</t>
        </is>
      </c>
      <c r="G151" s="6" t="inlineStr">
        <is>
          <t>Varlıklar merkez bankasına aktarıldı. Faiz oranı belirsiz.</t>
        </is>
      </c>
      <c r="H151" s="6" t="inlineStr"/>
      <c r="I151" s="6" t="inlineStr"/>
      <c r="J151" s="6" t="inlineStr"/>
      <c r="K151" s="6" t="inlineStr"/>
      <c r="L151" s="6" t="inlineStr"/>
      <c r="M151" s="5" t="inlineStr"/>
      <c r="N151" s="5" t="inlineStr"/>
      <c r="O151" s="6" t="inlineStr"/>
      <c r="P151" s="6" t="inlineStr"/>
      <c r="Q151" s="5" t="inlineStr"/>
      <c r="R151" s="5" t="inlineStr"/>
      <c r="S151" s="5" t="inlineStr"/>
      <c r="T151" s="5" t="inlineStr"/>
      <c r="U151" s="5" t="inlineStr"/>
      <c r="V151" s="5" t="inlineStr"/>
      <c r="W151" s="5" t="inlineStr"/>
      <c r="X151" s="5" t="inlineStr"/>
      <c r="Y151" s="5" t="inlineStr"/>
      <c r="Z151" s="6" t="inlineStr"/>
    </row>
    <row r="152">
      <c r="A152" s="5" t="inlineStr">
        <is>
          <t>bayram-harcligi</t>
        </is>
      </c>
      <c r="B152" s="5" t="n">
        <v>2</v>
      </c>
      <c r="C152" s="6" t="inlineStr">
        <is>
          <t>Hepsini harca</t>
        </is>
      </c>
      <c r="D152" s="5" t="inlineStr">
        <is>
          <t>Pişkinlik</t>
        </is>
      </c>
      <c r="E152" s="5" t="inlineStr">
        <is>
          <t>Kolay</t>
        </is>
      </c>
      <c r="F152" s="5" t="inlineStr"/>
      <c r="G152" s="6" t="inlineStr"/>
      <c r="H152" s="6" t="inlineStr">
        <is>
          <t>Bir günde mahalle ekonomisini canlandırdın.</t>
        </is>
      </c>
      <c r="I152" s="6" t="inlineStr">
        <is>
          <t>Bakkal, oyuncakçı ve simitçi aynı gün rekor kırdı. Sana teşekkür kartı gönderildi.</t>
        </is>
      </c>
      <c r="J152" s="6" t="inlineStr">
        <is>
          <t>Harcadın; aldıklarının yarısı ertesi gün bozuldu.</t>
        </is>
      </c>
      <c r="K152" s="6" t="inlineStr">
        <is>
          <t>Hepsini tek bir oyuncağa harcadın. Oyuncak ilk gün kırıldı.</t>
        </is>
      </c>
      <c r="L152" s="6" t="inlineStr"/>
      <c r="M152" s="5" t="inlineStr"/>
      <c r="N152" s="5" t="inlineStr"/>
      <c r="O152" s="6" t="inlineStr"/>
      <c r="P152" s="6" t="inlineStr"/>
      <c r="Q152" s="5" t="inlineStr"/>
      <c r="R152" s="5" t="inlineStr"/>
      <c r="S152" s="5" t="inlineStr"/>
      <c r="T152" s="5" t="inlineStr"/>
      <c r="U152" s="5" t="inlineStr"/>
      <c r="V152" s="5" t="inlineStr"/>
      <c r="W152" s="5" t="inlineStr"/>
      <c r="X152" s="5" t="inlineStr"/>
      <c r="Y152" s="5" t="inlineStr"/>
      <c r="Z152" s="6" t="inlineStr"/>
    </row>
    <row r="153">
      <c r="A153" s="5" t="inlineStr">
        <is>
          <t>bayram-harcligi</t>
        </is>
      </c>
      <c r="B153" s="5" t="n">
        <v>3</v>
      </c>
      <c r="C153" s="6" t="inlineStr">
        <is>
          <t>Akrabalarla ikinci tur yap</t>
        </is>
      </c>
      <c r="D153" s="5" t="inlineStr">
        <is>
          <t>Çene</t>
        </is>
      </c>
      <c r="E153" s="5" t="inlineStr">
        <is>
          <t>Orta</t>
        </is>
      </c>
      <c r="F153" s="5" t="inlineStr"/>
      <c r="G153" s="6" t="inlineStr"/>
      <c r="H153" s="6" t="inlineStr">
        <is>
          <t>İkinci el öpme turuyla bütçeyi ikiye katladın.</t>
        </is>
      </c>
      <c r="I153" s="6" t="inlineStr">
        <is>
          <t>Uzak akrabaları bile ziyaret listesine ekledin. Bayram cirosu rekor.</t>
        </is>
      </c>
      <c r="J153" s="6" t="inlineStr">
        <is>
          <t>İkinci turda 'Sen gelmiştin ya' dediler.</t>
        </is>
      </c>
      <c r="K153" s="6" t="inlineStr">
        <is>
          <t>İkinci tur fark edildi. Zarflar geri çağrıldı.</t>
        </is>
      </c>
      <c r="L153" s="6" t="inlineStr"/>
      <c r="M153" s="5" t="inlineStr"/>
      <c r="N153" s="5" t="inlineStr"/>
      <c r="O153" s="6" t="inlineStr"/>
      <c r="P153" s="6" t="inlineStr"/>
      <c r="Q153" s="5" t="inlineStr"/>
      <c r="R153" s="5" t="inlineStr"/>
      <c r="S153" s="5" t="inlineStr"/>
      <c r="T153" s="5" t="inlineStr"/>
      <c r="U153" s="5" t="inlineStr"/>
      <c r="V153" s="5" t="inlineStr"/>
      <c r="W153" s="5" t="inlineStr"/>
      <c r="X153" s="5" t="inlineStr"/>
      <c r="Y153" s="5" t="inlineStr"/>
      <c r="Z153" s="6" t="inlineStr"/>
    </row>
    <row r="154">
      <c r="A154" s="5" t="inlineStr">
        <is>
          <t>bayram-harcligi</t>
        </is>
      </c>
      <c r="B154" s="5" t="n">
        <v>4</v>
      </c>
      <c r="C154" s="6" t="inlineStr">
        <is>
          <t>Kumbaraya at, kimseye söyleme</t>
        </is>
      </c>
      <c r="D154" s="5" t="inlineStr">
        <is>
          <t>Kurnazlık</t>
        </is>
      </c>
      <c r="E154" s="5" t="inlineStr">
        <is>
          <t>Kolay</t>
        </is>
      </c>
      <c r="F154" s="5" t="inlineStr"/>
      <c r="G154" s="6" t="inlineStr"/>
      <c r="H154" s="6" t="inlineStr">
        <is>
          <t>Kumbara ağırlaştı. Kimse bilmiyor.</t>
        </is>
      </c>
      <c r="I154" s="6" t="inlineStr">
        <is>
          <t>Kumbara o kadar doldu ki ikinci kumbara açıldı. Yastık altı büyüyor.</t>
        </is>
      </c>
      <c r="J154" s="6" t="inlineStr">
        <is>
          <t>Kumbarayı açmak için çekiç gerekti.</t>
        </is>
      </c>
      <c r="K154" s="6" t="inlineStr">
        <is>
          <t>Kumbarayı sakladığın yeri kuzenin buldu.</t>
        </is>
      </c>
      <c r="L154" s="6" t="inlineStr"/>
      <c r="M154" s="5" t="inlineStr"/>
      <c r="N154" s="5" t="inlineStr"/>
      <c r="O154" s="6" t="inlineStr"/>
      <c r="P154" s="6" t="inlineStr"/>
      <c r="Q154" s="5" t="inlineStr">
        <is>
          <t>Yastık Altı Ekonomisti</t>
        </is>
      </c>
      <c r="R154" s="5" t="inlineStr"/>
      <c r="S154" s="5" t="inlineStr"/>
      <c r="T154" s="5" t="inlineStr"/>
      <c r="U154" s="5" t="inlineStr"/>
      <c r="V154" s="5" t="inlineStr"/>
      <c r="W154" s="5" t="inlineStr"/>
      <c r="X154" s="5" t="inlineStr"/>
      <c r="Y154" s="5" t="inlineStr"/>
      <c r="Z154" s="6" t="inlineStr"/>
    </row>
    <row r="155">
      <c r="A155" s="5" t="inlineStr">
        <is>
          <t>bayram-harcligi</t>
        </is>
      </c>
      <c r="B155" s="5" t="n">
        <v>5</v>
      </c>
      <c r="C155" s="6" t="inlineStr">
        <is>
          <t>Harçlıkla limonata standı kur</t>
        </is>
      </c>
      <c r="D155" s="5" t="inlineStr">
        <is>
          <t>Kurnazlık</t>
        </is>
      </c>
      <c r="E155" s="5" t="inlineStr">
        <is>
          <t>Zor</t>
        </is>
      </c>
      <c r="F155" s="5" t="inlineStr"/>
      <c r="G155" s="6" t="inlineStr"/>
      <c r="H155" s="6" t="inlineStr">
        <is>
          <t>Sermayeyi limona çevirdin, limonu kâra.</t>
        </is>
      </c>
      <c r="I155" s="6" t="inlineStr">
        <is>
          <t>Stant o kadar tuttu ki mahallede ikinci şube açıldı.</t>
        </is>
      </c>
      <c r="J155" s="6" t="inlineStr">
        <is>
          <t>Limonata ekşi oldu. Tek müşteri annendi.</t>
        </is>
      </c>
      <c r="K155" s="6" t="inlineStr">
        <is>
          <t>Şekeri unuttun. Sağlık müfettişi (baban) standı kapattı.</t>
        </is>
      </c>
      <c r="L155" s="6" t="inlineStr"/>
      <c r="M155" s="5" t="inlineStr"/>
      <c r="N155" s="5" t="inlineStr"/>
      <c r="O155" s="6" t="inlineStr"/>
      <c r="P155" s="6" t="inlineStr"/>
      <c r="Q155" s="5" t="inlineStr">
        <is>
          <t>İş Modeli Kurar</t>
        </is>
      </c>
      <c r="R155" s="5" t="inlineStr"/>
      <c r="S155" s="5" t="inlineStr"/>
      <c r="T155" s="5" t="inlineStr">
        <is>
          <t>Limonata Baronu</t>
        </is>
      </c>
      <c r="U155" s="5" t="inlineStr"/>
      <c r="V155" s="5" t="inlineStr"/>
      <c r="W155" s="5" t="inlineStr"/>
      <c r="X155" s="5" t="inlineStr"/>
      <c r="Y155" s="5" t="inlineStr"/>
      <c r="Z155" s="6" t="inlineStr"/>
    </row>
    <row r="156">
      <c r="A156" s="5" t="inlineStr">
        <is>
          <t>balkondaki-ucurtma</t>
        </is>
      </c>
      <c r="B156" s="5" t="n">
        <v>1</v>
      </c>
      <c r="C156" s="6" t="inlineStr">
        <is>
          <t>Vazgeç, yenisini iste</t>
        </is>
      </c>
      <c r="D156" s="5" t="inlineStr"/>
      <c r="E156" s="5" t="inlineStr"/>
      <c r="F156" s="5" t="inlineStr">
        <is>
          <t>Çene +1</t>
        </is>
      </c>
      <c r="G156" s="6" t="inlineStr">
        <is>
          <t>Yeni uçurtma talebin aile bütçe komisyonuna gönderildi. Gündem yoğun.</t>
        </is>
      </c>
      <c r="H156" s="6" t="inlineStr"/>
      <c r="I156" s="6" t="inlineStr"/>
      <c r="J156" s="6" t="inlineStr"/>
      <c r="K156" s="6" t="inlineStr"/>
      <c r="L156" s="6" t="inlineStr"/>
      <c r="M156" s="5" t="inlineStr"/>
      <c r="N156" s="5" t="inlineStr"/>
      <c r="O156" s="6" t="inlineStr"/>
      <c r="P156" s="6" t="inlineStr"/>
      <c r="Q156" s="5" t="inlineStr"/>
      <c r="R156" s="5" t="inlineStr"/>
      <c r="S156" s="5" t="inlineStr"/>
      <c r="T156" s="5" t="inlineStr"/>
      <c r="U156" s="5" t="inlineStr"/>
      <c r="V156" s="5" t="inlineStr"/>
      <c r="W156" s="5" t="inlineStr"/>
      <c r="X156" s="5" t="inlineStr"/>
      <c r="Y156" s="5" t="inlineStr"/>
      <c r="Z156" s="6" t="inlineStr"/>
    </row>
    <row r="157">
      <c r="A157" s="5" t="inlineStr">
        <is>
          <t>balkondaki-ucurtma</t>
        </is>
      </c>
      <c r="B157" s="5" t="n">
        <v>2</v>
      </c>
      <c r="C157" s="6" t="inlineStr">
        <is>
          <t>Süpürge sapıyla kurtar</t>
        </is>
      </c>
      <c r="D157" s="5" t="inlineStr">
        <is>
          <t>Akıl</t>
        </is>
      </c>
      <c r="E157" s="5" t="inlineStr">
        <is>
          <t>Orta</t>
        </is>
      </c>
      <c r="F157" s="5" t="inlineStr"/>
      <c r="G157" s="6" t="inlineStr"/>
      <c r="H157" s="6" t="inlineStr">
        <is>
          <t>Süpürge, sandalye ve bir bant rulosuyla mühendislik harikası kurdun. Uçurtma kurtuldu.</t>
        </is>
      </c>
      <c r="I157" s="6" t="inlineStr">
        <is>
          <t>Uçurtmayı kurtardın; üstüne komşunun balkonundan düşen bir top da geldi. Bonus.</t>
        </is>
      </c>
      <c r="J157" s="6" t="inlineStr">
        <is>
          <t>Süpürge kısa geldi. Sandalye de. Sen de.</t>
        </is>
      </c>
      <c r="K157" s="6" t="inlineStr">
        <is>
          <t>Süpürge sapı balkona takıldı. Artık orada bir uçurtma ve bir süpürge var.</t>
        </is>
      </c>
      <c r="L157" s="6" t="inlineStr"/>
      <c r="M157" s="5" t="inlineStr"/>
      <c r="N157" s="5" t="inlineStr"/>
      <c r="O157" s="6" t="inlineStr"/>
      <c r="P157" s="6" t="inlineStr"/>
      <c r="Q157" s="5" t="inlineStr"/>
      <c r="R157" s="5" t="inlineStr"/>
      <c r="S157" s="5" t="inlineStr"/>
      <c r="T157" s="5" t="inlineStr"/>
      <c r="U157" s="5" t="inlineStr"/>
      <c r="V157" s="5" t="inlineStr"/>
      <c r="W157" s="5" t="inlineStr"/>
      <c r="X157" s="5" t="inlineStr"/>
      <c r="Y157" s="5" t="inlineStr"/>
      <c r="Z157" s="6" t="inlineStr"/>
    </row>
    <row r="158">
      <c r="A158" s="5" t="inlineStr">
        <is>
          <t>balkondaki-ucurtma</t>
        </is>
      </c>
      <c r="B158" s="5" t="n">
        <v>3</v>
      </c>
      <c r="C158" s="6" t="inlineStr">
        <is>
          <t>Kapıcıyı ikna et</t>
        </is>
      </c>
      <c r="D158" s="5" t="inlineStr">
        <is>
          <t>Çene</t>
        </is>
      </c>
      <c r="E158" s="5" t="inlineStr">
        <is>
          <t>Kolay</t>
        </is>
      </c>
      <c r="F158" s="5" t="inlineStr"/>
      <c r="G158" s="6" t="inlineStr"/>
      <c r="H158" s="6" t="inlineStr">
        <is>
          <t>Kapıcı yedek anahtarla çıktı ve uçurtmayı indirdi. Bürokrasi bazen işler.</t>
        </is>
      </c>
      <c r="I158" s="6" t="inlineStr">
        <is>
          <t>Kapıcı uçurtmayı indirdi, üstüne bir de nasıl daha iyi uçurulacağını gösterdi.</t>
        </is>
      </c>
      <c r="J158" s="6" t="inlineStr">
        <is>
          <t>Kapıcı 'Sahibi gelsin' dedi. Sahibi üç hafta sonra geliyor.</t>
        </is>
      </c>
      <c r="K158" s="6" t="inlineStr">
        <is>
          <t>Kapıcıyı ikna ettin; kapıcı korkuluktan düştü, iyi ki çalılar vardı. Uçurtma hâlâ orada.</t>
        </is>
      </c>
      <c r="L158" s="6" t="inlineStr"/>
      <c r="M158" s="5" t="inlineStr"/>
      <c r="N158" s="5" t="inlineStr"/>
      <c r="O158" s="6" t="inlineStr"/>
      <c r="P158" s="6" t="inlineStr"/>
      <c r="Q158" s="5" t="inlineStr"/>
      <c r="R158" s="5" t="inlineStr"/>
      <c r="S158" s="5" t="inlineStr"/>
      <c r="T158" s="5" t="inlineStr"/>
      <c r="U158" s="5" t="inlineStr"/>
      <c r="V158" s="5" t="inlineStr"/>
      <c r="W158" s="5" t="inlineStr"/>
      <c r="X158" s="5" t="inlineStr"/>
      <c r="Y158" s="5" t="inlineStr"/>
      <c r="Z158" s="6" t="inlineStr"/>
    </row>
    <row r="159">
      <c r="A159" s="5" t="inlineStr">
        <is>
          <t>balkondaki-ucurtma</t>
        </is>
      </c>
      <c r="B159" s="5" t="n">
        <v>4</v>
      </c>
      <c r="C159" s="6" t="inlineStr">
        <is>
          <t>Korkuluğa tırman</t>
        </is>
      </c>
      <c r="D159" s="5" t="inlineStr">
        <is>
          <t>Cesaret</t>
        </is>
      </c>
      <c r="E159" s="5" t="inlineStr">
        <is>
          <t>Zor</t>
        </is>
      </c>
      <c r="F159" s="5" t="inlineStr"/>
      <c r="G159" s="6" t="inlineStr"/>
      <c r="H159" s="6" t="inlineStr">
        <is>
          <t>Tırmandın, uzandın, aldın. Aşağıdakiler nefeslerini ancak sen inince bıraktı.</t>
        </is>
      </c>
      <c r="I159" s="6" t="inlineStr">
        <is>
          <t>Tırmandın, uçurtmayı aldın ve balkondan uçurarak indirdin. Mahalle bunu yıllarca anlattı.</t>
        </is>
      </c>
      <c r="J159" s="6" t="inlineStr">
        <is>
          <t>Yarıya kadar tırmandın, sonra aşağı baktın. Aşağı bakmak hataydı.</t>
        </is>
      </c>
      <c r="K159" s="6" t="inlineStr">
        <is>
          <t>Tırmandın, ayağın kaydı, bir saksıya tutundun. Saksı dayandı, bileğin dayanmadı. Altı hafta alçı.</t>
        </is>
      </c>
      <c r="L159" s="6" t="inlineStr"/>
      <c r="M159" s="5" t="inlineStr"/>
      <c r="N159" s="5" t="inlineStr"/>
      <c r="O159" s="6" t="inlineStr"/>
      <c r="P159" s="6" t="inlineStr"/>
      <c r="Q159" s="5" t="inlineStr"/>
      <c r="R159" s="5" t="inlineStr"/>
      <c r="S159" s="5" t="inlineStr"/>
      <c r="T159" s="5" t="inlineStr"/>
      <c r="U159" s="5" t="inlineStr"/>
      <c r="V159" s="5" t="inlineStr"/>
      <c r="W159" s="5" t="inlineStr">
        <is>
          <t>alcili-kol</t>
        </is>
      </c>
      <c r="X159" s="5" t="inlineStr"/>
      <c r="Y159" s="5" t="inlineStr"/>
      <c r="Z159" s="6" t="inlineStr"/>
    </row>
    <row r="160">
      <c r="A160" s="5" t="inlineStr">
        <is>
          <t>mahalle-maci</t>
        </is>
      </c>
      <c r="B160" s="5" t="n">
        <v>1</v>
      </c>
      <c r="C160" s="6" t="inlineStr">
        <is>
          <t>Şut çek</t>
        </is>
      </c>
      <c r="D160" s="5" t="inlineStr">
        <is>
          <t>Cesaret</t>
        </is>
      </c>
      <c r="E160" s="5" t="inlineStr">
        <is>
          <t>Orta</t>
        </is>
      </c>
      <c r="F160" s="5" t="inlineStr"/>
      <c r="G160" s="6" t="inlineStr"/>
      <c r="H160" s="6" t="inlineStr">
        <is>
          <t>Gol! Cam sağlam. Mahalle sallandı.</t>
        </is>
      </c>
      <c r="I160" s="6" t="inlineStr">
        <is>
          <t>Köşeye gol. Komşu bile balkondan alkışladı.</t>
        </is>
      </c>
      <c r="J160" s="6" t="inlineStr">
        <is>
          <t>Top kaleciye gitti. Maç berabere bitti.</t>
        </is>
      </c>
      <c r="K160" s="6" t="inlineStr">
        <is>
          <t>Top cama gitti. Komşu kapıya geldi. Maç ertelendi.</t>
        </is>
      </c>
      <c r="L160" s="6" t="inlineStr">
        <is>
          <t>Direk! Cam sağlam, skor aynı.</t>
        </is>
      </c>
      <c r="M160" s="5" t="inlineStr">
        <is>
          <t>timing</t>
        </is>
      </c>
      <c r="N160" s="5" t="inlineStr">
        <is>
          <t>Şut Çek!</t>
        </is>
      </c>
      <c r="O160" s="6" t="inlineStr">
        <is>
          <t>Kırmızı işareti yeşil alanda durdur.</t>
        </is>
      </c>
      <c r="P160" s="6" t="inlineStr"/>
      <c r="Q160" s="5" t="inlineStr"/>
      <c r="R160" s="5" t="inlineStr"/>
      <c r="S160" s="5" t="inlineStr"/>
      <c r="T160" s="5" t="inlineStr"/>
      <c r="U160" s="5" t="inlineStr"/>
      <c r="V160" s="5" t="inlineStr"/>
      <c r="W160" s="5" t="inlineStr">
        <is>
          <t>camKirildi</t>
        </is>
      </c>
      <c r="X160" s="5" t="inlineStr"/>
      <c r="Y160" s="5" t="inlineStr"/>
      <c r="Z160" s="6" t="inlineStr"/>
    </row>
    <row r="161">
      <c r="A161" s="5" t="inlineStr">
        <is>
          <t>mahalle-maci</t>
        </is>
      </c>
      <c r="B161" s="5" t="n">
        <v>2</v>
      </c>
      <c r="C161" s="6" t="inlineStr">
        <is>
          <t>Pas ver</t>
        </is>
      </c>
      <c r="D161" s="5" t="inlineStr">
        <is>
          <t>Sosyal Radar</t>
        </is>
      </c>
      <c r="E161" s="5" t="inlineStr">
        <is>
          <t>Zor</t>
        </is>
      </c>
      <c r="F161" s="5" t="inlineStr"/>
      <c r="G161" s="6" t="inlineStr"/>
      <c r="H161" s="6" t="inlineStr">
        <is>
          <t>Pas verdin, arkadaşın attı. Asist de bir sanattır.</t>
        </is>
      </c>
      <c r="I161" s="6" t="inlineStr">
        <is>
          <t>Öyle bir pas verdin ki arkadaşın boş kaleye attı. Herkes seni kucakladı.</t>
        </is>
      </c>
      <c r="J161" s="6" t="inlineStr">
        <is>
          <t>Pas verdin; top karşı takıma gitti.</t>
        </is>
      </c>
      <c r="K161" s="6" t="inlineStr">
        <is>
          <t>Pas verdin; top komşunun camına gitti.</t>
        </is>
      </c>
      <c r="L161" s="6" t="inlineStr"/>
      <c r="M161" s="5" t="inlineStr"/>
      <c r="N161" s="5" t="inlineStr"/>
      <c r="O161" s="6" t="inlineStr"/>
      <c r="P161" s="6" t="inlineStr"/>
      <c r="Q161" s="5" t="inlineStr"/>
      <c r="R161" s="5" t="inlineStr"/>
      <c r="S161" s="5" t="inlineStr"/>
      <c r="T161" s="5" t="inlineStr">
        <is>
          <t>Asist Ustası</t>
        </is>
      </c>
      <c r="U161" s="5" t="inlineStr"/>
      <c r="V161" s="5" t="inlineStr"/>
      <c r="W161" s="5" t="inlineStr">
        <is>
          <t>camKirildi</t>
        </is>
      </c>
      <c r="X161" s="5" t="inlineStr"/>
      <c r="Y161" s="5" t="inlineStr"/>
      <c r="Z161" s="6" t="inlineStr"/>
    </row>
    <row r="162">
      <c r="A162" s="5" t="inlineStr">
        <is>
          <t>mahalle-maci</t>
        </is>
      </c>
      <c r="B162" s="5" t="n">
        <v>3</v>
      </c>
      <c r="C162" s="6" t="inlineStr">
        <is>
          <t>Camı düşün, yavaş vur</t>
        </is>
      </c>
      <c r="D162" s="5" t="inlineStr"/>
      <c r="E162" s="5" t="inlineStr"/>
      <c r="F162" s="5" t="inlineStr">
        <is>
          <t>Vicdan +1, Dayanıklılık +1</t>
        </is>
      </c>
      <c r="G162" s="6" t="inlineStr">
        <is>
          <t>Top kaleye yavaşça yuvarlandı. Kaleci aldı. Cam teşekkür etti.</t>
        </is>
      </c>
      <c r="H162" s="6" t="inlineStr"/>
      <c r="I162" s="6" t="inlineStr"/>
      <c r="J162" s="6" t="inlineStr"/>
      <c r="K162" s="6" t="inlineStr"/>
      <c r="L162" s="6" t="inlineStr"/>
      <c r="M162" s="5" t="inlineStr"/>
      <c r="N162" s="5" t="inlineStr"/>
      <c r="O162" s="6" t="inlineStr"/>
      <c r="P162" s="6" t="inlineStr"/>
      <c r="Q162" s="5" t="inlineStr"/>
      <c r="R162" s="5" t="inlineStr"/>
      <c r="S162" s="5" t="inlineStr"/>
      <c r="T162" s="5" t="inlineStr"/>
      <c r="U162" s="5" t="inlineStr"/>
      <c r="V162" s="5" t="inlineStr"/>
      <c r="W162" s="5" t="inlineStr"/>
      <c r="X162" s="5" t="inlineStr"/>
      <c r="Y162" s="5" t="inlineStr"/>
      <c r="Z162" s="6" t="inlineStr"/>
    </row>
    <row r="163">
      <c r="A163" s="5" t="inlineStr">
        <is>
          <t>kedi-istiyoruz</t>
        </is>
      </c>
      <c r="B163" s="5" t="n">
        <v>1</v>
      </c>
      <c r="C163" s="6" t="inlineStr">
        <is>
          <t>Duygusal konuşma yap</t>
        </is>
      </c>
      <c r="D163" s="5" t="inlineStr">
        <is>
          <t>Çene</t>
        </is>
      </c>
      <c r="E163" s="5" t="inlineStr">
        <is>
          <t>Orta</t>
        </is>
      </c>
      <c r="F163" s="5" t="inlineStr"/>
      <c r="G163" s="6" t="inlineStr"/>
      <c r="H163" s="6" t="inlineStr">
        <is>
          <t>Gözlerin doldu, sesin titredi. Kedi onaylandı.</t>
        </is>
      </c>
      <c r="I163" s="6" t="inlineStr">
        <is>
          <t>Konuşma sırasında babaannen ağladı. Bir değil iki kedi onaylandı.</t>
        </is>
      </c>
      <c r="J163" s="6" t="inlineStr">
        <is>
          <t>Konuşman etkileyiciydi ama karar 'yazın bakarız'.</t>
        </is>
      </c>
      <c r="K163" s="6" t="inlineStr">
        <is>
          <t>Konuşurken 'Söz, her gün ben temizleyeceğim' dedin. Kayıt altına alındı. Kedi gelmedi.</t>
        </is>
      </c>
      <c r="L163" s="6" t="inlineStr"/>
      <c r="M163" s="5" t="inlineStr"/>
      <c r="N163" s="5" t="inlineStr"/>
      <c r="O163" s="6" t="inlineStr"/>
      <c r="P163" s="6" t="inlineStr"/>
      <c r="Q163" s="5" t="inlineStr"/>
      <c r="R163" s="5" t="inlineStr"/>
      <c r="S163" s="5" t="inlineStr"/>
      <c r="T163" s="5" t="inlineStr"/>
      <c r="U163" s="5" t="inlineStr"/>
      <c r="V163" s="5" t="inlineStr">
        <is>
          <t>kediGeldi</t>
        </is>
      </c>
      <c r="W163" s="5" t="inlineStr"/>
      <c r="X163" s="5" t="inlineStr"/>
      <c r="Y163" s="5" t="inlineStr"/>
      <c r="Z163" s="6" t="inlineStr"/>
    </row>
    <row r="164">
      <c r="A164" s="5" t="inlineStr">
        <is>
          <t>kedi-istiyoruz</t>
        </is>
      </c>
      <c r="B164" s="5" t="n">
        <v>2</v>
      </c>
      <c r="C164" s="6" t="inlineStr">
        <is>
          <t>Sorumluluk planı sun</t>
        </is>
      </c>
      <c r="D164" s="5" t="inlineStr">
        <is>
          <t>Akıl</t>
        </is>
      </c>
      <c r="E164" s="5" t="inlineStr">
        <is>
          <t>Orta</t>
        </is>
      </c>
      <c r="F164" s="5" t="inlineStr"/>
      <c r="G164" s="6" t="inlineStr"/>
      <c r="H164" s="6" t="inlineStr">
        <is>
          <t>Mama, kum, veteriner: üç maddelik plan sundun. Kedi onaylandı.</t>
        </is>
      </c>
      <c r="I164" s="6" t="inlineStr">
        <is>
          <t>Tablolu, bütçeli bir plan sundun. Ailen kedi yerine seni işe almayı düşündü.</t>
        </is>
      </c>
      <c r="J164" s="6" t="inlineStr">
        <is>
          <t>Plan iyiydi ama bütçe onaylanmadı.</t>
        </is>
      </c>
      <c r="K164" s="6" t="inlineStr">
        <is>
          <t>Planın ilk maddesi 'Kediye telefon alalım' idi. Oturum kapandı.</t>
        </is>
      </c>
      <c r="L164" s="6" t="inlineStr"/>
      <c r="M164" s="5" t="inlineStr"/>
      <c r="N164" s="5" t="inlineStr"/>
      <c r="O164" s="6" t="inlineStr"/>
      <c r="P164" s="6" t="inlineStr"/>
      <c r="Q164" s="5" t="inlineStr"/>
      <c r="R164" s="5" t="inlineStr"/>
      <c r="S164" s="5" t="inlineStr"/>
      <c r="T164" s="5" t="inlineStr"/>
      <c r="U164" s="5" t="inlineStr"/>
      <c r="V164" s="5" t="inlineStr">
        <is>
          <t>kediGeldi</t>
        </is>
      </c>
      <c r="W164" s="5" t="inlineStr"/>
      <c r="X164" s="5" t="inlineStr"/>
      <c r="Y164" s="5" t="inlineStr"/>
      <c r="Z164" s="6" t="inlineStr"/>
    </row>
    <row r="165">
      <c r="A165" s="5" t="inlineStr">
        <is>
          <t>kedi-istiyoruz</t>
        </is>
      </c>
      <c r="B165" s="5" t="n">
        <v>3</v>
      </c>
      <c r="C165" s="6" t="inlineStr">
        <is>
          <t>Büyükanneyi ikna et</t>
        </is>
      </c>
      <c r="D165" s="5" t="inlineStr">
        <is>
          <t>Sosyal Radar</t>
        </is>
      </c>
      <c r="E165" s="5" t="inlineStr">
        <is>
          <t>Orta</t>
        </is>
      </c>
      <c r="F165" s="5" t="inlineStr"/>
      <c r="G165" s="6" t="inlineStr"/>
      <c r="H165" s="6" t="inlineStr">
        <is>
          <t>Büyükanneyi yanına çektin. Oturum bitmeden karar çıktı.</t>
        </is>
      </c>
      <c r="I165" s="6" t="inlineStr">
        <is>
          <t>Büyükanne kediyi kendisi getirdi. Tartışma bile olmadı.</t>
        </is>
      </c>
      <c r="J165" s="6" t="inlineStr">
        <is>
          <t>Büyükanne kuş istiyormuş.</t>
        </is>
      </c>
      <c r="K165" s="6" t="inlineStr">
        <is>
          <t>Büyükanne ikna oldu; kendi evine kedi aldı.</t>
        </is>
      </c>
      <c r="L165" s="6" t="inlineStr"/>
      <c r="M165" s="5" t="inlineStr"/>
      <c r="N165" s="5" t="inlineStr"/>
      <c r="O165" s="6" t="inlineStr"/>
      <c r="P165" s="6" t="inlineStr"/>
      <c r="Q165" s="5" t="inlineStr"/>
      <c r="R165" s="5" t="inlineStr"/>
      <c r="S165" s="5" t="inlineStr"/>
      <c r="T165" s="5" t="inlineStr"/>
      <c r="U165" s="5" t="inlineStr"/>
      <c r="V165" s="5" t="inlineStr">
        <is>
          <t>kediGeldi</t>
        </is>
      </c>
      <c r="W165" s="5" t="inlineStr"/>
      <c r="X165" s="5" t="inlineStr"/>
      <c r="Y165" s="5" t="inlineStr"/>
      <c r="Z165" s="6" t="inlineStr"/>
    </row>
    <row r="166">
      <c r="A166" s="5" t="inlineStr">
        <is>
          <t>kedi-istiyoruz</t>
        </is>
      </c>
      <c r="B166" s="5" t="n">
        <v>4</v>
      </c>
      <c r="C166" s="6" t="inlineStr">
        <is>
          <t>Vazo için kediden resmen özür dile</t>
        </is>
      </c>
      <c r="D166" s="5" t="inlineStr"/>
      <c r="E166" s="5" t="inlineStr"/>
      <c r="F166" s="5" t="inlineStr">
        <is>
          <t>Vicdan +3</t>
        </is>
      </c>
      <c r="G166" s="6" t="inlineStr">
        <is>
          <t>Yıllar sonra gelen itiraf. Aile duygulandı, oturum oybirliğiyle sonuçlandı. Kedi geliyor.</t>
        </is>
      </c>
      <c r="H166" s="6" t="inlineStr"/>
      <c r="I166" s="6" t="inlineStr"/>
      <c r="J166" s="6" t="inlineStr"/>
      <c r="K166" s="6" t="inlineStr"/>
      <c r="L166" s="6" t="inlineStr"/>
      <c r="M166" s="5" t="inlineStr"/>
      <c r="N166" s="5" t="inlineStr"/>
      <c r="O166" s="6" t="inlineStr"/>
      <c r="P166" s="6" t="inlineStr"/>
      <c r="Q166" s="5" t="inlineStr"/>
      <c r="R166" s="5" t="inlineStr">
        <is>
          <t>kediSuclu</t>
        </is>
      </c>
      <c r="S166" s="5" t="inlineStr"/>
      <c r="T166" s="5" t="inlineStr"/>
      <c r="U166" s="5" t="inlineStr">
        <is>
          <t>kediGeldi</t>
        </is>
      </c>
      <c r="V166" s="5" t="inlineStr"/>
      <c r="W166" s="5" t="inlineStr"/>
      <c r="X166" s="5" t="inlineStr"/>
      <c r="Y166" s="5" t="inlineStr"/>
      <c r="Z166" s="6" t="inlineStr"/>
    </row>
    <row r="167">
      <c r="A167" s="5" t="inlineStr">
        <is>
          <t>tablet-saati</t>
        </is>
      </c>
      <c r="B167" s="5" t="n">
        <v>1</v>
      </c>
      <c r="C167" s="6" t="inlineStr">
        <is>
          <t>Süreye uy</t>
        </is>
      </c>
      <c r="D167" s="5" t="inlineStr"/>
      <c r="E167" s="5" t="inlineStr"/>
      <c r="F167" s="5" t="inlineStr">
        <is>
          <t>Vicdan +1, Dayanıklılık +1</t>
        </is>
      </c>
      <c r="G167" s="6" t="inlineStr">
        <is>
          <t>Canavar yarına kaldı. İrade bugün kazandı.</t>
        </is>
      </c>
      <c r="H167" s="6" t="inlineStr"/>
      <c r="I167" s="6" t="inlineStr"/>
      <c r="J167" s="6" t="inlineStr"/>
      <c r="K167" s="6" t="inlineStr"/>
      <c r="L167" s="6" t="inlineStr"/>
      <c r="M167" s="5" t="inlineStr"/>
      <c r="N167" s="5" t="inlineStr"/>
      <c r="O167" s="6" t="inlineStr"/>
      <c r="P167" s="6" t="inlineStr"/>
      <c r="Q167" s="5" t="inlineStr"/>
      <c r="R167" s="5" t="inlineStr"/>
      <c r="S167" s="5" t="inlineStr"/>
      <c r="T167" s="5" t="inlineStr"/>
      <c r="U167" s="5" t="inlineStr"/>
      <c r="V167" s="5" t="inlineStr"/>
      <c r="W167" s="5" t="inlineStr"/>
      <c r="X167" s="5" t="inlineStr"/>
      <c r="Y167" s="5" t="inlineStr"/>
      <c r="Z167" s="6" t="inlineStr"/>
    </row>
    <row r="168">
      <c r="A168" s="5" t="inlineStr">
        <is>
          <t>tablet-saati</t>
        </is>
      </c>
      <c r="B168" s="5" t="n">
        <v>2</v>
      </c>
      <c r="C168" s="6" t="inlineStr">
        <is>
          <t>Beş dakika daha iste</t>
        </is>
      </c>
      <c r="D168" s="5" t="inlineStr">
        <is>
          <t>Çene</t>
        </is>
      </c>
      <c r="E168" s="5" t="inlineStr">
        <is>
          <t>Kolay</t>
        </is>
      </c>
      <c r="F168" s="5" t="inlineStr"/>
      <c r="G168" s="6" t="inlineStr"/>
      <c r="H168" s="6" t="inlineStr">
        <is>
          <t>Beş dakika aldın, canavarı yendin.</t>
        </is>
      </c>
      <c r="I168" s="6" t="inlineStr">
        <is>
          <t>Beş dakika istedin, on beş aldın. Pazarlık dersi.</t>
        </is>
      </c>
      <c r="J168" s="6" t="inlineStr">
        <is>
          <t>Beş dakika istedin; 'Yarın' dendi.</t>
        </is>
      </c>
      <c r="K168" s="6" t="inlineStr">
        <is>
          <t>Beş dakika istedin; ertesi günün süresi de kesildi.</t>
        </is>
      </c>
      <c r="L168" s="6" t="inlineStr"/>
      <c r="M168" s="5" t="inlineStr"/>
      <c r="N168" s="5" t="inlineStr"/>
      <c r="O168" s="6" t="inlineStr"/>
      <c r="P168" s="6" t="inlineStr"/>
      <c r="Q168" s="5" t="inlineStr"/>
      <c r="R168" s="5" t="inlineStr"/>
      <c r="S168" s="5" t="inlineStr"/>
      <c r="T168" s="5" t="inlineStr"/>
      <c r="U168" s="5" t="inlineStr"/>
      <c r="V168" s="5" t="inlineStr"/>
      <c r="W168" s="5" t="inlineStr"/>
      <c r="X168" s="5" t="inlineStr"/>
      <c r="Y168" s="5" t="inlineStr"/>
      <c r="Z168" s="6" t="inlineStr"/>
    </row>
    <row r="169">
      <c r="A169" s="5" t="inlineStr">
        <is>
          <t>tablet-saati</t>
        </is>
      </c>
      <c r="B169" s="5" t="n">
        <v>3</v>
      </c>
      <c r="C169" s="6" t="inlineStr">
        <is>
          <t>Saati gizlice geri al</t>
        </is>
      </c>
      <c r="D169" s="5" t="inlineStr">
        <is>
          <t>Kurnazlık</t>
        </is>
      </c>
      <c r="E169" s="5" t="inlineStr">
        <is>
          <t>Zor</t>
        </is>
      </c>
      <c r="F169" s="5" t="inlineStr"/>
      <c r="G169" s="6" t="inlineStr"/>
      <c r="H169" s="6" t="inlineStr">
        <is>
          <t>Tabletin saati bir saat geri gitti. Canavar yenildi.</t>
        </is>
      </c>
      <c r="I169" s="6" t="inlineStr">
        <is>
          <t>Saati geri aldın, canavarı yendin, iz bırakmadın. Kusursuz operasyon.</t>
        </is>
      </c>
      <c r="J169" s="6" t="inlineStr">
        <is>
          <t>Saati geri aldın; alarm çaldı.</t>
        </is>
      </c>
      <c r="K169" s="6" t="inlineStr">
        <is>
          <t>Saati geri aldın; ertesi sabah ailen işe bir saat geç kaldı.</t>
        </is>
      </c>
      <c r="L169" s="6" t="inlineStr"/>
      <c r="M169" s="5" t="inlineStr"/>
      <c r="N169" s="5" t="inlineStr"/>
      <c r="O169" s="6" t="inlineStr"/>
      <c r="P169" s="6" t="inlineStr"/>
      <c r="Q169" s="5" t="inlineStr"/>
      <c r="R169" s="5" t="inlineStr"/>
      <c r="S169" s="5" t="inlineStr"/>
      <c r="T169" s="5" t="inlineStr"/>
      <c r="U169" s="5" t="inlineStr"/>
      <c r="V169" s="5" t="inlineStr"/>
      <c r="W169" s="5" t="inlineStr"/>
      <c r="X169" s="5" t="inlineStr"/>
      <c r="Y169" s="5" t="inlineStr"/>
      <c r="Z169" s="6" t="inlineStr"/>
    </row>
    <row r="170">
      <c r="A170" s="5" t="inlineStr">
        <is>
          <t>tablet-saati</t>
        </is>
      </c>
      <c r="B170" s="5" t="n">
        <v>4</v>
      </c>
      <c r="C170" s="6" t="inlineStr">
        <is>
          <t>Ebeveyn kilidini çöz</t>
        </is>
      </c>
      <c r="D170" s="5" t="inlineStr">
        <is>
          <t>Akıl</t>
        </is>
      </c>
      <c r="E170" s="5" t="inlineStr">
        <is>
          <t>Zor</t>
        </is>
      </c>
      <c r="F170" s="5" t="inlineStr"/>
      <c r="G170" s="6" t="inlineStr"/>
      <c r="H170" s="6" t="inlineStr">
        <is>
          <t>Kilidi çözdün. Sınırsız ekran, sınırsız sorumluluk.</t>
        </is>
      </c>
      <c r="I170" s="6" t="inlineStr">
        <is>
          <t>Kilidi çözdün ve ailenin telefonuna ekran süresi koydun.</t>
        </is>
      </c>
      <c r="J170" s="6" t="inlineStr">
        <is>
          <t>Kilit çözülmedi; tablet 10 dakika kilitlendi.</t>
        </is>
      </c>
      <c r="K170" s="6" t="inlineStr">
        <is>
          <t>Kilidi çözmeye çalışırken tableti fabrika ayarlarına döndürdün.</t>
        </is>
      </c>
      <c r="L170" s="6" t="inlineStr"/>
      <c r="M170" s="5" t="inlineStr"/>
      <c r="N170" s="5" t="inlineStr"/>
      <c r="O170" s="6" t="inlineStr"/>
      <c r="P170" s="6" t="inlineStr"/>
      <c r="Q170" s="5" t="inlineStr">
        <is>
          <t>Teknoloji Merakı</t>
        </is>
      </c>
      <c r="R170" s="5" t="inlineStr"/>
      <c r="S170" s="5" t="inlineStr"/>
      <c r="T170" s="5" t="inlineStr">
        <is>
          <t>Kilit Kırıcı</t>
        </is>
      </c>
      <c r="U170" s="5" t="inlineStr"/>
      <c r="V170" s="5" t="inlineStr"/>
      <c r="W170" s="5" t="inlineStr"/>
      <c r="X170" s="5" t="inlineStr"/>
      <c r="Y170" s="5" t="inlineStr"/>
      <c r="Z170" s="6" t="inlineStr"/>
    </row>
    <row r="171">
      <c r="A171" s="5" t="inlineStr">
        <is>
          <t>veli-toplantisi</t>
        </is>
      </c>
      <c r="B171" s="5" t="n">
        <v>1</v>
      </c>
      <c r="C171" s="6" t="inlineStr">
        <is>
          <t>Kapıyı dinle</t>
        </is>
      </c>
      <c r="D171" s="5" t="inlineStr">
        <is>
          <t>Sosyal Radar</t>
        </is>
      </c>
      <c r="E171" s="5" t="inlineStr">
        <is>
          <t>Orta</t>
        </is>
      </c>
      <c r="F171" s="5" t="inlineStr"/>
      <c r="G171" s="6" t="inlineStr"/>
      <c r="H171" s="6" t="inlineStr">
        <is>
          <t>Kilit cümleleri duydun: 'zeki' ve 'biraz konuşkan'. Hazırlıklısın.</t>
        </is>
      </c>
      <c r="I171" s="6" t="inlineStr">
        <is>
          <t>Her şeyi duydun ve ailen çıkmadan savunmanı hazırladın.</t>
        </is>
      </c>
      <c r="J171" s="6" t="inlineStr">
        <is>
          <t>Hiçbir şey duyamadın. Kapı çok kalınmış.</t>
        </is>
      </c>
      <c r="K171" s="6" t="inlineStr">
        <is>
          <t>Kapıya yaslandın, kapı açıldı. İçeri düştün.</t>
        </is>
      </c>
      <c r="L171" s="6" t="inlineStr"/>
      <c r="M171" s="5" t="inlineStr"/>
      <c r="N171" s="5" t="inlineStr"/>
      <c r="O171" s="6" t="inlineStr"/>
      <c r="P171" s="6" t="inlineStr"/>
      <c r="Q171" s="5" t="inlineStr"/>
      <c r="R171" s="5" t="inlineStr"/>
      <c r="S171" s="5" t="inlineStr"/>
      <c r="T171" s="5" t="inlineStr"/>
      <c r="U171" s="5" t="inlineStr"/>
      <c r="V171" s="5" t="inlineStr"/>
      <c r="W171" s="5" t="inlineStr"/>
      <c r="X171" s="5" t="inlineStr"/>
      <c r="Y171" s="5" t="inlineStr"/>
      <c r="Z171" s="6" t="inlineStr"/>
    </row>
    <row r="172">
      <c r="A172" s="5" t="inlineStr">
        <is>
          <t>veli-toplantisi</t>
        </is>
      </c>
      <c r="B172" s="5" t="n">
        <v>2</v>
      </c>
      <c r="C172" s="6" t="inlineStr">
        <is>
          <t>Öğretmene önceden çiçek götür</t>
        </is>
      </c>
      <c r="D172" s="5" t="inlineStr">
        <is>
          <t>Pişkinlik</t>
        </is>
      </c>
      <c r="E172" s="5" t="inlineStr">
        <is>
          <t>Orta</t>
        </is>
      </c>
      <c r="F172" s="5" t="inlineStr"/>
      <c r="G172" s="6" t="inlineStr"/>
      <c r="H172" s="6" t="inlineStr">
        <is>
          <t>Çiçek kabul edildi. Toplantının tonu yumuşadı.</t>
        </is>
      </c>
      <c r="I172" s="6" t="inlineStr">
        <is>
          <t>Öğretmen çiçeği vazoya koydu ve toplantıyı 'Ne kadar kibar bir çocuk' diye açtı.</t>
        </is>
      </c>
      <c r="J172" s="6" t="inlineStr">
        <is>
          <t>Çiçeği verdin; öğretmen alerjikmiş.</t>
        </is>
      </c>
      <c r="K172" s="6" t="inlineStr">
        <is>
          <t>Çiçeği okul bahçesinden kopardığın anlaşıldı.</t>
        </is>
      </c>
      <c r="L172" s="6" t="inlineStr"/>
      <c r="M172" s="5" t="inlineStr"/>
      <c r="N172" s="5" t="inlineStr"/>
      <c r="O172" s="6" t="inlineStr"/>
      <c r="P172" s="6" t="inlineStr"/>
      <c r="Q172" s="5" t="inlineStr"/>
      <c r="R172" s="5" t="inlineStr"/>
      <c r="S172" s="5" t="inlineStr"/>
      <c r="T172" s="5" t="inlineStr"/>
      <c r="U172" s="5" t="inlineStr"/>
      <c r="V172" s="5" t="inlineStr"/>
      <c r="W172" s="5" t="inlineStr"/>
      <c r="X172" s="5" t="inlineStr"/>
      <c r="Y172" s="5" t="inlineStr"/>
      <c r="Z172" s="6" t="inlineStr"/>
    </row>
    <row r="173">
      <c r="A173" s="5" t="inlineStr">
        <is>
          <t>veli-toplantisi</t>
        </is>
      </c>
      <c r="B173" s="5" t="n">
        <v>3</v>
      </c>
      <c r="C173" s="6" t="inlineStr">
        <is>
          <t>Sonucu bekle</t>
        </is>
      </c>
      <c r="D173" s="5" t="inlineStr"/>
      <c r="E173" s="5" t="inlineStr"/>
      <c r="F173" s="5" t="inlineStr">
        <is>
          <t>Dayanıklılık +1</t>
        </is>
      </c>
      <c r="G173" s="6" t="inlineStr">
        <is>
          <t>Kontrol edemediğin şeyleri beklemeyi öğrendin.</t>
        </is>
      </c>
      <c r="H173" s="6" t="inlineStr"/>
      <c r="I173" s="6" t="inlineStr"/>
      <c r="J173" s="6" t="inlineStr"/>
      <c r="K173" s="6" t="inlineStr"/>
      <c r="L173" s="6" t="inlineStr"/>
      <c r="M173" s="5" t="inlineStr"/>
      <c r="N173" s="5" t="inlineStr"/>
      <c r="O173" s="6" t="inlineStr"/>
      <c r="P173" s="6" t="inlineStr"/>
      <c r="Q173" s="5" t="inlineStr"/>
      <c r="R173" s="5" t="inlineStr"/>
      <c r="S173" s="5" t="inlineStr"/>
      <c r="T173" s="5" t="inlineStr"/>
      <c r="U173" s="5" t="inlineStr"/>
      <c r="V173" s="5" t="inlineStr"/>
      <c r="W173" s="5" t="inlineStr"/>
      <c r="X173" s="5" t="inlineStr"/>
      <c r="Y173" s="5" t="inlineStr"/>
      <c r="Z173" s="6" t="inlineStr"/>
    </row>
    <row r="174">
      <c r="A174" s="5" t="inlineStr">
        <is>
          <t>veli-toplantisi</t>
        </is>
      </c>
      <c r="B174" s="5" t="n">
        <v>4</v>
      </c>
      <c r="C174" s="6" t="inlineStr">
        <is>
          <t>Ailenin yüzünden sonucu oku</t>
        </is>
      </c>
      <c r="D174" s="5" t="inlineStr">
        <is>
          <t>Sosyal Radar</t>
        </is>
      </c>
      <c r="E174" s="5" t="inlineStr">
        <is>
          <t>Kolay</t>
        </is>
      </c>
      <c r="F174" s="5" t="inlineStr"/>
      <c r="G174" s="6" t="inlineStr"/>
      <c r="H174" s="6" t="inlineStr">
        <is>
          <t>Kapıdan çıkarken yüzlerine baktın. Sonuç iyi. Rahatladın.</t>
        </is>
      </c>
      <c r="I174" s="6" t="inlineStr">
        <is>
          <t>Yüz ifadesinden sadece sonucu değil, akşam yemeğini de tahmin ettin.</t>
        </is>
      </c>
      <c r="J174" s="6" t="inlineStr">
        <is>
          <t>Yüzleri hiçbir şey söylemiyordu.</t>
        </is>
      </c>
      <c r="K174" s="6" t="inlineStr">
        <is>
          <t>'İyi geçti' diye sevinçle koştun. İyi geçmemişti.</t>
        </is>
      </c>
      <c r="L174" s="6" t="inlineStr"/>
      <c r="M174" s="5" t="inlineStr"/>
      <c r="N174" s="5" t="inlineStr"/>
      <c r="O174" s="6" t="inlineStr"/>
      <c r="P174" s="6" t="inlineStr"/>
      <c r="Q174" s="5" t="inlineStr">
        <is>
          <t>Odayı Okur</t>
        </is>
      </c>
      <c r="R174" s="5" t="inlineStr"/>
      <c r="S174" s="5" t="inlineStr"/>
      <c r="T174" s="5" t="inlineStr"/>
      <c r="U174" s="5" t="inlineStr"/>
      <c r="V174" s="5" t="inlineStr"/>
      <c r="W174" s="5" t="inlineStr"/>
      <c r="X174" s="5" t="inlineStr"/>
      <c r="Y174" s="5" t="inlineStr"/>
      <c r="Z174" s="6" t="inlineStr"/>
    </row>
    <row r="175">
      <c r="A175" s="5" t="inlineStr">
        <is>
          <t>karne-gunu</t>
        </is>
      </c>
      <c r="B175" s="5" t="n">
        <v>1</v>
      </c>
      <c r="C175" s="6" t="inlineStr">
        <is>
          <t>Karneyi gururla göster</t>
        </is>
      </c>
      <c r="D175" s="5" t="inlineStr">
        <is>
          <t>Pişkinlik</t>
        </is>
      </c>
      <c r="E175" s="5" t="inlineStr">
        <is>
          <t>Kolay</t>
        </is>
      </c>
      <c r="F175" s="5" t="inlineStr"/>
      <c r="G175" s="6" t="inlineStr"/>
      <c r="H175" s="6" t="inlineStr">
        <is>
          <t>Karneyi kapıda açtın. Alkış geldi.</t>
        </is>
      </c>
      <c r="I175" s="6" t="inlineStr">
        <is>
          <t>Karneyi gösterdin; ailen fotoğrafını çekip aile grubuna gönderdi.</t>
        </is>
      </c>
      <c r="J175" s="6" t="inlineStr">
        <is>
          <t>Karneyi gösterdin; tek zayıf not da görüldü.</t>
        </is>
      </c>
      <c r="K175" s="6" t="inlineStr">
        <is>
          <t>Karneyi gösterirken yere düşürdün. Kedi üstüne oturdu.</t>
        </is>
      </c>
      <c r="L175" s="6" t="inlineStr"/>
      <c r="M175" s="5" t="inlineStr"/>
      <c r="N175" s="5" t="inlineStr"/>
      <c r="O175" s="6" t="inlineStr"/>
      <c r="P175" s="6" t="inlineStr"/>
      <c r="Q175" s="5" t="inlineStr"/>
      <c r="R175" s="5" t="inlineStr"/>
      <c r="S175" s="5" t="inlineStr"/>
      <c r="T175" s="5" t="inlineStr"/>
      <c r="U175" s="5" t="inlineStr"/>
      <c r="V175" s="5" t="inlineStr"/>
      <c r="W175" s="5" t="inlineStr"/>
      <c r="X175" s="5" t="inlineStr"/>
      <c r="Y175" s="5" t="inlineStr"/>
      <c r="Z175" s="6" t="inlineStr"/>
    </row>
    <row r="176">
      <c r="A176" s="5" t="inlineStr">
        <is>
          <t>karne-gunu</t>
        </is>
      </c>
      <c r="B176" s="5" t="n">
        <v>2</v>
      </c>
      <c r="C176" s="6" t="inlineStr">
        <is>
          <t>Önce iyi haberleri anlat</t>
        </is>
      </c>
      <c r="D176" s="5" t="inlineStr">
        <is>
          <t>Çene</t>
        </is>
      </c>
      <c r="E176" s="5" t="inlineStr">
        <is>
          <t>Orta</t>
        </is>
      </c>
      <c r="F176" s="5" t="inlineStr"/>
      <c r="G176" s="6" t="inlineStr"/>
      <c r="H176" s="6" t="inlineStr">
        <is>
          <t>İyi haberlerle başladın; kötü haber gölgede kaldı.</t>
        </is>
      </c>
      <c r="I176" s="6" t="inlineStr">
        <is>
          <t>Sunumun o kadar iyiydi ki karneyi açmalarına gerek kalmadı.</t>
        </is>
      </c>
      <c r="J176" s="6" t="inlineStr">
        <is>
          <t>İyi haberleri anlattın; karne yine de açıldı.</t>
        </is>
      </c>
      <c r="K176" s="6" t="inlineStr">
        <is>
          <t>İyi haber bulamadın. Sessizlik uzadı.</t>
        </is>
      </c>
      <c r="L176" s="6" t="inlineStr"/>
      <c r="M176" s="5" t="inlineStr"/>
      <c r="N176" s="5" t="inlineStr"/>
      <c r="O176" s="6" t="inlineStr"/>
      <c r="P176" s="6" t="inlineStr"/>
      <c r="Q176" s="5" t="inlineStr"/>
      <c r="R176" s="5" t="inlineStr"/>
      <c r="S176" s="5" t="inlineStr"/>
      <c r="T176" s="5" t="inlineStr"/>
      <c r="U176" s="5" t="inlineStr"/>
      <c r="V176" s="5" t="inlineStr"/>
      <c r="W176" s="5" t="inlineStr"/>
      <c r="X176" s="5" t="inlineStr"/>
      <c r="Y176" s="5" t="inlineStr"/>
      <c r="Z176" s="6" t="inlineStr"/>
    </row>
    <row r="177">
      <c r="A177" s="5" t="inlineStr">
        <is>
          <t>karne-gunu</t>
        </is>
      </c>
      <c r="B177" s="5" t="n">
        <v>3</v>
      </c>
      <c r="C177" s="6" t="inlineStr">
        <is>
          <t>İmzayı yarına ertele</t>
        </is>
      </c>
      <c r="D177" s="5" t="inlineStr">
        <is>
          <t>Kurnazlık</t>
        </is>
      </c>
      <c r="E177" s="5" t="inlineStr">
        <is>
          <t>Zor</t>
        </is>
      </c>
      <c r="F177" s="5" t="inlineStr"/>
      <c r="G177" s="6" t="inlineStr"/>
      <c r="H177" s="6" t="inlineStr">
        <is>
          <t>İmza bir gün ertelendi. Bu bir günü iyi kullandın.</t>
        </is>
      </c>
      <c r="I177" s="6" t="inlineStr">
        <is>
          <t>Karne tatil boyunca 'kayıp' kaldı ve ilk gün imzalı bulundu. Kimse nasıl olduğunu sormadı.</t>
        </is>
      </c>
      <c r="J177" s="6" t="inlineStr">
        <is>
          <t>Ertelemeye çalıştın; öğretmen aradı.</t>
        </is>
      </c>
      <c r="K177" s="6" t="inlineStr">
        <is>
          <t>Ertelemeye çalıştın; karne çantadan çıktı ve herkesin önünde açıldı.</t>
        </is>
      </c>
      <c r="L177" s="6" t="inlineStr"/>
      <c r="M177" s="5" t="inlineStr"/>
      <c r="N177" s="5" t="inlineStr"/>
      <c r="O177" s="6" t="inlineStr"/>
      <c r="P177" s="6" t="inlineStr"/>
      <c r="Q177" s="5" t="inlineStr"/>
      <c r="R177" s="5" t="inlineStr"/>
      <c r="S177" s="5" t="inlineStr"/>
      <c r="T177" s="5" t="inlineStr"/>
      <c r="U177" s="5" t="inlineStr"/>
      <c r="V177" s="5" t="inlineStr"/>
      <c r="W177" s="5" t="inlineStr"/>
      <c r="X177" s="5" t="inlineStr"/>
      <c r="Y177" s="5" t="inlineStr"/>
      <c r="Z177" s="6" t="inlineStr"/>
    </row>
    <row r="178">
      <c r="A178" s="5" t="inlineStr">
        <is>
          <t>karne-gunu</t>
        </is>
      </c>
      <c r="B178" s="5" t="n">
        <v>4</v>
      </c>
      <c r="C178" s="6" t="inlineStr">
        <is>
          <t>Olduğu gibi ver</t>
        </is>
      </c>
      <c r="D178" s="5" t="inlineStr"/>
      <c r="E178" s="5" t="inlineStr"/>
      <c r="F178" s="5" t="inlineStr">
        <is>
          <t>Vicdan +1</t>
        </is>
      </c>
      <c r="G178" s="6" t="inlineStr">
        <is>
          <t>Karne teslim edildi. Değerlendirme aile meclisinde.</t>
        </is>
      </c>
      <c r="H178" s="6" t="inlineStr"/>
      <c r="I178" s="6" t="inlineStr"/>
      <c r="J178" s="6" t="inlineStr"/>
      <c r="K178" s="6" t="inlineStr"/>
      <c r="L178" s="6" t="inlineStr"/>
      <c r="M178" s="5" t="inlineStr"/>
      <c r="N178" s="5" t="inlineStr"/>
      <c r="O178" s="6" t="inlineStr"/>
      <c r="P178" s="6" t="inlineStr"/>
      <c r="Q178" s="5" t="inlineStr"/>
      <c r="R178" s="5" t="inlineStr"/>
      <c r="S178" s="5" t="inlineStr"/>
      <c r="T178" s="5" t="inlineStr"/>
      <c r="U178" s="5" t="inlineStr"/>
      <c r="V178" s="5" t="inlineStr"/>
      <c r="W178" s="5" t="inlineStr"/>
      <c r="X178" s="5" t="inlineStr"/>
      <c r="Y178" s="5" t="inlineStr"/>
      <c r="Z178" s="6" t="inlineStr"/>
    </row>
    <row r="179">
      <c r="A179" s="5" t="inlineStr">
        <is>
          <t>b4-ilk-telefon</t>
        </is>
      </c>
      <c r="B179" s="5" t="n">
        <v>1</v>
      </c>
      <c r="C179" s="6" t="inlineStr">
        <is>
          <t>Kurallara uy</t>
        </is>
      </c>
      <c r="D179" s="5" t="inlineStr"/>
      <c r="E179" s="5" t="inlineStr"/>
      <c r="F179" s="5" t="inlineStr">
        <is>
          <t>Vicdan +2</t>
        </is>
      </c>
      <c r="G179" s="6" t="inlineStr">
        <is>
          <t>Kullanım koşullarını okumadan kabul ettin. Hayatının geri kalanı için iyi bir antrenman.</t>
        </is>
      </c>
      <c r="H179" s="6" t="inlineStr"/>
      <c r="I179" s="6" t="inlineStr"/>
      <c r="J179" s="6" t="inlineStr"/>
      <c r="K179" s="6" t="inlineStr"/>
      <c r="L179" s="6" t="inlineStr"/>
      <c r="M179" s="5" t="inlineStr"/>
      <c r="N179" s="5" t="inlineStr"/>
      <c r="O179" s="6" t="inlineStr"/>
      <c r="P179" s="6" t="inlineStr"/>
      <c r="Q179" s="5" t="inlineStr"/>
      <c r="R179" s="5" t="inlineStr"/>
      <c r="S179" s="5" t="inlineStr"/>
      <c r="T179" s="5" t="inlineStr"/>
      <c r="U179" s="5" t="inlineStr"/>
      <c r="V179" s="5" t="inlineStr"/>
      <c r="W179" s="5" t="inlineStr"/>
      <c r="X179" s="5" t="inlineStr"/>
      <c r="Y179" s="5" t="inlineStr"/>
      <c r="Z179" s="6" t="inlineStr"/>
    </row>
    <row r="180">
      <c r="A180" s="5" t="inlineStr">
        <is>
          <t>b4-ilk-telefon</t>
        </is>
      </c>
      <c r="B180" s="5" t="n">
        <v>2</v>
      </c>
      <c r="C180" s="6" t="inlineStr">
        <is>
          <t>Ekran süresini pazarlık et</t>
        </is>
      </c>
      <c r="D180" s="5" t="inlineStr">
        <is>
          <t>Çene</t>
        </is>
      </c>
      <c r="E180" s="5" t="inlineStr">
        <is>
          <t>Orta</t>
        </is>
      </c>
      <c r="F180" s="5" t="inlineStr"/>
      <c r="G180" s="6" t="inlineStr"/>
      <c r="H180" s="6" t="inlineStr">
        <is>
          <t>Günlük süre bir buçuk saate çıktı. Hafta sonu için ek protokol imzalandı.</t>
        </is>
      </c>
      <c r="I180" s="6" t="inlineStr">
        <is>
          <t>Hafta içi iki saat, hafta sonu serbest, bayramlarda genel af. Ailen metni okumadan onayladı.</t>
        </is>
      </c>
      <c r="J180" s="6" t="inlineStr">
        <is>
          <t>'Hafta sonu bakarız' denildi. Hafta sonu bakılmadı.</t>
        </is>
      </c>
      <c r="K180" s="6" t="inlineStr">
        <is>
          <t>Pazarlık uzadı; telefon 'soğuma süresi' adıyla bir haftalığına dolaba kaldırıldı. Dolap kilitli.</t>
        </is>
      </c>
      <c r="L180" s="6" t="inlineStr"/>
      <c r="M180" s="5" t="inlineStr"/>
      <c r="N180" s="5" t="inlineStr"/>
      <c r="O180" s="6" t="inlineStr"/>
      <c r="P180" s="6" t="inlineStr"/>
      <c r="Q180" s="5" t="inlineStr"/>
      <c r="R180" s="5" t="inlineStr"/>
      <c r="S180" s="5" t="inlineStr"/>
      <c r="T180" s="5" t="inlineStr"/>
      <c r="U180" s="5" t="inlineStr"/>
      <c r="V180" s="5" t="inlineStr"/>
      <c r="W180" s="5" t="inlineStr"/>
      <c r="X180" s="5" t="inlineStr"/>
      <c r="Y180" s="5" t="inlineStr"/>
      <c r="Z180" s="6" t="inlineStr"/>
    </row>
    <row r="181">
      <c r="A181" s="5" t="inlineStr">
        <is>
          <t>b4-ilk-telefon</t>
        </is>
      </c>
      <c r="B181" s="5" t="n">
        <v>3</v>
      </c>
      <c r="C181" s="6" t="inlineStr">
        <is>
          <t>Denetim şifresini çöz</t>
        </is>
      </c>
      <c r="D181" s="5" t="inlineStr">
        <is>
          <t>Kurnazlık</t>
        </is>
      </c>
      <c r="E181" s="5" t="inlineStr">
        <is>
          <t>Zor</t>
        </is>
      </c>
      <c r="F181" s="5" t="inlineStr"/>
      <c r="G181" s="6" t="inlineStr"/>
      <c r="H181" s="6" t="inlineStr">
        <is>
          <t>Denetim uygulaması hâlâ çalışıyor. Sadece artık senin için çalışıyor.</t>
        </is>
      </c>
      <c r="I181" s="6" t="inlineStr">
        <is>
          <t>Ailene her akşam 'Bugün 3 saat kitap okundu' raporu gidiyor. Ailen seninle gurur duyuyor. Evde kitap yok.</t>
        </is>
      </c>
      <c r="J181" s="6" t="inlineStr">
        <is>
          <t>Üç yanlış deneme. Telefon 'Bir yetişkinden izin iste' ekranında donup kaldı.</t>
        </is>
      </c>
      <c r="K181" s="6" t="inlineStr">
        <is>
          <t>Yanlış şifreyi o kadar çok denedin ki bütün aile cihazlarına 'Çocuğunuz denetimi aşmaya çalışıyor' bildirimi gitti. Babaanneninkine de.</t>
        </is>
      </c>
      <c r="L181" s="6" t="inlineStr"/>
      <c r="M181" s="5" t="inlineStr"/>
      <c r="N181" s="5" t="inlineStr"/>
      <c r="O181" s="6" t="inlineStr"/>
      <c r="P181" s="6" t="inlineStr"/>
      <c r="Q181" s="5" t="inlineStr"/>
      <c r="R181" s="5" t="inlineStr"/>
      <c r="S181" s="5" t="inlineStr">
        <is>
          <t>Kurnazlık</t>
        </is>
      </c>
      <c r="T181" s="5" t="inlineStr">
        <is>
          <t>Ekran Yerlisi</t>
        </is>
      </c>
      <c r="U181" s="5" t="inlineStr"/>
      <c r="V181" s="5" t="inlineStr"/>
      <c r="W181" s="5" t="inlineStr"/>
      <c r="X181" s="5" t="inlineStr"/>
      <c r="Y181" s="5" t="inlineStr"/>
      <c r="Z181" s="6" t="inlineStr"/>
    </row>
    <row r="182">
      <c r="A182" s="5" t="inlineStr">
        <is>
          <t>b4-ilk-telefon</t>
        </is>
      </c>
      <c r="B182" s="5" t="n">
        <v>4</v>
      </c>
      <c r="C182" s="6" t="inlineStr">
        <is>
          <t>Dedenin telefonunu da kur</t>
        </is>
      </c>
      <c r="D182" s="5" t="inlineStr">
        <is>
          <t>Akıl</t>
        </is>
      </c>
      <c r="E182" s="5" t="inlineStr">
        <is>
          <t>Kolay</t>
        </is>
      </c>
      <c r="F182" s="5" t="inlineStr"/>
      <c r="G182" s="6" t="inlineStr"/>
      <c r="H182" s="6" t="inlineStr">
        <is>
          <t>Dedenin telefonunu da kurdun. Ailenin yeni bilgi işlem müdürü sensin. Maaş yok.</t>
        </is>
      </c>
      <c r="I182" s="6" t="inlineStr">
        <is>
          <t>Dedeye yazıyı büyütmeyi öğrettin; dede sana ek harçlık tanımladı. Dijital dönüşüm kârlı çıktı.</t>
        </is>
      </c>
      <c r="J182" s="6" t="inlineStr">
        <is>
          <t>Dedenin telefonunda her şeyi ayarladın. Dede ertesi sabah hepsini sildi.</t>
        </is>
      </c>
      <c r="K182" s="6" t="inlineStr">
        <is>
          <t>Yanlış bir yere bastın; dede artık her mesajı sesli gönderiyor. Her birini. Sabah altıda.</t>
        </is>
      </c>
      <c r="L182" s="6" t="inlineStr"/>
      <c r="M182" s="5" t="inlineStr"/>
      <c r="N182" s="5" t="inlineStr"/>
      <c r="O182" s="6" t="inlineStr"/>
      <c r="P182" s="6" t="inlineStr"/>
      <c r="Q182" s="5" t="inlineStr">
        <is>
          <t>Teknoloji Merakı</t>
        </is>
      </c>
      <c r="R182" s="5" t="inlineStr"/>
      <c r="S182" s="5" t="inlineStr"/>
      <c r="T182" s="5" t="inlineStr"/>
      <c r="U182" s="5" t="inlineStr"/>
      <c r="V182" s="5" t="inlineStr"/>
      <c r="W182" s="5" t="inlineStr"/>
      <c r="X182" s="5" t="inlineStr"/>
      <c r="Y182" s="5" t="inlineStr"/>
      <c r="Z182" s="6" t="inlineStr"/>
    </row>
    <row r="183">
      <c r="A183" s="5" t="inlineStr">
        <is>
          <t>b4-aile-grubu</t>
        </is>
      </c>
      <c r="B183" s="5" t="n">
        <v>1</v>
      </c>
      <c r="C183" s="6" t="inlineStr">
        <is>
          <t>Grubu sessize al</t>
        </is>
      </c>
      <c r="D183" s="5" t="inlineStr"/>
      <c r="E183" s="5" t="inlineStr"/>
      <c r="F183" s="5" t="inlineStr">
        <is>
          <t>Kurnazlık +1</t>
        </is>
      </c>
      <c r="G183" s="6" t="inlineStr">
        <is>
          <t>Grubu bir yıllığına sessize aldın. Grup bunu fark etmedi. Sen de grubun ne dediğini.</t>
        </is>
      </c>
      <c r="H183" s="6" t="inlineStr"/>
      <c r="I183" s="6" t="inlineStr"/>
      <c r="J183" s="6" t="inlineStr"/>
      <c r="K183" s="6" t="inlineStr"/>
      <c r="L183" s="6" t="inlineStr"/>
      <c r="M183" s="5" t="inlineStr"/>
      <c r="N183" s="5" t="inlineStr"/>
      <c r="O183" s="6" t="inlineStr"/>
      <c r="P183" s="6" t="inlineStr"/>
      <c r="Q183" s="5" t="inlineStr"/>
      <c r="R183" s="5" t="inlineStr"/>
      <c r="S183" s="5" t="inlineStr"/>
      <c r="T183" s="5" t="inlineStr"/>
      <c r="U183" s="5" t="inlineStr"/>
      <c r="V183" s="5" t="inlineStr"/>
      <c r="W183" s="5" t="inlineStr"/>
      <c r="X183" s="5" t="inlineStr"/>
      <c r="Y183" s="5" t="inlineStr"/>
      <c r="Z183" s="6" t="inlineStr"/>
    </row>
    <row r="184">
      <c r="A184" s="5" t="inlineStr">
        <is>
          <t>b4-aile-grubu</t>
        </is>
      </c>
      <c r="B184" s="5" t="n">
        <v>2</v>
      </c>
      <c r="C184" s="6" t="inlineStr">
        <is>
          <t>Herkese günaydın yaz</t>
        </is>
      </c>
      <c r="D184" s="5" t="inlineStr">
        <is>
          <t>Çene</t>
        </is>
      </c>
      <c r="E184" s="5" t="inlineStr">
        <is>
          <t>Kolay</t>
        </is>
      </c>
      <c r="F184" s="5" t="inlineStr"/>
      <c r="G184" s="6" t="inlineStr"/>
      <c r="H184" s="6" t="inlineStr">
        <is>
          <t>Günaydın yazdın. Dokuz teyze kalp bıraktı. Aile içi onay oranın tavan.</t>
        </is>
      </c>
      <c r="I184" s="6" t="inlineStr">
        <is>
          <t>Günaydını çiçekli görselle attın; babaanne onu alıp başka bir aile grubuna iletti. Artık iki grupta ünlüsün.</t>
        </is>
      </c>
      <c r="J184" s="6" t="inlineStr">
        <is>
          <t>Günaydın yazdın. Saat 11.40'tı. Grup bunu not etti.</t>
        </is>
      </c>
      <c r="K184" s="6" t="inlineStr">
        <is>
          <t>Otomatik düzeltme 'Günaydın'ı 'Gün bitti' yaptı. Üç akraba seni ayrı ayrı aradı.</t>
        </is>
      </c>
      <c r="L184" s="6" t="inlineStr"/>
      <c r="M184" s="5" t="inlineStr"/>
      <c r="N184" s="5" t="inlineStr"/>
      <c r="O184" s="6" t="inlineStr"/>
      <c r="P184" s="6" t="inlineStr"/>
      <c r="Q184" s="5" t="inlineStr"/>
      <c r="R184" s="5" t="inlineStr"/>
      <c r="S184" s="5" t="inlineStr"/>
      <c r="T184" s="5" t="inlineStr"/>
      <c r="U184" s="5" t="inlineStr"/>
      <c r="V184" s="5" t="inlineStr"/>
      <c r="W184" s="5" t="inlineStr"/>
      <c r="X184" s="5" t="inlineStr"/>
      <c r="Y184" s="5" t="inlineStr"/>
      <c r="Z184" s="6" t="inlineStr"/>
    </row>
    <row r="185">
      <c r="A185" s="5" t="inlineStr">
        <is>
          <t>b4-aile-grubu</t>
        </is>
      </c>
      <c r="B185" s="5" t="n">
        <v>3</v>
      </c>
      <c r="C185" s="6" t="inlineStr">
        <is>
          <t>Grubun adını değiştir</t>
        </is>
      </c>
      <c r="D185" s="5" t="inlineStr">
        <is>
          <t>Pişkinlik</t>
        </is>
      </c>
      <c r="E185" s="5" t="inlineStr">
        <is>
          <t>Orta</t>
        </is>
      </c>
      <c r="F185" s="5" t="inlineStr"/>
      <c r="G185" s="6" t="inlineStr"/>
      <c r="H185" s="6" t="inlineStr">
        <is>
          <t>Grubun adı artık 'Aile Meclisi'. Kimse geri değiştiremiyor, çünkü kimse nasıl yapıldığını bilmiyor.</t>
        </is>
      </c>
      <c r="I185" s="6" t="inlineStr">
        <is>
          <t>Adı değiştirdin, kendini de yönetici yaptın. Aile içi yetki devri sessizce gerçekleşti.</t>
        </is>
      </c>
      <c r="J185" s="6" t="inlineStr">
        <is>
          <t>Halan on dakika içinde eski adı geri getirdi ve 'Bu kimin işi?' yazdı.</t>
        </is>
      </c>
      <c r="K185" s="6" t="inlineStr">
        <is>
          <t>Adı değiştirecekken gruptan çıktın. Aile bunu resmî bir tavır olarak kayda geçirdi.</t>
        </is>
      </c>
      <c r="L185" s="6" t="inlineStr"/>
      <c r="M185" s="5" t="inlineStr"/>
      <c r="N185" s="5" t="inlineStr"/>
      <c r="O185" s="6" t="inlineStr"/>
      <c r="P185" s="6" t="inlineStr"/>
      <c r="Q185" s="5" t="inlineStr"/>
      <c r="R185" s="5" t="inlineStr"/>
      <c r="S185" s="5" t="inlineStr"/>
      <c r="T185" s="5" t="inlineStr"/>
      <c r="U185" s="5" t="inlineStr"/>
      <c r="V185" s="5" t="inlineStr"/>
      <c r="W185" s="5" t="inlineStr"/>
      <c r="X185" s="5" t="inlineStr"/>
      <c r="Y185" s="5" t="inlineStr"/>
      <c r="Z185" s="6" t="inlineStr"/>
    </row>
    <row r="186">
      <c r="A186" s="5" t="inlineStr">
        <is>
          <t>b4-oyun-faturasi</t>
        </is>
      </c>
      <c r="B186" s="5" t="n">
        <v>1</v>
      </c>
      <c r="C186" s="6" t="inlineStr">
        <is>
          <t>Kılıçsız devam et</t>
        </is>
      </c>
      <c r="D186" s="5" t="inlineStr"/>
      <c r="E186" s="5" t="inlineStr"/>
      <c r="F186" s="5" t="inlineStr">
        <is>
          <t>Dayanıklılık +1</t>
        </is>
      </c>
      <c r="G186" s="6" t="inlineStr">
        <is>
          <t>Kılıçsız savaştın. Oyun seni 'ücretsiz oyuncu' olarak etiketledi. Toplum da ileride aynısını yapacak.</t>
        </is>
      </c>
      <c r="H186" s="6" t="inlineStr"/>
      <c r="I186" s="6" t="inlineStr"/>
      <c r="J186" s="6" t="inlineStr"/>
      <c r="K186" s="6" t="inlineStr"/>
      <c r="L186" s="6" t="inlineStr"/>
      <c r="M186" s="5" t="inlineStr"/>
      <c r="N186" s="5" t="inlineStr"/>
      <c r="O186" s="6" t="inlineStr"/>
      <c r="P186" s="6" t="inlineStr"/>
      <c r="Q186" s="5" t="inlineStr"/>
      <c r="R186" s="5" t="inlineStr"/>
      <c r="S186" s="5" t="inlineStr"/>
      <c r="T186" s="5" t="inlineStr"/>
      <c r="U186" s="5" t="inlineStr"/>
      <c r="V186" s="5" t="inlineStr"/>
      <c r="W186" s="5" t="inlineStr"/>
      <c r="X186" s="5" t="inlineStr"/>
      <c r="Y186" s="5" t="inlineStr"/>
      <c r="Z186" s="6" t="inlineStr"/>
    </row>
    <row r="187">
      <c r="A187" s="5" t="inlineStr">
        <is>
          <t>b4-oyun-faturasi</t>
        </is>
      </c>
      <c r="B187" s="5" t="n">
        <v>2</v>
      </c>
      <c r="C187" s="6" t="inlineStr">
        <is>
          <t>Ailenden izin iste</t>
        </is>
      </c>
      <c r="D187" s="5" t="inlineStr">
        <is>
          <t>Çene</t>
        </is>
      </c>
      <c r="E187" s="5" t="inlineStr">
        <is>
          <t>Orta</t>
        </is>
      </c>
      <c r="F187" s="5" t="inlineStr"/>
      <c r="G187" s="6" t="inlineStr"/>
      <c r="H187" s="6" t="inlineStr">
        <is>
          <t>'Tek seferlik' diye sunum yaptın. İzin çıktı.</t>
        </is>
      </c>
      <c r="I187" s="6" t="inlineStr">
        <is>
          <t>Kılıcın 'eğitim amaçlı' olduğunu anlattın. Kılıçla birlikte bir kalkan da onaylandı.</t>
        </is>
      </c>
      <c r="J187" s="6" t="inlineStr">
        <is>
          <t>'Gerçek bir kılıç mı?' diye sordu annen. Konu teknik açıklamada boğuldu.</t>
        </is>
      </c>
      <c r="K187" s="6" t="inlineStr">
        <is>
          <t>İzin istedin; annen hesap dökümünü açtı ve önceki üç 'küçük' alımı buldu. Sen de şaşırdın.</t>
        </is>
      </c>
      <c r="L187" s="6" t="inlineStr"/>
      <c r="M187" s="5" t="inlineStr"/>
      <c r="N187" s="5" t="inlineStr"/>
      <c r="O187" s="6" t="inlineStr"/>
      <c r="P187" s="6" t="inlineStr"/>
      <c r="Q187" s="5" t="inlineStr"/>
      <c r="R187" s="5" t="inlineStr"/>
      <c r="S187" s="5" t="inlineStr"/>
      <c r="T187" s="5" t="inlineStr"/>
      <c r="U187" s="5" t="inlineStr"/>
      <c r="V187" s="5" t="inlineStr"/>
      <c r="W187" s="5" t="inlineStr"/>
      <c r="X187" s="5" t="inlineStr"/>
      <c r="Y187" s="5" t="inlineStr"/>
      <c r="Z187" s="6" t="inlineStr"/>
    </row>
    <row r="188">
      <c r="A188" s="5" t="inlineStr">
        <is>
          <t>b4-oyun-faturasi</t>
        </is>
      </c>
      <c r="B188" s="5" t="n">
        <v>3</v>
      </c>
      <c r="C188" s="6" t="inlineStr">
        <is>
          <t>Harçlıktan öde</t>
        </is>
      </c>
      <c r="D188" s="5" t="inlineStr">
        <is>
          <t>Akıl</t>
        </is>
      </c>
      <c r="E188" s="5" t="inlineStr">
        <is>
          <t>Kolay</t>
        </is>
      </c>
      <c r="F188" s="5" t="inlineStr"/>
      <c r="G188" s="6" t="inlineStr"/>
      <c r="H188" s="6" t="inlineStr">
        <is>
          <t>Yastık altı fonundan ödedin. İlk dijital varlık yatırımın.</t>
        </is>
      </c>
      <c r="I188" s="6" t="inlineStr">
        <is>
          <t>Kılıcı aldın, bir hafta sonra oyun içi pazarda iki katına sattın. Yastık altı dijitalleşti.</t>
        </is>
      </c>
      <c r="J188" s="6" t="inlineStr">
        <is>
          <t>Kılıcı aldın. Ertesi gün güncellemeyle kılıçlar bedava oldu.</t>
        </is>
      </c>
      <c r="K188" s="6" t="inlineStr">
        <is>
          <t>'Otomatik yenile'yi işaretlemişsin. Kılıç her ay yeniden satın alınıyor. Hâlâ.</t>
        </is>
      </c>
      <c r="L188" s="6" t="inlineStr"/>
      <c r="M188" s="5" t="inlineStr"/>
      <c r="N188" s="5" t="inlineStr"/>
      <c r="O188" s="6" t="inlineStr"/>
      <c r="P188" s="6" t="inlineStr"/>
      <c r="Q188" s="5" t="inlineStr">
        <is>
          <t>Yastık Altı Ekonomisti</t>
        </is>
      </c>
      <c r="R188" s="5" t="inlineStr"/>
      <c r="S188" s="5" t="inlineStr"/>
      <c r="T188" s="5" t="inlineStr"/>
      <c r="U188" s="5" t="inlineStr"/>
      <c r="V188" s="5" t="inlineStr"/>
      <c r="W188" s="5" t="inlineStr"/>
      <c r="X188" s="5" t="inlineStr"/>
      <c r="Y188" s="5" t="inlineStr"/>
      <c r="Z188" s="6" t="inlineStr"/>
    </row>
    <row r="189">
      <c r="A189" s="5" t="inlineStr">
        <is>
          <t>b4-oyun-faturasi</t>
        </is>
      </c>
      <c r="B189" s="5" t="n">
        <v>4</v>
      </c>
      <c r="C189" s="6" t="inlineStr">
        <is>
          <t>Annen uyurken parmağını kullan</t>
        </is>
      </c>
      <c r="D189" s="5" t="inlineStr">
        <is>
          <t>Kurnazlık</t>
        </is>
      </c>
      <c r="E189" s="5" t="inlineStr">
        <is>
          <t>Zor</t>
        </is>
      </c>
      <c r="F189" s="5" t="inlineStr"/>
      <c r="G189" s="6" t="inlineStr"/>
      <c r="H189" s="6" t="inlineStr">
        <is>
          <t>Ödeme onaylandı. Annen uykusunda gülümsedi. Kılıç parlıyor.</t>
        </is>
      </c>
      <c r="I189" s="6" t="inlineStr">
        <is>
          <t>Kılıç, kalkan ve bir ejderha. Annen hâlâ uyuyor. Ekstrenin gelmesine yirmi sekiz gün var.</t>
        </is>
      </c>
      <c r="J189" s="6" t="inlineStr">
        <is>
          <t>Annen uyandı. Parmağı da.</t>
        </is>
      </c>
      <c r="K189" s="6" t="inlineStr">
        <is>
          <t>Parmağı sen bastırdın, 'Hepsini al'a da sen bastın. Ay sonu ekstresi aile meclisinde projeksiyonla sunuldu.</t>
        </is>
      </c>
      <c r="L189" s="6" t="inlineStr"/>
      <c r="M189" s="5" t="inlineStr"/>
      <c r="N189" s="5" t="inlineStr"/>
      <c r="O189" s="6" t="inlineStr"/>
      <c r="P189" s="6" t="inlineStr"/>
      <c r="Q189" s="5" t="inlineStr"/>
      <c r="R189" s="5" t="inlineStr"/>
      <c r="S189" s="5" t="inlineStr">
        <is>
          <t>Kurnazlık</t>
        </is>
      </c>
      <c r="T189" s="5" t="inlineStr"/>
      <c r="U189" s="5" t="inlineStr"/>
      <c r="V189" s="5" t="inlineStr"/>
      <c r="W189" s="5" t="inlineStr">
        <is>
          <t>oyun-faturasi</t>
        </is>
      </c>
      <c r="X189" s="5" t="inlineStr"/>
      <c r="Y189" s="5" t="inlineStr"/>
      <c r="Z189" s="6" t="inlineStr"/>
    </row>
    <row r="190">
      <c r="A190" s="5" t="inlineStr">
        <is>
          <t>b4-flut</t>
        </is>
      </c>
      <c r="B190" s="5" t="n">
        <v>1</v>
      </c>
      <c r="C190" s="6" t="inlineStr">
        <is>
          <t>Yalnızca derste çal</t>
        </is>
      </c>
      <c r="D190" s="5" t="inlineStr"/>
      <c r="E190" s="5" t="inlineStr"/>
      <c r="F190" s="5" t="inlineStr">
        <is>
          <t>Vicdan +1</t>
        </is>
      </c>
      <c r="G190" s="6" t="inlineStr">
        <is>
          <t>Flüt yalnızca derste çalındı. Evde ömür boyu müzikal bir ateşkes ilan edildi.</t>
        </is>
      </c>
      <c r="H190" s="6" t="inlineStr"/>
      <c r="I190" s="6" t="inlineStr"/>
      <c r="J190" s="6" t="inlineStr"/>
      <c r="K190" s="6" t="inlineStr"/>
      <c r="L190" s="6" t="inlineStr"/>
      <c r="M190" s="5" t="inlineStr"/>
      <c r="N190" s="5" t="inlineStr"/>
      <c r="O190" s="6" t="inlineStr"/>
      <c r="P190" s="6" t="inlineStr"/>
      <c r="Q190" s="5" t="inlineStr"/>
      <c r="R190" s="5" t="inlineStr"/>
      <c r="S190" s="5" t="inlineStr"/>
      <c r="T190" s="5" t="inlineStr"/>
      <c r="U190" s="5" t="inlineStr"/>
      <c r="V190" s="5" t="inlineStr"/>
      <c r="W190" s="5" t="inlineStr"/>
      <c r="X190" s="5" t="inlineStr"/>
      <c r="Y190" s="5" t="inlineStr"/>
      <c r="Z190" s="6" t="inlineStr"/>
    </row>
    <row r="191">
      <c r="A191" s="5" t="inlineStr">
        <is>
          <t>b4-flut</t>
        </is>
      </c>
      <c r="B191" s="5" t="n">
        <v>2</v>
      </c>
      <c r="C191" s="6" t="inlineStr">
        <is>
          <t>Her akşam çalış</t>
        </is>
      </c>
      <c r="D191" s="5" t="inlineStr">
        <is>
          <t>Dayanıklılık</t>
        </is>
      </c>
      <c r="E191" s="5" t="inlineStr">
        <is>
          <t>Orta</t>
        </is>
      </c>
      <c r="F191" s="5" t="inlineStr"/>
      <c r="G191" s="6" t="inlineStr"/>
      <c r="H191" s="6" t="inlineStr">
        <is>
          <t>Üç ayın sonunda bir şarkıyı baştan sona çalabiliyorsun. Komşular da biliyor. Hepsi.</t>
        </is>
      </c>
      <c r="I191" s="6" t="inlineStr">
        <is>
          <t>Okul konserinde solo verdin. Annen ağladı. Sevinçten, büyük ihtimalle.</t>
        </is>
      </c>
      <c r="J191" s="6" t="inlineStr">
        <is>
          <t>Her akşam çaldın; apartman grubunda 'Kaynağı belirsiz ıslık' konulu bir başlık açıldı.</t>
        </is>
      </c>
      <c r="K191" s="6" t="inlineStr">
        <is>
          <t>Her akşam çaldın. Kedi evi terk etmeyi düşündü. Komşu kapıya kulak tıkacı bıraktı. İmzasız.</t>
        </is>
      </c>
      <c r="L191" s="6" t="inlineStr"/>
      <c r="M191" s="5" t="inlineStr"/>
      <c r="N191" s="5" t="inlineStr"/>
      <c r="O191" s="6" t="inlineStr"/>
      <c r="P191" s="6" t="inlineStr"/>
      <c r="Q191" s="5" t="inlineStr"/>
      <c r="R191" s="5" t="inlineStr"/>
      <c r="S191" s="5" t="inlineStr"/>
      <c r="T191" s="5" t="inlineStr"/>
      <c r="U191" s="5" t="inlineStr"/>
      <c r="V191" s="5" t="inlineStr"/>
      <c r="W191" s="5" t="inlineStr"/>
      <c r="X191" s="5" t="inlineStr"/>
      <c r="Y191" s="5" t="inlineStr"/>
      <c r="Z191" s="6" t="inlineStr"/>
    </row>
    <row r="192">
      <c r="A192" s="5" t="inlineStr">
        <is>
          <t>b4-flut</t>
        </is>
      </c>
      <c r="B192" s="5" t="n">
        <v>3</v>
      </c>
      <c r="C192" s="6" t="inlineStr">
        <is>
          <t>Flütü 'kaybet'</t>
        </is>
      </c>
      <c r="D192" s="5" t="inlineStr">
        <is>
          <t>Kurnazlık</t>
        </is>
      </c>
      <c r="E192" s="5" t="inlineStr">
        <is>
          <t>Orta</t>
        </is>
      </c>
      <c r="F192" s="5" t="inlineStr"/>
      <c r="G192" s="6" t="inlineStr"/>
      <c r="H192" s="6" t="inlineStr">
        <is>
          <t>Flüt kayboldu. Öğretmen sana ritim tahtası verdi. Daha kötü müydü, emin değilsin.</t>
        </is>
      </c>
      <c r="I192" s="6" t="inlineStr">
        <is>
          <t>Flüt kayboldu, yenisi alınamadı, sen derste nota yazımından tam not aldın. Kayıp, fırsata dönüştü.</t>
        </is>
      </c>
      <c r="J192" s="6" t="inlineStr">
        <is>
          <t>Flüt kayboldu. Babaanne yenisini aldı. İki flütün var.</t>
        </is>
      </c>
      <c r="K192" s="6" t="inlineStr">
        <is>
          <t>Flütü kaybettin; babaanne kanepenin altından buldu ve öğretmene 'Bunu mu arıyordunuz?' diye getirdi.</t>
        </is>
      </c>
      <c r="L192" s="6" t="inlineStr"/>
      <c r="M192" s="5" t="inlineStr"/>
      <c r="N192" s="5" t="inlineStr"/>
      <c r="O192" s="6" t="inlineStr"/>
      <c r="P192" s="6" t="inlineStr"/>
      <c r="Q192" s="5" t="inlineStr"/>
      <c r="R192" s="5" t="inlineStr"/>
      <c r="S192" s="5" t="inlineStr"/>
      <c r="T192" s="5" t="inlineStr"/>
      <c r="U192" s="5" t="inlineStr"/>
      <c r="V192" s="5" t="inlineStr"/>
      <c r="W192" s="5" t="inlineStr">
        <is>
          <t>yalanci</t>
        </is>
      </c>
      <c r="X192" s="5" t="inlineStr"/>
      <c r="Y192" s="5" t="inlineStr"/>
      <c r="Z192" s="6" t="inlineStr"/>
    </row>
    <row r="193">
      <c r="A193" s="5" t="inlineStr">
        <is>
          <t>b4-flut</t>
        </is>
      </c>
      <c r="B193" s="5" t="n">
        <v>4</v>
      </c>
      <c r="C193" s="6" t="inlineStr">
        <is>
          <t>Okul gösterisinde solo iste</t>
        </is>
      </c>
      <c r="D193" s="5" t="inlineStr">
        <is>
          <t>Pişkinlik</t>
        </is>
      </c>
      <c r="E193" s="5" t="inlineStr">
        <is>
          <t>Zor</t>
        </is>
      </c>
      <c r="F193" s="5" t="inlineStr"/>
      <c r="G193" s="6" t="inlineStr"/>
      <c r="H193" s="6" t="inlineStr">
        <is>
          <t>Solo verildi. Sahnede üç nota, üç alkış. Oran bire bir.</t>
        </is>
      </c>
      <c r="I193" s="6" t="inlineStr">
        <is>
          <t>Solon o kadar iyi geçti ki okulun bütün törenleri artık seninle açılıyor.</t>
        </is>
      </c>
      <c r="J193" s="6" t="inlineStr">
        <is>
          <t>Solo istedin; öğretmen seni 'ikinci flüt' yaptı. İkinci flüt yok. Sensin.</t>
        </is>
      </c>
      <c r="K193" s="6" t="inlineStr">
        <is>
          <t>Solonun ortasında flütten ıslık yerine hıçkırık sesi çıktı. Salon güldü, sonra alkışladı. Lakap: 'Hıçkırık'.</t>
        </is>
      </c>
      <c r="L193" s="6" t="inlineStr"/>
      <c r="M193" s="5" t="inlineStr"/>
      <c r="N193" s="5" t="inlineStr"/>
      <c r="O193" s="6" t="inlineStr"/>
      <c r="P193" s="6" t="inlineStr"/>
      <c r="Q193" s="5" t="inlineStr">
        <is>
          <t>Sahne Sever</t>
        </is>
      </c>
      <c r="R193" s="5" t="inlineStr"/>
      <c r="S193" s="5" t="inlineStr"/>
      <c r="T193" s="5" t="inlineStr"/>
      <c r="U193" s="5" t="inlineStr"/>
      <c r="V193" s="5" t="inlineStr"/>
      <c r="W193" s="5" t="inlineStr">
        <is>
          <t>lakapli</t>
        </is>
      </c>
      <c r="X193" s="5" t="inlineStr"/>
      <c r="Y193" s="5" t="inlineStr"/>
      <c r="Z193" s="6" t="inlineStr"/>
    </row>
    <row r="194">
      <c r="A194" s="5" t="inlineStr">
        <is>
          <t>b4-sinif-grubu</t>
        </is>
      </c>
      <c r="B194" s="5" t="n">
        <v>1</v>
      </c>
      <c r="C194" s="6" t="inlineStr">
        <is>
          <t>Hiçbir şey yazma</t>
        </is>
      </c>
      <c r="D194" s="5" t="inlineStr"/>
      <c r="E194" s="5" t="inlineStr"/>
      <c r="F194" s="5" t="inlineStr">
        <is>
          <t>Sosyal Radar +1</t>
        </is>
      </c>
      <c r="G194" s="6" t="inlineStr">
        <is>
          <t>Okudun, yazmadın. Grubun en güvenilir üyesi oldun. Güvenilirlik, sessizliğin kurumsal adıdır.</t>
        </is>
      </c>
      <c r="H194" s="6" t="inlineStr"/>
      <c r="I194" s="6" t="inlineStr"/>
      <c r="J194" s="6" t="inlineStr"/>
      <c r="K194" s="6" t="inlineStr"/>
      <c r="L194" s="6" t="inlineStr"/>
      <c r="M194" s="5" t="inlineStr"/>
      <c r="N194" s="5" t="inlineStr"/>
      <c r="O194" s="6" t="inlineStr"/>
      <c r="P194" s="6" t="inlineStr"/>
      <c r="Q194" s="5" t="inlineStr"/>
      <c r="R194" s="5" t="inlineStr"/>
      <c r="S194" s="5" t="inlineStr"/>
      <c r="T194" s="5" t="inlineStr"/>
      <c r="U194" s="5" t="inlineStr"/>
      <c r="V194" s="5" t="inlineStr"/>
      <c r="W194" s="5" t="inlineStr"/>
      <c r="X194" s="5" t="inlineStr"/>
      <c r="Y194" s="5" t="inlineStr"/>
      <c r="Z194" s="6" t="inlineStr"/>
    </row>
    <row r="195">
      <c r="A195" s="5" t="inlineStr">
        <is>
          <t>b4-sinif-grubu</t>
        </is>
      </c>
      <c r="B195" s="5" t="n">
        <v>2</v>
      </c>
      <c r="C195" s="6" t="inlineStr">
        <is>
          <t>Mesajları süz</t>
        </is>
      </c>
      <c r="D195" s="5" t="inlineStr">
        <is>
          <t>Sosyal Radar</t>
        </is>
      </c>
      <c r="E195" s="5" t="inlineStr">
        <is>
          <t>Zor</t>
        </is>
      </c>
      <c r="F195" s="5" t="inlineStr"/>
      <c r="G195" s="6" t="inlineStr"/>
      <c r="H195" s="6" t="inlineStr">
        <is>
          <t>Gönderdiğin her şey işe yaradı, sildiğin her şey silinmeyi hak etti. Grup seni yönetici sanıyor.</t>
        </is>
      </c>
      <c r="I195" s="6" t="inlineStr">
        <is>
          <t>Gecenin tek faydalı mesajlarını sen attın. Öğretmen ertesi gün grubu 'örnek iletişim' diye sınıfa okuttu.</t>
        </is>
      </c>
      <c r="J195" s="6" t="inlineStr">
        <is>
          <t>Doğru mesajları gönderdin, bir tane yanlışı da. Hangisi olduğunu herkes biliyor.</t>
        </is>
      </c>
      <c r="K195" s="6" t="inlineStr">
        <is>
          <t>Öğretmenin hırkası hakkındaki mesaj gitti. Ertesi gün öğretmen o hırkayla derse girdi ve sadece sana baktı.</t>
        </is>
      </c>
      <c r="L195" s="6" t="inlineStr">
        <is>
          <t>Çoğunu doğru ayırdın. Bir mesaj 'Bu mesaj silindi' olarak kaldı; en çok o konuşuldu.</t>
        </is>
      </c>
      <c r="M195" s="5" t="inlineStr">
        <is>
          <t>swipe</t>
        </is>
      </c>
      <c r="N195" s="5" t="inlineStr">
        <is>
          <t>Gönder ya da Sil</t>
        </is>
      </c>
      <c r="O195" s="6" t="inlineStr">
        <is>
          <t>Kartları hızla ayır: işe yarayanı gönder, pişman olacağını sil.</t>
        </is>
      </c>
      <c r="P195" s="6" t="inlineStr">
        <is>
          <t>{"left": "Sil", "right": "Gönder", "items": [{"t": "Yarın sınav var mı?", "right": true}, {"t": "Öğretmen yine aynı hırkayı giymiş", "right": false}, {"t": "Ödev sayfa kaç?", "right": true}, {"t": "Bence arka sıradaki, ön sıradakinden hoşlanıyor", "right": false}, {"t": "Doğum günün kutlu olsun!", "right": true}, {"t": "Bu grupta öğretmenin kızı yok, değil mi?", "right": false}, {"t": "Beden eğitimi kıyafeti lazım mı?", "right": true}, {"t": "Sesli mesaj (4 dakika, ağlıyorsun)", "right": false}]}</t>
        </is>
      </c>
      <c r="Q195" s="5" t="inlineStr"/>
      <c r="R195" s="5" t="inlineStr"/>
      <c r="S195" s="5" t="inlineStr"/>
      <c r="T195" s="5" t="inlineStr">
        <is>
          <t>Grup Diplomatı</t>
        </is>
      </c>
      <c r="U195" s="5" t="inlineStr"/>
      <c r="V195" s="5" t="inlineStr"/>
      <c r="W195" s="5" t="inlineStr"/>
      <c r="X195" s="5" t="inlineStr"/>
      <c r="Y195" s="5" t="inlineStr"/>
      <c r="Z195" s="6" t="inlineStr"/>
    </row>
    <row r="196">
      <c r="A196" s="5" t="inlineStr">
        <is>
          <t>b4-sinif-grubu</t>
        </is>
      </c>
      <c r="B196" s="5" t="n">
        <v>3</v>
      </c>
      <c r="C196" s="6" t="inlineStr">
        <is>
          <t>Dram başlat</t>
        </is>
      </c>
      <c r="D196" s="5" t="inlineStr">
        <is>
          <t>Pişkinlik</t>
        </is>
      </c>
      <c r="E196" s="5" t="inlineStr">
        <is>
          <t>Orta</t>
        </is>
      </c>
      <c r="F196" s="5" t="inlineStr"/>
      <c r="G196" s="6" t="inlineStr"/>
      <c r="H196" s="6" t="inlineStr">
        <is>
          <t>'Burada konuşulanlar dışarı taşınıyor' yazdın. Grup iki saat boyunca kendini denetledi.</t>
        </is>
      </c>
      <c r="I196" s="6" t="inlineStr">
        <is>
          <t>Taraflar oluştu, sen arabulucu ilan edildin. Kriz yönetiminde erken deneyim.</t>
        </is>
      </c>
      <c r="J196" s="6" t="inlineStr">
        <is>
          <t>Dram başlattın; kimse katılmadı. Mesajın okundu ve orada öylece kaldı.</t>
        </is>
      </c>
      <c r="K196" s="6" t="inlineStr">
        <is>
          <t>Bütün grup sana döndü. Ertesi gün 'Asıl Sınıf Grubu' diye yeni bir grup kuruldu. Sen yoksun.</t>
        </is>
      </c>
      <c r="L196" s="6" t="inlineStr"/>
      <c r="M196" s="5" t="inlineStr"/>
      <c r="N196" s="5" t="inlineStr"/>
      <c r="O196" s="6" t="inlineStr"/>
      <c r="P196" s="6" t="inlineStr"/>
      <c r="Q196" s="5" t="inlineStr"/>
      <c r="R196" s="5" t="inlineStr"/>
      <c r="S196" s="5" t="inlineStr"/>
      <c r="T196" s="5" t="inlineStr"/>
      <c r="U196" s="5" t="inlineStr"/>
      <c r="V196" s="5" t="inlineStr"/>
      <c r="W196" s="5" t="inlineStr"/>
      <c r="X196" s="5" t="inlineStr"/>
      <c r="Y196" s="5" t="inlineStr"/>
      <c r="Z196" s="6" t="inlineStr"/>
    </row>
    <row r="197">
      <c r="A197" s="5" t="inlineStr">
        <is>
          <t>b4-sinif-grubu</t>
        </is>
      </c>
      <c r="B197" s="5" t="n">
        <v>4</v>
      </c>
      <c r="C197" s="6" t="inlineStr">
        <is>
          <t>Öğretmenin kızını özelden uyar</t>
        </is>
      </c>
      <c r="D197" s="5" t="inlineStr">
        <is>
          <t>Sosyal Radar</t>
        </is>
      </c>
      <c r="E197" s="5" t="inlineStr">
        <is>
          <t>Kolay</t>
        </is>
      </c>
      <c r="F197" s="5" t="inlineStr"/>
      <c r="G197" s="6" t="inlineStr"/>
      <c r="H197" s="6" t="inlineStr">
        <is>
          <t>Özelden 'Bu grubu annene gösterme lütfen' yazdın. Anlaşma sağlandı.</t>
        </is>
      </c>
      <c r="I197" s="6" t="inlineStr">
        <is>
          <t>Gizli bir ateşkes imzaladınız. Karşılığında ödev defterine erişim kazandın.</t>
        </is>
      </c>
      <c r="J197" s="6" t="inlineStr">
        <is>
          <t>Uyardın; o da ekran görüntüsünü annesine 'Bak, uyardılar' diye attı.</t>
        </is>
      </c>
      <c r="K197" s="6" t="inlineStr">
        <is>
          <t>Özelden yazacaktın, gruba yazdın: 'Öğretmenin kızı bu grupta mı?' Otuz sekiz kişi okudu, bir kişi annesine iletti.</t>
        </is>
      </c>
      <c r="L197" s="6" t="inlineStr"/>
      <c r="M197" s="5" t="inlineStr"/>
      <c r="N197" s="5" t="inlineStr"/>
      <c r="O197" s="6" t="inlineStr"/>
      <c r="P197" s="6" t="inlineStr"/>
      <c r="Q197" s="5" t="inlineStr"/>
      <c r="R197" s="5" t="inlineStr"/>
      <c r="S197" s="5" t="inlineStr">
        <is>
          <t>Sosyal Radar</t>
        </is>
      </c>
      <c r="T197" s="5" t="inlineStr"/>
      <c r="U197" s="5" t="inlineStr"/>
      <c r="V197" s="5" t="inlineStr"/>
      <c r="W197" s="5" t="inlineStr"/>
      <c r="X197" s="5" t="inlineStr"/>
      <c r="Y197" s="5" t="inlineStr"/>
      <c r="Z197" s="6" t="inlineStr"/>
    </row>
    <row r="198">
      <c r="A198" s="5" t="inlineStr">
        <is>
          <t>b4-kisa-video</t>
        </is>
      </c>
      <c r="B198" s="5" t="n">
        <v>1</v>
      </c>
      <c r="C198" s="6" t="inlineStr">
        <is>
          <t>İzle, beğen, geç</t>
        </is>
      </c>
      <c r="D198" s="5" t="inlineStr"/>
      <c r="E198" s="5" t="inlineStr"/>
      <c r="F198" s="5" t="inlineStr">
        <is>
          <t>Akıl +1</t>
        </is>
      </c>
      <c r="G198" s="6" t="inlineStr">
        <is>
          <t>Üç saat video izledin. Hiçbirini hatırlamıyorsun. Çağın ruhunu yakaladın.</t>
        </is>
      </c>
      <c r="H198" s="6" t="inlineStr"/>
      <c r="I198" s="6" t="inlineStr"/>
      <c r="J198" s="6" t="inlineStr"/>
      <c r="K198" s="6" t="inlineStr"/>
      <c r="L198" s="6" t="inlineStr"/>
      <c r="M198" s="5" t="inlineStr"/>
      <c r="N198" s="5" t="inlineStr"/>
      <c r="O198" s="6" t="inlineStr"/>
      <c r="P198" s="6" t="inlineStr"/>
      <c r="Q198" s="5" t="inlineStr"/>
      <c r="R198" s="5" t="inlineStr"/>
      <c r="S198" s="5" t="inlineStr"/>
      <c r="T198" s="5" t="inlineStr"/>
      <c r="U198" s="5" t="inlineStr"/>
      <c r="V198" s="5" t="inlineStr"/>
      <c r="W198" s="5" t="inlineStr"/>
      <c r="X198" s="5" t="inlineStr"/>
      <c r="Y198" s="5" t="inlineStr"/>
      <c r="Z198" s="6" t="inlineStr"/>
    </row>
    <row r="199">
      <c r="A199" s="5" t="inlineStr">
        <is>
          <t>b4-kisa-video</t>
        </is>
      </c>
      <c r="B199" s="5" t="n">
        <v>2</v>
      </c>
      <c r="C199" s="6" t="inlineStr">
        <is>
          <t>Dansı çek</t>
        </is>
      </c>
      <c r="D199" s="5" t="inlineStr">
        <is>
          <t>Pişkinlik</t>
        </is>
      </c>
      <c r="E199" s="5" t="inlineStr">
        <is>
          <t>Orta</t>
        </is>
      </c>
      <c r="F199" s="5" t="inlineStr"/>
      <c r="G199" s="6" t="inlineStr"/>
      <c r="H199" s="6" t="inlineStr">
        <is>
          <t>Video 400 kez izlendi. 380'i annen.</t>
        </is>
      </c>
      <c r="I199" s="6" t="inlineStr">
        <is>
          <t>Video başka bir şehre ulaştı; orada bir çocuk seni taklit etti. Artık bir trendin var.</t>
        </is>
      </c>
      <c r="J199" s="6" t="inlineStr">
        <is>
          <t>Dansın ortasında babaannen kadraja girdi, elinde çay. Video onun videosu oldu.</t>
        </is>
      </c>
      <c r="K199" s="6" t="inlineStr">
        <is>
          <t>'Yalnızca ben' diye paylaştığını sandın. 'Herkes' diye paylaşmışsın. Okul, dansı teneffüste sana geri yaptı. Yeni adın: 'Dans'.</t>
        </is>
      </c>
      <c r="L199" s="6" t="inlineStr"/>
      <c r="M199" s="5" t="inlineStr"/>
      <c r="N199" s="5" t="inlineStr"/>
      <c r="O199" s="6" t="inlineStr"/>
      <c r="P199" s="6" t="inlineStr"/>
      <c r="Q199" s="5" t="inlineStr"/>
      <c r="R199" s="5" t="inlineStr"/>
      <c r="S199" s="5" t="inlineStr"/>
      <c r="T199" s="5" t="inlineStr"/>
      <c r="U199" s="5" t="inlineStr"/>
      <c r="V199" s="5" t="inlineStr"/>
      <c r="W199" s="5" t="inlineStr">
        <is>
          <t>lakapli</t>
        </is>
      </c>
      <c r="X199" s="5" t="inlineStr"/>
      <c r="Y199" s="5" t="inlineStr"/>
      <c r="Z199" s="6" t="inlineStr"/>
    </row>
    <row r="200">
      <c r="A200" s="5" t="inlineStr">
        <is>
          <t>b4-kisa-video</t>
        </is>
      </c>
      <c r="B200" s="5" t="n">
        <v>3</v>
      </c>
      <c r="C200" s="6" t="inlineStr">
        <is>
          <t>Trendin parodisini çek</t>
        </is>
      </c>
      <c r="D200" s="5" t="inlineStr">
        <is>
          <t>Kurnazlık</t>
        </is>
      </c>
      <c r="E200" s="5" t="inlineStr">
        <is>
          <t>Orta</t>
        </is>
      </c>
      <c r="F200" s="5" t="inlineStr"/>
      <c r="G200" s="6" t="inlineStr"/>
      <c r="H200" s="6" t="inlineStr">
        <is>
          <t>Dansı kravatla, rapor sunar gibi yaptın. Yorumlar: 'Bu çocuk büyüyünce müdür olur.'</t>
        </is>
      </c>
      <c r="I200" s="6" t="inlineStr">
        <is>
          <t>Parodin asıl trendden çok izlendi. Trendi başlatan çocuk sana özelden 'Neden?' yazdı.</t>
        </is>
      </c>
      <c r="J200" s="6" t="inlineStr">
        <is>
          <t>Parodi anlaşılmadı. Yorumlar: 'Dans güzel ama biraz sert.'</t>
        </is>
      </c>
      <c r="K200" s="6" t="inlineStr">
        <is>
          <t>Parodinin parodisi yapıldı, onun da parodisi. Zincirin en altında, en az izlenen sensin.</t>
        </is>
      </c>
      <c r="L200" s="6" t="inlineStr"/>
      <c r="M200" s="5" t="inlineStr"/>
      <c r="N200" s="5" t="inlineStr"/>
      <c r="O200" s="6" t="inlineStr"/>
      <c r="P200" s="6" t="inlineStr"/>
      <c r="Q200" s="5" t="inlineStr"/>
      <c r="R200" s="5" t="inlineStr"/>
      <c r="S200" s="5" t="inlineStr"/>
      <c r="T200" s="5" t="inlineStr"/>
      <c r="U200" s="5" t="inlineStr"/>
      <c r="V200" s="5" t="inlineStr"/>
      <c r="W200" s="5" t="inlineStr"/>
      <c r="X200" s="5" t="inlineStr"/>
      <c r="Y200" s="5" t="inlineStr"/>
      <c r="Z200" s="6" t="inlineStr"/>
    </row>
    <row r="201">
      <c r="A201" s="5" t="inlineStr">
        <is>
          <t>b4-kisa-video</t>
        </is>
      </c>
      <c r="B201" s="5" t="n">
        <v>4</v>
      </c>
      <c r="C201" s="6" t="inlineStr">
        <is>
          <t>Babaanneyi de çek</t>
        </is>
      </c>
      <c r="D201" s="5" t="inlineStr">
        <is>
          <t>Çene</t>
        </is>
      </c>
      <c r="E201" s="5" t="inlineStr">
        <is>
          <t>Kolay</t>
        </is>
      </c>
      <c r="F201" s="5" t="inlineStr"/>
      <c r="G201" s="6" t="inlineStr"/>
      <c r="H201" s="6" t="inlineStr">
        <is>
          <t>Babaanneye dansı öğrettin. Video ondan çok izlendi; sen menajer oldun.</t>
        </is>
      </c>
      <c r="I201" s="6" t="inlineStr">
        <is>
          <t>Babaannenin videosu bütün aile gruplarında dolaştı. Babaannenin artık hayranları var, senin yüzde onun.</t>
        </is>
      </c>
      <c r="J201" s="6" t="inlineStr">
        <is>
          <t>Babaanne adımları öğrendi ama çekime girmedi. 'Ben bunu akşam dizisinde gördüm' dedi, konu kapandı.</t>
        </is>
      </c>
      <c r="K201" s="6" t="inlineStr">
        <is>
          <t>Babaanne dansı kusursuz yaptı, sen arkada yere düştün. Video o düşüşle ünlendi.</t>
        </is>
      </c>
      <c r="L201" s="6" t="inlineStr"/>
      <c r="M201" s="5" t="inlineStr"/>
      <c r="N201" s="5" t="inlineStr"/>
      <c r="O201" s="6" t="inlineStr"/>
      <c r="P201" s="6" t="inlineStr"/>
      <c r="Q201" s="5" t="inlineStr">
        <is>
          <t>Sahne Sever</t>
        </is>
      </c>
      <c r="R201" s="5" t="inlineStr"/>
      <c r="S201" s="5" t="inlineStr"/>
      <c r="T201" s="5" t="inlineStr"/>
      <c r="U201" s="5" t="inlineStr"/>
      <c r="V201" s="5" t="inlineStr"/>
      <c r="W201" s="5" t="inlineStr"/>
      <c r="X201" s="5" t="inlineStr"/>
      <c r="Y201" s="5" t="inlineStr"/>
      <c r="Z201" s="6" t="inlineStr"/>
    </row>
    <row r="202">
      <c r="A202" s="5" t="inlineStr">
        <is>
          <t>b4-kuzen-kiyaslama</t>
        </is>
      </c>
      <c r="B202" s="5" t="n">
        <v>1</v>
      </c>
      <c r="C202" s="6" t="inlineStr">
        <is>
          <t>Kuzenini tebrik et</t>
        </is>
      </c>
      <c r="D202" s="5" t="inlineStr"/>
      <c r="E202" s="5" t="inlineStr"/>
      <c r="F202" s="5" t="inlineStr">
        <is>
          <t>Vicdan +1</t>
        </is>
      </c>
      <c r="G202" s="6" t="inlineStr">
        <is>
          <t>Kuzenini tebrik ettin. Kuzen şaşırdı; bunu ona ilk söyleyen aile üyesi sendin.</t>
        </is>
      </c>
      <c r="H202" s="6" t="inlineStr"/>
      <c r="I202" s="6" t="inlineStr"/>
      <c r="J202" s="6" t="inlineStr"/>
      <c r="K202" s="6" t="inlineStr"/>
      <c r="L202" s="6" t="inlineStr"/>
      <c r="M202" s="5" t="inlineStr"/>
      <c r="N202" s="5" t="inlineStr"/>
      <c r="O202" s="6" t="inlineStr"/>
      <c r="P202" s="6" t="inlineStr"/>
      <c r="Q202" s="5" t="inlineStr"/>
      <c r="R202" s="5" t="inlineStr"/>
      <c r="S202" s="5" t="inlineStr"/>
      <c r="T202" s="5" t="inlineStr"/>
      <c r="U202" s="5" t="inlineStr"/>
      <c r="V202" s="5" t="inlineStr"/>
      <c r="W202" s="5" t="inlineStr"/>
      <c r="X202" s="5" t="inlineStr"/>
      <c r="Y202" s="5" t="inlineStr"/>
      <c r="Z202" s="6" t="inlineStr"/>
    </row>
    <row r="203">
      <c r="A203" s="5" t="inlineStr">
        <is>
          <t>b4-kuzen-kiyaslama</t>
        </is>
      </c>
      <c r="B203" s="5" t="n">
        <v>2</v>
      </c>
      <c r="C203" s="6" t="inlineStr">
        <is>
          <t>Karşı hamle yap</t>
        </is>
      </c>
      <c r="D203" s="5" t="inlineStr">
        <is>
          <t>Çene</t>
        </is>
      </c>
      <c r="E203" s="5" t="inlineStr">
        <is>
          <t>Orta</t>
        </is>
      </c>
      <c r="F203" s="5" t="inlineStr"/>
      <c r="G203" s="6" t="inlineStr"/>
      <c r="H203" s="6" t="inlineStr">
        <is>
          <t>'Ben de bilim fuarına hazırlanıyorum' dedin. Sofranın ekseni sana döndü.</t>
        </is>
      </c>
      <c r="I203" s="6" t="inlineStr">
        <is>
          <t>Başarılarını öyle sundun ki teyzen konuyu değiştirdi ve 'Çay isteyen?' diye kalktı.</t>
        </is>
      </c>
      <c r="J203" s="6" t="inlineStr">
        <is>
          <t>Başarılarını saydın. Bitince teyzen 'Ha, bir de yüzmede ikinci oldu' dedi.</t>
        </is>
      </c>
      <c r="K203" s="6" t="inlineStr">
        <is>
          <t>Karşı hamle olarak piyano çaldığını söyledin. Salonda piyano vardı.</t>
        </is>
      </c>
      <c r="L203" s="6" t="inlineStr"/>
      <c r="M203" s="5" t="inlineStr"/>
      <c r="N203" s="5" t="inlineStr"/>
      <c r="O203" s="6" t="inlineStr"/>
      <c r="P203" s="6" t="inlineStr"/>
      <c r="Q203" s="5" t="inlineStr"/>
      <c r="R203" s="5" t="inlineStr"/>
      <c r="S203" s="5" t="inlineStr"/>
      <c r="T203" s="5" t="inlineStr"/>
      <c r="U203" s="5" t="inlineStr"/>
      <c r="V203" s="5" t="inlineStr"/>
      <c r="W203" s="5" t="inlineStr"/>
      <c r="X203" s="5" t="inlineStr"/>
      <c r="Y203" s="5" t="inlineStr"/>
      <c r="Z203" s="6" t="inlineStr"/>
    </row>
    <row r="204">
      <c r="A204" s="5" t="inlineStr">
        <is>
          <t>b4-kuzen-kiyaslama</t>
        </is>
      </c>
      <c r="B204" s="5" t="n">
        <v>3</v>
      </c>
      <c r="C204" s="6" t="inlineStr">
        <is>
          <t>Kuzenle ittifak kur</t>
        </is>
      </c>
      <c r="D204" s="5" t="inlineStr">
        <is>
          <t>Sosyal Radar</t>
        </is>
      </c>
      <c r="E204" s="5" t="inlineStr">
        <is>
          <t>Zor</t>
        </is>
      </c>
      <c r="F204" s="5" t="inlineStr"/>
      <c r="G204" s="6" t="inlineStr"/>
      <c r="H204" s="6" t="inlineStr">
        <is>
          <t>Balkonda anlaştınız: kimse kimseyi geçmeyecek. Gizli barış imzalandı.</t>
        </is>
      </c>
      <c r="I204" s="6" t="inlineStr">
        <is>
          <t>Ortak açıklama yaptınız: 'İkimiz de ortalama olmak istiyoruz.' Anneler uzun süre konuşmadı.</t>
        </is>
      </c>
      <c r="J204" s="6" t="inlineStr">
        <is>
          <t>İttifak teklif ettin; kuzen bunu da annesine anlattı.</t>
        </is>
      </c>
      <c r="K204" s="6" t="inlineStr">
        <is>
          <t>İttifak kurdunuz; ertesi yıl kuzen yine birinci oldu. Ortalamada yalnız kaldın.</t>
        </is>
      </c>
      <c r="L204" s="6" t="inlineStr"/>
      <c r="M204" s="5" t="inlineStr"/>
      <c r="N204" s="5" t="inlineStr"/>
      <c r="O204" s="6" t="inlineStr"/>
      <c r="P204" s="6" t="inlineStr"/>
      <c r="Q204" s="5" t="inlineStr"/>
      <c r="R204" s="5" t="inlineStr"/>
      <c r="S204" s="5" t="inlineStr"/>
      <c r="T204" s="5" t="inlineStr"/>
      <c r="U204" s="5" t="inlineStr"/>
      <c r="V204" s="5" t="inlineStr"/>
      <c r="W204" s="5" t="inlineStr"/>
      <c r="X204" s="5" t="inlineStr"/>
      <c r="Y204" s="5" t="inlineStr"/>
      <c r="Z204" s="6" t="inlineStr"/>
    </row>
    <row r="205">
      <c r="A205" s="5" t="inlineStr">
        <is>
          <t>b4-kuzen-kiyaslama</t>
        </is>
      </c>
      <c r="B205" s="5" t="n">
        <v>4</v>
      </c>
      <c r="C205" s="6" t="inlineStr">
        <is>
          <t>Başkanlık dönemini hatırlat</t>
        </is>
      </c>
      <c r="D205" s="5" t="inlineStr">
        <is>
          <t>Pişkinlik</t>
        </is>
      </c>
      <c r="E205" s="5" t="inlineStr">
        <is>
          <t>Kolay</t>
        </is>
      </c>
      <c r="F205" s="5" t="inlineStr"/>
      <c r="G205" s="6" t="inlineStr"/>
      <c r="H205" s="6" t="inlineStr">
        <is>
          <t>'Ben seçilmiş bir yöneticiydim' dedin. Sofrada ağır bir sessizlik oldu. Puan sende.</t>
        </is>
      </c>
      <c r="I205" s="6" t="inlineStr">
        <is>
          <t>Başkanlık icraatlarını madde madde saydın. Teyzen kuzenine 'Sen neden aday olmadın?' diye sordu. Taraf değiştirdin.</t>
        </is>
      </c>
      <c r="J205" s="6" t="inlineStr">
        <is>
          <t>Başkanlık dönemini anlattın. Teyzen 'Akvaryum geldi mi?' diye sordu. Gelmemişti.</t>
        </is>
      </c>
      <c r="K205" s="6" t="inlineStr">
        <is>
          <t>Başkanlığı anlatırken kuzenin, seni o seçimde kendisinin yenemeyeceği için aday olmadığını söyledi. Herkes inandı.</t>
        </is>
      </c>
      <c r="L205" s="6" t="inlineStr"/>
      <c r="M205" s="5" t="inlineStr"/>
      <c r="N205" s="5" t="inlineStr"/>
      <c r="O205" s="6" t="inlineStr"/>
      <c r="P205" s="6" t="inlineStr"/>
      <c r="Q205" s="5" t="inlineStr"/>
      <c r="R205" s="5" t="inlineStr">
        <is>
          <t>baskan</t>
        </is>
      </c>
      <c r="S205" s="5" t="inlineStr"/>
      <c r="T205" s="5" t="inlineStr"/>
      <c r="U205" s="5" t="inlineStr"/>
      <c r="V205" s="5" t="inlineStr"/>
      <c r="W205" s="5" t="inlineStr"/>
      <c r="X205" s="5" t="inlineStr"/>
      <c r="Y205" s="5" t="inlineStr"/>
      <c r="Z205" s="6" t="inlineStr"/>
    </row>
    <row r="206">
      <c r="A206" s="5" t="inlineStr">
        <is>
          <t>b4-ekran-suresi</t>
        </is>
      </c>
      <c r="B206" s="5" t="n">
        <v>1</v>
      </c>
      <c r="C206" s="6" t="inlineStr">
        <is>
          <t>İtiraf et</t>
        </is>
      </c>
      <c r="D206" s="5" t="inlineStr"/>
      <c r="E206" s="5" t="inlineStr"/>
      <c r="F206" s="5" t="inlineStr">
        <is>
          <t>Vicdan +1</t>
        </is>
      </c>
      <c r="G206" s="6" t="inlineStr">
        <is>
          <t>Hesap makinesinin içinde gizli bir oyun olduğunu itiraf ettin. Ailen etkilendi ve biraz korktu.</t>
        </is>
      </c>
      <c r="H206" s="6" t="inlineStr"/>
      <c r="I206" s="6" t="inlineStr"/>
      <c r="J206" s="6" t="inlineStr"/>
      <c r="K206" s="6" t="inlineStr"/>
      <c r="L206" s="6" t="inlineStr"/>
      <c r="M206" s="5" t="inlineStr"/>
      <c r="N206" s="5" t="inlineStr"/>
      <c r="O206" s="6" t="inlineStr"/>
      <c r="P206" s="6" t="inlineStr"/>
      <c r="Q206" s="5" t="inlineStr"/>
      <c r="R206" s="5" t="inlineStr"/>
      <c r="S206" s="5" t="inlineStr"/>
      <c r="T206" s="5" t="inlineStr"/>
      <c r="U206" s="5" t="inlineStr"/>
      <c r="V206" s="5" t="inlineStr"/>
      <c r="W206" s="5" t="inlineStr"/>
      <c r="X206" s="5" t="inlineStr"/>
      <c r="Y206" s="5" t="inlineStr"/>
      <c r="Z206" s="6" t="inlineStr"/>
    </row>
    <row r="207">
      <c r="A207" s="5" t="inlineStr">
        <is>
          <t>b4-ekran-suresi</t>
        </is>
      </c>
      <c r="B207" s="5" t="n">
        <v>2</v>
      </c>
      <c r="C207" s="6" t="inlineStr">
        <is>
          <t>Matematik çalıştığını söyle</t>
        </is>
      </c>
      <c r="D207" s="5" t="inlineStr">
        <is>
          <t>Pişkinlik</t>
        </is>
      </c>
      <c r="E207" s="5" t="inlineStr">
        <is>
          <t>Zor</t>
        </is>
      </c>
      <c r="F207" s="5" t="inlineStr"/>
      <c r="G207" s="6" t="inlineStr"/>
      <c r="H207" s="6" t="inlineStr">
        <is>
          <t>'Çarpım tablosu' dedin. Ailen raporu gururla aile grubuna attı.</t>
        </is>
      </c>
      <c r="I207" s="6" t="inlineStr">
        <is>
          <t>Ailen seni ödüllendirdi: ek ekran süresi. Hesap makinesi için.</t>
        </is>
      </c>
      <c r="J207" s="6" t="inlineStr">
        <is>
          <t>Baban hesap makinesini açtı. Karşısına bir uzay gemisi çıktı.</t>
        </is>
      </c>
      <c r="K207" s="6" t="inlineStr">
        <is>
          <t>Baban hesap makinesinde iki artı iki yaptı. Ekranda 'Seviye 47' yazdı.</t>
        </is>
      </c>
      <c r="L207" s="6" t="inlineStr"/>
      <c r="M207" s="5" t="inlineStr"/>
      <c r="N207" s="5" t="inlineStr"/>
      <c r="O207" s="6" t="inlineStr"/>
      <c r="P207" s="6" t="inlineStr"/>
      <c r="Q207" s="5" t="inlineStr"/>
      <c r="R207" s="5" t="inlineStr"/>
      <c r="S207" s="5" t="inlineStr"/>
      <c r="T207" s="5" t="inlineStr"/>
      <c r="U207" s="5" t="inlineStr"/>
      <c r="V207" s="5" t="inlineStr"/>
      <c r="W207" s="5" t="inlineStr"/>
      <c r="X207" s="5" t="inlineStr"/>
      <c r="Y207" s="5" t="inlineStr"/>
      <c r="Z207" s="6" t="inlineStr"/>
    </row>
    <row r="208">
      <c r="A208" s="5" t="inlineStr">
        <is>
          <t>b4-ekran-suresi</t>
        </is>
      </c>
      <c r="B208" s="5" t="n">
        <v>3</v>
      </c>
      <c r="C208" s="6" t="inlineStr">
        <is>
          <t>Raporu ayarlardan düzelt</t>
        </is>
      </c>
      <c r="D208" s="5" t="inlineStr">
        <is>
          <t>Kurnazlık</t>
        </is>
      </c>
      <c r="E208" s="5" t="inlineStr">
        <is>
          <t>Orta</t>
        </is>
      </c>
      <c r="F208" s="5" t="inlineStr"/>
      <c r="G208" s="6" t="inlineStr"/>
      <c r="H208" s="6" t="inlineStr">
        <is>
          <t>Rapor artık 'Kitap: 4 saat' diyor. Evde tek kitap var, o da telefon rehberi.</t>
        </is>
      </c>
      <c r="I208" s="6" t="inlineStr">
        <is>
          <t>Raporu düzelttin, ailenin raporunu da görünür yaptın. Babanın ekran süresi on bir saat. Toplantı ertelendi.</t>
        </is>
      </c>
      <c r="J208" s="6" t="inlineStr">
        <is>
          <t>Ayarları değiştirdin; rapor şimdi Japonca.</t>
        </is>
      </c>
      <c r="K208" s="6" t="inlineStr">
        <is>
          <t>Telefon fabrika ayarlarına döndü. Fotoğraflar, yazışmalar ve üç yıllık oyun kaydı devlet sırrı gibi yok oldu.</t>
        </is>
      </c>
      <c r="L208" s="6" t="inlineStr"/>
      <c r="M208" s="5" t="inlineStr"/>
      <c r="N208" s="5" t="inlineStr"/>
      <c r="O208" s="6" t="inlineStr"/>
      <c r="P208" s="6" t="inlineStr"/>
      <c r="Q208" s="5" t="inlineStr">
        <is>
          <t>Ekran Yerlisi</t>
        </is>
      </c>
      <c r="R208" s="5" t="inlineStr"/>
      <c r="S208" s="5" t="inlineStr"/>
      <c r="T208" s="5" t="inlineStr"/>
      <c r="U208" s="5" t="inlineStr"/>
      <c r="V208" s="5" t="inlineStr"/>
      <c r="W208" s="5" t="inlineStr"/>
      <c r="X208" s="5" t="inlineStr"/>
      <c r="Y208" s="5" t="inlineStr"/>
      <c r="Z208" s="6" t="inlineStr"/>
    </row>
    <row r="209">
      <c r="A209" s="5" t="inlineStr">
        <is>
          <t>b4-ekran-suresi</t>
        </is>
      </c>
      <c r="B209" s="5" t="n">
        <v>4</v>
      </c>
      <c r="C209" s="6" t="inlineStr">
        <is>
          <t>Gizli oyunu babana da kur</t>
        </is>
      </c>
      <c r="D209" s="5" t="inlineStr">
        <is>
          <t>Çene</t>
        </is>
      </c>
      <c r="E209" s="5" t="inlineStr">
        <is>
          <t>Kolay</t>
        </is>
      </c>
      <c r="F209" s="5" t="inlineStr"/>
      <c r="G209" s="6" t="inlineStr"/>
      <c r="H209" s="6" t="inlineStr">
        <is>
          <t>Babana da kurdun. Artık ikiniz de 'matematik çalışıyorsunuz'. Ortak bir sır, ortak bir skor tablosu.</t>
        </is>
      </c>
      <c r="I209" s="6" t="inlineStr">
        <is>
          <t>Baban oyuna öyle daldı ki ekran süresi kuralını unuttu. Evde yeni bir denetim boşluğu doğdu.</t>
        </is>
      </c>
      <c r="J209" s="6" t="inlineStr">
        <is>
          <t>Babana kurdun; baban 'Bu ne saçmalık' dedi ve üç saat oynadı. Kural yine sana uygulandı.</t>
        </is>
      </c>
      <c r="K209" s="6" t="inlineStr">
        <is>
          <t>Baban seviyeni geçti ve ekran görüntüsünü aile grubuna attı. Hesap makinesinin sırrı artık 34 kişide.</t>
        </is>
      </c>
      <c r="L209" s="6" t="inlineStr"/>
      <c r="M209" s="5" t="inlineStr"/>
      <c r="N209" s="5" t="inlineStr"/>
      <c r="O209" s="6" t="inlineStr"/>
      <c r="P209" s="6" t="inlineStr"/>
      <c r="Q209" s="5" t="inlineStr"/>
      <c r="R209" s="5" t="inlineStr"/>
      <c r="S209" s="5" t="inlineStr">
        <is>
          <t>Kurnazlık</t>
        </is>
      </c>
      <c r="T209" s="5" t="inlineStr"/>
      <c r="U209" s="5" t="inlineStr"/>
      <c r="V209" s="5" t="inlineStr"/>
      <c r="W209" s="5" t="inlineStr"/>
      <c r="X209" s="5" t="inlineStr"/>
      <c r="Y209" s="5" t="inlineStr"/>
      <c r="Z209" s="6" t="inlineStr"/>
    </row>
    <row r="210">
      <c r="A210" s="5" t="inlineStr">
        <is>
          <t>b4-mahalle-haraccilari</t>
        </is>
      </c>
      <c r="B210" s="5" t="n">
        <v>1</v>
      </c>
      <c r="C210" s="6" t="inlineStr">
        <is>
          <t>Harçlığı ver</t>
        </is>
      </c>
      <c r="D210" s="5" t="inlineStr"/>
      <c r="E210" s="5" t="inlineStr"/>
      <c r="F210" s="5" t="inlineStr">
        <is>
          <t>Dayanıklılık +1</t>
        </is>
      </c>
      <c r="G210" s="6" t="inlineStr">
        <is>
          <t>Harçlığı teslim ettin. Mahallede yeni bir vergi dilimi oluştu; dilimin adı sensin.</t>
        </is>
      </c>
      <c r="H210" s="6" t="inlineStr"/>
      <c r="I210" s="6" t="inlineStr"/>
      <c r="J210" s="6" t="inlineStr"/>
      <c r="K210" s="6" t="inlineStr"/>
      <c r="L210" s="6" t="inlineStr"/>
      <c r="M210" s="5" t="inlineStr"/>
      <c r="N210" s="5" t="inlineStr"/>
      <c r="O210" s="6" t="inlineStr"/>
      <c r="P210" s="6" t="inlineStr"/>
      <c r="Q210" s="5" t="inlineStr"/>
      <c r="R210" s="5" t="inlineStr"/>
      <c r="S210" s="5" t="inlineStr"/>
      <c r="T210" s="5" t="inlineStr"/>
      <c r="U210" s="5" t="inlineStr"/>
      <c r="V210" s="5" t="inlineStr"/>
      <c r="W210" s="5" t="inlineStr"/>
      <c r="X210" s="5" t="inlineStr"/>
      <c r="Y210" s="5" t="inlineStr"/>
      <c r="Z210" s="6" t="inlineStr"/>
    </row>
    <row r="211">
      <c r="A211" s="5" t="inlineStr">
        <is>
          <t>b4-mahalle-haraccilari</t>
        </is>
      </c>
      <c r="B211" s="5" t="n">
        <v>2</v>
      </c>
      <c r="C211" s="6" t="inlineStr">
        <is>
          <t>Kaç</t>
        </is>
      </c>
      <c r="D211" s="5" t="inlineStr">
        <is>
          <t>Dayanıklılık</t>
        </is>
      </c>
      <c r="E211" s="5" t="inlineStr">
        <is>
          <t>Orta</t>
        </is>
      </c>
      <c r="F211" s="5" t="inlineStr"/>
      <c r="G211" s="6" t="inlineStr"/>
      <c r="H211" s="6" t="inlineStr">
        <is>
          <t>Kaçtın. Harçlık cepte, telefon elde. Ama o köşe artık sana kapalı.</t>
        </is>
      </c>
      <c r="I211" s="6" t="inlineStr">
        <is>
          <t>Öyle kaçtın ki arkandan alkışladılar. Mahallede adın 'Rüzgâr'. Köşe yine de kapalı.</t>
        </is>
      </c>
      <c r="J211" s="6" t="inlineStr">
        <is>
          <t>Kaçtın ama cebinden bozukluk döküldü. Harçlığının yarısı yol boyunca vergilendirildi.</t>
        </is>
      </c>
      <c r="K211" s="6" t="inlineStr">
        <is>
          <t>Yanlış sokağa saptın; çıkmaz sokaktı. Ayrıntılar sahne dışında. Sonuç: o sokaktan bir daha geçmiyorsun.</t>
        </is>
      </c>
      <c r="L211" s="6" t="inlineStr">
        <is>
          <t>Yakalanmadın ama tam da kurtulmadın. Harçlığın yarısı ve saygınlığın çeyreği gitti.</t>
        </is>
      </c>
      <c r="M211" s="5" t="inlineStr">
        <is>
          <t>lanes</t>
        </is>
      </c>
      <c r="N211" s="5" t="inlineStr">
        <is>
          <t>Köşeden Kaç</t>
        </is>
      </c>
      <c r="O211" s="6" t="inlineStr">
        <is>
          <t>Sağa sola kayarak engellere çarpmadan eve ulaş.</t>
        </is>
      </c>
      <c r="P211" s="6" t="inlineStr">
        <is>
          <t>{"obstacles": ["🛴", "🐕", "🗑️", "📦", "🛒"]}</t>
        </is>
      </c>
      <c r="Q211" s="5" t="inlineStr"/>
      <c r="R211" s="5" t="inlineStr"/>
      <c r="S211" s="5" t="inlineStr"/>
      <c r="T211" s="5" t="inlineStr"/>
      <c r="U211" s="5" t="inlineStr">
        <is>
          <t>haracci-dusmani</t>
        </is>
      </c>
      <c r="V211" s="5" t="inlineStr"/>
      <c r="W211" s="5" t="inlineStr">
        <is>
          <t>sokak-yasagi</t>
        </is>
      </c>
      <c r="X211" s="5" t="inlineStr"/>
      <c r="Y211" s="5" t="inlineStr"/>
      <c r="Z211" s="6" t="inlineStr"/>
    </row>
    <row r="212">
      <c r="A212" s="5" t="inlineStr">
        <is>
          <t>b4-mahalle-haraccilari</t>
        </is>
      </c>
      <c r="B212" s="5" t="n">
        <v>3</v>
      </c>
      <c r="C212" s="6" t="inlineStr">
        <is>
          <t>Pazarlık et</t>
        </is>
      </c>
      <c r="D212" s="5" t="inlineStr">
        <is>
          <t>Çene</t>
        </is>
      </c>
      <c r="E212" s="5" t="inlineStr">
        <is>
          <t>Zor</t>
        </is>
      </c>
      <c r="F212" s="5" t="inlineStr"/>
      <c r="G212" s="6" t="inlineStr"/>
      <c r="H212" s="6" t="inlineStr">
        <is>
          <t>Harçlığın yarısında anlaştınız. Telefon koruma altında. Mahalleye ticaret hukuku geldi.</t>
        </is>
      </c>
      <c r="I212" s="6" t="inlineStr">
        <is>
          <t>Onlara ödev yapmayı teklif ettin. Artık para vermiyorsun, para alıyorsun.</t>
        </is>
      </c>
      <c r="J212" s="6" t="inlineStr">
        <is>
          <t>Pazarlık ettin; borcun faize bağlandı.</t>
        </is>
      </c>
      <c r="K212" s="6" t="inlineStr">
        <is>
          <t>Pazarlık uzadıkça fiyat arttı. Harçlığı, şarj aletini ve yeni bir lakabı teslim ettin: 'Taksit'.</t>
        </is>
      </c>
      <c r="L212" s="6" t="inlineStr"/>
      <c r="M212" s="5" t="inlineStr"/>
      <c r="N212" s="5" t="inlineStr"/>
      <c r="O212" s="6" t="inlineStr"/>
      <c r="P212" s="6" t="inlineStr"/>
      <c r="Q212" s="5" t="inlineStr"/>
      <c r="R212" s="5" t="inlineStr"/>
      <c r="S212" s="5" t="inlineStr"/>
      <c r="T212" s="5" t="inlineStr"/>
      <c r="U212" s="5" t="inlineStr"/>
      <c r="V212" s="5" t="inlineStr"/>
      <c r="W212" s="5" t="inlineStr">
        <is>
          <t>lakapli</t>
        </is>
      </c>
      <c r="X212" s="5" t="inlineStr"/>
      <c r="Y212" s="5" t="inlineStr"/>
      <c r="Z212" s="6" t="inlineStr"/>
    </row>
    <row r="213">
      <c r="A213" s="5" t="inlineStr">
        <is>
          <t>b4-mahalle-haraccilari</t>
        </is>
      </c>
      <c r="B213" s="5" t="n">
        <v>4</v>
      </c>
      <c r="C213" s="6" t="inlineStr">
        <is>
          <t>'Bakkal amca annemin sınıf arkadaşı' de</t>
        </is>
      </c>
      <c r="D213" s="5" t="inlineStr">
        <is>
          <t>Sosyal Radar</t>
        </is>
      </c>
      <c r="E213" s="5" t="inlineStr">
        <is>
          <t>Kolay</t>
        </is>
      </c>
      <c r="F213" s="5" t="inlineStr"/>
      <c r="G213" s="6" t="inlineStr"/>
      <c r="H213" s="6" t="inlineStr">
        <is>
          <t>Ortadaki çocuk sessizce geri çekildi. Aile bağları bazen sigortadır.</t>
        </is>
      </c>
      <c r="I213" s="6" t="inlineStr">
        <is>
          <t>Ortadaki çocuk o akşam kapına bir çikolata bıraktı. Yanında el yazısı bir özür.</t>
        </is>
      </c>
      <c r="J213" s="6" t="inlineStr">
        <is>
          <t>'Bakkal bizi zaten sevmez' dediler. Sigorta kapsam dışı çıktı.</t>
        </is>
      </c>
      <c r="K213" s="6" t="inlineStr">
        <is>
          <t>Tam o sırada bakkal dükkândan çıkıp 'Ne oluyor?' dedi. Üçü birden seni gösterdi.</t>
        </is>
      </c>
      <c r="L213" s="6" t="inlineStr"/>
      <c r="M213" s="5" t="inlineStr"/>
      <c r="N213" s="5" t="inlineStr"/>
      <c r="O213" s="6" t="inlineStr"/>
      <c r="P213" s="6" t="inlineStr"/>
      <c r="Q213" s="5" t="inlineStr"/>
      <c r="R213" s="5" t="inlineStr"/>
      <c r="S213" s="5" t="inlineStr">
        <is>
          <t>Sosyal Radar</t>
        </is>
      </c>
      <c r="T213" s="5" t="inlineStr"/>
      <c r="U213" s="5" t="inlineStr"/>
      <c r="V213" s="5" t="inlineStr"/>
      <c r="W213" s="5" t="inlineStr">
        <is>
          <t>haracci-dusmani</t>
        </is>
      </c>
      <c r="X213" s="5" t="inlineStr"/>
      <c r="Y213" s="5" t="inlineStr"/>
      <c r="Z213" s="6" t="inlineStr"/>
    </row>
    <row r="214">
      <c r="A214" s="5" t="inlineStr">
        <is>
          <t>b4-mahalle-haraccilari</t>
        </is>
      </c>
      <c r="B214" s="5" t="n">
        <v>5</v>
      </c>
      <c r="C214" s="6" t="inlineStr">
        <is>
          <t>Ortadakine tek başına meydan oku</t>
        </is>
      </c>
      <c r="D214" s="5" t="inlineStr">
        <is>
          <t>Cesaret</t>
        </is>
      </c>
      <c r="E214" s="5" t="inlineStr">
        <is>
          <t>Zor</t>
        </is>
      </c>
      <c r="F214" s="5" t="inlineStr"/>
      <c r="G214" s="6" t="inlineStr"/>
      <c r="H214" s="6" t="inlineStr">
        <is>
          <t>'Yalnızken de böyle misin?' dedin. Değildi. Grup dağıldı.</t>
        </is>
      </c>
      <c r="I214" s="6" t="inlineStr">
        <is>
          <t>Meydan okudun; ortadaki çocuk ertesi gün başka mahalleye taşındıklarını söyledi. Tesadüf olabilir.</t>
        </is>
      </c>
      <c r="J214" s="6" t="inlineStr">
        <is>
          <t>Meydan okudun. Telefonunu aldılar; ertesi gün bakkala bıraktılar. Mesaj alındı.</t>
        </is>
      </c>
      <c r="K214" s="6" t="inlineStr">
        <is>
          <t>Ayrıntılar sahne dışında. Sonuç: telefon ekranı çatlak, lakabın 'Kahraman' ve tonu ironik.</t>
        </is>
      </c>
      <c r="L214" s="6" t="inlineStr"/>
      <c r="M214" s="5" t="inlineStr"/>
      <c r="N214" s="5" t="inlineStr"/>
      <c r="O214" s="6" t="inlineStr"/>
      <c r="P214" s="6" t="inlineStr"/>
      <c r="Q214" s="5" t="inlineStr"/>
      <c r="R214" s="5" t="inlineStr">
        <is>
          <t>cesurPark</t>
        </is>
      </c>
      <c r="S214" s="5" t="inlineStr"/>
      <c r="T214" s="5" t="inlineStr"/>
      <c r="U214" s="5" t="inlineStr">
        <is>
          <t>haracci-dusmani</t>
        </is>
      </c>
      <c r="V214" s="5" t="inlineStr"/>
      <c r="W214" s="5" t="inlineStr">
        <is>
          <t>lakapli</t>
        </is>
      </c>
      <c r="X214" s="5" t="inlineStr"/>
      <c r="Y214" s="5" t="inlineStr"/>
      <c r="Z214" s="6" t="inlineStr"/>
    </row>
    <row r="215">
      <c r="A215" s="5" t="inlineStr">
        <is>
          <t>b4-sivilce</t>
        </is>
      </c>
      <c r="B215" s="5" t="n">
        <v>1</v>
      </c>
      <c r="C215" s="6" t="inlineStr">
        <is>
          <t>Olduğu gibi git</t>
        </is>
      </c>
      <c r="D215" s="5" t="inlineStr"/>
      <c r="E215" s="5" t="inlineStr"/>
      <c r="F215" s="5" t="inlineStr">
        <is>
          <t>Dayanıklılık +1</t>
        </is>
      </c>
      <c r="G215" s="6" t="inlineStr">
        <is>
          <t>Fotoğraf çekildi. Sivilce de. Yıllığa ikiniz birlikte girdiniz.</t>
        </is>
      </c>
      <c r="H215" s="6" t="inlineStr"/>
      <c r="I215" s="6" t="inlineStr"/>
      <c r="J215" s="6" t="inlineStr"/>
      <c r="K215" s="6" t="inlineStr"/>
      <c r="L215" s="6" t="inlineStr"/>
      <c r="M215" s="5" t="inlineStr"/>
      <c r="N215" s="5" t="inlineStr"/>
      <c r="O215" s="6" t="inlineStr"/>
      <c r="P215" s="6" t="inlineStr"/>
      <c r="Q215" s="5" t="inlineStr"/>
      <c r="R215" s="5" t="inlineStr"/>
      <c r="S215" s="5" t="inlineStr"/>
      <c r="T215" s="5" t="inlineStr"/>
      <c r="U215" s="5" t="inlineStr"/>
      <c r="V215" s="5" t="inlineStr"/>
      <c r="W215" s="5" t="inlineStr"/>
      <c r="X215" s="5" t="inlineStr"/>
      <c r="Y215" s="5" t="inlineStr"/>
      <c r="Z215" s="6" t="inlineStr"/>
    </row>
    <row r="216">
      <c r="A216" s="5" t="inlineStr">
        <is>
          <t>b4-sivilce</t>
        </is>
      </c>
      <c r="B216" s="5" t="n">
        <v>2</v>
      </c>
      <c r="C216" s="6" t="inlineStr">
        <is>
          <t>Annenin kapatıcısını kullan</t>
        </is>
      </c>
      <c r="D216" s="5" t="inlineStr">
        <is>
          <t>Kurnazlık</t>
        </is>
      </c>
      <c r="E216" s="5" t="inlineStr">
        <is>
          <t>Orta</t>
        </is>
      </c>
      <c r="F216" s="5" t="inlineStr"/>
      <c r="G216" s="6" t="inlineStr"/>
      <c r="H216" s="6" t="inlineStr">
        <is>
          <t>Sivilce görünmüyor. Sadece alnında hafif bir ton farkı var.</t>
        </is>
      </c>
      <c r="I216" s="6" t="inlineStr">
        <is>
          <t>Kusursuz uyguladın. Fotoğrafçı 'Ne güzel cilt' dedi. Annen kapatıcının azaldığını hâlâ bilmiyor.</t>
        </is>
      </c>
      <c r="J216" s="6" t="inlineStr">
        <is>
          <t>Yanlış tonu seçtin. Alnında bej bir ada oluştu.</t>
        </is>
      </c>
      <c r="K216" s="6" t="inlineStr">
        <is>
          <t>Kapatıcı sandığın şey annenin göz farıymış. Yıllıkta alnında parlak mor bir yıldız var. Sonsuza dek.</t>
        </is>
      </c>
      <c r="L216" s="6" t="inlineStr"/>
      <c r="M216" s="5" t="inlineStr"/>
      <c r="N216" s="5" t="inlineStr"/>
      <c r="O216" s="6" t="inlineStr"/>
      <c r="P216" s="6" t="inlineStr"/>
      <c r="Q216" s="5" t="inlineStr"/>
      <c r="R216" s="5" t="inlineStr"/>
      <c r="S216" s="5" t="inlineStr"/>
      <c r="T216" s="5" t="inlineStr"/>
      <c r="U216" s="5" t="inlineStr"/>
      <c r="V216" s="5" t="inlineStr"/>
      <c r="W216" s="5" t="inlineStr"/>
      <c r="X216" s="5" t="inlineStr"/>
      <c r="Y216" s="5" t="inlineStr"/>
      <c r="Z216" s="6" t="inlineStr"/>
    </row>
    <row r="217">
      <c r="A217" s="5" t="inlineStr">
        <is>
          <t>b4-sivilce</t>
        </is>
      </c>
      <c r="B217" s="5" t="n">
        <v>3</v>
      </c>
      <c r="C217" s="6" t="inlineStr">
        <is>
          <t>Bere tak</t>
        </is>
      </c>
      <c r="D217" s="5" t="inlineStr">
        <is>
          <t>Pişkinlik</t>
        </is>
      </c>
      <c r="E217" s="5" t="inlineStr">
        <is>
          <t>Kolay</t>
        </is>
      </c>
      <c r="F217" s="5" t="inlineStr"/>
      <c r="G217" s="6" t="inlineStr"/>
      <c r="H217" s="6" t="inlineStr">
        <is>
          <t>Bereyle poz verdin. Tarz sanıldı.</t>
        </is>
      </c>
      <c r="I217" s="6" t="inlineStr">
        <is>
          <t>Ertesi hafta sınıfın yarısı bereyle geldi. Trendi bir sivilce başlattı.</t>
        </is>
      </c>
      <c r="J217" s="6" t="inlineStr">
        <is>
          <t>Fotoğrafçı bereni çıkarttı.</t>
        </is>
      </c>
      <c r="K217" s="6" t="inlineStr">
        <is>
          <t>Fotoğrafçı bereni çıkarttı; statik elektrikten saçların dikildi. Sivilce ikinci planda kaldı. Saçların birinci.</t>
        </is>
      </c>
      <c r="L217" s="6" t="inlineStr"/>
      <c r="M217" s="5" t="inlineStr"/>
      <c r="N217" s="5" t="inlineStr"/>
      <c r="O217" s="6" t="inlineStr"/>
      <c r="P217" s="6" t="inlineStr"/>
      <c r="Q217" s="5" t="inlineStr"/>
      <c r="R217" s="5" t="inlineStr"/>
      <c r="S217" s="5" t="inlineStr"/>
      <c r="T217" s="5" t="inlineStr"/>
      <c r="U217" s="5" t="inlineStr"/>
      <c r="V217" s="5" t="inlineStr"/>
      <c r="W217" s="5" t="inlineStr"/>
      <c r="X217" s="5" t="inlineStr"/>
      <c r="Y217" s="5" t="inlineStr"/>
      <c r="Z217" s="6" t="inlineStr"/>
    </row>
    <row r="218">
      <c r="A218" s="5" t="inlineStr">
        <is>
          <t>b4-sivilce</t>
        </is>
      </c>
      <c r="B218" s="5" t="n">
        <v>4</v>
      </c>
      <c r="C218" s="6" t="inlineStr">
        <is>
          <t>Sivilceye isim ver</t>
        </is>
      </c>
      <c r="D218" s="5" t="inlineStr">
        <is>
          <t>Çene</t>
        </is>
      </c>
      <c r="E218" s="5" t="inlineStr">
        <is>
          <t>Kolay</t>
        </is>
      </c>
      <c r="F218" s="5" t="inlineStr"/>
      <c r="G218" s="6" t="inlineStr"/>
      <c r="H218" s="6" t="inlineStr">
        <is>
          <t>Sivilceye 'Müdür Bey' dedin. Sınıf gün boyu ona selam verdi. Kimse seninle dalga geçemedi, çünkü önce sen geçtin.</t>
        </is>
      </c>
      <c r="I218" s="6" t="inlineStr">
        <is>
          <t>Müdür Bey'in resmî bir veda töreni yapıldı. Sınıf alkışladı. Başka hiçbir sivilce bu kadar sevilmedi.</t>
        </is>
      </c>
      <c r="J218" s="6" t="inlineStr">
        <is>
          <t>İsmi koydun; ertesi gün Müdür Bey'in bir yardımcısı çıktı.</t>
        </is>
      </c>
      <c r="K218" s="6" t="inlineStr">
        <is>
          <t>Sivilceye verdiğin isim sana geçti. Artık sen 'Müdür Bey'sin.</t>
        </is>
      </c>
      <c r="L218" s="6" t="inlineStr"/>
      <c r="M218" s="5" t="inlineStr"/>
      <c r="N218" s="5" t="inlineStr"/>
      <c r="O218" s="6" t="inlineStr"/>
      <c r="P218" s="6" t="inlineStr"/>
      <c r="Q218" s="5" t="inlineStr">
        <is>
          <t>Kendine Gülebilir</t>
        </is>
      </c>
      <c r="R218" s="5" t="inlineStr"/>
      <c r="S218" s="5" t="inlineStr"/>
      <c r="T218" s="5" t="inlineStr"/>
      <c r="U218" s="5" t="inlineStr"/>
      <c r="V218" s="5" t="inlineStr"/>
      <c r="W218" s="5" t="inlineStr"/>
      <c r="X218" s="5" t="inlineStr"/>
      <c r="Y218" s="5" t="inlineStr"/>
      <c r="Z218" s="6" t="inlineStr"/>
    </row>
    <row r="219">
      <c r="A219" s="5" t="inlineStr">
        <is>
          <t>b4-ses-catlamasi</t>
        </is>
      </c>
      <c r="B219" s="5" t="n">
        <v>1</v>
      </c>
      <c r="C219" s="6" t="inlineStr">
        <is>
          <t>Fısıltıyla oku</t>
        </is>
      </c>
      <c r="D219" s="5" t="inlineStr"/>
      <c r="E219" s="5" t="inlineStr"/>
      <c r="F219" s="5" t="inlineStr">
        <is>
          <t>Kurnazlık +1</t>
        </is>
      </c>
      <c r="G219" s="6" t="inlineStr">
        <is>
          <t>Fısıltıyla okudun. Öğretmen 'Daha yüksek' dedi. Yüksek okudun. Ses çatladı. Plan kısmen işledi.</t>
        </is>
      </c>
      <c r="H219" s="6" t="inlineStr"/>
      <c r="I219" s="6" t="inlineStr"/>
      <c r="J219" s="6" t="inlineStr"/>
      <c r="K219" s="6" t="inlineStr"/>
      <c r="L219" s="6" t="inlineStr"/>
      <c r="M219" s="5" t="inlineStr"/>
      <c r="N219" s="5" t="inlineStr"/>
      <c r="O219" s="6" t="inlineStr"/>
      <c r="P219" s="6" t="inlineStr"/>
      <c r="Q219" s="5" t="inlineStr"/>
      <c r="R219" s="5" t="inlineStr"/>
      <c r="S219" s="5" t="inlineStr"/>
      <c r="T219" s="5" t="inlineStr"/>
      <c r="U219" s="5" t="inlineStr"/>
      <c r="V219" s="5" t="inlineStr"/>
      <c r="W219" s="5" t="inlineStr"/>
      <c r="X219" s="5" t="inlineStr"/>
      <c r="Y219" s="5" t="inlineStr"/>
      <c r="Z219" s="6" t="inlineStr"/>
    </row>
    <row r="220">
      <c r="A220" s="5" t="inlineStr">
        <is>
          <t>b4-ses-catlamasi</t>
        </is>
      </c>
      <c r="B220" s="5" t="n">
        <v>2</v>
      </c>
      <c r="C220" s="6" t="inlineStr">
        <is>
          <t>Normal oku</t>
        </is>
      </c>
      <c r="D220" s="5" t="inlineStr">
        <is>
          <t>Dayanıklılık</t>
        </is>
      </c>
      <c r="E220" s="5" t="inlineStr">
        <is>
          <t>Orta</t>
        </is>
      </c>
      <c r="F220" s="5" t="inlineStr"/>
      <c r="G220" s="6" t="inlineStr"/>
      <c r="H220" s="6" t="inlineStr">
        <is>
          <t>Ses çatlamadı. Paragraf bitti. Sınıf kayıtsız. Bu yaşta en büyük başarı.</t>
        </is>
      </c>
      <c r="I220" s="6" t="inlineStr">
        <is>
          <t>Paragrafı pürüzsüz okudun; öğretmen 'Ne güzel tok bir ses' dedi. Sınıf ilk kez seni dinledi.</t>
        </is>
      </c>
      <c r="J220" s="6" t="inlineStr">
        <is>
          <t>'Makarya'nın başlıca ürünleri...' derken ses kanarya tonuna çıktı. Sınıf kanaryayı sevdi.</t>
        </is>
      </c>
      <c r="K220" s="6" t="inlineStr">
        <is>
          <t>Ses çatladı, sen durdun, sınıf durdu, öğretmen devam etmeni istedi. Lakabın o günden beri 'Kanarya'.</t>
        </is>
      </c>
      <c r="L220" s="6" t="inlineStr"/>
      <c r="M220" s="5" t="inlineStr"/>
      <c r="N220" s="5" t="inlineStr"/>
      <c r="O220" s="6" t="inlineStr"/>
      <c r="P220" s="6" t="inlineStr"/>
      <c r="Q220" s="5" t="inlineStr"/>
      <c r="R220" s="5" t="inlineStr"/>
      <c r="S220" s="5" t="inlineStr"/>
      <c r="T220" s="5" t="inlineStr"/>
      <c r="U220" s="5" t="inlineStr"/>
      <c r="V220" s="5" t="inlineStr"/>
      <c r="W220" s="5" t="inlineStr">
        <is>
          <t>lakapli</t>
        </is>
      </c>
      <c r="X220" s="5" t="inlineStr"/>
      <c r="Y220" s="5" t="inlineStr"/>
      <c r="Z220" s="6" t="inlineStr"/>
    </row>
    <row r="221">
      <c r="A221" s="5" t="inlineStr">
        <is>
          <t>b4-ses-catlamasi</t>
        </is>
      </c>
      <c r="B221" s="5" t="n">
        <v>3</v>
      </c>
      <c r="C221" s="6" t="inlineStr">
        <is>
          <t>Bas sesle oku</t>
        </is>
      </c>
      <c r="D221" s="5" t="inlineStr">
        <is>
          <t>Pişkinlik</t>
        </is>
      </c>
      <c r="E221" s="5" t="inlineStr">
        <is>
          <t>Zor</t>
        </is>
      </c>
      <c r="F221" s="5" t="inlineStr"/>
      <c r="G221" s="6" t="inlineStr"/>
      <c r="H221" s="6" t="inlineStr">
        <is>
          <t>Haber spikeri tonunda okudun. Öğretmen seni tören sunucusu yaptı.</t>
        </is>
      </c>
      <c r="I221" s="6" t="inlineStr">
        <is>
          <t>O kadar tok okudun ki müdür yardımcısı sınıfa girip anonsu senin yapmanı istedi. Okulun resmî sesisin.</t>
        </is>
      </c>
      <c r="J221" s="6" t="inlineStr">
        <is>
          <t>Bas başladın, tiz bitirdin. Tek cümlede iki kişi konuştu.</t>
        </is>
      </c>
      <c r="K221" s="6" t="inlineStr">
        <is>
          <t>Bas başladın, öksürdün, soprano devam ettin. Müzik öğretmeni seni koroya yazdı. En ön sıraya.</t>
        </is>
      </c>
      <c r="L221" s="6" t="inlineStr"/>
      <c r="M221" s="5" t="inlineStr"/>
      <c r="N221" s="5" t="inlineStr"/>
      <c r="O221" s="6" t="inlineStr"/>
      <c r="P221" s="6" t="inlineStr"/>
      <c r="Q221" s="5" t="inlineStr"/>
      <c r="R221" s="5" t="inlineStr"/>
      <c r="S221" s="5" t="inlineStr"/>
      <c r="T221" s="5" t="inlineStr"/>
      <c r="U221" s="5" t="inlineStr"/>
      <c r="V221" s="5" t="inlineStr"/>
      <c r="W221" s="5" t="inlineStr"/>
      <c r="X221" s="5" t="inlineStr"/>
      <c r="Y221" s="5" t="inlineStr"/>
      <c r="Z221" s="6" t="inlineStr"/>
    </row>
    <row r="222">
      <c r="A222" s="5" t="inlineStr">
        <is>
          <t>b4-ses-catlamasi</t>
        </is>
      </c>
      <c r="B222" s="5" t="n">
        <v>4</v>
      </c>
      <c r="C222" s="6" t="inlineStr">
        <is>
          <t>Çatlamayı şova çevir</t>
        </is>
      </c>
      <c r="D222" s="5" t="inlineStr">
        <is>
          <t>Pişkinlik</t>
        </is>
      </c>
      <c r="E222" s="5" t="inlineStr">
        <is>
          <t>Kolay</t>
        </is>
      </c>
      <c r="F222" s="5" t="inlineStr"/>
      <c r="G222" s="6" t="inlineStr"/>
      <c r="H222" s="6" t="inlineStr">
        <is>
          <t>Ses çatlayınca eğilip selam verdin. Sınıf alkışladı. Olay performans sanatı olarak kayda geçti.</t>
        </is>
      </c>
      <c r="I222" s="6" t="inlineStr">
        <is>
          <t>Her çatlamada farklı bir karakterin sesini yaptın. Paragraf bir radyo tiyatrosuna döndü.</t>
        </is>
      </c>
      <c r="J222" s="6" t="inlineStr">
        <is>
          <t>Şova çevirdin; öğretmen 'Tekrar baştan' dedi. Gösteri iki kez oynandı, ikincisi daha kötü.</t>
        </is>
      </c>
      <c r="K222" s="6" t="inlineStr">
        <is>
          <t>Şova çevirdin, sınıf coştu, müdür koridordan geçti. Performans 'disiplin' başlığıyla arşivlendi.</t>
        </is>
      </c>
      <c r="L222" s="6" t="inlineStr"/>
      <c r="M222" s="5" t="inlineStr"/>
      <c r="N222" s="5" t="inlineStr"/>
      <c r="O222" s="6" t="inlineStr"/>
      <c r="P222" s="6" t="inlineStr"/>
      <c r="Q222" s="5" t="inlineStr">
        <is>
          <t>Sahne Sever</t>
        </is>
      </c>
      <c r="R222" s="5" t="inlineStr"/>
      <c r="S222" s="5" t="inlineStr"/>
      <c r="T222" s="5" t="inlineStr"/>
      <c r="U222" s="5" t="inlineStr"/>
      <c r="V222" s="5" t="inlineStr"/>
      <c r="W222" s="5" t="inlineStr"/>
      <c r="X222" s="5" t="inlineStr"/>
      <c r="Y222" s="5" t="inlineStr"/>
      <c r="Z222" s="6" t="inlineStr"/>
    </row>
    <row r="223">
      <c r="A223" s="5" t="inlineStr">
        <is>
          <t>b4-ogretmenler-gunu</t>
        </is>
      </c>
      <c r="B223" s="5" t="n">
        <v>1</v>
      </c>
      <c r="C223" s="6" t="inlineStr">
        <is>
          <t>Elle kart yaz</t>
        </is>
      </c>
      <c r="D223" s="5" t="inlineStr"/>
      <c r="E223" s="5" t="inlineStr"/>
      <c r="F223" s="5" t="inlineStr">
        <is>
          <t>Vicdan +2</t>
        </is>
      </c>
      <c r="G223" s="6" t="inlineStr">
        <is>
          <t>El yazısıyla bir kart verdin. Öğretmen çantasına koydu. Yıllar sonra da orada olacak.</t>
        </is>
      </c>
      <c r="H223" s="6" t="inlineStr"/>
      <c r="I223" s="6" t="inlineStr"/>
      <c r="J223" s="6" t="inlineStr"/>
      <c r="K223" s="6" t="inlineStr"/>
      <c r="L223" s="6" t="inlineStr"/>
      <c r="M223" s="5" t="inlineStr"/>
      <c r="N223" s="5" t="inlineStr"/>
      <c r="O223" s="6" t="inlineStr"/>
      <c r="P223" s="6" t="inlineStr"/>
      <c r="Q223" s="5" t="inlineStr"/>
      <c r="R223" s="5" t="inlineStr"/>
      <c r="S223" s="5" t="inlineStr"/>
      <c r="T223" s="5" t="inlineStr"/>
      <c r="U223" s="5" t="inlineStr"/>
      <c r="V223" s="5" t="inlineStr"/>
      <c r="W223" s="5" t="inlineStr"/>
      <c r="X223" s="5" t="inlineStr"/>
      <c r="Y223" s="5" t="inlineStr"/>
      <c r="Z223" s="6" t="inlineStr"/>
    </row>
    <row r="224">
      <c r="A224" s="5" t="inlineStr">
        <is>
          <t>b4-ogretmenler-gunu</t>
        </is>
      </c>
      <c r="B224" s="5" t="n">
        <v>2</v>
      </c>
      <c r="C224" s="6" t="inlineStr">
        <is>
          <t>Hediyeyi sen seç</t>
        </is>
      </c>
      <c r="D224" s="5" t="inlineStr">
        <is>
          <t>Sosyal Radar</t>
        </is>
      </c>
      <c r="E224" s="5" t="inlineStr">
        <is>
          <t>Orta</t>
        </is>
      </c>
      <c r="F224" s="5" t="inlineStr"/>
      <c r="G224" s="6" t="inlineStr"/>
      <c r="H224" s="6" t="inlineStr">
        <is>
          <t>Öğretmenin sevdiği çiçeği buldun. Masada tek canlı hediye sizinkiydi.</t>
        </is>
      </c>
      <c r="I224" s="6" t="inlineStr">
        <is>
          <t>Öğretmen hediyeyi açınca gözleri doldu ve 'Bunu nereden bildiniz?' dedi. Kimse sana sormadı ama herkes biliyor.</t>
        </is>
      </c>
      <c r="J224" s="6" t="inlineStr">
        <is>
          <t>Kupa aldınız. Öğretmenin masasında o yıl dokuz kupa vardı.</t>
        </is>
      </c>
      <c r="K224" s="6" t="inlineStr">
        <is>
          <t>Hediye paketini sınıfta açtınız; içinden geçen yılın öğretmenler günü kartı çıktı. Geri dönüşüm fark edildi.</t>
        </is>
      </c>
      <c r="L224" s="6" t="inlineStr"/>
      <c r="M224" s="5" t="inlineStr"/>
      <c r="N224" s="5" t="inlineStr"/>
      <c r="O224" s="6" t="inlineStr"/>
      <c r="P224" s="6" t="inlineStr"/>
      <c r="Q224" s="5" t="inlineStr"/>
      <c r="R224" s="5" t="inlineStr"/>
      <c r="S224" s="5" t="inlineStr"/>
      <c r="T224" s="5" t="inlineStr"/>
      <c r="U224" s="5" t="inlineStr"/>
      <c r="V224" s="5" t="inlineStr"/>
      <c r="W224" s="5" t="inlineStr"/>
      <c r="X224" s="5" t="inlineStr"/>
      <c r="Y224" s="5" t="inlineStr"/>
      <c r="Z224" s="6" t="inlineStr"/>
    </row>
    <row r="225">
      <c r="A225" s="5" t="inlineStr">
        <is>
          <t>b4-ogretmenler-gunu</t>
        </is>
      </c>
      <c r="B225" s="5" t="n">
        <v>3</v>
      </c>
      <c r="C225" s="6" t="inlineStr">
        <is>
          <t>Para toplamayı üstlen</t>
        </is>
      </c>
      <c r="D225" s="5" t="inlineStr">
        <is>
          <t>Çene</t>
        </is>
      </c>
      <c r="E225" s="5" t="inlineStr">
        <is>
          <t>Orta</t>
        </is>
      </c>
      <c r="F225" s="5" t="inlineStr"/>
      <c r="G225" s="6" t="inlineStr"/>
      <c r="H225" s="6" t="inlineStr">
        <is>
          <t>Paraları topladın, deftere yazdın, üstünü iade ettin. Veliler seni muhasebeci ilan etti.</t>
        </is>
      </c>
      <c r="I225" s="6" t="inlineStr">
        <is>
          <t>Toplamı hedefin üstüne çıkardın ve kalan parayla sınıfa pasta aldın. Veli grubu ilk kez hemfikir.</t>
        </is>
      </c>
      <c r="J225" s="6" t="inlineStr">
        <is>
          <t>Üç kişi 'Sonra veririm' dedi. Sonra gelmedi.</t>
        </is>
      </c>
      <c r="K225" s="6" t="inlineStr">
        <is>
          <t>Toplanan parayı cebinde unuttun. Pantolon yıkandı. Para temiz ama sayısı belirsiz.</t>
        </is>
      </c>
      <c r="L225" s="6" t="inlineStr"/>
      <c r="M225" s="5" t="inlineStr"/>
      <c r="N225" s="5" t="inlineStr"/>
      <c r="O225" s="6" t="inlineStr"/>
      <c r="P225" s="6" t="inlineStr"/>
      <c r="Q225" s="5" t="inlineStr">
        <is>
          <t>Organizatör</t>
        </is>
      </c>
      <c r="R225" s="5" t="inlineStr"/>
      <c r="S225" s="5" t="inlineStr"/>
      <c r="T225" s="5" t="inlineStr"/>
      <c r="U225" s="5" t="inlineStr"/>
      <c r="V225" s="5" t="inlineStr"/>
      <c r="W225" s="5" t="inlineStr"/>
      <c r="X225" s="5" t="inlineStr"/>
      <c r="Y225" s="5" t="inlineStr"/>
      <c r="Z225" s="6" t="inlineStr"/>
    </row>
    <row r="226">
      <c r="A226" s="5" t="inlineStr">
        <is>
          <t>b4-ogretmenler-gunu</t>
        </is>
      </c>
      <c r="B226" s="5" t="n">
        <v>4</v>
      </c>
      <c r="C226" s="6" t="inlineStr">
        <is>
          <t>Veli grubunu yatıştır</t>
        </is>
      </c>
      <c r="D226" s="5" t="inlineStr">
        <is>
          <t>Çene</t>
        </is>
      </c>
      <c r="E226" s="5" t="inlineStr">
        <is>
          <t>Zor</t>
        </is>
      </c>
      <c r="F226" s="5" t="inlineStr"/>
      <c r="G226" s="6" t="inlineStr"/>
      <c r="H226" s="6" t="inlineStr">
        <is>
          <t>Annene 'Katılmak isteyen katılsın, isteyen kart yazsın' yazdırdın. Grup sakinleşti.</t>
        </is>
      </c>
      <c r="I226" s="6" t="inlineStr">
        <is>
          <t>Önerin kabul edildi ve grubun adı 'Yapıcı Veliler' oldu. Arka planda sen varsın.</t>
        </is>
      </c>
      <c r="J226" s="6" t="inlineStr">
        <is>
          <t>Annene yazdırdın; bir veli 'Çocuk mu yazıyor bunları?' diye sordu.</t>
        </is>
      </c>
      <c r="K226" s="6" t="inlineStr">
        <is>
          <t>Annen mesajı senin cümlelerinle gönderdi ama sonuna 'Böyle yaz dedi' diye ekledi.</t>
        </is>
      </c>
      <c r="L226" s="6" t="inlineStr"/>
      <c r="M226" s="5" t="inlineStr"/>
      <c r="N226" s="5" t="inlineStr"/>
      <c r="O226" s="6" t="inlineStr"/>
      <c r="P226" s="6" t="inlineStr"/>
      <c r="Q226" s="5" t="inlineStr">
        <is>
          <t>Grup Diplomatı</t>
        </is>
      </c>
      <c r="R226" s="5" t="inlineStr"/>
      <c r="S226" s="5" t="inlineStr"/>
      <c r="T226" s="5" t="inlineStr"/>
      <c r="U226" s="5" t="inlineStr"/>
      <c r="V226" s="5" t="inlineStr"/>
      <c r="W226" s="5" t="inlineStr"/>
      <c r="X226" s="5" t="inlineStr"/>
      <c r="Y226" s="5" t="inlineStr"/>
      <c r="Z226" s="6" t="inlineStr"/>
    </row>
    <row r="227">
      <c r="A227" s="5" t="inlineStr">
        <is>
          <t>b4-ilk-hoslanti</t>
        </is>
      </c>
      <c r="B227" s="5" t="n">
        <v>1</v>
      </c>
      <c r="C227" s="6" t="inlineStr">
        <is>
          <t>Hiçbir şey yapma</t>
        </is>
      </c>
      <c r="D227" s="5" t="inlineStr"/>
      <c r="E227" s="5" t="inlineStr"/>
      <c r="F227" s="5" t="inlineStr">
        <is>
          <t>Dayanıklılık +1</t>
        </is>
      </c>
      <c r="G227" s="6" t="inlineStr">
        <is>
          <t>Hiçbir şey yapmadın. Üç ay boyunca o beğeniyi yorumladın. Tez olurdu.</t>
        </is>
      </c>
      <c r="H227" s="6" t="inlineStr"/>
      <c r="I227" s="6" t="inlineStr"/>
      <c r="J227" s="6" t="inlineStr"/>
      <c r="K227" s="6" t="inlineStr"/>
      <c r="L227" s="6" t="inlineStr"/>
      <c r="M227" s="5" t="inlineStr"/>
      <c r="N227" s="5" t="inlineStr"/>
      <c r="O227" s="6" t="inlineStr"/>
      <c r="P227" s="6" t="inlineStr"/>
      <c r="Q227" s="5" t="inlineStr"/>
      <c r="R227" s="5" t="inlineStr"/>
      <c r="S227" s="5" t="inlineStr"/>
      <c r="T227" s="5" t="inlineStr"/>
      <c r="U227" s="5" t="inlineStr"/>
      <c r="V227" s="5" t="inlineStr"/>
      <c r="W227" s="5" t="inlineStr"/>
      <c r="X227" s="5" t="inlineStr"/>
      <c r="Y227" s="5" t="inlineStr"/>
      <c r="Z227" s="6" t="inlineStr"/>
    </row>
    <row r="228">
      <c r="A228" s="5" t="inlineStr">
        <is>
          <t>b4-ilk-hoslanti</t>
        </is>
      </c>
      <c r="B228" s="5" t="n">
        <v>2</v>
      </c>
      <c r="C228" s="6" t="inlineStr">
        <is>
          <t>İlk mesajı at</t>
        </is>
      </c>
      <c r="D228" s="5" t="inlineStr">
        <is>
          <t>Cesaret</t>
        </is>
      </c>
      <c r="E228" s="5" t="inlineStr">
        <is>
          <t>Zor</t>
        </is>
      </c>
      <c r="F228" s="5" t="inlineStr"/>
      <c r="G228" s="6" t="inlineStr"/>
      <c r="H228" s="6" t="inlineStr">
        <is>
          <t>'Selam' yazdın. 'Selam' geldi. Tarihî bir yazışma başladı.</t>
        </is>
      </c>
      <c r="I228" s="6" t="inlineStr">
        <is>
          <t>Mesaj attın, cevap emojiyle geldi. Ertesi gün koridorda ilk kez yan yana yürüdünüz.</t>
        </is>
      </c>
      <c r="J228" s="6" t="inlineStr">
        <is>
          <t>'Selam' yazdın. Okundu. Üç gündür 'yazıyor...' görünüyor.</t>
        </is>
      </c>
      <c r="K228" s="6" t="inlineStr">
        <is>
          <t>Yazdın, sildin, yazdın. Silinen hâli gitti: 'Seni özlüyorum sanırım.' Hiç konuşmamıştınız.</t>
        </is>
      </c>
      <c r="L228" s="6" t="inlineStr"/>
      <c r="M228" s="5" t="inlineStr"/>
      <c r="N228" s="5" t="inlineStr"/>
      <c r="O228" s="6" t="inlineStr"/>
      <c r="P228" s="6" t="inlineStr"/>
      <c r="Q228" s="5" t="inlineStr"/>
      <c r="R228" s="5" t="inlineStr"/>
      <c r="S228" s="5" t="inlineStr"/>
      <c r="T228" s="5" t="inlineStr"/>
      <c r="U228" s="5" t="inlineStr"/>
      <c r="V228" s="5" t="inlineStr">
        <is>
          <t>ilk-mesaj</t>
        </is>
      </c>
      <c r="W228" s="5" t="inlineStr"/>
      <c r="X228" s="5" t="inlineStr"/>
      <c r="Y228" s="5" t="inlineStr"/>
      <c r="Z228" s="6" t="inlineStr"/>
    </row>
    <row r="229">
      <c r="A229" s="5" t="inlineStr">
        <is>
          <t>b4-ilk-hoslanti</t>
        </is>
      </c>
      <c r="B229" s="5" t="n">
        <v>3</v>
      </c>
      <c r="C229" s="6" t="inlineStr">
        <is>
          <t>Hikâyesine emoji bırak</t>
        </is>
      </c>
      <c r="D229" s="5" t="inlineStr">
        <is>
          <t>Kurnazlık</t>
        </is>
      </c>
      <c r="E229" s="5" t="inlineStr">
        <is>
          <t>Kolay</t>
        </is>
      </c>
      <c r="F229" s="5" t="inlineStr"/>
      <c r="G229" s="6" t="inlineStr"/>
      <c r="H229" s="6" t="inlineStr">
        <is>
          <t>Ateş emojisi bıraktın. Karşılığında kalp geldi. Diplomatik ilişkiler kuruldu.</t>
        </is>
      </c>
      <c r="I229" s="6" t="inlineStr">
        <is>
          <t>Emojine cevap olarak özel mesaj geldi: 'Sen de mi bu şarkıyı seviyorsun?' Sevmiyordun. Artık seviyorsun.</t>
        </is>
      </c>
      <c r="J229" s="6" t="inlineStr">
        <is>
          <t>Emoji bıraktın. O da herkese aynı emojiyi bırakıyormuş.</t>
        </is>
      </c>
      <c r="K229" s="6" t="inlineStr">
        <is>
          <t>Ateş bırakacaktın, itfaiyeci gitti. Anlamını kimse çözemedi. Sen de.</t>
        </is>
      </c>
      <c r="L229" s="6" t="inlineStr"/>
      <c r="M229" s="5" t="inlineStr"/>
      <c r="N229" s="5" t="inlineStr"/>
      <c r="O229" s="6" t="inlineStr"/>
      <c r="P229" s="6" t="inlineStr"/>
      <c r="Q229" s="5" t="inlineStr"/>
      <c r="R229" s="5" t="inlineStr"/>
      <c r="S229" s="5" t="inlineStr"/>
      <c r="T229" s="5" t="inlineStr"/>
      <c r="U229" s="5" t="inlineStr"/>
      <c r="V229" s="5" t="inlineStr"/>
      <c r="W229" s="5" t="inlineStr"/>
      <c r="X229" s="5" t="inlineStr"/>
      <c r="Y229" s="5" t="inlineStr"/>
      <c r="Z229" s="6" t="inlineStr"/>
    </row>
    <row r="230">
      <c r="A230" s="5" t="inlineStr">
        <is>
          <t>b4-ilk-hoslanti</t>
        </is>
      </c>
      <c r="B230" s="5" t="n">
        <v>4</v>
      </c>
      <c r="C230" s="6" t="inlineStr">
        <is>
          <t>Ortak arkadaşa sor</t>
        </is>
      </c>
      <c r="D230" s="5" t="inlineStr">
        <is>
          <t>Sosyal Radar</t>
        </is>
      </c>
      <c r="E230" s="5" t="inlineStr">
        <is>
          <t>Kolay</t>
        </is>
      </c>
      <c r="F230" s="5" t="inlineStr"/>
      <c r="G230" s="6" t="inlineStr"/>
      <c r="H230" s="6" t="inlineStr">
        <is>
          <t>Ortak arkadaş bilgi getirdi: 'O da senin hikâyeni ilk izleyen oluyormuş.' İstihbarat olumlu.</t>
        </is>
      </c>
      <c r="I230" s="6" t="inlineStr">
        <is>
          <t>Ortak arkadaş ortamı öyle hazırladı ki teneffüste yanınıza iki kişilik boşluk bırakıldı.</t>
        </is>
      </c>
      <c r="J230" s="6" t="inlineStr">
        <is>
          <t>Ortak arkadaş 'Bilmiyorum, sorayım mı?' dedi. Sormamasını rica ettin. Sordu.</t>
        </is>
      </c>
      <c r="K230" s="6" t="inlineStr">
        <is>
          <t>Ortak arkadaş soruyu olduğu gibi iletti. İmla hatasıyla.</t>
        </is>
      </c>
      <c r="L230" s="6" t="inlineStr"/>
      <c r="M230" s="5" t="inlineStr"/>
      <c r="N230" s="5" t="inlineStr"/>
      <c r="O230" s="6" t="inlineStr"/>
      <c r="P230" s="6" t="inlineStr"/>
      <c r="Q230" s="5" t="inlineStr"/>
      <c r="R230" s="5" t="inlineStr"/>
      <c r="S230" s="5" t="inlineStr">
        <is>
          <t>Sosyal Radar</t>
        </is>
      </c>
      <c r="T230" s="5" t="inlineStr"/>
      <c r="U230" s="5" t="inlineStr"/>
      <c r="V230" s="5" t="inlineStr">
        <is>
          <t>ilk-mesaj</t>
        </is>
      </c>
      <c r="W230" s="5" t="inlineStr"/>
      <c r="X230" s="5" t="inlineStr"/>
      <c r="Y230" s="5" t="inlineStr"/>
      <c r="Z230" s="6" t="inlineStr"/>
    </row>
    <row r="231">
      <c r="A231" s="5" t="inlineStr">
        <is>
          <t>b4-grup-odevi</t>
        </is>
      </c>
      <c r="B231" s="5" t="n">
        <v>1</v>
      </c>
      <c r="C231" s="6" t="inlineStr">
        <is>
          <t>Hepsini sen yap</t>
        </is>
      </c>
      <c r="D231" s="5" t="inlineStr"/>
      <c r="E231" s="5" t="inlineStr"/>
      <c r="F231" s="5" t="inlineStr">
        <is>
          <t>Dayanıklılık +2</t>
        </is>
      </c>
      <c r="G231" s="6" t="inlineStr">
        <is>
          <t>Ödevi tek başına yaptın. Sunumda üç kişi 'biz' dedi. Kurumsal hayata erken giriş.</t>
        </is>
      </c>
      <c r="H231" s="6" t="inlineStr"/>
      <c r="I231" s="6" t="inlineStr"/>
      <c r="J231" s="6" t="inlineStr"/>
      <c r="K231" s="6" t="inlineStr"/>
      <c r="L231" s="6" t="inlineStr"/>
      <c r="M231" s="5" t="inlineStr"/>
      <c r="N231" s="5" t="inlineStr"/>
      <c r="O231" s="6" t="inlineStr"/>
      <c r="P231" s="6" t="inlineStr"/>
      <c r="Q231" s="5" t="inlineStr"/>
      <c r="R231" s="5" t="inlineStr"/>
      <c r="S231" s="5" t="inlineStr"/>
      <c r="T231" s="5" t="inlineStr"/>
      <c r="U231" s="5" t="inlineStr"/>
      <c r="V231" s="5" t="inlineStr"/>
      <c r="W231" s="5" t="inlineStr"/>
      <c r="X231" s="5" t="inlineStr"/>
      <c r="Y231" s="5" t="inlineStr"/>
      <c r="Z231" s="6" t="inlineStr"/>
    </row>
    <row r="232">
      <c r="A232" s="5" t="inlineStr">
        <is>
          <t>b4-grup-odevi</t>
        </is>
      </c>
      <c r="B232" s="5" t="n">
        <v>2</v>
      </c>
      <c r="C232" s="6" t="inlineStr">
        <is>
          <t>Görev dağıt</t>
        </is>
      </c>
      <c r="D232" s="5" t="inlineStr">
        <is>
          <t>Çene</t>
        </is>
      </c>
      <c r="E232" s="5" t="inlineStr">
        <is>
          <t>Zor</t>
        </is>
      </c>
      <c r="F232" s="5" t="inlineStr"/>
      <c r="G232" s="6" t="inlineStr"/>
      <c r="H232" s="6" t="inlineStr">
        <is>
          <t>Herkese bir slayt verdin. Üç slayt geldi, biri başka bir ödevdendi ama geldi.</t>
        </is>
      </c>
      <c r="I232" s="6" t="inlineStr">
        <is>
          <t>Görevleri öyle dağıttın ki herkes kendi fikriymiş gibi çalıştı. Yöneticiliğin temel ilkesi.</t>
        </is>
      </c>
      <c r="J232" s="6" t="inlineStr">
        <is>
          <t>Görev dağıttın; üç kişi 'Tamam' yazdı ve bir daha hiçbir şey yazmadı.</t>
        </is>
      </c>
      <c r="K232" s="6" t="inlineStr">
        <is>
          <t>Görev dağıttın; biri sana 'Sen de mi öğretmensin?' yazdı. Grup ondan yana çıktı. Ödev yine sende.</t>
        </is>
      </c>
      <c r="L232" s="6" t="inlineStr"/>
      <c r="M232" s="5" t="inlineStr"/>
      <c r="N232" s="5" t="inlineStr"/>
      <c r="O232" s="6" t="inlineStr"/>
      <c r="P232" s="6" t="inlineStr"/>
      <c r="Q232" s="5" t="inlineStr"/>
      <c r="R232" s="5" t="inlineStr"/>
      <c r="S232" s="5" t="inlineStr"/>
      <c r="T232" s="5" t="inlineStr">
        <is>
          <t>Grup Diplomatı</t>
        </is>
      </c>
      <c r="U232" s="5" t="inlineStr"/>
      <c r="V232" s="5" t="inlineStr"/>
      <c r="W232" s="5" t="inlineStr"/>
      <c r="X232" s="5" t="inlineStr"/>
      <c r="Y232" s="5" t="inlineStr"/>
      <c r="Z232" s="6" t="inlineStr"/>
    </row>
    <row r="233">
      <c r="A233" s="5" t="inlineStr">
        <is>
          <t>b4-grup-odevi</t>
        </is>
      </c>
      <c r="B233" s="5" t="n">
        <v>3</v>
      </c>
      <c r="C233" s="6" t="inlineStr">
        <is>
          <t>En sessiz olana alan aç</t>
        </is>
      </c>
      <c r="D233" s="5" t="inlineStr">
        <is>
          <t>Sosyal Radar</t>
        </is>
      </c>
      <c r="E233" s="5" t="inlineStr">
        <is>
          <t>Kolay</t>
        </is>
      </c>
      <c r="F233" s="5" t="inlineStr"/>
      <c r="G233" s="6" t="inlineStr"/>
      <c r="H233" s="6" t="inlineStr">
        <is>
          <t>Sessiz arkadaşa 'Sen başlar mısın?' dedin. Ertesi sabah ödev bitmişti. Kusursuz.</t>
        </is>
      </c>
      <c r="I233" s="6" t="inlineStr">
        <is>
          <t>Sessiz arkadaş ödevi bitirdi, sunumu da yaptı. Öğretmen 'Grup çalışması böyle olur' dedi. Hiç yoktu.</t>
        </is>
      </c>
      <c r="J233" s="6" t="inlineStr">
        <is>
          <t>Alan açtın; o da sessizce alanda bekledi.</t>
        </is>
      </c>
      <c r="K233" s="6" t="inlineStr">
        <is>
          <t>Alan açtın, o da ödevi yaptı ve kapağa sadece kendi adını yazdı. Haklıydı da.</t>
        </is>
      </c>
      <c r="L233" s="6" t="inlineStr"/>
      <c r="M233" s="5" t="inlineStr"/>
      <c r="N233" s="5" t="inlineStr"/>
      <c r="O233" s="6" t="inlineStr"/>
      <c r="P233" s="6" t="inlineStr"/>
      <c r="Q233" s="5" t="inlineStr"/>
      <c r="R233" s="5" t="inlineStr"/>
      <c r="S233" s="5" t="inlineStr">
        <is>
          <t>Sosyal Radar</t>
        </is>
      </c>
      <c r="T233" s="5" t="inlineStr"/>
      <c r="U233" s="5" t="inlineStr"/>
      <c r="V233" s="5" t="inlineStr"/>
      <c r="W233" s="5" t="inlineStr"/>
      <c r="X233" s="5" t="inlineStr"/>
      <c r="Y233" s="5" t="inlineStr"/>
      <c r="Z233" s="6" t="inlineStr"/>
    </row>
    <row r="234">
      <c r="A234" s="5" t="inlineStr">
        <is>
          <t>b4-grup-odevi</t>
        </is>
      </c>
      <c r="B234" s="5" t="n">
        <v>4</v>
      </c>
      <c r="C234" s="6" t="inlineStr">
        <is>
          <t>Son gece ortaya çık</t>
        </is>
      </c>
      <c r="D234" s="5" t="inlineStr">
        <is>
          <t>Pişkinlik</t>
        </is>
      </c>
      <c r="E234" s="5" t="inlineStr">
        <is>
          <t>Orta</t>
        </is>
      </c>
      <c r="F234" s="5" t="inlineStr"/>
      <c r="G234" s="6" t="inlineStr"/>
      <c r="H234" s="6" t="inlineStr">
        <is>
          <t>Gece yarısı 'Ben kapağı yaparım' yazdın. Kapak güzeldi. Katkın tescillendi.</t>
        </is>
      </c>
      <c r="I234" s="6" t="inlineStr">
        <is>
          <t>Kapağı öyle yaptın ki öğretmen sadece kapağa not verdi. En yüksek notu da sen aldın.</t>
        </is>
      </c>
      <c r="J234" s="6" t="inlineStr">
        <is>
          <t>Gece yarısı geldin; ödev çoktan bitmişti. Grup seni 'Kapak Sorumlusu' olarak kaydetti. Kapak da bitmişti.</t>
        </is>
      </c>
      <c r="K234" s="6" t="inlineStr">
        <is>
          <t>Gece yarısı geldin, yanlış dosyayı yükledin. Teslim edilen ödev: geçen yazki tatil fotoğrafların.</t>
        </is>
      </c>
      <c r="L234" s="6" t="inlineStr"/>
      <c r="M234" s="5" t="inlineStr"/>
      <c r="N234" s="5" t="inlineStr"/>
      <c r="O234" s="6" t="inlineStr"/>
      <c r="P234" s="6" t="inlineStr"/>
      <c r="Q234" s="5" t="inlineStr"/>
      <c r="R234" s="5" t="inlineStr"/>
      <c r="S234" s="5" t="inlineStr"/>
      <c r="T234" s="5" t="inlineStr"/>
      <c r="U234" s="5" t="inlineStr"/>
      <c r="V234" s="5" t="inlineStr"/>
      <c r="W234" s="5" t="inlineStr"/>
      <c r="X234" s="5" t="inlineStr"/>
      <c r="Y234" s="5" t="inlineStr"/>
      <c r="Z234" s="6" t="inlineStr"/>
    </row>
    <row r="235">
      <c r="A235" s="5" t="inlineStr">
        <is>
          <t>b4-okul-gezisi</t>
        </is>
      </c>
      <c r="B235" s="5" t="n">
        <v>1</v>
      </c>
      <c r="C235" s="6" t="inlineStr">
        <is>
          <t>Öğretmenin yanına otur</t>
        </is>
      </c>
      <c r="D235" s="5" t="inlineStr"/>
      <c r="E235" s="5" t="inlineStr"/>
      <c r="F235" s="5" t="inlineStr">
        <is>
          <t>Vicdan +1</t>
        </is>
      </c>
      <c r="G235" s="6" t="inlineStr">
        <is>
          <t>Öğretmenin yanında oturdun. Üç saat boyunca emeklilik planlarını dinledin. Değerli bir staj.</t>
        </is>
      </c>
      <c r="H235" s="6" t="inlineStr"/>
      <c r="I235" s="6" t="inlineStr"/>
      <c r="J235" s="6" t="inlineStr"/>
      <c r="K235" s="6" t="inlineStr"/>
      <c r="L235" s="6" t="inlineStr"/>
      <c r="M235" s="5" t="inlineStr"/>
      <c r="N235" s="5" t="inlineStr"/>
      <c r="O235" s="6" t="inlineStr"/>
      <c r="P235" s="6" t="inlineStr"/>
      <c r="Q235" s="5" t="inlineStr"/>
      <c r="R235" s="5" t="inlineStr"/>
      <c r="S235" s="5" t="inlineStr"/>
      <c r="T235" s="5" t="inlineStr"/>
      <c r="U235" s="5" t="inlineStr"/>
      <c r="V235" s="5" t="inlineStr"/>
      <c r="W235" s="5" t="inlineStr"/>
      <c r="X235" s="5" t="inlineStr"/>
      <c r="Y235" s="5" t="inlineStr"/>
      <c r="Z235" s="6" t="inlineStr"/>
    </row>
    <row r="236">
      <c r="A236" s="5" t="inlineStr">
        <is>
          <t>b4-okul-gezisi</t>
        </is>
      </c>
      <c r="B236" s="5" t="n">
        <v>2</v>
      </c>
      <c r="C236" s="6" t="inlineStr">
        <is>
          <t>Arka koltuğu kap</t>
        </is>
      </c>
      <c r="D236" s="5" t="inlineStr">
        <is>
          <t>Kurnazlık</t>
        </is>
      </c>
      <c r="E236" s="5" t="inlineStr">
        <is>
          <t>Orta</t>
        </is>
      </c>
      <c r="F236" s="5" t="inlineStr"/>
      <c r="G236" s="6" t="inlineStr"/>
      <c r="H236" s="6" t="inlineStr">
        <is>
          <t>Arka koltuktasın. Statü onaylandı.</t>
        </is>
      </c>
      <c r="I236" s="6" t="inlineStr">
        <is>
          <t>Arka koltuğun ortasını kaptın; otobüsün gayriresmî başkanı oldun. Şarkıları sen seçiyorsun.</t>
        </is>
      </c>
      <c r="J236" s="6" t="inlineStr">
        <is>
          <t>Arka koltuğa vardığında son yer bir çantaya verilmişti. Çanta daha popülerdi.</t>
        </is>
      </c>
      <c r="K236" s="6" t="inlineStr">
        <is>
          <t>Arka koltuğu kaptın, yol virajlıydı. Gezi fotoğraflarının hepsinde yeşilsin.</t>
        </is>
      </c>
      <c r="L236" s="6" t="inlineStr"/>
      <c r="M236" s="5" t="inlineStr"/>
      <c r="N236" s="5" t="inlineStr"/>
      <c r="O236" s="6" t="inlineStr"/>
      <c r="P236" s="6" t="inlineStr"/>
      <c r="Q236" s="5" t="inlineStr"/>
      <c r="R236" s="5" t="inlineStr"/>
      <c r="S236" s="5" t="inlineStr"/>
      <c r="T236" s="5" t="inlineStr"/>
      <c r="U236" s="5" t="inlineStr"/>
      <c r="V236" s="5" t="inlineStr"/>
      <c r="W236" s="5" t="inlineStr"/>
      <c r="X236" s="5" t="inlineStr"/>
      <c r="Y236" s="5" t="inlineStr"/>
      <c r="Z236" s="6" t="inlineStr"/>
    </row>
    <row r="237">
      <c r="A237" s="5" t="inlineStr">
        <is>
          <t>b4-okul-gezisi</t>
        </is>
      </c>
      <c r="B237" s="5" t="n">
        <v>3</v>
      </c>
      <c r="C237" s="6" t="inlineStr">
        <is>
          <t>Otobüste şarkı başlat</t>
        </is>
      </c>
      <c r="D237" s="5" t="inlineStr">
        <is>
          <t>Çene</t>
        </is>
      </c>
      <c r="E237" s="5" t="inlineStr">
        <is>
          <t>Orta</t>
        </is>
      </c>
      <c r="F237" s="5" t="inlineStr"/>
      <c r="G237" s="6" t="inlineStr"/>
      <c r="H237" s="6" t="inlineStr">
        <is>
          <t>Başlattığın şarkıyı otobüsün yarısı söyledi. Yarısı çoğunluk sayılır.</t>
        </is>
      </c>
      <c r="I237" s="6" t="inlineStr">
        <is>
          <t>Şarkı dönüş yolunda da söylendi. Şoför bile katıldı.</t>
        </is>
      </c>
      <c r="J237" s="6" t="inlineStr">
        <is>
          <t>Şarkıyı başlattın; iki kişi katıldı. İkisi de sözleri bilmiyordu.</t>
        </is>
      </c>
      <c r="K237" s="6" t="inlineStr">
        <is>
          <t>Şarkıyı başlattın; kimse katılmadı. İki saatlik yolun ilk dört dakikasıydı.</t>
        </is>
      </c>
      <c r="L237" s="6" t="inlineStr"/>
      <c r="M237" s="5" t="inlineStr"/>
      <c r="N237" s="5" t="inlineStr"/>
      <c r="O237" s="6" t="inlineStr"/>
      <c r="P237" s="6" t="inlineStr"/>
      <c r="Q237" s="5" t="inlineStr"/>
      <c r="R237" s="5" t="inlineStr"/>
      <c r="S237" s="5" t="inlineStr"/>
      <c r="T237" s="5" t="inlineStr"/>
      <c r="U237" s="5" t="inlineStr"/>
      <c r="V237" s="5" t="inlineStr"/>
      <c r="W237" s="5" t="inlineStr"/>
      <c r="X237" s="5" t="inlineStr"/>
      <c r="Y237" s="5" t="inlineStr"/>
      <c r="Z237" s="6" t="inlineStr"/>
    </row>
    <row r="238">
      <c r="A238" s="5" t="inlineStr">
        <is>
          <t>b4-okul-gezisi</t>
        </is>
      </c>
      <c r="B238" s="5" t="n">
        <v>4</v>
      </c>
      <c r="C238" s="6" t="inlineStr">
        <is>
          <t>Sayımı sen yap</t>
        </is>
      </c>
      <c r="D238" s="5" t="inlineStr">
        <is>
          <t>Akıl</t>
        </is>
      </c>
      <c r="E238" s="5" t="inlineStr">
        <is>
          <t>Kolay</t>
        </is>
      </c>
      <c r="F238" s="5" t="inlineStr"/>
      <c r="G238" s="6" t="inlineStr"/>
      <c r="H238" s="6" t="inlineStr">
        <is>
          <t>Sayımı yaptın, bir kişi eksikti. Tuvalette bulundu. Öğretmen seni yardımcı ilan etti.</t>
        </is>
      </c>
      <c r="I238" s="6" t="inlineStr">
        <is>
          <t>Sayımı yaptın, iki kişinin başka okulun otobüsüne bindiğini fark ettin. Uluslararası kriz önlendi.</t>
        </is>
      </c>
      <c r="J238" s="6" t="inlineStr">
        <is>
          <t>Sayımı yaptın, sayı yine tutmadı. Sorun metotta değilmiş.</t>
        </is>
      </c>
      <c r="K238" s="6" t="inlineStr">
        <is>
          <t>Sayımı yaptın, bir kişi eksik çıktı. Kendini saymamıştın.</t>
        </is>
      </c>
      <c r="L238" s="6" t="inlineStr"/>
      <c r="M238" s="5" t="inlineStr"/>
      <c r="N238" s="5" t="inlineStr"/>
      <c r="O238" s="6" t="inlineStr"/>
      <c r="P238" s="6" t="inlineStr"/>
      <c r="Q238" s="5" t="inlineStr">
        <is>
          <t>Organizatör</t>
        </is>
      </c>
      <c r="R238" s="5" t="inlineStr"/>
      <c r="S238" s="5" t="inlineStr"/>
      <c r="T238" s="5" t="inlineStr"/>
      <c r="U238" s="5" t="inlineStr"/>
      <c r="V238" s="5" t="inlineStr"/>
      <c r="W238" s="5" t="inlineStr"/>
      <c r="X238" s="5" t="inlineStr"/>
      <c r="Y238" s="5" t="inlineStr"/>
      <c r="Z238" s="6" t="inlineStr"/>
    </row>
    <row r="239">
      <c r="A239" s="5" t="inlineStr">
        <is>
          <t>b4-ayna</t>
        </is>
      </c>
      <c r="B239" s="5" t="n">
        <v>1</v>
      </c>
      <c r="C239" s="6" t="inlineStr">
        <is>
          <t>Saçı bırak, çık</t>
        </is>
      </c>
      <c r="D239" s="5" t="inlineStr"/>
      <c r="E239" s="5" t="inlineStr"/>
      <c r="F239" s="5" t="inlineStr">
        <is>
          <t>Dayanıklılık +1</t>
        </is>
      </c>
      <c r="G239" s="6" t="inlineStr">
        <is>
          <t>Saçı olduğu gibi bıraktın. Kimse fark etmedi. Bu da bir cevap.</t>
        </is>
      </c>
      <c r="H239" s="6" t="inlineStr"/>
      <c r="I239" s="6" t="inlineStr"/>
      <c r="J239" s="6" t="inlineStr"/>
      <c r="K239" s="6" t="inlineStr"/>
      <c r="L239" s="6" t="inlineStr"/>
      <c r="M239" s="5" t="inlineStr"/>
      <c r="N239" s="5" t="inlineStr"/>
      <c r="O239" s="6" t="inlineStr"/>
      <c r="P239" s="6" t="inlineStr"/>
      <c r="Q239" s="5" t="inlineStr"/>
      <c r="R239" s="5" t="inlineStr"/>
      <c r="S239" s="5" t="inlineStr"/>
      <c r="T239" s="5" t="inlineStr"/>
      <c r="U239" s="5" t="inlineStr"/>
      <c r="V239" s="5" t="inlineStr"/>
      <c r="W239" s="5" t="inlineStr"/>
      <c r="X239" s="5" t="inlineStr"/>
      <c r="Y239" s="5" t="inlineStr"/>
      <c r="Z239" s="6" t="inlineStr"/>
    </row>
    <row r="240">
      <c r="A240" s="5" t="inlineStr">
        <is>
          <t>b4-ayna</t>
        </is>
      </c>
      <c r="B240" s="5" t="n">
        <v>2</v>
      </c>
      <c r="C240" s="6" t="inlineStr">
        <is>
          <t>Babanın jölesini kullan</t>
        </is>
      </c>
      <c r="D240" s="5" t="inlineStr">
        <is>
          <t>Kurnazlık</t>
        </is>
      </c>
      <c r="E240" s="5" t="inlineStr">
        <is>
          <t>Orta</t>
        </is>
      </c>
      <c r="F240" s="5" t="inlineStr"/>
      <c r="G240" s="6" t="inlineStr"/>
      <c r="H240" s="6" t="inlineStr">
        <is>
          <t>Saç yerinde, akşama kadar. Rüzgâr bile izin istiyor.</t>
        </is>
      </c>
      <c r="I240" s="6" t="inlineStr">
        <is>
          <t>Saç öyle oturdu ki sınıfta biri 'Nereye yaptırdın?' diye sordu. Cevabın: 'Babama.'</t>
        </is>
      </c>
      <c r="J240" s="6" t="inlineStr">
        <is>
          <t>Jöleyi fazla koydun. Saçın öğle arasına kadar tek parça hâlinde durdu.</t>
        </is>
      </c>
      <c r="K240" s="6" t="inlineStr">
        <is>
          <t>Jöle sandığın şey tıraş köpüğüydü. Okula bulut gibi gittin. 'Bulut' lakabı üç yıl sürdü.</t>
        </is>
      </c>
      <c r="L240" s="6" t="inlineStr"/>
      <c r="M240" s="5" t="inlineStr"/>
      <c r="N240" s="5" t="inlineStr"/>
      <c r="O240" s="6" t="inlineStr"/>
      <c r="P240" s="6" t="inlineStr"/>
      <c r="Q240" s="5" t="inlineStr"/>
      <c r="R240" s="5" t="inlineStr"/>
      <c r="S240" s="5" t="inlineStr"/>
      <c r="T240" s="5" t="inlineStr"/>
      <c r="U240" s="5" t="inlineStr"/>
      <c r="V240" s="5" t="inlineStr"/>
      <c r="W240" s="5" t="inlineStr">
        <is>
          <t>lakapli</t>
        </is>
      </c>
      <c r="X240" s="5" t="inlineStr"/>
      <c r="Y240" s="5" t="inlineStr"/>
      <c r="Z240" s="6" t="inlineStr"/>
    </row>
    <row r="241">
      <c r="A241" s="5" t="inlineStr">
        <is>
          <t>b4-ayna</t>
        </is>
      </c>
      <c r="B241" s="5" t="n">
        <v>3</v>
      </c>
      <c r="C241" s="6" t="inlineStr">
        <is>
          <t>Kuaförde yeni tarz iste</t>
        </is>
      </c>
      <c r="D241" s="5" t="inlineStr">
        <is>
          <t>Cesaret</t>
        </is>
      </c>
      <c r="E241" s="5" t="inlineStr">
        <is>
          <t>Orta</t>
        </is>
      </c>
      <c r="F241" s="5" t="inlineStr"/>
      <c r="G241" s="6" t="inlineStr"/>
      <c r="H241" s="6" t="inlineStr">
        <is>
          <t>Kuaföre fotoğraf gösterdin. Sonuç fotoğrafa benziyor. Uzaktan.</t>
        </is>
      </c>
      <c r="I241" s="6" t="inlineStr">
        <is>
          <t>Kuaför fotoğraftakinden daha iyisini yaptı. Pazartesi okulun koridoru yavaşladı.</t>
        </is>
      </c>
      <c r="J241" s="6" t="inlineStr">
        <is>
          <t>Kuaför gösterdiğin fotoğrafı yorumladı. Yorumu serbestti.</t>
        </is>
      </c>
      <c r="K241" s="6" t="inlineStr">
        <is>
          <t>Kuaför 'Güven bana' dedi. Güvendin. Sonuç, annenin gençlik fotoğrafındaki saç modeli.</t>
        </is>
      </c>
      <c r="L241" s="6" t="inlineStr"/>
      <c r="M241" s="5" t="inlineStr"/>
      <c r="N241" s="5" t="inlineStr"/>
      <c r="O241" s="6" t="inlineStr"/>
      <c r="P241" s="6" t="inlineStr"/>
      <c r="Q241" s="5" t="inlineStr"/>
      <c r="R241" s="5" t="inlineStr"/>
      <c r="S241" s="5" t="inlineStr"/>
      <c r="T241" s="5" t="inlineStr"/>
      <c r="U241" s="5" t="inlineStr"/>
      <c r="V241" s="5" t="inlineStr"/>
      <c r="W241" s="5" t="inlineStr"/>
      <c r="X241" s="5" t="inlineStr"/>
      <c r="Y241" s="5" t="inlineStr"/>
      <c r="Z241" s="6" t="inlineStr"/>
    </row>
    <row r="242">
      <c r="A242" s="5" t="inlineStr">
        <is>
          <t>b4-ayna</t>
        </is>
      </c>
      <c r="B242" s="5" t="n">
        <v>4</v>
      </c>
      <c r="C242" s="6" t="inlineStr">
        <is>
          <t>Kardeşten ayna süresi satın al</t>
        </is>
      </c>
      <c r="D242" s="5" t="inlineStr">
        <is>
          <t>Çene</t>
        </is>
      </c>
      <c r="E242" s="5" t="inlineStr">
        <is>
          <t>Kolay</t>
        </is>
      </c>
      <c r="F242" s="5" t="inlineStr"/>
      <c r="G242" s="6" t="inlineStr"/>
      <c r="H242" s="6" t="inlineStr">
        <is>
          <t>Sıradaki kardeşine beş dakika için bir çikolata verdin. İlk zaman piyasası kuruldu.</t>
        </is>
      </c>
      <c r="I242" s="6" t="inlineStr">
        <is>
          <t>Banyo sırasını bütün aileye saatlik olarak kiraladın. Sabahları trafik düzeldi.</t>
        </is>
      </c>
      <c r="J242" s="6" t="inlineStr">
        <is>
          <t>Kardeşin teklifi kabul etti, çikolatayı yedi, sırayı vermedi.</t>
        </is>
      </c>
      <c r="K242" s="6" t="inlineStr">
        <is>
          <t>Kardeşin fiyatı artırdı. Ay sonunda harçlığının yarısı banyo sırasına gidiyordu.</t>
        </is>
      </c>
      <c r="L242" s="6" t="inlineStr"/>
      <c r="M242" s="5" t="inlineStr"/>
      <c r="N242" s="5" t="inlineStr"/>
      <c r="O242" s="6" t="inlineStr"/>
      <c r="P242" s="6" t="inlineStr"/>
      <c r="Q242" s="5" t="inlineStr">
        <is>
          <t>Küçük Tüccar</t>
        </is>
      </c>
      <c r="R242" s="5" t="inlineStr"/>
      <c r="S242" s="5" t="inlineStr"/>
      <c r="T242" s="5" t="inlineStr"/>
      <c r="U242" s="5" t="inlineStr"/>
      <c r="V242" s="5" t="inlineStr"/>
      <c r="W242" s="5" t="inlineStr"/>
      <c r="X242" s="5" t="inlineStr"/>
      <c r="Y242" s="5" t="inlineStr"/>
      <c r="Z242" s="6" t="inlineStr"/>
    </row>
    <row r="243">
      <c r="A243" s="5" t="inlineStr">
        <is>
          <t>b4-bilim-fuari</t>
        </is>
      </c>
      <c r="B243" s="5" t="n">
        <v>1</v>
      </c>
      <c r="C243" s="6" t="inlineStr">
        <is>
          <t>Yanardağ yap</t>
        </is>
      </c>
      <c r="D243" s="5" t="inlineStr"/>
      <c r="E243" s="5" t="inlineStr"/>
      <c r="F243" s="5" t="inlineStr">
        <is>
          <t>Akıl +1</t>
        </is>
      </c>
      <c r="G243" s="6" t="inlineStr">
        <is>
          <t>Karbonatlı yanardağı sundun. Jüri on dördüncü kez etkilendi.</t>
        </is>
      </c>
      <c r="H243" s="6" t="inlineStr"/>
      <c r="I243" s="6" t="inlineStr"/>
      <c r="J243" s="6" t="inlineStr"/>
      <c r="K243" s="6" t="inlineStr"/>
      <c r="L243" s="6" t="inlineStr"/>
      <c r="M243" s="5" t="inlineStr"/>
      <c r="N243" s="5" t="inlineStr"/>
      <c r="O243" s="6" t="inlineStr"/>
      <c r="P243" s="6" t="inlineStr"/>
      <c r="Q243" s="5" t="inlineStr"/>
      <c r="R243" s="5" t="inlineStr"/>
      <c r="S243" s="5" t="inlineStr"/>
      <c r="T243" s="5" t="inlineStr"/>
      <c r="U243" s="5" t="inlineStr"/>
      <c r="V243" s="5" t="inlineStr"/>
      <c r="W243" s="5" t="inlineStr"/>
      <c r="X243" s="5" t="inlineStr"/>
      <c r="Y243" s="5" t="inlineStr"/>
      <c r="Z243" s="6" t="inlineStr"/>
    </row>
    <row r="244">
      <c r="A244" s="5" t="inlineStr">
        <is>
          <t>b4-bilim-fuari</t>
        </is>
      </c>
      <c r="B244" s="5" t="n">
        <v>2</v>
      </c>
      <c r="C244" s="6" t="inlineStr">
        <is>
          <t>Kendi projeni yap</t>
        </is>
      </c>
      <c r="D244" s="5" t="inlineStr">
        <is>
          <t>Akıl</t>
        </is>
      </c>
      <c r="E244" s="5" t="inlineStr">
        <is>
          <t>Zor</t>
        </is>
      </c>
      <c r="F244" s="5" t="inlineStr"/>
      <c r="G244" s="6" t="inlineStr"/>
      <c r="H244" s="6" t="inlineStr">
        <is>
          <t>Bitkilerin müziğe tepkisini ölçtün. Sonuç: tepki yok. Jüri dürüstlüğünü ödüllendirdi.</t>
        </is>
      </c>
      <c r="I244" s="6" t="inlineStr">
        <is>
          <t>Apartmanın aidat ödeme davranışını grafikledin. Birinci oldun; site yönetimi raporu istedi.</t>
        </is>
      </c>
      <c r="J244" s="6" t="inlineStr">
        <is>
          <t>Proje yetişmedi. Masada yalnızca başlık vardı: 'Hipotez'.</t>
        </is>
      </c>
      <c r="K244" s="6" t="inlineStr">
        <is>
          <t>Posterin koridor boyunca süzüldü ve müdürün kahvesine indi. Deney beklenmedik biçimde başarılı.</t>
        </is>
      </c>
      <c r="L244" s="6" t="inlineStr"/>
      <c r="M244" s="5" t="inlineStr"/>
      <c r="N244" s="5" t="inlineStr"/>
      <c r="O244" s="6" t="inlineStr"/>
      <c r="P244" s="6" t="inlineStr"/>
      <c r="Q244" s="5" t="inlineStr"/>
      <c r="R244" s="5" t="inlineStr"/>
      <c r="S244" s="5" t="inlineStr"/>
      <c r="T244" s="5" t="inlineStr"/>
      <c r="U244" s="5" t="inlineStr"/>
      <c r="V244" s="5" t="inlineStr">
        <is>
          <t>fuar-birincisi</t>
        </is>
      </c>
      <c r="W244" s="5" t="inlineStr"/>
      <c r="X244" s="5" t="inlineStr"/>
      <c r="Y244" s="5" t="inlineStr"/>
      <c r="Z244" s="6" t="inlineStr"/>
    </row>
    <row r="245">
      <c r="A245" s="5" t="inlineStr">
        <is>
          <t>b4-bilim-fuari</t>
        </is>
      </c>
      <c r="B245" s="5" t="n">
        <v>3</v>
      </c>
      <c r="C245" s="6" t="inlineStr">
        <is>
          <t>Jüriye soru sor</t>
        </is>
      </c>
      <c r="D245" s="5" t="inlineStr">
        <is>
          <t>Çene</t>
        </is>
      </c>
      <c r="E245" s="5" t="inlineStr">
        <is>
          <t>Kolay</t>
        </is>
      </c>
      <c r="F245" s="5" t="inlineStr"/>
      <c r="G245" s="6" t="inlineStr"/>
      <c r="H245" s="6" t="inlineStr">
        <is>
          <t>'Sizce neden hep yanardağ yapılıyor?' diye sordun. Jüri üyesi yirmi dakika konuştu, sonra sana puan verdi.</t>
        </is>
      </c>
      <c r="I245" s="6" t="inlineStr">
        <is>
          <t>Soru o kadar yerindeydi ki jüri üyesi seni gelecek yılın jürisine yazdı. Sen de birinci oldun.</t>
        </is>
      </c>
      <c r="J245" s="6" t="inlineStr">
        <is>
          <t>Soru sordun; jüri 'Önce senin projeni görelim' dedi. Projen yanardağdı.</t>
        </is>
      </c>
      <c r="K245" s="6" t="inlineStr">
        <is>
          <t>Soruyu sordun; jüri üyesinin kendi çocuğunun yanardağ yaptığı ortaya çıktı. İlişkiler gerildi.</t>
        </is>
      </c>
      <c r="L245" s="6" t="inlineStr"/>
      <c r="M245" s="5" t="inlineStr"/>
      <c r="N245" s="5" t="inlineStr"/>
      <c r="O245" s="6" t="inlineStr"/>
      <c r="P245" s="6" t="inlineStr"/>
      <c r="Q245" s="5" t="inlineStr"/>
      <c r="R245" s="5" t="inlineStr"/>
      <c r="S245" s="5" t="inlineStr">
        <is>
          <t>Akıl</t>
        </is>
      </c>
      <c r="T245" s="5" t="inlineStr"/>
      <c r="U245" s="5" t="inlineStr"/>
      <c r="V245" s="5" t="inlineStr">
        <is>
          <t>fuar-birincisi</t>
        </is>
      </c>
      <c r="W245" s="5" t="inlineStr"/>
      <c r="X245" s="5" t="inlineStr"/>
      <c r="Y245" s="5" t="inlineStr"/>
      <c r="Z245" s="6" t="inlineStr"/>
    </row>
    <row r="246">
      <c r="A246" s="5" t="inlineStr">
        <is>
          <t>b4-bilim-fuari</t>
        </is>
      </c>
      <c r="B246" s="5" t="n">
        <v>4</v>
      </c>
      <c r="C246" s="6" t="inlineStr">
        <is>
          <t>Başkasının projesine ortak ol</t>
        </is>
      </c>
      <c r="D246" s="5" t="inlineStr">
        <is>
          <t>Sosyal Radar</t>
        </is>
      </c>
      <c r="E246" s="5" t="inlineStr">
        <is>
          <t>Orta</t>
        </is>
      </c>
      <c r="F246" s="5" t="inlineStr"/>
      <c r="G246" s="6" t="inlineStr"/>
      <c r="H246" s="6" t="inlineStr">
        <is>
          <t>Ortaklık kurdun. Posterde adın küçük puntoyla var.</t>
        </is>
      </c>
      <c r="I246" s="6" t="inlineStr">
        <is>
          <t>Ortaklaşa birinci oldunuz. Madalyayı sen taşıdın.</t>
        </is>
      </c>
      <c r="J246" s="6" t="inlineStr">
        <is>
          <t>Ortak olduğun proje de yanardağmış.</t>
        </is>
      </c>
      <c r="K246" s="6" t="inlineStr">
        <is>
          <t>Ortak olduğun projeyi velisi yapmış. Jüri velinin adını sordu. Sen söyledin.</t>
        </is>
      </c>
      <c r="L246" s="6" t="inlineStr"/>
      <c r="M246" s="5" t="inlineStr"/>
      <c r="N246" s="5" t="inlineStr"/>
      <c r="O246" s="6" t="inlineStr"/>
      <c r="P246" s="6" t="inlineStr"/>
      <c r="Q246" s="5" t="inlineStr"/>
      <c r="R246" s="5" t="inlineStr"/>
      <c r="S246" s="5" t="inlineStr"/>
      <c r="T246" s="5" t="inlineStr"/>
      <c r="U246" s="5" t="inlineStr"/>
      <c r="V246" s="5" t="inlineStr"/>
      <c r="W246" s="5" t="inlineStr"/>
      <c r="X246" s="5" t="inlineStr"/>
      <c r="Y246" s="5" t="inlineStr"/>
      <c r="Z246" s="6" t="inlineStr"/>
    </row>
    <row r="247">
      <c r="A247" s="5" t="inlineStr">
        <is>
          <t>b4-kotu-not</t>
        </is>
      </c>
      <c r="B247" s="5" t="n">
        <v>1</v>
      </c>
      <c r="C247" s="6" t="inlineStr">
        <is>
          <t>Kâğıdı masaya koy</t>
        </is>
      </c>
      <c r="D247" s="5" t="inlineStr"/>
      <c r="E247" s="5" t="inlineStr"/>
      <c r="F247" s="5" t="inlineStr">
        <is>
          <t>Vicdan +2</t>
        </is>
      </c>
      <c r="G247" s="6" t="inlineStr">
        <is>
          <t>Kâğıdı masaya koydun. Sessizlik oldu. Sonra baban kendi karnesinden bahsetti. Ailede şeffaflık dönemi açıldı.</t>
        </is>
      </c>
      <c r="H247" s="6" t="inlineStr"/>
      <c r="I247" s="6" t="inlineStr"/>
      <c r="J247" s="6" t="inlineStr"/>
      <c r="K247" s="6" t="inlineStr"/>
      <c r="L247" s="6" t="inlineStr"/>
      <c r="M247" s="5" t="inlineStr"/>
      <c r="N247" s="5" t="inlineStr"/>
      <c r="O247" s="6" t="inlineStr"/>
      <c r="P247" s="6" t="inlineStr"/>
      <c r="Q247" s="5" t="inlineStr"/>
      <c r="R247" s="5" t="inlineStr"/>
      <c r="S247" s="5" t="inlineStr"/>
      <c r="T247" s="5" t="inlineStr"/>
      <c r="U247" s="5" t="inlineStr"/>
      <c r="V247" s="5" t="inlineStr"/>
      <c r="W247" s="5" t="inlineStr"/>
      <c r="X247" s="5" t="inlineStr"/>
      <c r="Y247" s="5" t="inlineStr"/>
      <c r="Z247" s="6" t="inlineStr"/>
    </row>
    <row r="248">
      <c r="A248" s="5" t="inlineStr">
        <is>
          <t>b4-kotu-not</t>
        </is>
      </c>
      <c r="B248" s="5" t="n">
        <v>2</v>
      </c>
      <c r="C248" s="6" t="inlineStr">
        <is>
          <t>Poker yüzünü tak</t>
        </is>
      </c>
      <c r="D248" s="5" t="inlineStr">
        <is>
          <t>Pişkinlik</t>
        </is>
      </c>
      <c r="E248" s="5" t="inlineStr">
        <is>
          <t>Zor</t>
        </is>
      </c>
      <c r="F248" s="5" t="inlineStr"/>
      <c r="G248" s="6" t="inlineStr"/>
      <c r="H248" s="6" t="inlineStr">
        <is>
          <t>Yemeğin sonuna kadar kıpırdamadın. Kâğıt çantada, sır güvende, pilav bitti.</t>
        </is>
      </c>
      <c r="I248" s="6" t="inlineStr">
        <is>
          <t>O kadar sakindin ki annen 'Bu çocuk bir şey başarmış' dedi ve tatlı çıkardı. Tatlı suçluluk tadındaydı.</t>
        </is>
      </c>
      <c r="J248" s="6" t="inlineStr">
        <is>
          <t>'Çantanda ne var?' sorusunda gözün kaydı. Çanta masaya getirildi.</t>
        </is>
      </c>
      <c r="K248" s="6" t="inlineStr">
        <is>
          <t>'Bana bak bakayım' dendiğinde 'Matematik değil!' dedin. Kimse matematik sormamıştı.</t>
        </is>
      </c>
      <c r="L248" s="6" t="inlineStr">
        <is>
          <t>Yemeği kazasız bitirdin ama annen 'Yarın konuşuruz' dedi. Duruşma ertelendi.</t>
        </is>
      </c>
      <c r="M248" s="5" t="inlineStr">
        <is>
          <t>poker</t>
        </is>
      </c>
      <c r="N248" s="5" t="inlineStr">
        <is>
          <t>Akşam Yemeği Sorgusu</t>
        </is>
      </c>
      <c r="O248" s="6" t="inlineStr">
        <is>
          <t>Parmağını daireye koy ve kıpırdatma. Sorular üstüne gelecek.</t>
        </is>
      </c>
      <c r="P248" s="6" t="inlineStr">
        <is>
          <t>{"questions": ["Okul nasıl?", "Sınavlar ne zaman?", "Neden bu kadar sessizsin?", "Çantanda ne var?", "Bana bak bakayım."]}</t>
        </is>
      </c>
      <c r="Q248" s="5" t="inlineStr"/>
      <c r="R248" s="5" t="inlineStr"/>
      <c r="S248" s="5" t="inlineStr"/>
      <c r="T248" s="5" t="inlineStr"/>
      <c r="U248" s="5" t="inlineStr"/>
      <c r="V248" s="5" t="inlineStr"/>
      <c r="W248" s="5" t="inlineStr">
        <is>
          <t>yalanci</t>
        </is>
      </c>
      <c r="X248" s="5" t="inlineStr"/>
      <c r="Y248" s="5" t="inlineStr"/>
      <c r="Z248" s="6" t="inlineStr"/>
    </row>
    <row r="249">
      <c r="A249" s="5" t="inlineStr">
        <is>
          <t>b4-kotu-not</t>
        </is>
      </c>
      <c r="B249" s="5" t="n">
        <v>3</v>
      </c>
      <c r="C249" s="6" t="inlineStr">
        <is>
          <t>İmzayı taklit et</t>
        </is>
      </c>
      <c r="D249" s="5" t="inlineStr">
        <is>
          <t>Kurnazlık</t>
        </is>
      </c>
      <c r="E249" s="5" t="inlineStr">
        <is>
          <t>Zor</t>
        </is>
      </c>
      <c r="F249" s="5" t="inlineStr"/>
      <c r="G249" s="6" t="inlineStr"/>
      <c r="H249" s="6" t="inlineStr">
        <is>
          <t>İmza kusursuz. Kâğıt teslim edildi. Kalbin biraz ağır.</t>
        </is>
      </c>
      <c r="I249" s="6" t="inlineStr">
        <is>
          <t>İmza o kadar iyiydi ki annen sonradan bir resmî evrakta seninkini örnek aldı.</t>
        </is>
      </c>
      <c r="J249" s="6" t="inlineStr">
        <is>
          <t>İmza fazla düzgündü. Öğretmen 'Annen hiç böyle imza atmaz' dedi.</t>
        </is>
      </c>
      <c r="K249" s="6" t="inlineStr">
        <is>
          <t>Annenin değil, yanlışlıkla öğretmenin imzasını taklit ettin. Öğretmen kendi imzasını tanıdı ama ikna olmadı.</t>
        </is>
      </c>
      <c r="L249" s="6" t="inlineStr"/>
      <c r="M249" s="5" t="inlineStr"/>
      <c r="N249" s="5" t="inlineStr"/>
      <c r="O249" s="6" t="inlineStr"/>
      <c r="P249" s="6" t="inlineStr"/>
      <c r="Q249" s="5" t="inlineStr">
        <is>
          <t>Açık Bulur</t>
        </is>
      </c>
      <c r="R249" s="5" t="inlineStr"/>
      <c r="S249" s="5" t="inlineStr"/>
      <c r="T249" s="5" t="inlineStr"/>
      <c r="U249" s="5" t="inlineStr"/>
      <c r="V249" s="5" t="inlineStr"/>
      <c r="W249" s="5" t="inlineStr">
        <is>
          <t>yalanci</t>
        </is>
      </c>
      <c r="X249" s="5" t="inlineStr"/>
      <c r="Y249" s="5" t="inlineStr"/>
      <c r="Z249" s="6" t="inlineStr"/>
    </row>
    <row r="250">
      <c r="A250" s="5" t="inlineStr">
        <is>
          <t>b4-kotu-not</t>
        </is>
      </c>
      <c r="B250" s="5" t="n">
        <v>4</v>
      </c>
      <c r="C250" s="6" t="inlineStr">
        <is>
          <t>Önce babaanneye göster</t>
        </is>
      </c>
      <c r="D250" s="5" t="inlineStr">
        <is>
          <t>Sosyal Radar</t>
        </is>
      </c>
      <c r="E250" s="5" t="inlineStr">
        <is>
          <t>Orta</t>
        </is>
      </c>
      <c r="F250" s="5" t="inlineStr"/>
      <c r="G250" s="6" t="inlineStr"/>
      <c r="H250" s="6" t="inlineStr">
        <is>
          <t>Babaanne kâğıda baktı: 'Babanın notlarını bir bilsen.' Kalkanın hazır.</t>
        </is>
      </c>
      <c r="I250" s="6" t="inlineStr">
        <is>
          <t>Babaanne akşam yemeğinde babanın ortaokul karnesini masaya koydu. Gündem değişti.</t>
        </is>
      </c>
      <c r="J250" s="6" t="inlineStr">
        <is>
          <t>Babaanne kâğıdı gördü ve doğrudan annene götürdü. Kalkan değil, kurye çıktı.</t>
        </is>
      </c>
      <c r="K250" s="6" t="inlineStr">
        <is>
          <t>Babaanne o kadar sevindi ki kâğıdı aile grubuna attı. 'Torunum sınava girmiş' notuyla.</t>
        </is>
      </c>
      <c r="L250" s="6" t="inlineStr"/>
      <c r="M250" s="5" t="inlineStr"/>
      <c r="N250" s="5" t="inlineStr"/>
      <c r="O250" s="6" t="inlineStr"/>
      <c r="P250" s="6" t="inlineStr"/>
      <c r="Q250" s="5" t="inlineStr"/>
      <c r="R250" s="5" t="inlineStr"/>
      <c r="S250" s="5" t="inlineStr"/>
      <c r="T250" s="5" t="inlineStr"/>
      <c r="U250" s="5" t="inlineStr"/>
      <c r="V250" s="5" t="inlineStr"/>
      <c r="W250" s="5" t="inlineStr"/>
      <c r="X250" s="5" t="inlineStr"/>
      <c r="Y250" s="5" t="inlineStr"/>
      <c r="Z250" s="6" t="inlineStr"/>
    </row>
    <row r="251">
      <c r="A251" s="5" t="inlineStr">
        <is>
          <t>b4-kedinin-hesabi</t>
        </is>
      </c>
      <c r="B251" s="5" t="n">
        <v>1</v>
      </c>
      <c r="C251" s="6" t="inlineStr">
        <is>
          <t>Kediyi rahat bırak</t>
        </is>
      </c>
      <c r="D251" s="5" t="inlineStr"/>
      <c r="E251" s="5" t="inlineStr"/>
      <c r="F251" s="5" t="inlineStr">
        <is>
          <t>Vicdan +1</t>
        </is>
      </c>
      <c r="G251" s="6" t="inlineStr">
        <is>
          <t>Hesabı kapattın. Kedi kariyerini bıraktı ve yeniden kalorifer peteğine döndü. Mutlu görünüyor.</t>
        </is>
      </c>
      <c r="H251" s="6" t="inlineStr"/>
      <c r="I251" s="6" t="inlineStr"/>
      <c r="J251" s="6" t="inlineStr"/>
      <c r="K251" s="6" t="inlineStr"/>
      <c r="L251" s="6" t="inlineStr"/>
      <c r="M251" s="5" t="inlineStr"/>
      <c r="N251" s="5" t="inlineStr"/>
      <c r="O251" s="6" t="inlineStr"/>
      <c r="P251" s="6" t="inlineStr"/>
      <c r="Q251" s="5" t="inlineStr"/>
      <c r="R251" s="5" t="inlineStr"/>
      <c r="S251" s="5" t="inlineStr"/>
      <c r="T251" s="5" t="inlineStr"/>
      <c r="U251" s="5" t="inlineStr"/>
      <c r="V251" s="5" t="inlineStr"/>
      <c r="W251" s="5" t="inlineStr"/>
      <c r="X251" s="5" t="inlineStr"/>
      <c r="Y251" s="5" t="inlineStr"/>
      <c r="Z251" s="6" t="inlineStr"/>
    </row>
    <row r="252">
      <c r="A252" s="5" t="inlineStr">
        <is>
          <t>b4-kedinin-hesabi</t>
        </is>
      </c>
      <c r="B252" s="5" t="n">
        <v>2</v>
      </c>
      <c r="C252" s="6" t="inlineStr">
        <is>
          <t>Kedinin menajeri ol</t>
        </is>
      </c>
      <c r="D252" s="5" t="inlineStr">
        <is>
          <t>Çene</t>
        </is>
      </c>
      <c r="E252" s="5" t="inlineStr">
        <is>
          <t>Orta</t>
        </is>
      </c>
      <c r="F252" s="5" t="inlineStr"/>
      <c r="G252" s="6" t="inlineStr"/>
      <c r="H252" s="6" t="inlineStr">
        <is>
          <t>Bir mama firması iki koli mama gönderdi. Menajer payın: bir koli. Yemedin.</t>
        </is>
      </c>
      <c r="I252" s="6" t="inlineStr">
        <is>
          <t>Kedinin takvimi dolu. Sabah çekim, öğlen uyku, akşam kutu açılışı. Sen artık kedinin asistanısın.</t>
        </is>
      </c>
      <c r="J252" s="6" t="inlineStr">
        <is>
          <t>Kedi çekimlere gelmedi. Menajer olarak ilk krizin, oyuncunun kanepenin altında olması.</t>
        </is>
      </c>
      <c r="K252" s="6" t="inlineStr">
        <is>
          <t>Kedi çekim sırasında kamerayı masadan itti. Video en çok izlenen videon oldu. Senin telefonun kırıldı.</t>
        </is>
      </c>
      <c r="L252" s="6" t="inlineStr"/>
      <c r="M252" s="5" t="inlineStr"/>
      <c r="N252" s="5" t="inlineStr"/>
      <c r="O252" s="6" t="inlineStr"/>
      <c r="P252" s="6" t="inlineStr"/>
      <c r="Q252" s="5" t="inlineStr"/>
      <c r="R252" s="5" t="inlineStr"/>
      <c r="S252" s="5" t="inlineStr"/>
      <c r="T252" s="5" t="inlineStr"/>
      <c r="U252" s="5" t="inlineStr"/>
      <c r="V252" s="5" t="inlineStr">
        <is>
          <t>fenomen</t>
        </is>
      </c>
      <c r="W252" s="5" t="inlineStr"/>
      <c r="X252" s="5" t="inlineStr"/>
      <c r="Y252" s="5" t="inlineStr"/>
      <c r="Z252" s="6" t="inlineStr"/>
    </row>
    <row r="253">
      <c r="A253" s="5" t="inlineStr">
        <is>
          <t>b4-kedinin-hesabi</t>
        </is>
      </c>
      <c r="B253" s="5" t="n">
        <v>3</v>
      </c>
      <c r="C253" s="6" t="inlineStr">
        <is>
          <t>Kendin de kadraja gir</t>
        </is>
      </c>
      <c r="D253" s="5" t="inlineStr">
        <is>
          <t>Pişkinlik</t>
        </is>
      </c>
      <c r="E253" s="5" t="inlineStr">
        <is>
          <t>Zor</t>
        </is>
      </c>
      <c r="F253" s="5" t="inlineStr"/>
      <c r="G253" s="6" t="inlineStr"/>
      <c r="H253" s="6" t="inlineStr">
        <is>
          <t>Kediyle ortak içerik üretiyorsunuz. Yorumların yarısı sana. Yarısı iyi.</t>
        </is>
      </c>
      <c r="I253" s="6" t="inlineStr">
        <is>
          <t>Kedi ve sen: resmî ikili. Takipçiler ikinize ayrı ayrı doğum günü mesajı atıyor.</t>
        </is>
      </c>
      <c r="J253" s="6" t="inlineStr">
        <is>
          <t>Kadraja girdin; izlenmeler yarıya düştü. Veri acımasız.</t>
        </is>
      </c>
      <c r="K253" s="6" t="inlineStr">
        <is>
          <t>Yorumlar: 'Kediyi göster, arkadaki çocuk çekilsin.' Arkadaki çocuk sensin.</t>
        </is>
      </c>
      <c r="L253" s="6" t="inlineStr"/>
      <c r="M253" s="5" t="inlineStr"/>
      <c r="N253" s="5" t="inlineStr"/>
      <c r="O253" s="6" t="inlineStr"/>
      <c r="P253" s="6" t="inlineStr"/>
      <c r="Q253" s="5" t="inlineStr"/>
      <c r="R253" s="5" t="inlineStr"/>
      <c r="S253" s="5" t="inlineStr"/>
      <c r="T253" s="5" t="inlineStr"/>
      <c r="U253" s="5" t="inlineStr"/>
      <c r="V253" s="5" t="inlineStr">
        <is>
          <t>fenomen</t>
        </is>
      </c>
      <c r="W253" s="5" t="inlineStr"/>
      <c r="X253" s="5" t="inlineStr"/>
      <c r="Y253" s="5" t="inlineStr"/>
      <c r="Z253" s="6" t="inlineStr"/>
    </row>
    <row r="254">
      <c r="A254" s="5" t="inlineStr">
        <is>
          <t>b4-dershane</t>
        </is>
      </c>
      <c r="B254" s="5" t="n">
        <v>1</v>
      </c>
      <c r="C254" s="6" t="inlineStr">
        <is>
          <t>Kabul et</t>
        </is>
      </c>
      <c r="D254" s="5" t="inlineStr"/>
      <c r="E254" s="5" t="inlineStr"/>
      <c r="F254" s="5" t="inlineStr">
        <is>
          <t>Dayanıklılık +2</t>
        </is>
      </c>
      <c r="G254" s="6" t="inlineStr">
        <is>
          <t>Kayıt yapıldı. Cumartesi sabahların resmen tahsis edildi.</t>
        </is>
      </c>
      <c r="H254" s="6" t="inlineStr"/>
      <c r="I254" s="6" t="inlineStr"/>
      <c r="J254" s="6" t="inlineStr"/>
      <c r="K254" s="6" t="inlineStr"/>
      <c r="L254" s="6" t="inlineStr"/>
      <c r="M254" s="5" t="inlineStr"/>
      <c r="N254" s="5" t="inlineStr"/>
      <c r="O254" s="6" t="inlineStr"/>
      <c r="P254" s="6" t="inlineStr"/>
      <c r="Q254" s="5" t="inlineStr"/>
      <c r="R254" s="5" t="inlineStr"/>
      <c r="S254" s="5" t="inlineStr"/>
      <c r="T254" s="5" t="inlineStr"/>
      <c r="U254" s="5" t="inlineStr">
        <is>
          <t>dershaneli</t>
        </is>
      </c>
      <c r="V254" s="5" t="inlineStr"/>
      <c r="W254" s="5" t="inlineStr"/>
      <c r="X254" s="5" t="inlineStr"/>
      <c r="Y254" s="5" t="inlineStr"/>
      <c r="Z254" s="6" t="inlineStr"/>
    </row>
    <row r="255">
      <c r="A255" s="5" t="inlineStr">
        <is>
          <t>b4-dershane</t>
        </is>
      </c>
      <c r="B255" s="5" t="n">
        <v>2</v>
      </c>
      <c r="C255" s="6" t="inlineStr">
        <is>
          <t>Özel öğretmen iste</t>
        </is>
      </c>
      <c r="D255" s="5" t="inlineStr">
        <is>
          <t>Çene</t>
        </is>
      </c>
      <c r="E255" s="5" t="inlineStr">
        <is>
          <t>Orta</t>
        </is>
      </c>
      <c r="F255" s="5" t="inlineStr"/>
      <c r="G255" s="6" t="inlineStr"/>
      <c r="H255" s="6" t="inlineStr">
        <is>
          <t>Özel öğretmen haftada iki gün geliyor ve her seferinde çayı övüyor.</t>
        </is>
      </c>
      <c r="I255" s="6" t="inlineStr">
        <is>
          <t>Özel öğretmen o kadar iyi çıktı ki ailen onu kuzenle paylaşıyor. Maliyet bölündü, prestij sende.</t>
        </is>
      </c>
      <c r="J255" s="6" t="inlineStr">
        <is>
          <t>Özel öğretmen geldi; senden çok babanla konuşuyor.</t>
        </is>
      </c>
      <c r="K255" s="6" t="inlineStr">
        <is>
          <t>Hem dershane hem özel ders geldi. Aile bütçe tablosunda senin adına yeni bir sekme açıldı.</t>
        </is>
      </c>
      <c r="L255" s="6" t="inlineStr"/>
      <c r="M255" s="5" t="inlineStr"/>
      <c r="N255" s="5" t="inlineStr"/>
      <c r="O255" s="6" t="inlineStr"/>
      <c r="P255" s="6" t="inlineStr"/>
      <c r="Q255" s="5" t="inlineStr"/>
      <c r="R255" s="5" t="inlineStr"/>
      <c r="S255" s="5" t="inlineStr"/>
      <c r="T255" s="5" t="inlineStr"/>
      <c r="U255" s="5" t="inlineStr"/>
      <c r="V255" s="5" t="inlineStr"/>
      <c r="W255" s="5" t="inlineStr">
        <is>
          <t>dershaneli</t>
        </is>
      </c>
      <c r="X255" s="5" t="inlineStr"/>
      <c r="Y255" s="5" t="inlineStr"/>
      <c r="Z255" s="6" t="inlineStr"/>
    </row>
    <row r="256">
      <c r="A256" s="5" t="inlineStr">
        <is>
          <t>b4-dershane</t>
        </is>
      </c>
      <c r="B256" s="5" t="n">
        <v>3</v>
      </c>
      <c r="C256" s="6" t="inlineStr">
        <is>
          <t>Kendi kendine çalışacağını söyle</t>
        </is>
      </c>
      <c r="D256" s="5" t="inlineStr">
        <is>
          <t>Pişkinlik</t>
        </is>
      </c>
      <c r="E256" s="5" t="inlineStr">
        <is>
          <t>Zor</t>
        </is>
      </c>
      <c r="F256" s="5" t="inlineStr"/>
      <c r="G256" s="6" t="inlineStr"/>
      <c r="H256" s="6" t="inlineStr">
        <is>
          <t>Ailen denemeye razı oldu. Üç ay süren var.</t>
        </is>
      </c>
      <c r="I256" s="6" t="inlineStr">
        <is>
          <t>Plana o kadar inandılar ki dershane parasının bir kısmı 'başarı fonu' olarak ayrıldı.</t>
        </is>
      </c>
      <c r="J256" s="6" t="inlineStr">
        <is>
          <t>Ailen seni takvime bağladı ve oda kapısına 'Açık Kalacak' kuralı getirdi.</t>
        </is>
      </c>
      <c r="K256" s="6" t="inlineStr">
        <is>
          <t>İlk deneme sonucunun ardından ailen dershaneye yıllık kayıt yaptırdı. Peşin.</t>
        </is>
      </c>
      <c r="L256" s="6" t="inlineStr"/>
      <c r="M256" s="5" t="inlineStr"/>
      <c r="N256" s="5" t="inlineStr"/>
      <c r="O256" s="6" t="inlineStr"/>
      <c r="P256" s="6" t="inlineStr"/>
      <c r="Q256" s="5" t="inlineStr"/>
      <c r="R256" s="5" t="inlineStr"/>
      <c r="S256" s="5" t="inlineStr"/>
      <c r="T256" s="5" t="inlineStr"/>
      <c r="U256" s="5" t="inlineStr"/>
      <c r="V256" s="5" t="inlineStr"/>
      <c r="W256" s="5" t="inlineStr">
        <is>
          <t>dershaneli</t>
        </is>
      </c>
      <c r="X256" s="5" t="inlineStr"/>
      <c r="Y256" s="5" t="inlineStr"/>
      <c r="Z256" s="6" t="inlineStr"/>
    </row>
    <row r="257">
      <c r="A257" s="5" t="inlineStr">
        <is>
          <t>b4-dershane</t>
        </is>
      </c>
      <c r="B257" s="5" t="n">
        <v>4</v>
      </c>
      <c r="C257" s="6" t="inlineStr">
        <is>
          <t>Kardeş ve kuzen indirimi araştır</t>
        </is>
      </c>
      <c r="D257" s="5" t="inlineStr">
        <is>
          <t>Akıl</t>
        </is>
      </c>
      <c r="E257" s="5" t="inlineStr">
        <is>
          <t>Kolay</t>
        </is>
      </c>
      <c r="F257" s="5" t="inlineStr"/>
      <c r="G257" s="6" t="inlineStr"/>
      <c r="H257" s="6" t="inlineStr">
        <is>
          <t>Kardeş, kuzen ve komşu çocuğu indirimini birleştirdin. Fiyat üçte bir düştü.</t>
        </is>
      </c>
      <c r="I257" s="6" t="inlineStr">
        <is>
          <t>İndirimleri öyle birleştirdin ki dershane sana danışmanlık teklif etti.</t>
        </is>
      </c>
      <c r="J257" s="6" t="inlineStr">
        <is>
          <t>İndirimler birleşmiyormuş. Küçük puntoda yazıyordu.</t>
        </is>
      </c>
      <c r="K257" s="6" t="inlineStr">
        <is>
          <t>İndirim için kuzenini de kaydettirdin. Kuzen her denemede senden yüksek aldı.</t>
        </is>
      </c>
      <c r="L257" s="6" t="inlineStr"/>
      <c r="M257" s="5" t="inlineStr"/>
      <c r="N257" s="5" t="inlineStr"/>
      <c r="O257" s="6" t="inlineStr"/>
      <c r="P257" s="6" t="inlineStr"/>
      <c r="Q257" s="5" t="inlineStr">
        <is>
          <t>Erken Ekonomi Bilinci</t>
        </is>
      </c>
      <c r="R257" s="5" t="inlineStr"/>
      <c r="S257" s="5" t="inlineStr"/>
      <c r="T257" s="5" t="inlineStr"/>
      <c r="U257" s="5" t="inlineStr">
        <is>
          <t>dershaneli</t>
        </is>
      </c>
      <c r="V257" s="5" t="inlineStr"/>
      <c r="W257" s="5" t="inlineStr"/>
      <c r="X257" s="5" t="inlineStr"/>
      <c r="Y257" s="5" t="inlineStr"/>
      <c r="Z257" s="6" t="inlineStr"/>
    </row>
    <row r="258">
      <c r="A258" s="5" t="inlineStr">
        <is>
          <t>b4-yanlis-grup</t>
        </is>
      </c>
      <c r="B258" s="5" t="n">
        <v>1</v>
      </c>
      <c r="C258" s="6" t="inlineStr">
        <is>
          <t>Telefonu kapat, uyu</t>
        </is>
      </c>
      <c r="D258" s="5" t="inlineStr"/>
      <c r="E258" s="5" t="inlineStr"/>
      <c r="F258" s="5" t="inlineStr">
        <is>
          <t>Dayanıklılık +1</t>
        </is>
      </c>
      <c r="G258" s="6" t="inlineStr">
        <is>
          <t>Telefonu kapatıp uyudun. Sabah grup kararını vermişti: artık yemeği sen seçiyorsun. Her gün.</t>
        </is>
      </c>
      <c r="H258" s="6" t="inlineStr"/>
      <c r="I258" s="6" t="inlineStr"/>
      <c r="J258" s="6" t="inlineStr"/>
      <c r="K258" s="6" t="inlineStr"/>
      <c r="L258" s="6" t="inlineStr"/>
      <c r="M258" s="5" t="inlineStr"/>
      <c r="N258" s="5" t="inlineStr"/>
      <c r="O258" s="6" t="inlineStr"/>
      <c r="P258" s="6" t="inlineStr"/>
      <c r="Q258" s="5" t="inlineStr"/>
      <c r="R258" s="5" t="inlineStr"/>
      <c r="S258" s="5" t="inlineStr"/>
      <c r="T258" s="5" t="inlineStr"/>
      <c r="U258" s="5" t="inlineStr">
        <is>
          <t>yanlis-grup</t>
        </is>
      </c>
      <c r="V258" s="5" t="inlineStr"/>
      <c r="W258" s="5" t="inlineStr"/>
      <c r="X258" s="5" t="inlineStr"/>
      <c r="Y258" s="5" t="inlineStr"/>
      <c r="Z258" s="6" t="inlineStr"/>
    </row>
    <row r="259">
      <c r="A259" s="5" t="inlineStr">
        <is>
          <t>b4-yanlis-grup</t>
        </is>
      </c>
      <c r="B259" s="5" t="n">
        <v>2</v>
      </c>
      <c r="C259" s="6" t="inlineStr">
        <is>
          <t>Herkesten sil</t>
        </is>
      </c>
      <c r="D259" s="5" t="inlineStr">
        <is>
          <t>Kurnazlık</t>
        </is>
      </c>
      <c r="E259" s="5" t="inlineStr">
        <is>
          <t>Orta</t>
        </is>
      </c>
      <c r="F259" s="5" t="inlineStr"/>
      <c r="G259" s="6" t="inlineStr"/>
      <c r="H259" s="6" t="inlineStr">
        <is>
          <t>Grupta yalnızca 'Bu mesaj silindi' kaldı. Aile üç gün boyunca neyin silindiğini tahmin etti.</t>
        </is>
      </c>
      <c r="I259" s="6" t="inlineStr">
        <is>
          <t>Sildin; kimse görmemişti. Tek iz, halanın 'Ne sildin?' sorusu. O da cevapsız kaldı.</t>
        </is>
      </c>
      <c r="J259" s="6" t="inlineStr">
        <is>
          <t>Sildin ama dayın çoktan ekran görüntüsü alıp altına 'Hahaha' yazmıştı.</t>
        </is>
      </c>
      <c r="K259" s="6" t="inlineStr">
        <is>
          <t>'Herkesten sil' yerine 'Benden sil'e bastın. Mesaj grupta duruyor. Sen artık göremiyorsun.</t>
        </is>
      </c>
      <c r="L259" s="6" t="inlineStr"/>
      <c r="M259" s="5" t="inlineStr"/>
      <c r="N259" s="5" t="inlineStr"/>
      <c r="O259" s="6" t="inlineStr"/>
      <c r="P259" s="6" t="inlineStr"/>
      <c r="Q259" s="5" t="inlineStr"/>
      <c r="R259" s="5" t="inlineStr"/>
      <c r="S259" s="5" t="inlineStr"/>
      <c r="T259" s="5" t="inlineStr"/>
      <c r="U259" s="5" t="inlineStr"/>
      <c r="V259" s="5" t="inlineStr"/>
      <c r="W259" s="5" t="inlineStr">
        <is>
          <t>yanlis-grup</t>
        </is>
      </c>
      <c r="X259" s="5" t="inlineStr"/>
      <c r="Y259" s="5" t="inlineStr"/>
      <c r="Z259" s="6" t="inlineStr"/>
    </row>
    <row r="260">
      <c r="A260" s="5" t="inlineStr">
        <is>
          <t>b4-yanlis-grup</t>
        </is>
      </c>
      <c r="B260" s="5" t="n">
        <v>3</v>
      </c>
      <c r="C260" s="6" t="inlineStr">
        <is>
          <t>Arkasını topla</t>
        </is>
      </c>
      <c r="D260" s="5" t="inlineStr">
        <is>
          <t>Çene</t>
        </is>
      </c>
      <c r="E260" s="5" t="inlineStr">
        <is>
          <t>Orta</t>
        </is>
      </c>
      <c r="F260" s="5" t="inlineStr"/>
      <c r="G260" s="6" t="inlineStr"/>
      <c r="H260" s="6" t="inlineStr">
        <is>
          <t>'…ve çok seviyorum!' diye ekledin. Annen kalp bıraktı. Yemek bir hafta daha tekrarlandı.</t>
        </is>
      </c>
      <c r="I260" s="6" t="inlineStr">
        <is>
          <t>Devamını öyle getirdin ki mesaj annene bir methiye oldu. Annen tarifi gruba paylaştı. Tarif yayıldı.</t>
        </is>
      </c>
      <c r="J260" s="6" t="inlineStr">
        <is>
          <t>'Şaka şaka' yazdın. Kimse gülmedi. Annen 'Görüşürüz' yazdı.</t>
        </is>
      </c>
      <c r="K260" s="6" t="inlineStr">
        <is>
          <t>Toplamaya çalışırken ikinci mesajı da yanlış gruba attın: 'Bizimkiler hiçbir şey anlamaz.'</t>
        </is>
      </c>
      <c r="L260" s="6" t="inlineStr"/>
      <c r="M260" s="5" t="inlineStr"/>
      <c r="N260" s="5" t="inlineStr"/>
      <c r="O260" s="6" t="inlineStr"/>
      <c r="P260" s="6" t="inlineStr"/>
      <c r="Q260" s="5" t="inlineStr"/>
      <c r="R260" s="5" t="inlineStr"/>
      <c r="S260" s="5" t="inlineStr"/>
      <c r="T260" s="5" t="inlineStr"/>
      <c r="U260" s="5" t="inlineStr"/>
      <c r="V260" s="5" t="inlineStr"/>
      <c r="W260" s="5" t="inlineStr">
        <is>
          <t>yanlis-grup</t>
        </is>
      </c>
      <c r="X260" s="5" t="inlineStr"/>
      <c r="Y260" s="5" t="inlineStr"/>
      <c r="Z260" s="6" t="inlineStr"/>
    </row>
    <row r="261">
      <c r="A261" s="5" t="inlineStr">
        <is>
          <t>b4-yanlis-grup</t>
        </is>
      </c>
      <c r="B261" s="5" t="n">
        <v>4</v>
      </c>
      <c r="C261" s="6" t="inlineStr">
        <is>
          <t>Annenin telefonundan da sil</t>
        </is>
      </c>
      <c r="D261" s="5" t="inlineStr">
        <is>
          <t>Kurnazlık</t>
        </is>
      </c>
      <c r="E261" s="5" t="inlineStr">
        <is>
          <t>Kolay</t>
        </is>
      </c>
      <c r="F261" s="5" t="inlineStr"/>
      <c r="G261" s="6" t="inlineStr"/>
      <c r="H261" s="6" t="inlineStr">
        <is>
          <t>Tezgâha süzüldün, telefonu çevirdin, mesajı sildin. Annen soğan doğramaya devam etti.</t>
        </is>
      </c>
      <c r="I261" s="6" t="inlineStr">
        <is>
          <t>Mesajı sildin, bir de annenin sabah attığı çiçekli günaydını beğendin. Kusursuz örtü operasyonu.</t>
        </is>
      </c>
      <c r="J261" s="6" t="inlineStr">
        <is>
          <t>Telefonu çevirdiğinde annen dönüp 'Ne arıyorsun?' dedi. 'Saat kaç?' dedin. Duvarda saat var.</t>
        </is>
      </c>
      <c r="K261" s="6" t="inlineStr">
        <is>
          <t>Telefonu çevirdin, sesli mesaj kaydı başladı. Annenin 'Ne yapıyorsun?' sorusu ve senin cevabın aile grubuna gitti.</t>
        </is>
      </c>
      <c r="L261" s="6" t="inlineStr"/>
      <c r="M261" s="5" t="inlineStr"/>
      <c r="N261" s="5" t="inlineStr"/>
      <c r="O261" s="6" t="inlineStr"/>
      <c r="P261" s="6" t="inlineStr"/>
      <c r="Q261" s="5" t="inlineStr"/>
      <c r="R261" s="5" t="inlineStr"/>
      <c r="S261" s="5" t="inlineStr">
        <is>
          <t>Kurnazlık</t>
        </is>
      </c>
      <c r="T261" s="5" t="inlineStr"/>
      <c r="U261" s="5" t="inlineStr"/>
      <c r="V261" s="5" t="inlineStr"/>
      <c r="W261" s="5" t="inlineStr"/>
      <c r="X261" s="5" t="inlineStr"/>
      <c r="Y261" s="5" t="inlineStr"/>
      <c r="Z261" s="6" t="inlineStr"/>
    </row>
    <row r="262">
      <c r="A262" s="5" t="inlineStr">
        <is>
          <t>b4-apartman-toplantisi</t>
        </is>
      </c>
      <c r="B262" s="5" t="n">
        <v>1</v>
      </c>
      <c r="C262" s="6" t="inlineStr">
        <is>
          <t>Sessizce imzala</t>
        </is>
      </c>
      <c r="D262" s="5" t="inlineStr"/>
      <c r="E262" s="5" t="inlineStr"/>
      <c r="F262" s="5" t="inlineStr">
        <is>
          <t>Vicdan +1</t>
        </is>
      </c>
      <c r="G262" s="6" t="inlineStr">
        <is>
          <t>Tutanağı imzaladın. Aidat artışını da onaylamışsın. Babanın mesajı: 'Ne yaptın?'</t>
        </is>
      </c>
      <c r="H262" s="6" t="inlineStr"/>
      <c r="I262" s="6" t="inlineStr"/>
      <c r="J262" s="6" t="inlineStr"/>
      <c r="K262" s="6" t="inlineStr"/>
      <c r="L262" s="6" t="inlineStr"/>
      <c r="M262" s="5" t="inlineStr"/>
      <c r="N262" s="5" t="inlineStr"/>
      <c r="O262" s="6" t="inlineStr"/>
      <c r="P262" s="6" t="inlineStr"/>
      <c r="Q262" s="5" t="inlineStr"/>
      <c r="R262" s="5" t="inlineStr"/>
      <c r="S262" s="5" t="inlineStr"/>
      <c r="T262" s="5" t="inlineStr"/>
      <c r="U262" s="5" t="inlineStr"/>
      <c r="V262" s="5" t="inlineStr"/>
      <c r="W262" s="5" t="inlineStr"/>
      <c r="X262" s="5" t="inlineStr"/>
      <c r="Y262" s="5" t="inlineStr"/>
      <c r="Z262" s="6" t="inlineStr"/>
    </row>
    <row r="263">
      <c r="A263" s="5" t="inlineStr">
        <is>
          <t>b4-apartman-toplantisi</t>
        </is>
      </c>
      <c r="B263" s="5" t="n">
        <v>2</v>
      </c>
      <c r="C263" s="6" t="inlineStr">
        <is>
          <t>Aidat artışına itiraz et</t>
        </is>
      </c>
      <c r="D263" s="5" t="inlineStr">
        <is>
          <t>Çene</t>
        </is>
      </c>
      <c r="E263" s="5" t="inlineStr">
        <is>
          <t>Zor</t>
        </is>
      </c>
      <c r="F263" s="5" t="inlineStr"/>
      <c r="G263" s="6" t="inlineStr"/>
      <c r="H263" s="6" t="inlineStr">
        <is>
          <t>Gerekçeli itirazın kayda geçti. Artış yarıya indi. Yönetici sana 'Kaç yaşındasın sen?' diye sordu.</t>
        </is>
      </c>
      <c r="I263" s="6" t="inlineStr">
        <is>
          <t>İtirazın öyle yerindeydi ki bir sonraki toplantıda seni denetim kuruluna önerdiler.</t>
        </is>
      </c>
      <c r="J263" s="6" t="inlineStr">
        <is>
          <t>İtiraz ettin; 'Velin gelsin' dendi.</t>
        </is>
      </c>
      <c r="K263" s="6" t="inlineStr">
        <is>
          <t>İtiraz ettin; aidat arttı ve asansör bakımı senin katınla sınırlandırıldı. Merdiven senin artık.</t>
        </is>
      </c>
      <c r="L263" s="6" t="inlineStr"/>
      <c r="M263" s="5" t="inlineStr"/>
      <c r="N263" s="5" t="inlineStr"/>
      <c r="O263" s="6" t="inlineStr"/>
      <c r="P263" s="6" t="inlineStr"/>
      <c r="Q263" s="5" t="inlineStr"/>
      <c r="R263" s="5" t="inlineStr"/>
      <c r="S263" s="5" t="inlineStr"/>
      <c r="T263" s="5" t="inlineStr"/>
      <c r="U263" s="5" t="inlineStr"/>
      <c r="V263" s="5" t="inlineStr"/>
      <c r="W263" s="5" t="inlineStr"/>
      <c r="X263" s="5" t="inlineStr"/>
      <c r="Y263" s="5" t="inlineStr"/>
      <c r="Z263" s="6" t="inlineStr"/>
    </row>
    <row r="264">
      <c r="A264" s="5" t="inlineStr">
        <is>
          <t>b4-apartman-toplantisi</t>
        </is>
      </c>
      <c r="B264" s="5" t="n">
        <v>3</v>
      </c>
      <c r="C264" s="6" t="inlineStr">
        <is>
          <t>Üçüncü kattaki teyzeyle ittifak kur</t>
        </is>
      </c>
      <c r="D264" s="5" t="inlineStr">
        <is>
          <t>Sosyal Radar</t>
        </is>
      </c>
      <c r="E264" s="5" t="inlineStr">
        <is>
          <t>Kolay</t>
        </is>
      </c>
      <c r="F264" s="5" t="inlineStr"/>
      <c r="G264" s="6" t="inlineStr"/>
      <c r="H264" s="6" t="inlineStr">
        <is>
          <t>Teyzeyle göz göze geldiniz; birlikte itiraz ettiniz. Artış ertelendi.</t>
        </is>
      </c>
      <c r="I264" s="6" t="inlineStr">
        <is>
          <t>Teyze seni yanına aldı ve sekiz daireyi arkanıza topladınız. Yönetim değişti. Teyze yönetici, sen danışman.</t>
        </is>
      </c>
      <c r="J264" s="6" t="inlineStr">
        <is>
          <t>Teyze son anda vazgeçti ve 'Ben karışmam' dedi. Sen karıştın.</t>
        </is>
      </c>
      <c r="K264" s="6" t="inlineStr">
        <is>
          <t>İttifak kurdunuz, teyze sözü aldı ve kırk dakika torunundan bahsetti. Toplantı yarın devam edecek.</t>
        </is>
      </c>
      <c r="L264" s="6" t="inlineStr"/>
      <c r="M264" s="5" t="inlineStr"/>
      <c r="N264" s="5" t="inlineStr"/>
      <c r="O264" s="6" t="inlineStr"/>
      <c r="P264" s="6" t="inlineStr"/>
      <c r="Q264" s="5" t="inlineStr"/>
      <c r="R264" s="5" t="inlineStr"/>
      <c r="S264" s="5" t="inlineStr">
        <is>
          <t>Sosyal Radar</t>
        </is>
      </c>
      <c r="T264" s="5" t="inlineStr"/>
      <c r="U264" s="5" t="inlineStr"/>
      <c r="V264" s="5" t="inlineStr"/>
      <c r="W264" s="5" t="inlineStr"/>
      <c r="X264" s="5" t="inlineStr"/>
      <c r="Y264" s="5" t="inlineStr"/>
      <c r="Z264" s="6" t="inlineStr"/>
    </row>
    <row r="265">
      <c r="A265" s="5" t="inlineStr">
        <is>
          <t>b4-apartman-toplantisi</t>
        </is>
      </c>
      <c r="B265" s="5" t="n">
        <v>4</v>
      </c>
      <c r="C265" s="6" t="inlineStr">
        <is>
          <t>Top meselesinde kendini savun</t>
        </is>
      </c>
      <c r="D265" s="5" t="inlineStr">
        <is>
          <t>Pişkinlik</t>
        </is>
      </c>
      <c r="E265" s="5" t="inlineStr">
        <is>
          <t>Orta</t>
        </is>
      </c>
      <c r="F265" s="5" t="inlineStr"/>
      <c r="G265" s="6" t="inlineStr"/>
      <c r="H265" s="6" t="inlineStr">
        <is>
          <t>'O cam olayı çocukluk dönemime aittir' dedin. Dosya kapandı.</t>
        </is>
      </c>
      <c r="I265" s="6" t="inlineStr">
        <is>
          <t>Kendini savundun, üstüne bahçeye top oynama saatleri önerdin. Kabul edildi. Yönetmelik senin eserin.</t>
        </is>
      </c>
      <c r="J265" s="6" t="inlineStr">
        <is>
          <t>Savundun; komşu teyze telefonundan o camın fotoğrafını açtı. Saklamış.</t>
        </is>
      </c>
      <c r="K265" s="6" t="inlineStr">
        <is>
          <t>Savunmanın ortasında aşağıdan bir top sesi geldi, ardından cam sesi. Sen değildin. Kimse inanmadı.</t>
        </is>
      </c>
      <c r="L265" s="6" t="inlineStr"/>
      <c r="M265" s="5" t="inlineStr"/>
      <c r="N265" s="5" t="inlineStr"/>
      <c r="O265" s="6" t="inlineStr"/>
      <c r="P265" s="6" t="inlineStr"/>
      <c r="Q265" s="5" t="inlineStr"/>
      <c r="R265" s="5" t="inlineStr">
        <is>
          <t>camKirildi</t>
        </is>
      </c>
      <c r="S265" s="5" t="inlineStr"/>
      <c r="T265" s="5" t="inlineStr"/>
      <c r="U265" s="5" t="inlineStr"/>
      <c r="V265" s="5" t="inlineStr"/>
      <c r="W265" s="5" t="inlineStr"/>
      <c r="X265" s="5" t="inlineStr"/>
      <c r="Y265" s="5" t="inlineStr"/>
      <c r="Z265" s="6" t="inlineStr"/>
    </row>
    <row r="266">
      <c r="A266" s="5" t="inlineStr">
        <is>
          <t>b4-yz-odev</t>
        </is>
      </c>
      <c r="B266" s="5" t="n">
        <v>1</v>
      </c>
      <c r="C266" s="6" t="inlineStr">
        <is>
          <t>Kendin yaz</t>
        </is>
      </c>
      <c r="D266" s="5" t="inlineStr"/>
      <c r="E266" s="5" t="inlineStr"/>
      <c r="F266" s="5" t="inlineStr">
        <is>
          <t>Vicdan +1, Akıl +1</t>
        </is>
      </c>
      <c r="G266" s="6" t="inlineStr">
        <is>
          <t>Kendin yazdın. İki imla hatası, bir dürüst cümle: 'Tatil kısaydı.' Öğretmen o cümlenin altını çizdi.</t>
        </is>
      </c>
      <c r="H266" s="6" t="inlineStr"/>
      <c r="I266" s="6" t="inlineStr"/>
      <c r="J266" s="6" t="inlineStr"/>
      <c r="K266" s="6" t="inlineStr"/>
      <c r="L266" s="6" t="inlineStr"/>
      <c r="M266" s="5" t="inlineStr"/>
      <c r="N266" s="5" t="inlineStr"/>
      <c r="O266" s="6" t="inlineStr"/>
      <c r="P266" s="6" t="inlineStr"/>
      <c r="Q266" s="5" t="inlineStr"/>
      <c r="R266" s="5" t="inlineStr"/>
      <c r="S266" s="5" t="inlineStr"/>
      <c r="T266" s="5" t="inlineStr"/>
      <c r="U266" s="5" t="inlineStr"/>
      <c r="V266" s="5" t="inlineStr"/>
      <c r="W266" s="5" t="inlineStr"/>
      <c r="X266" s="5" t="inlineStr"/>
      <c r="Y266" s="5" t="inlineStr"/>
      <c r="Z266" s="6" t="inlineStr"/>
    </row>
    <row r="267">
      <c r="A267" s="5" t="inlineStr">
        <is>
          <t>b4-yz-odev</t>
        </is>
      </c>
      <c r="B267" s="5" t="n">
        <v>2</v>
      </c>
      <c r="C267" s="6" t="inlineStr">
        <is>
          <t>Yapay zekâya yazdır</t>
        </is>
      </c>
      <c r="D267" s="5" t="inlineStr">
        <is>
          <t>Kurnazlık</t>
        </is>
      </c>
      <c r="E267" s="5" t="inlineStr">
        <is>
          <t>Orta</t>
        </is>
      </c>
      <c r="F267" s="5" t="inlineStr"/>
      <c r="G267" s="6" t="inlineStr"/>
      <c r="H267" s="6" t="inlineStr">
        <is>
          <t>Metin kusursuz. Öğretmen 'Çok gelişmişsin' dedi. İçinde bir şey sızladı, geçti.</t>
        </is>
      </c>
      <c r="I267" s="6" t="inlineStr">
        <is>
          <t>Yapay zekâya kendi imla hatalarını da ekletmeyi unutmadın. Öğretmen 'Tam senin tarzın' dedi. Tarzının artık bir yazılımı var.</t>
        </is>
      </c>
      <c r="J267" s="6" t="inlineStr">
        <is>
          <t>Metne göre tatilini yurt dışında, üç dil konuşarak geçirmişsin. Öğretmen aileni aradı ve tatili tebrik etti.</t>
        </is>
      </c>
      <c r="K267" s="6" t="inlineStr">
        <is>
          <t>Metnin son cümlesi: 'Başka bir konuda yardımcı olabilir miyim?' Öğretmen sınıfa sesli okudu.</t>
        </is>
      </c>
      <c r="L267" s="6" t="inlineStr"/>
      <c r="M267" s="5" t="inlineStr"/>
      <c r="N267" s="5" t="inlineStr"/>
      <c r="O267" s="6" t="inlineStr"/>
      <c r="P267" s="6" t="inlineStr"/>
      <c r="Q267" s="5" t="inlineStr"/>
      <c r="R267" s="5" t="inlineStr"/>
      <c r="S267" s="5" t="inlineStr"/>
      <c r="T267" s="5" t="inlineStr"/>
      <c r="U267" s="5" t="inlineStr">
        <is>
          <t>yz-odevci</t>
        </is>
      </c>
      <c r="V267" s="5" t="inlineStr"/>
      <c r="W267" s="5" t="inlineStr"/>
      <c r="X267" s="5" t="inlineStr"/>
      <c r="Y267" s="5" t="inlineStr"/>
      <c r="Z267" s="6" t="inlineStr"/>
    </row>
    <row r="268">
      <c r="A268" s="5" t="inlineStr">
        <is>
          <t>b4-yz-odev</t>
        </is>
      </c>
      <c r="B268" s="5" t="n">
        <v>3</v>
      </c>
      <c r="C268" s="6" t="inlineStr">
        <is>
          <t>Yazdır, sonra bozarak yeniden yaz</t>
        </is>
      </c>
      <c r="D268" s="5" t="inlineStr">
        <is>
          <t>Akıl</t>
        </is>
      </c>
      <c r="E268" s="5" t="inlineStr">
        <is>
          <t>Kolay</t>
        </is>
      </c>
      <c r="F268" s="5" t="inlineStr"/>
      <c r="G268" s="6" t="inlineStr"/>
      <c r="H268" s="6" t="inlineStr">
        <is>
          <t>'Ayrıca'ları sildin, iki hata ekledin. İnsan yapımı sertifikası aldın.</t>
        </is>
      </c>
      <c r="I268" s="6" t="inlineStr">
        <is>
          <t>Öyle bir yeniden yazdın ki makinenin metninden iyi oldu. Makine bile etkilenirdi.</t>
        </is>
      </c>
      <c r="J268" s="6" t="inlineStr">
        <is>
          <t>Bozarken bozdun. Metin artık ne sen, ne makine.</t>
        </is>
      </c>
      <c r="K268" s="6" t="inlineStr">
        <is>
          <t>'Ayrıca'ları sildin ama 'Bir yapay zekâ olarak ben de tatile gittim' cümlesini unuttun.</t>
        </is>
      </c>
      <c r="L268" s="6" t="inlineStr"/>
      <c r="M268" s="5" t="inlineStr"/>
      <c r="N268" s="5" t="inlineStr"/>
      <c r="O268" s="6" t="inlineStr"/>
      <c r="P268" s="6" t="inlineStr"/>
      <c r="Q268" s="5" t="inlineStr"/>
      <c r="R268" s="5" t="inlineStr"/>
      <c r="S268" s="5" t="inlineStr">
        <is>
          <t>Akıl</t>
        </is>
      </c>
      <c r="T268" s="5" t="inlineStr"/>
      <c r="U268" s="5" t="inlineStr">
        <is>
          <t>yz-odevci</t>
        </is>
      </c>
      <c r="V268" s="5" t="inlineStr"/>
      <c r="W268" s="5" t="inlineStr"/>
      <c r="X268" s="5" t="inlineStr"/>
      <c r="Y268" s="5" t="inlineStr"/>
      <c r="Z268" s="6" t="inlineStr"/>
    </row>
    <row r="269">
      <c r="A269" s="5" t="inlineStr">
        <is>
          <t>b4-yz-odev</t>
        </is>
      </c>
      <c r="B269" s="5" t="n">
        <v>4</v>
      </c>
      <c r="C269" s="6" t="inlineStr">
        <is>
          <t>Kaynak göstererek birlikte yaz</t>
        </is>
      </c>
      <c r="D269" s="5" t="inlineStr">
        <is>
          <t>Akıl</t>
        </is>
      </c>
      <c r="E269" s="5" t="inlineStr">
        <is>
          <t>Orta</t>
        </is>
      </c>
      <c r="F269" s="5" t="inlineStr"/>
      <c r="G269" s="6" t="inlineStr"/>
      <c r="H269" s="6" t="inlineStr">
        <is>
          <t>Altına 'Yapay zekâ ile birlikte hazırlanmıştır' yazdın. Öğretmen ne yapacağını bilemedi, tam not verdi.</t>
        </is>
      </c>
      <c r="I269" s="6" t="inlineStr">
        <is>
          <t>Öğretmen senden öğretmenler odasında sunum yapmanı istedi. İlk danışmanlık işin.</t>
        </is>
      </c>
      <c r="J269" s="6" t="inlineStr">
        <is>
          <t>Kaynak gösterdin; öğretmen kaynağı 'kopya' diye okudu.</t>
        </is>
      </c>
      <c r="K269" s="6" t="inlineStr">
        <is>
          <t>Okul yapay zekâ yönetmeliğini senin ödevin üzerinden yazdı. Adın Ek-1'de.</t>
        </is>
      </c>
      <c r="L269" s="6" t="inlineStr"/>
      <c r="M269" s="5" t="inlineStr"/>
      <c r="N269" s="5" t="inlineStr"/>
      <c r="O269" s="6" t="inlineStr"/>
      <c r="P269" s="6" t="inlineStr"/>
      <c r="Q269" s="5" t="inlineStr">
        <is>
          <t>Ekran Yerlisi</t>
        </is>
      </c>
      <c r="R269" s="5" t="inlineStr"/>
      <c r="S269" s="5" t="inlineStr"/>
      <c r="T269" s="5" t="inlineStr"/>
      <c r="U269" s="5" t="inlineStr"/>
      <c r="V269" s="5" t="inlineStr"/>
      <c r="W269" s="5" t="inlineStr"/>
      <c r="X269" s="5" t="inlineStr"/>
      <c r="Y269" s="5" t="inlineStr"/>
      <c r="Z269" s="6" t="inlineStr"/>
    </row>
    <row r="270">
      <c r="A270" s="5" t="inlineStr">
        <is>
          <t>b4-kisisel-oda</t>
        </is>
      </c>
      <c r="B270" s="5" t="n">
        <v>1</v>
      </c>
      <c r="C270" s="6" t="inlineStr">
        <is>
          <t>Paylaşmaya razı ol</t>
        </is>
      </c>
      <c r="D270" s="5" t="inlineStr"/>
      <c r="E270" s="5" t="inlineStr"/>
      <c r="F270" s="5" t="inlineStr">
        <is>
          <t>Vicdan +1</t>
        </is>
      </c>
      <c r="G270" s="6" t="inlineStr">
        <is>
          <t>Odayı koşu bandıyla paylaştın. Bantta kıyafetlerin, sende kurumsal bir tevazu var.</t>
        </is>
      </c>
      <c r="H270" s="6" t="inlineStr"/>
      <c r="I270" s="6" t="inlineStr"/>
      <c r="J270" s="6" t="inlineStr"/>
      <c r="K270" s="6" t="inlineStr"/>
      <c r="L270" s="6" t="inlineStr"/>
      <c r="M270" s="5" t="inlineStr"/>
      <c r="N270" s="5" t="inlineStr"/>
      <c r="O270" s="6" t="inlineStr"/>
      <c r="P270" s="6" t="inlineStr"/>
      <c r="Q270" s="5" t="inlineStr"/>
      <c r="R270" s="5" t="inlineStr"/>
      <c r="S270" s="5" t="inlineStr"/>
      <c r="T270" s="5" t="inlineStr"/>
      <c r="U270" s="5" t="inlineStr"/>
      <c r="V270" s="5" t="inlineStr"/>
      <c r="W270" s="5" t="inlineStr"/>
      <c r="X270" s="5" t="inlineStr"/>
      <c r="Y270" s="5" t="inlineStr"/>
      <c r="Z270" s="6" t="inlineStr"/>
    </row>
    <row r="271">
      <c r="A271" s="5" t="inlineStr">
        <is>
          <t>b4-kisisel-oda</t>
        </is>
      </c>
      <c r="B271" s="5" t="n">
        <v>2</v>
      </c>
      <c r="C271" s="6" t="inlineStr">
        <is>
          <t>Resmî başvuru yap</t>
        </is>
      </c>
      <c r="D271" s="5" t="inlineStr">
        <is>
          <t>Akıl</t>
        </is>
      </c>
      <c r="E271" s="5" t="inlineStr">
        <is>
          <t>Orta</t>
        </is>
      </c>
      <c r="F271" s="5" t="inlineStr"/>
      <c r="G271" s="6" t="inlineStr"/>
      <c r="H271" s="6" t="inlineStr">
        <is>
          <t>Gerekçeli, imzalı, ekli bir dilekçe verdin. Aile meclisi odayı sana tahsis etti.</t>
        </is>
      </c>
      <c r="I271" s="6" t="inlineStr">
        <is>
          <t>Dilekçene kat planı ekledin. Oda senin; kapıya kilit, sana anahtar verildi.</t>
        </is>
      </c>
      <c r="J271" s="6" t="inlineStr">
        <is>
          <t>Dilekçe değerlendirmeye alındı. Hâlâ değerlendiriliyor.</t>
        </is>
      </c>
      <c r="K271" s="6" t="inlineStr">
        <is>
          <t>Dilekçeyi koşu bandının üstüne bıraktın. Hâlâ orada; kimse bandı kullanmıyor.</t>
        </is>
      </c>
      <c r="L271" s="6" t="inlineStr"/>
      <c r="M271" s="5" t="inlineStr"/>
      <c r="N271" s="5" t="inlineStr"/>
      <c r="O271" s="6" t="inlineStr"/>
      <c r="P271" s="6" t="inlineStr"/>
      <c r="Q271" s="5" t="inlineStr"/>
      <c r="R271" s="5" t="inlineStr"/>
      <c r="S271" s="5" t="inlineStr"/>
      <c r="T271" s="5" t="inlineStr"/>
      <c r="U271" s="5" t="inlineStr"/>
      <c r="V271" s="5" t="inlineStr">
        <is>
          <t>kendi-odasi</t>
        </is>
      </c>
      <c r="W271" s="5" t="inlineStr"/>
      <c r="X271" s="5" t="inlineStr"/>
      <c r="Y271" s="5" t="inlineStr"/>
      <c r="Z271" s="6" t="inlineStr"/>
    </row>
    <row r="272">
      <c r="A272" s="5" t="inlineStr">
        <is>
          <t>b4-kisisel-oda</t>
        </is>
      </c>
      <c r="B272" s="5" t="n">
        <v>3</v>
      </c>
      <c r="C272" s="6" t="inlineStr">
        <is>
          <t>Koşu bandını delil olarak sun</t>
        </is>
      </c>
      <c r="D272" s="5" t="inlineStr">
        <is>
          <t>Çene</t>
        </is>
      </c>
      <c r="E272" s="5" t="inlineStr">
        <is>
          <t>Kolay</t>
        </is>
      </c>
      <c r="F272" s="5" t="inlineStr"/>
      <c r="G272" s="6" t="inlineStr"/>
      <c r="H272" s="6" t="inlineStr">
        <is>
          <t>'Bant iki yıldır askılık' dedin. Baban itiraz edemedi. Bant balkona sürgün edildi.</t>
        </is>
      </c>
      <c r="I272" s="6" t="inlineStr">
        <is>
          <t>Bandın üstündeki kıyafetlerin fotoğrafını aile grubuna attın. Dava tek celsede bitti.</t>
        </is>
      </c>
      <c r="J272" s="6" t="inlineStr">
        <is>
          <t>Baban o akşam bantta yürüdü. Göstermelik ama yürüdü.</t>
        </is>
      </c>
      <c r="K272" s="6" t="inlineStr">
        <is>
          <t>Baban itiraz etti, sonra spora başladı. Oda artık ev spor salonu ve sen üye değilsin.</t>
        </is>
      </c>
      <c r="L272" s="6" t="inlineStr"/>
      <c r="M272" s="5" t="inlineStr"/>
      <c r="N272" s="5" t="inlineStr"/>
      <c r="O272" s="6" t="inlineStr"/>
      <c r="P272" s="6" t="inlineStr"/>
      <c r="Q272" s="5" t="inlineStr"/>
      <c r="R272" s="5" t="inlineStr"/>
      <c r="S272" s="5" t="inlineStr">
        <is>
          <t>Çene</t>
        </is>
      </c>
      <c r="T272" s="5" t="inlineStr"/>
      <c r="U272" s="5" t="inlineStr"/>
      <c r="V272" s="5" t="inlineStr">
        <is>
          <t>kendi-odasi</t>
        </is>
      </c>
      <c r="W272" s="5" t="inlineStr"/>
      <c r="X272" s="5" t="inlineStr"/>
      <c r="Y272" s="5" t="inlineStr"/>
      <c r="Z272" s="6" t="inlineStr"/>
    </row>
    <row r="273">
      <c r="A273" s="5" t="inlineStr">
        <is>
          <t>b4-kisisel-oda</t>
        </is>
      </c>
      <c r="B273" s="5" t="n">
        <v>4</v>
      </c>
      <c r="C273" s="6" t="inlineStr">
        <is>
          <t>Kediyi odaya yerleştir</t>
        </is>
      </c>
      <c r="D273" s="5" t="inlineStr">
        <is>
          <t>Kurnazlık</t>
        </is>
      </c>
      <c r="E273" s="5" t="inlineStr">
        <is>
          <t>Orta</t>
        </is>
      </c>
      <c r="F273" s="5" t="inlineStr"/>
      <c r="G273" s="6" t="inlineStr"/>
      <c r="H273" s="6" t="inlineStr">
        <is>
          <t>Kedi odayı sahiplendi, sen de kediyi. Oda fiilen ikinizin.</t>
        </is>
      </c>
      <c r="I273" s="6" t="inlineStr">
        <is>
          <t>Kedi odadan çıkmayınca ailen odayı ikinize tapuladı. Kediye de bir yastık düştü.</t>
        </is>
      </c>
      <c r="J273" s="6" t="inlineStr">
        <is>
          <t>Kedi odayı beğenmedi, salona döndü. Seni de götürdü.</t>
        </is>
      </c>
      <c r="K273" s="6" t="inlineStr">
        <is>
          <t>Kedi odayı sahiplendi. Yalnızca kedi. Artık kapıyı ondan izin alarak açıyorsun.</t>
        </is>
      </c>
      <c r="L273" s="6" t="inlineStr"/>
      <c r="M273" s="5" t="inlineStr"/>
      <c r="N273" s="5" t="inlineStr"/>
      <c r="O273" s="6" t="inlineStr"/>
      <c r="P273" s="6" t="inlineStr"/>
      <c r="Q273" s="5" t="inlineStr"/>
      <c r="R273" s="5" t="inlineStr">
        <is>
          <t>kediGeldi</t>
        </is>
      </c>
      <c r="S273" s="5" t="inlineStr"/>
      <c r="T273" s="5" t="inlineStr"/>
      <c r="U273" s="5" t="inlineStr"/>
      <c r="V273" s="5" t="inlineStr">
        <is>
          <t>kendi-odasi</t>
        </is>
      </c>
      <c r="W273" s="5" t="inlineStr"/>
      <c r="X273" s="5" t="inlineStr"/>
      <c r="Y273" s="5" t="inlineStr"/>
      <c r="Z273" s="6" t="inlineStr"/>
    </row>
    <row r="274">
      <c r="A274" s="5" t="inlineStr">
        <is>
          <t>b4-fenomen-denemesi</t>
        </is>
      </c>
      <c r="B274" s="5" t="n">
        <v>1</v>
      </c>
      <c r="C274" s="6" t="inlineStr">
        <is>
          <t>Hesabı gizliye al</t>
        </is>
      </c>
      <c r="D274" s="5" t="inlineStr"/>
      <c r="E274" s="5" t="inlineStr"/>
      <c r="F274" s="5" t="inlineStr">
        <is>
          <t>Kurnazlık +1</t>
        </is>
      </c>
      <c r="G274" s="6" t="inlineStr">
        <is>
          <t>Hesabı gizliye aldın. 47 takipçi seçkin bir kulübe dönüştü. Üyelik kapalı.</t>
        </is>
      </c>
      <c r="H274" s="6" t="inlineStr"/>
      <c r="I274" s="6" t="inlineStr"/>
      <c r="J274" s="6" t="inlineStr"/>
      <c r="K274" s="6" t="inlineStr"/>
      <c r="L274" s="6" t="inlineStr"/>
      <c r="M274" s="5" t="inlineStr"/>
      <c r="N274" s="5" t="inlineStr"/>
      <c r="O274" s="6" t="inlineStr"/>
      <c r="P274" s="6" t="inlineStr"/>
      <c r="Q274" s="5" t="inlineStr"/>
      <c r="R274" s="5" t="inlineStr"/>
      <c r="S274" s="5" t="inlineStr"/>
      <c r="T274" s="5" t="inlineStr"/>
      <c r="U274" s="5" t="inlineStr"/>
      <c r="V274" s="5" t="inlineStr"/>
      <c r="W274" s="5" t="inlineStr"/>
      <c r="X274" s="5" t="inlineStr"/>
      <c r="Y274" s="5" t="inlineStr"/>
      <c r="Z274" s="6" t="inlineStr"/>
    </row>
    <row r="275">
      <c r="A275" s="5" t="inlineStr">
        <is>
          <t>b4-fenomen-denemesi</t>
        </is>
      </c>
      <c r="B275" s="5" t="n">
        <v>2</v>
      </c>
      <c r="C275" s="6" t="inlineStr">
        <is>
          <t>Her gün video çek</t>
        </is>
      </c>
      <c r="D275" s="5" t="inlineStr">
        <is>
          <t>Dayanıklılık</t>
        </is>
      </c>
      <c r="E275" s="5" t="inlineStr">
        <is>
          <t>Zor</t>
        </is>
      </c>
      <c r="F275" s="5" t="inlineStr"/>
      <c r="G275" s="6" t="inlineStr"/>
      <c r="H275" s="6" t="inlineStr">
        <is>
          <t>Yüz gün aralıksız paylaştın. Takipçi dört haneye çıktı. Okulda imza isteyen oldu.</t>
        </is>
      </c>
      <c r="I275" s="6" t="inlineStr">
        <is>
          <t>Bir videon patladı. Mahalle kafesi sana 'iş birliği' için bedava tost teklif etti. İlk sponsorluğun.</t>
        </is>
      </c>
      <c r="J275" s="6" t="inlineStr">
        <is>
          <t>Kırk gün paylaştın, kırk birinci gün şifreyi unuttun. İnternette şu an iki sen var.</t>
        </is>
      </c>
      <c r="K275" s="6" t="inlineStr">
        <is>
          <t>En çok izlenen videon, annenin arkadan 'Yemek soğudu!' diye bağırdığı video. Takipçiler annenin hesabını istiyor.</t>
        </is>
      </c>
      <c r="L275" s="6" t="inlineStr"/>
      <c r="M275" s="5" t="inlineStr"/>
      <c r="N275" s="5" t="inlineStr"/>
      <c r="O275" s="6" t="inlineStr"/>
      <c r="P275" s="6" t="inlineStr"/>
      <c r="Q275" s="5" t="inlineStr"/>
      <c r="R275" s="5" t="inlineStr"/>
      <c r="S275" s="5" t="inlineStr"/>
      <c r="T275" s="5" t="inlineStr"/>
      <c r="U275" s="5" t="inlineStr"/>
      <c r="V275" s="5" t="inlineStr">
        <is>
          <t>fenomen</t>
        </is>
      </c>
      <c r="W275" s="5" t="inlineStr"/>
      <c r="X275" s="5" t="inlineStr"/>
      <c r="Y275" s="5" t="inlineStr"/>
      <c r="Z275" s="6" t="inlineStr"/>
    </row>
    <row r="276">
      <c r="A276" s="5" t="inlineStr">
        <is>
          <t>b4-fenomen-denemesi</t>
        </is>
      </c>
      <c r="B276" s="5" t="n">
        <v>3</v>
      </c>
      <c r="C276" s="6" t="inlineStr">
        <is>
          <t>Tartışmalı bir görüş paylaş</t>
        </is>
      </c>
      <c r="D276" s="5" t="inlineStr">
        <is>
          <t>Pişkinlik</t>
        </is>
      </c>
      <c r="E276" s="5" t="inlineStr">
        <is>
          <t>Orta</t>
        </is>
      </c>
      <c r="F276" s="5" t="inlineStr"/>
      <c r="G276" s="6" t="inlineStr"/>
      <c r="H276" s="6" t="inlineStr">
        <is>
          <t>'Pilav, makarnanın yanında olmaz' dedin. Yorumlar savaş alanı. Takipçi üç katına çıktı.</t>
        </is>
      </c>
      <c r="I276" s="6" t="inlineStr">
        <is>
          <t>Bir yemek sayfası seni alıntıladı. Artık bir 'duruşun' var.</t>
        </is>
      </c>
      <c r="J276" s="6" t="inlineStr">
        <is>
          <t>Görüşün kimseyi kızdırmadı. Herkes zaten aynı fikirdeymiş.</t>
        </is>
      </c>
      <c r="K276" s="6" t="inlineStr">
        <is>
          <t>Görüşün teyzeni kızdırdı. Aile grubunda üç gün pilav tartışıldı; adın hiç geçmeden.</t>
        </is>
      </c>
      <c r="L276" s="6" t="inlineStr"/>
      <c r="M276" s="5" t="inlineStr"/>
      <c r="N276" s="5" t="inlineStr"/>
      <c r="O276" s="6" t="inlineStr"/>
      <c r="P276" s="6" t="inlineStr"/>
      <c r="Q276" s="5" t="inlineStr"/>
      <c r="R276" s="5" t="inlineStr"/>
      <c r="S276" s="5" t="inlineStr"/>
      <c r="T276" s="5" t="inlineStr"/>
      <c r="U276" s="5" t="inlineStr"/>
      <c r="V276" s="5" t="inlineStr">
        <is>
          <t>fenomen</t>
        </is>
      </c>
      <c r="W276" s="5" t="inlineStr"/>
      <c r="X276" s="5" t="inlineStr"/>
      <c r="Y276" s="5" t="inlineStr"/>
      <c r="Z276" s="6" t="inlineStr"/>
    </row>
    <row r="277">
      <c r="A277" s="5" t="inlineStr">
        <is>
          <t>b4-fenomen-denemesi</t>
        </is>
      </c>
      <c r="B277" s="5" t="n">
        <v>4</v>
      </c>
      <c r="C277" s="6" t="inlineStr">
        <is>
          <t>Canlı yayın aç</t>
        </is>
      </c>
      <c r="D277" s="5" t="inlineStr">
        <is>
          <t>Pişkinlik</t>
        </is>
      </c>
      <c r="E277" s="5" t="inlineStr">
        <is>
          <t>Kolay</t>
        </is>
      </c>
      <c r="F277" s="5" t="inlineStr"/>
      <c r="G277" s="6" t="inlineStr"/>
      <c r="H277" s="6" t="inlineStr">
        <is>
          <t>Canlı yayında 38 kişiyle soru-cevap yaptın. 37'si soru sordu. Bir tanesi babaannendi.</t>
        </is>
      </c>
      <c r="I277" s="6" t="inlineStr">
        <is>
          <t>Canlı yayın okul dışına taştı; sonunda 'Yarın aynı saatte' dedin ve gerçekten 400 kişi geldi.</t>
        </is>
      </c>
      <c r="J277" s="6" t="inlineStr">
        <is>
          <t>Yayın açtın, sinyal gitti. 38 kişi donmuş yüzüne baktı.</t>
        </is>
      </c>
      <c r="K277" s="6" t="inlineStr">
        <is>
          <t>Canlı yayında 'Şu an çok kişi var' dedin; baban içeri girip 'Kimle konuşuyorsun?' diye sordu. Kesit ayrıca yayıldı.</t>
        </is>
      </c>
      <c r="L277" s="6" t="inlineStr"/>
      <c r="M277" s="5" t="inlineStr"/>
      <c r="N277" s="5" t="inlineStr"/>
      <c r="O277" s="6" t="inlineStr"/>
      <c r="P277" s="6" t="inlineStr"/>
      <c r="Q277" s="5" t="inlineStr"/>
      <c r="R277" s="5" t="inlineStr"/>
      <c r="S277" s="5" t="inlineStr">
        <is>
          <t>Pişkinlik</t>
        </is>
      </c>
      <c r="T277" s="5" t="inlineStr"/>
      <c r="U277" s="5" t="inlineStr"/>
      <c r="V277" s="5" t="inlineStr">
        <is>
          <t>fenomen</t>
        </is>
      </c>
      <c r="W277" s="5" t="inlineStr"/>
      <c r="X277" s="5" t="inlineStr"/>
      <c r="Y277" s="5" t="inlineStr"/>
      <c r="Z277" s="6" t="inlineStr"/>
    </row>
    <row r="278">
      <c r="A278" s="5" t="inlineStr">
        <is>
          <t>b4-haracci-rovans</t>
        </is>
      </c>
      <c r="B278" s="5" t="n">
        <v>1</v>
      </c>
      <c r="C278" s="6" t="inlineStr">
        <is>
          <t>Yolunu değiştir</t>
        </is>
      </c>
      <c r="D278" s="5" t="inlineStr"/>
      <c r="E278" s="5" t="inlineStr"/>
      <c r="F278" s="5" t="inlineStr">
        <is>
          <t>Dayanıklılık +1</t>
        </is>
      </c>
      <c r="G278" s="6" t="inlineStr">
        <is>
          <t>Başka sokaktan döndün. O sokak artık haritanda gri. Okul yolun ömür boyu dört dakika uzun.</t>
        </is>
      </c>
      <c r="H278" s="6" t="inlineStr"/>
      <c r="I278" s="6" t="inlineStr"/>
      <c r="J278" s="6" t="inlineStr"/>
      <c r="K278" s="6" t="inlineStr"/>
      <c r="L278" s="6" t="inlineStr"/>
      <c r="M278" s="5" t="inlineStr"/>
      <c r="N278" s="5" t="inlineStr"/>
      <c r="O278" s="6" t="inlineStr"/>
      <c r="P278" s="6" t="inlineStr"/>
      <c r="Q278" s="5" t="inlineStr"/>
      <c r="R278" s="5" t="inlineStr"/>
      <c r="S278" s="5" t="inlineStr"/>
      <c r="T278" s="5" t="inlineStr"/>
      <c r="U278" s="5" t="inlineStr">
        <is>
          <t>sokak-yasagi</t>
        </is>
      </c>
      <c r="V278" s="5" t="inlineStr"/>
      <c r="W278" s="5" t="inlineStr"/>
      <c r="X278" s="5" t="inlineStr"/>
      <c r="Y278" s="5" t="inlineStr"/>
      <c r="Z278" s="6" t="inlineStr"/>
    </row>
    <row r="279">
      <c r="A279" s="5" t="inlineStr">
        <is>
          <t>b4-haracci-rovans</t>
        </is>
      </c>
      <c r="B279" s="5" t="n">
        <v>2</v>
      </c>
      <c r="C279" s="6" t="inlineStr">
        <is>
          <t>Maç teklif et</t>
        </is>
      </c>
      <c r="D279" s="5" t="inlineStr">
        <is>
          <t>Cesaret</t>
        </is>
      </c>
      <c r="E279" s="5" t="inlineStr">
        <is>
          <t>Zor</t>
        </is>
      </c>
      <c r="F279" s="5" t="inlineStr"/>
      <c r="G279" s="6" t="inlineStr"/>
      <c r="H279" s="6" t="inlineStr">
        <is>
          <t>Maç yaptınız. Kaybettin ama dik durdun. Ertesi gün selam verdiler. Kısmi barış.</t>
        </is>
      </c>
      <c r="I279" s="6" t="inlineStr">
        <is>
          <t>Maçı kazandın. Seni takıma aldılar. Artık o köşede sen de duruyorsun; sadece harçlık istemiyorsun.</t>
        </is>
      </c>
      <c r="J279" s="6" t="inlineStr">
        <is>
          <t>'Biz iddiasına oynarız' dediler. İddia bütçen yoktu.</t>
        </is>
      </c>
      <c r="K279" s="6" t="inlineStr">
        <is>
          <t>İlk vuruşta topu bakkalın camına gönderdin. Artık yalnızca haraççılar değil, bakkal da seni tanıyor.</t>
        </is>
      </c>
      <c r="L279" s="6" t="inlineStr"/>
      <c r="M279" s="5" t="inlineStr"/>
      <c r="N279" s="5" t="inlineStr"/>
      <c r="O279" s="6" t="inlineStr"/>
      <c r="P279" s="6" t="inlineStr"/>
      <c r="Q279" s="5" t="inlineStr"/>
      <c r="R279" s="5" t="inlineStr"/>
      <c r="S279" s="5" t="inlineStr"/>
      <c r="T279" s="5" t="inlineStr"/>
      <c r="U279" s="5" t="inlineStr"/>
      <c r="V279" s="5" t="inlineStr"/>
      <c r="W279" s="5" t="inlineStr">
        <is>
          <t>sokak-yasagi</t>
        </is>
      </c>
      <c r="X279" s="5" t="inlineStr"/>
      <c r="Y279" s="5" t="inlineStr"/>
      <c r="Z279" s="6" t="inlineStr"/>
    </row>
    <row r="280">
      <c r="A280" s="5" t="inlineStr">
        <is>
          <t>b4-haracci-rovans</t>
        </is>
      </c>
      <c r="B280" s="5" t="n">
        <v>3</v>
      </c>
      <c r="C280" s="6" t="inlineStr">
        <is>
          <t>Karşılarında dik dur</t>
        </is>
      </c>
      <c r="D280" s="5" t="inlineStr">
        <is>
          <t>Cesaret</t>
        </is>
      </c>
      <c r="E280" s="5" t="inlineStr">
        <is>
          <t>Kolay</t>
        </is>
      </c>
      <c r="F280" s="5" t="inlineStr"/>
      <c r="G280" s="6" t="inlineStr"/>
      <c r="H280" s="6" t="inlineStr">
        <is>
          <t>Durdun, baktın. Onlar da baktı. Sonra top oynamaya devam ettiler. Soğuk barış.</t>
        </is>
      </c>
      <c r="I280" s="6" t="inlineStr">
        <is>
          <t>İçlerinden biri 'Bu bizim eski müşteri' dedi, gülüştüler, geçtin. Mezuniyet gibi bir şey.</t>
        </is>
      </c>
      <c r="J280" s="6" t="inlineStr">
        <is>
          <t>Dik durdun; biri 'Ne bakıyorsun?' dedi. Cevabın yoktu. Yürümeye devam ettin, biraz hızlı.</t>
        </is>
      </c>
      <c r="K280" s="6" t="inlineStr">
        <is>
          <t>Dik durdun ama sesin çatladı. O günden beri köşeden geçerken arkandan ıslık çalıyorlar.</t>
        </is>
      </c>
      <c r="L280" s="6" t="inlineStr"/>
      <c r="M280" s="5" t="inlineStr"/>
      <c r="N280" s="5" t="inlineStr"/>
      <c r="O280" s="6" t="inlineStr"/>
      <c r="P280" s="6" t="inlineStr"/>
      <c r="Q280" s="5" t="inlineStr"/>
      <c r="R280" s="5" t="inlineStr"/>
      <c r="S280" s="5" t="inlineStr">
        <is>
          <t>Cesaret</t>
        </is>
      </c>
      <c r="T280" s="5" t="inlineStr"/>
      <c r="U280" s="5" t="inlineStr"/>
      <c r="V280" s="5" t="inlineStr"/>
      <c r="W280" s="5" t="inlineStr">
        <is>
          <t>lakapli</t>
        </is>
      </c>
      <c r="X280" s="5" t="inlineStr"/>
      <c r="Y280" s="5" t="inlineStr"/>
      <c r="Z280" s="6" t="inlineStr"/>
    </row>
    <row r="281">
      <c r="A281" s="5" t="inlineStr">
        <is>
          <t>b4-haracci-rovans</t>
        </is>
      </c>
      <c r="B281" s="5" t="n">
        <v>4</v>
      </c>
      <c r="C281" s="6" t="inlineStr">
        <is>
          <t>Onlara iş teklif et</t>
        </is>
      </c>
      <c r="D281" s="5" t="inlineStr">
        <is>
          <t>Çene</t>
        </is>
      </c>
      <c r="E281" s="5" t="inlineStr">
        <is>
          <t>Orta</t>
        </is>
      </c>
      <c r="F281" s="5" t="inlineStr"/>
      <c r="G281" s="6" t="inlineStr"/>
      <c r="H281" s="6" t="inlineStr">
        <is>
          <t>Kantin sipariş servisine dağıtıcı olarak aldın. Haraç bitti, maaş başladı.</t>
        </is>
      </c>
      <c r="I281" s="6" t="inlineStr">
        <is>
          <t>Üçü de artık senin için çalışıyor. Mahalle ekonomisinde dikey entegrasyon.</t>
        </is>
      </c>
      <c r="J281" s="6" t="inlineStr">
        <is>
          <t>'Biz çalışmayız' dediler. Bu, haraç işinin temel prensibiymiş.</t>
        </is>
      </c>
      <c r="K281" s="6" t="inlineStr">
        <is>
          <t>İş teklif ettin; kabul ettiler, ilk gün kasayı alıp gittiler. Tecrübe böyle kazanılır.</t>
        </is>
      </c>
      <c r="L281" s="6" t="inlineStr"/>
      <c r="M281" s="5" t="inlineStr"/>
      <c r="N281" s="5" t="inlineStr"/>
      <c r="O281" s="6" t="inlineStr"/>
      <c r="P281" s="6" t="inlineStr"/>
      <c r="Q281" s="5" t="inlineStr">
        <is>
          <t>Kantin Ekonomisti</t>
        </is>
      </c>
      <c r="R281" s="5" t="inlineStr"/>
      <c r="S281" s="5" t="inlineStr"/>
      <c r="T281" s="5" t="inlineStr"/>
      <c r="U281" s="5" t="inlineStr"/>
      <c r="V281" s="5" t="inlineStr"/>
      <c r="W281" s="5" t="inlineStr"/>
      <c r="X281" s="5" t="inlineStr"/>
      <c r="Y281" s="5" t="inlineStr"/>
      <c r="Z281" s="6" t="inlineStr"/>
    </row>
    <row r="282">
      <c r="A282" s="5" t="inlineStr">
        <is>
          <t>b4-kantin-ekonomisi</t>
        </is>
      </c>
      <c r="B282" s="5" t="n">
        <v>1</v>
      </c>
      <c r="C282" s="6" t="inlineStr">
        <is>
          <t>Sandviçini evden hazırla</t>
        </is>
      </c>
      <c r="D282" s="5" t="inlineStr"/>
      <c r="E282" s="5" t="inlineStr"/>
      <c r="F282" s="5" t="inlineStr">
        <is>
          <t>Dayanıklılık +1</t>
        </is>
      </c>
      <c r="G282" s="6" t="inlineStr">
        <is>
          <t>Evden sandviç getirdin. Kâğıt havluya sarılı, kaşarı dağılmış ama bedava.</t>
        </is>
      </c>
      <c r="H282" s="6" t="inlineStr"/>
      <c r="I282" s="6" t="inlineStr"/>
      <c r="J282" s="6" t="inlineStr"/>
      <c r="K282" s="6" t="inlineStr"/>
      <c r="L282" s="6" t="inlineStr"/>
      <c r="M282" s="5" t="inlineStr"/>
      <c r="N282" s="5" t="inlineStr"/>
      <c r="O282" s="6" t="inlineStr"/>
      <c r="P282" s="6" t="inlineStr"/>
      <c r="Q282" s="5" t="inlineStr"/>
      <c r="R282" s="5" t="inlineStr"/>
      <c r="S282" s="5" t="inlineStr"/>
      <c r="T282" s="5" t="inlineStr"/>
      <c r="U282" s="5" t="inlineStr"/>
      <c r="V282" s="5" t="inlineStr"/>
      <c r="W282" s="5" t="inlineStr"/>
      <c r="X282" s="5" t="inlineStr"/>
      <c r="Y282" s="5" t="inlineStr"/>
      <c r="Z282" s="6" t="inlineStr"/>
    </row>
    <row r="283">
      <c r="A283" s="5" t="inlineStr">
        <is>
          <t>b4-kantin-ekonomisi</t>
        </is>
      </c>
      <c r="B283" s="5" t="n">
        <v>2</v>
      </c>
      <c r="C283" s="6" t="inlineStr">
        <is>
          <t>Sipariş servisi kur</t>
        </is>
      </c>
      <c r="D283" s="5" t="inlineStr">
        <is>
          <t>Kurnazlık</t>
        </is>
      </c>
      <c r="E283" s="5" t="inlineStr">
        <is>
          <t>Zor</t>
        </is>
      </c>
      <c r="F283" s="5" t="inlineStr"/>
      <c r="G283" s="6" t="inlineStr"/>
      <c r="H283" s="6" t="inlineStr">
        <is>
          <t>Kuyruğun önündekine toplu sipariş verdin, arkadakilere küçük bir hizmet bedeliyle dağıttın. Aracı kurum oldun.</t>
        </is>
      </c>
      <c r="I283" s="6" t="inlineStr">
        <is>
          <t>Teneffüs başlamadan siparişler hazır. Kantinci sana ayrı bir tezgâh verdi. Bayilik aldın.</t>
        </is>
      </c>
      <c r="J283" s="6" t="inlineStr">
        <is>
          <t>Tostlar karıştı. Kaşarlı isteyen sucukluyu aldı. Müşteri memnuniyeti sıfır.</t>
        </is>
      </c>
      <c r="K283" s="6" t="inlineStr">
        <is>
          <t>Kantinci servisini fark etti. Tezgâha 'Aracı yasak' yazısı asıldı. Altında senin fotoğrafın.</t>
        </is>
      </c>
      <c r="L283" s="6" t="inlineStr"/>
      <c r="M283" s="5" t="inlineStr"/>
      <c r="N283" s="5" t="inlineStr"/>
      <c r="O283" s="6" t="inlineStr"/>
      <c r="P283" s="6" t="inlineStr"/>
      <c r="Q283" s="5" t="inlineStr"/>
      <c r="R283" s="5" t="inlineStr"/>
      <c r="S283" s="5" t="inlineStr"/>
      <c r="T283" s="5" t="inlineStr">
        <is>
          <t>Kantin Ekonomisti</t>
        </is>
      </c>
      <c r="U283" s="5" t="inlineStr"/>
      <c r="V283" s="5" t="inlineStr"/>
      <c r="W283" s="5" t="inlineStr"/>
      <c r="X283" s="5" t="inlineStr"/>
      <c r="Y283" s="5" t="inlineStr"/>
      <c r="Z283" s="6" t="inlineStr"/>
    </row>
    <row r="284">
      <c r="A284" s="5" t="inlineStr">
        <is>
          <t>b4-kantin-ekonomisi</t>
        </is>
      </c>
      <c r="B284" s="5" t="n">
        <v>3</v>
      </c>
      <c r="C284" s="6" t="inlineStr">
        <is>
          <t>Kek yap, teneffüste sat</t>
        </is>
      </c>
      <c r="D284" s="5" t="inlineStr">
        <is>
          <t>Çene</t>
        </is>
      </c>
      <c r="E284" s="5" t="inlineStr">
        <is>
          <t>Orta</t>
        </is>
      </c>
      <c r="F284" s="5" t="inlineStr"/>
      <c r="G284" s="6" t="inlineStr"/>
      <c r="H284" s="6" t="inlineStr">
        <is>
          <t>Kekler ikinci teneffüste bitti. Annenin tarifi ilk kez ticarileşti.</t>
        </is>
      </c>
      <c r="I284" s="6" t="inlineStr">
        <is>
          <t>Kekler ilk teneffüste bitti. Kantin tost fiyatını indirdi. Piyasayı sen düzenledin.</t>
        </is>
      </c>
      <c r="J284" s="6" t="inlineStr">
        <is>
          <t>Kekleri kimse almadı. Hepsini sen yedin. Kâr yok, kalori var.</t>
        </is>
      </c>
      <c r="K284" s="6" t="inlineStr">
        <is>
          <t>Müdür yardımcısı da bir dilim aldı. Sonra ruhsatını sordu.</t>
        </is>
      </c>
      <c r="L284" s="6" t="inlineStr"/>
      <c r="M284" s="5" t="inlineStr"/>
      <c r="N284" s="5" t="inlineStr"/>
      <c r="O284" s="6" t="inlineStr"/>
      <c r="P284" s="6" t="inlineStr"/>
      <c r="Q284" s="5" t="inlineStr">
        <is>
          <t>Küçük Tüccar</t>
        </is>
      </c>
      <c r="R284" s="5" t="inlineStr"/>
      <c r="S284" s="5" t="inlineStr"/>
      <c r="T284" s="5" t="inlineStr"/>
      <c r="U284" s="5" t="inlineStr"/>
      <c r="V284" s="5" t="inlineStr"/>
      <c r="W284" s="5" t="inlineStr"/>
      <c r="X284" s="5" t="inlineStr"/>
      <c r="Y284" s="5" t="inlineStr"/>
      <c r="Z284" s="6" t="inlineStr"/>
    </row>
    <row r="285">
      <c r="A285" s="5" t="inlineStr">
        <is>
          <t>b4-kantin-ekonomisi</t>
        </is>
      </c>
      <c r="B285" s="5" t="n">
        <v>4</v>
      </c>
      <c r="C285" s="6" t="inlineStr">
        <is>
          <t>Kuyrukta yer sat</t>
        </is>
      </c>
      <c r="D285" s="5" t="inlineStr">
        <is>
          <t>Kurnazlık</t>
        </is>
      </c>
      <c r="E285" s="5" t="inlineStr">
        <is>
          <t>Zor</t>
        </is>
      </c>
      <c r="F285" s="5" t="inlineStr"/>
      <c r="G285" s="6" t="inlineStr"/>
      <c r="H285" s="6" t="inlineStr">
        <is>
          <t>Yerini sattın, yeniden girdin, yine sattın. Üç teneffüste bir haftalık harçlık.</t>
        </is>
      </c>
      <c r="I285" s="6" t="inlineStr">
        <is>
          <t>Kuyrukta yer satmak için arkadaşlarını da işe aldın. Kuyruk artık bir borsa.</t>
        </is>
      </c>
      <c r="J285" s="6" t="inlineStr">
        <is>
          <t>Yerini sattın; yeniden girdiğinde kantin kapanmıştı.</t>
        </is>
      </c>
      <c r="K285" s="6" t="inlineStr">
        <is>
          <t>Yer satarken zil çaldı. Kuyruktaki kimse yemek alamadı. Sorumlu olarak sen kayda geçtin.</t>
        </is>
      </c>
      <c r="L285" s="6" t="inlineStr"/>
      <c r="M285" s="5" t="inlineStr"/>
      <c r="N285" s="5" t="inlineStr"/>
      <c r="O285" s="6" t="inlineStr"/>
      <c r="P285" s="6" t="inlineStr"/>
      <c r="Q285" s="5" t="inlineStr"/>
      <c r="R285" s="5" t="inlineStr">
        <is>
          <t>tepsiTekeli</t>
        </is>
      </c>
      <c r="S285" s="5" t="inlineStr"/>
      <c r="T285" s="5" t="inlineStr"/>
      <c r="U285" s="5" t="inlineStr"/>
      <c r="V285" s="5" t="inlineStr"/>
      <c r="W285" s="5" t="inlineStr"/>
      <c r="X285" s="5" t="inlineStr"/>
      <c r="Y285" s="5" t="inlineStr"/>
      <c r="Z285" s="6" t="inlineStr"/>
    </row>
    <row r="286">
      <c r="A286" s="5" t="inlineStr">
        <is>
          <t>b4-kantin-ekonomisi</t>
        </is>
      </c>
      <c r="B286" s="5" t="n">
        <v>5</v>
      </c>
      <c r="C286" s="6" t="inlineStr">
        <is>
          <t>Kantinciyle kaynaş</t>
        </is>
      </c>
      <c r="D286" s="5" t="inlineStr">
        <is>
          <t>Sosyal Radar</t>
        </is>
      </c>
      <c r="E286" s="5" t="inlineStr">
        <is>
          <t>Kolay</t>
        </is>
      </c>
      <c r="F286" s="5" t="inlineStr"/>
      <c r="G286" s="6" t="inlineStr"/>
      <c r="H286" s="6" t="inlineStr">
        <is>
          <t>Kantinciye adıyla selam verdin. Tostun hep bir tık daha kaşarlı geliyor.</t>
        </is>
      </c>
      <c r="I286" s="6" t="inlineStr">
        <is>
          <t>Kantinci seni kuyruktan önce alıyor. Yalnız sen biliyorsun, herkes seziyor.</t>
        </is>
      </c>
      <c r="J286" s="6" t="inlineStr">
        <is>
          <t>Kantinci selamını aldı, fiyatı aynen aldı.</t>
        </is>
      </c>
      <c r="K286" s="6" t="inlineStr">
        <is>
          <t>Kaynaştın; artık her teneffüs dert anlatıyor. Tostu soğuk yiyorsun.</t>
        </is>
      </c>
      <c r="L286" s="6" t="inlineStr"/>
      <c r="M286" s="5" t="inlineStr"/>
      <c r="N286" s="5" t="inlineStr"/>
      <c r="O286" s="6" t="inlineStr"/>
      <c r="P286" s="6" t="inlineStr"/>
      <c r="Q286" s="5" t="inlineStr"/>
      <c r="R286" s="5" t="inlineStr"/>
      <c r="S286" s="5" t="inlineStr"/>
      <c r="T286" s="5" t="inlineStr"/>
      <c r="U286" s="5" t="inlineStr"/>
      <c r="V286" s="5" t="inlineStr"/>
      <c r="W286" s="5" t="inlineStr"/>
      <c r="X286" s="5" t="inlineStr"/>
      <c r="Y286" s="5" t="inlineStr"/>
      <c r="Z286" s="6" t="inlineStr"/>
    </row>
    <row r="287">
      <c r="A287" s="5" t="inlineStr">
        <is>
          <t>b4-bayram-yatirim</t>
        </is>
      </c>
      <c r="B287" s="5" t="n">
        <v>1</v>
      </c>
      <c r="C287" s="6" t="inlineStr">
        <is>
          <t>Ailene teslim et</t>
        </is>
      </c>
      <c r="D287" s="5" t="inlineStr"/>
      <c r="E287" s="5" t="inlineStr"/>
      <c r="F287" s="5" t="inlineStr">
        <is>
          <t>Vicdan +1</t>
        </is>
      </c>
      <c r="G287" s="6" t="inlineStr">
        <is>
          <t>Para 'senin adına' bir yere konuldu. Konum gizli. Erişim yetkin yok.</t>
        </is>
      </c>
      <c r="H287" s="6" t="inlineStr"/>
      <c r="I287" s="6" t="inlineStr"/>
      <c r="J287" s="6" t="inlineStr"/>
      <c r="K287" s="6" t="inlineStr"/>
      <c r="L287" s="6" t="inlineStr"/>
      <c r="M287" s="5" t="inlineStr"/>
      <c r="N287" s="5" t="inlineStr"/>
      <c r="O287" s="6" t="inlineStr"/>
      <c r="P287" s="6" t="inlineStr"/>
      <c r="Q287" s="5" t="inlineStr"/>
      <c r="R287" s="5" t="inlineStr"/>
      <c r="S287" s="5" t="inlineStr"/>
      <c r="T287" s="5" t="inlineStr"/>
      <c r="U287" s="5" t="inlineStr"/>
      <c r="V287" s="5" t="inlineStr"/>
      <c r="W287" s="5" t="inlineStr"/>
      <c r="X287" s="5" t="inlineStr"/>
      <c r="Y287" s="5" t="inlineStr"/>
      <c r="Z287" s="6" t="inlineStr"/>
    </row>
    <row r="288">
      <c r="A288" s="5" t="inlineStr">
        <is>
          <t>b4-bayram-yatirim</t>
        </is>
      </c>
      <c r="B288" s="5" t="n">
        <v>2</v>
      </c>
      <c r="C288" s="6" t="inlineStr">
        <is>
          <t>Dijital paraya yatır</t>
        </is>
      </c>
      <c r="D288" s="5" t="inlineStr">
        <is>
          <t>Kurnazlık</t>
        </is>
      </c>
      <c r="E288" s="5" t="inlineStr">
        <is>
          <t>Zor</t>
        </is>
      </c>
      <c r="F288" s="5" t="inlineStr"/>
      <c r="G288" s="6" t="inlineStr"/>
      <c r="H288" s="6" t="inlineStr">
        <is>
          <t>İki hafta sonra yüzde otuz kârdaydın ve çıktın. Nadir görülen bir olgunluk.</t>
        </is>
      </c>
      <c r="I288" s="6" t="inlineStr">
        <is>
          <t>Tepede sattın. Arkadaşının abisi sana tavsiye sormaya başladı.</t>
        </is>
      </c>
      <c r="J288" s="6" t="inlineStr">
        <is>
          <t>Değer düştü. Arkadaşının abisinden 'Uzun vadeli düşün' mesajı geldi.</t>
        </is>
      </c>
      <c r="K288" s="6" t="inlineStr">
        <is>
          <t>Dijital paranın adı 'Mahalle Coin'di. Kurucusu arkadaşının abisiydi. Abi yeni bir telefon kullanıyor.</t>
        </is>
      </c>
      <c r="L288" s="6" t="inlineStr"/>
      <c r="M288" s="5" t="inlineStr"/>
      <c r="N288" s="5" t="inlineStr"/>
      <c r="O288" s="6" t="inlineStr"/>
      <c r="P288" s="6" t="inlineStr"/>
      <c r="Q288" s="5" t="inlineStr"/>
      <c r="R288" s="5" t="inlineStr"/>
      <c r="S288" s="5" t="inlineStr"/>
      <c r="T288" s="5" t="inlineStr"/>
      <c r="U288" s="5" t="inlineStr"/>
      <c r="V288" s="5" t="inlineStr"/>
      <c r="W288" s="5" t="inlineStr"/>
      <c r="X288" s="5" t="inlineStr"/>
      <c r="Y288" s="5" t="inlineStr"/>
      <c r="Z288" s="6" t="inlineStr"/>
    </row>
    <row r="289">
      <c r="A289" s="5" t="inlineStr">
        <is>
          <t>b4-bayram-yatirim</t>
        </is>
      </c>
      <c r="B289" s="5" t="n">
        <v>3</v>
      </c>
      <c r="C289" s="6" t="inlineStr">
        <is>
          <t>Kumbarada tut</t>
        </is>
      </c>
      <c r="D289" s="5" t="inlineStr">
        <is>
          <t>Akıl</t>
        </is>
      </c>
      <c r="E289" s="5" t="inlineStr">
        <is>
          <t>Kolay</t>
        </is>
      </c>
      <c r="F289" s="5" t="inlineStr"/>
      <c r="G289" s="6" t="inlineStr"/>
      <c r="H289" s="6" t="inlineStr">
        <is>
          <t>Kumbara ağırlaştı. Getiri yok ama kayıp da yok. Klasik yastık altı.</t>
        </is>
      </c>
      <c r="I289" s="6" t="inlineStr">
        <is>
          <t>Kumbarayı enflasyona karşı altına yatırmak için babaanneyle ortaklık kurdun. Babaanne bu işte ustaymış.</t>
        </is>
      </c>
      <c r="J289" s="6" t="inlineStr">
        <is>
          <t>Kumbarada tuttun. Bir yıl sonra aynı para bir tost daha az ediyordu.</t>
        </is>
      </c>
      <c r="K289" s="6" t="inlineStr">
        <is>
          <t>Kumbarayı sakladığın yeri kuzenin yine buldu. Kuzen artık bir dedektif.</t>
        </is>
      </c>
      <c r="L289" s="6" t="inlineStr"/>
      <c r="M289" s="5" t="inlineStr"/>
      <c r="N289" s="5" t="inlineStr"/>
      <c r="O289" s="6" t="inlineStr"/>
      <c r="P289" s="6" t="inlineStr"/>
      <c r="Q289" s="5" t="inlineStr">
        <is>
          <t>Yastık Altı Ekonomisti</t>
        </is>
      </c>
      <c r="R289" s="5" t="inlineStr"/>
      <c r="S289" s="5" t="inlineStr"/>
      <c r="T289" s="5" t="inlineStr"/>
      <c r="U289" s="5" t="inlineStr"/>
      <c r="V289" s="5" t="inlineStr"/>
      <c r="W289" s="5" t="inlineStr"/>
      <c r="X289" s="5" t="inlineStr"/>
      <c r="Y289" s="5" t="inlineStr"/>
      <c r="Z289" s="6" t="inlineStr"/>
    </row>
    <row r="290">
      <c r="A290" s="5" t="inlineStr">
        <is>
          <t>b4-bayram-yatirim</t>
        </is>
      </c>
      <c r="B290" s="5" t="n">
        <v>4</v>
      </c>
      <c r="C290" s="6" t="inlineStr">
        <is>
          <t>Ailene faizle borç ver</t>
        </is>
      </c>
      <c r="D290" s="5" t="inlineStr">
        <is>
          <t>Çene</t>
        </is>
      </c>
      <c r="E290" s="5" t="inlineStr">
        <is>
          <t>Orta</t>
        </is>
      </c>
      <c r="F290" s="5" t="inlineStr"/>
      <c r="G290" s="6" t="inlineStr"/>
      <c r="H290" s="6" t="inlineStr">
        <is>
          <t>Baban senet imzaladı, gülerek. Senet dolapta. Sen ciddisin.</t>
        </is>
      </c>
      <c r="I290" s="6" t="inlineStr">
        <is>
          <t>Faiz oranını pazarlıkla belirledin. Ailen her ay taksit ödüyor. Akşam yemeklerinde gergin bir kredi ilişkisi var.</t>
        </is>
      </c>
      <c r="J290" s="6" t="inlineStr">
        <is>
          <t>Geri ödeme 'ileride' olarak planlandı. İleridenin ne zaman olduğu belirtilmedi.</t>
        </is>
      </c>
      <c r="K290" s="6" t="inlineStr">
        <is>
          <t>Ailen parayı dershane taksitine saydı. Kendi eğitimini kredilendirmiş oldun.</t>
        </is>
      </c>
      <c r="L290" s="6" t="inlineStr"/>
      <c r="M290" s="5" t="inlineStr"/>
      <c r="N290" s="5" t="inlineStr"/>
      <c r="O290" s="6" t="inlineStr"/>
      <c r="P290" s="6" t="inlineStr"/>
      <c r="Q290" s="5" t="inlineStr"/>
      <c r="R290" s="5" t="inlineStr">
        <is>
          <t>ilkKelimePara</t>
        </is>
      </c>
      <c r="S290" s="5" t="inlineStr"/>
      <c r="T290" s="5" t="inlineStr"/>
      <c r="U290" s="5" t="inlineStr"/>
      <c r="V290" s="5" t="inlineStr"/>
      <c r="W290" s="5" t="inlineStr"/>
      <c r="X290" s="5" t="inlineStr"/>
      <c r="Y290" s="5" t="inlineStr"/>
      <c r="Z290" s="6" t="inlineStr"/>
    </row>
    <row r="291">
      <c r="A291" s="5" t="inlineStr">
        <is>
          <t>b4-ilk-bulusma</t>
        </is>
      </c>
      <c r="B291" s="5" t="n">
        <v>1</v>
      </c>
      <c r="C291" s="6" t="inlineStr">
        <is>
          <t>Grupla git</t>
        </is>
      </c>
      <c r="D291" s="5" t="inlineStr"/>
      <c r="E291" s="5" t="inlineStr"/>
      <c r="F291" s="5" t="inlineStr">
        <is>
          <t>Sosyal Radar +1</t>
        </is>
      </c>
      <c r="G291" s="6" t="inlineStr">
        <is>
          <t>Sekiz kişi gittiniz. Yan yana oturmayı başardınız. Sohbet diğer altı kişi arasında geçti.</t>
        </is>
      </c>
      <c r="H291" s="6" t="inlineStr"/>
      <c r="I291" s="6" t="inlineStr"/>
      <c r="J291" s="6" t="inlineStr"/>
      <c r="K291" s="6" t="inlineStr"/>
      <c r="L291" s="6" t="inlineStr"/>
      <c r="M291" s="5" t="inlineStr"/>
      <c r="N291" s="5" t="inlineStr"/>
      <c r="O291" s="6" t="inlineStr"/>
      <c r="P291" s="6" t="inlineStr"/>
      <c r="Q291" s="5" t="inlineStr"/>
      <c r="R291" s="5" t="inlineStr"/>
      <c r="S291" s="5" t="inlineStr"/>
      <c r="T291" s="5" t="inlineStr"/>
      <c r="U291" s="5" t="inlineStr"/>
      <c r="V291" s="5" t="inlineStr"/>
      <c r="W291" s="5" t="inlineStr"/>
      <c r="X291" s="5" t="inlineStr"/>
      <c r="Y291" s="5" t="inlineStr"/>
      <c r="Z291" s="6" t="inlineStr"/>
    </row>
    <row r="292">
      <c r="A292" s="5" t="inlineStr">
        <is>
          <t>b4-ilk-bulusma</t>
        </is>
      </c>
      <c r="B292" s="5" t="n">
        <v>2</v>
      </c>
      <c r="C292" s="6" t="inlineStr">
        <is>
          <t>Baş başa buluş</t>
        </is>
      </c>
      <c r="D292" s="5" t="inlineStr">
        <is>
          <t>Cesaret</t>
        </is>
      </c>
      <c r="E292" s="5" t="inlineStr">
        <is>
          <t>Zor</t>
        </is>
      </c>
      <c r="F292" s="5" t="inlineStr"/>
      <c r="G292" s="6" t="inlineStr"/>
      <c r="H292" s="6" t="inlineStr">
        <is>
          <t>Çarşıda dondurma yediniz. Kırk dakika, üç sessizlik, bir gülüş. Tarih yazıldı.</t>
        </is>
      </c>
      <c r="I292" s="6" t="inlineStr">
        <is>
          <t>El ele tutuştunuz. Üç saniye. Sonra ikiniz de ellerinizi cebe soktunuz ve bu konu bir daha hiç konuşulmadı.</t>
        </is>
      </c>
      <c r="J292" s="6" t="inlineStr">
        <is>
          <t>Buluştunuz. Annen tesadüfen aynı çarşıda alışveriş yapıyordu. Tesadüfen.</t>
        </is>
      </c>
      <c r="K292" s="6" t="inlineStr">
        <is>
          <t>Annen seni arabayla bıraktı, camı indirdi ve buluştuğun kişiye 'Merhaba canım, ne yiyeceksiniz?' diye sordu.</t>
        </is>
      </c>
      <c r="L292" s="6" t="inlineStr"/>
      <c r="M292" s="5" t="inlineStr"/>
      <c r="N292" s="5" t="inlineStr"/>
      <c r="O292" s="6" t="inlineStr"/>
      <c r="P292" s="6" t="inlineStr"/>
      <c r="Q292" s="5" t="inlineStr"/>
      <c r="R292" s="5" t="inlineStr"/>
      <c r="S292" s="5" t="inlineStr"/>
      <c r="T292" s="5" t="inlineStr"/>
      <c r="U292" s="5" t="inlineStr"/>
      <c r="V292" s="5" t="inlineStr"/>
      <c r="W292" s="5" t="inlineStr"/>
      <c r="X292" s="5" t="inlineStr"/>
      <c r="Y292" s="5" t="inlineStr"/>
      <c r="Z292" s="6" t="inlineStr"/>
    </row>
    <row r="293">
      <c r="A293" s="5" t="inlineStr">
        <is>
          <t>b4-ilk-bulusma</t>
        </is>
      </c>
      <c r="B293" s="5" t="n">
        <v>3</v>
      </c>
      <c r="C293" s="6" t="inlineStr">
        <is>
          <t>Mazeret uydur, ertele</t>
        </is>
      </c>
      <c r="D293" s="5" t="inlineStr">
        <is>
          <t>Kurnazlık</t>
        </is>
      </c>
      <c r="E293" s="5" t="inlineStr">
        <is>
          <t>Kolay</t>
        </is>
      </c>
      <c r="F293" s="5" t="inlineStr"/>
      <c r="G293" s="6" t="inlineStr"/>
      <c r="H293" s="6" t="inlineStr">
        <is>
          <t>'Dershane var' dedin. 'Olsun, sonra' dedi. Randevu korunuyor.</t>
        </is>
      </c>
      <c r="I293" s="6" t="inlineStr">
        <is>
          <t>Ertelediğin buluşmanın yerine daha iyi bir plan önerdin. Kabul edildi. Zaman kazandın, puan kazandın.</t>
        </is>
      </c>
      <c r="J293" s="6" t="inlineStr">
        <is>
          <t>'Dershane var' dedin. O da aynı dershaneye gidiyormuş.</t>
        </is>
      </c>
      <c r="K293" s="6" t="inlineStr">
        <is>
          <t>Mazeret uydurdun; o saatte kısa video uygulamasında canlı yayındaydın. İzleyicilerden biri oydu.</t>
        </is>
      </c>
      <c r="L293" s="6" t="inlineStr"/>
      <c r="M293" s="5" t="inlineStr"/>
      <c r="N293" s="5" t="inlineStr"/>
      <c r="O293" s="6" t="inlineStr"/>
      <c r="P293" s="6" t="inlineStr"/>
      <c r="Q293" s="5" t="inlineStr"/>
      <c r="R293" s="5" t="inlineStr"/>
      <c r="S293" s="5" t="inlineStr"/>
      <c r="T293" s="5" t="inlineStr"/>
      <c r="U293" s="5" t="inlineStr"/>
      <c r="V293" s="5" t="inlineStr"/>
      <c r="W293" s="5" t="inlineStr"/>
      <c r="X293" s="5" t="inlineStr"/>
      <c r="Y293" s="5" t="inlineStr"/>
      <c r="Z293" s="6" t="inlineStr"/>
    </row>
    <row r="294">
      <c r="A294" s="5" t="inlineStr">
        <is>
          <t>b4-spor-secmeleri</t>
        </is>
      </c>
      <c r="B294" s="5" t="n">
        <v>1</v>
      </c>
      <c r="C294" s="6" t="inlineStr">
        <is>
          <t>Tribünden izle</t>
        </is>
      </c>
      <c r="D294" s="5" t="inlineStr"/>
      <c r="E294" s="5" t="inlineStr"/>
      <c r="F294" s="5" t="inlineStr">
        <is>
          <t>Sosyal Radar +1</t>
        </is>
      </c>
      <c r="G294" s="6" t="inlineStr">
        <is>
          <t>Kimin seçildiğini, kimin ağladığını, kimin annesinin öğretmenle konuştuğunu not ettin. Arşivin zenginleşti.</t>
        </is>
      </c>
      <c r="H294" s="6" t="inlineStr"/>
      <c r="I294" s="6" t="inlineStr"/>
      <c r="J294" s="6" t="inlineStr"/>
      <c r="K294" s="6" t="inlineStr"/>
      <c r="L294" s="6" t="inlineStr"/>
      <c r="M294" s="5" t="inlineStr"/>
      <c r="N294" s="5" t="inlineStr"/>
      <c r="O294" s="6" t="inlineStr"/>
      <c r="P294" s="6" t="inlineStr"/>
      <c r="Q294" s="5" t="inlineStr"/>
      <c r="R294" s="5" t="inlineStr"/>
      <c r="S294" s="5" t="inlineStr"/>
      <c r="T294" s="5" t="inlineStr"/>
      <c r="U294" s="5" t="inlineStr"/>
      <c r="V294" s="5" t="inlineStr"/>
      <c r="W294" s="5" t="inlineStr"/>
      <c r="X294" s="5" t="inlineStr"/>
      <c r="Y294" s="5" t="inlineStr"/>
      <c r="Z294" s="6" t="inlineStr"/>
    </row>
    <row r="295">
      <c r="A295" s="5" t="inlineStr">
        <is>
          <t>b4-spor-secmeleri</t>
        </is>
      </c>
      <c r="B295" s="5" t="n">
        <v>2</v>
      </c>
      <c r="C295" s="6" t="inlineStr">
        <is>
          <t>Seçmelere katıl</t>
        </is>
      </c>
      <c r="D295" s="5" t="inlineStr">
        <is>
          <t>Dayanıklılık</t>
        </is>
      </c>
      <c r="E295" s="5" t="inlineStr">
        <is>
          <t>Zor</t>
        </is>
      </c>
      <c r="F295" s="5" t="inlineStr"/>
      <c r="G295" s="6" t="inlineStr"/>
      <c r="H295" s="6" t="inlineStr">
        <is>
          <t>Seçmeleri geçtin. Forma büyük geldi ama anlamı da büyük.</t>
        </is>
      </c>
      <c r="I295" s="6" t="inlineStr">
        <is>
          <t>İlk on bire seçildin. Öğretmenin yeğeni yedeğe düştü. Ailede kriz çıktı; senin ailende değil.</t>
        </is>
      </c>
      <c r="J295" s="6" t="inlineStr">
        <is>
          <t>Koştun, terledin, listeye giremedin. Öğretmen 'Karakterin iyi' dedi. Karakter takıma alınmıyor.</t>
        </is>
      </c>
      <c r="K295" s="6" t="inlineStr">
        <is>
          <t>Top kafana geldi, sen yere, düdük öğretmenin ağzından. Takıma değil, okulun yıl sonu videosuna seçildin.</t>
        </is>
      </c>
      <c r="L295" s="6" t="inlineStr"/>
      <c r="M295" s="5" t="inlineStr"/>
      <c r="N295" s="5" t="inlineStr"/>
      <c r="O295" s="6" t="inlineStr"/>
      <c r="P295" s="6" t="inlineStr"/>
      <c r="Q295" s="5" t="inlineStr"/>
      <c r="R295" s="5" t="inlineStr"/>
      <c r="S295" s="5" t="inlineStr"/>
      <c r="T295" s="5" t="inlineStr"/>
      <c r="U295" s="5" t="inlineStr"/>
      <c r="V295" s="5" t="inlineStr">
        <is>
          <t>takim-oyuncusu</t>
        </is>
      </c>
      <c r="W295" s="5" t="inlineStr"/>
      <c r="X295" s="5" t="inlineStr"/>
      <c r="Y295" s="5" t="inlineStr"/>
      <c r="Z295" s="6" t="inlineStr"/>
    </row>
    <row r="296">
      <c r="A296" s="5" t="inlineStr">
        <is>
          <t>b4-spor-secmeleri</t>
        </is>
      </c>
      <c r="B296" s="5" t="n">
        <v>3</v>
      </c>
      <c r="C296" s="6" t="inlineStr">
        <is>
          <t>Pas yeteneğini göster</t>
        </is>
      </c>
      <c r="D296" s="5" t="inlineStr">
        <is>
          <t>Sosyal Radar</t>
        </is>
      </c>
      <c r="E296" s="5" t="inlineStr">
        <is>
          <t>Orta</t>
        </is>
      </c>
      <c r="F296" s="5" t="inlineStr"/>
      <c r="G296" s="6" t="inlineStr"/>
      <c r="H296" s="6" t="inlineStr">
        <is>
          <t>Her pasın gol oldu. Öğretmen yeğenine 'Bak, böyle' dedi. Takımdasın.</t>
        </is>
      </c>
      <c r="I296" s="6" t="inlineStr">
        <is>
          <t>Yeğene üç asist yaptın. Öğretmen ikinizi de aldı ve seni kaptan yardımcısı yaptı. Diplomatik zafer.</t>
        </is>
      </c>
      <c r="J296" s="6" t="inlineStr">
        <is>
          <t>Paslarını kimse değerlendiremedi. İstatistik seni haklı çıkarıyor ama liste çıkarmıyor.</t>
        </is>
      </c>
      <c r="K296" s="6" t="inlineStr">
        <is>
          <t>Asist yaptığın top, kaleciye değil öğretmenin kahvesine gitti.</t>
        </is>
      </c>
      <c r="L296" s="6" t="inlineStr"/>
      <c r="M296" s="5" t="inlineStr"/>
      <c r="N296" s="5" t="inlineStr"/>
      <c r="O296" s="6" t="inlineStr"/>
      <c r="P296" s="6" t="inlineStr"/>
      <c r="Q296" s="5" t="inlineStr">
        <is>
          <t>Asist Ustası</t>
        </is>
      </c>
      <c r="R296" s="5" t="inlineStr"/>
      <c r="S296" s="5" t="inlineStr"/>
      <c r="T296" s="5" t="inlineStr"/>
      <c r="U296" s="5" t="inlineStr"/>
      <c r="V296" s="5" t="inlineStr">
        <is>
          <t>takim-oyuncusu</t>
        </is>
      </c>
      <c r="W296" s="5" t="inlineStr"/>
      <c r="X296" s="5" t="inlineStr"/>
      <c r="Y296" s="5" t="inlineStr"/>
      <c r="Z296" s="6" t="inlineStr"/>
    </row>
    <row r="297">
      <c r="A297" s="5" t="inlineStr">
        <is>
          <t>b4-spor-secmeleri</t>
        </is>
      </c>
      <c r="B297" s="5" t="n">
        <v>4</v>
      </c>
      <c r="C297" s="6" t="inlineStr">
        <is>
          <t>Takım menajeri ol</t>
        </is>
      </c>
      <c r="D297" s="5" t="inlineStr">
        <is>
          <t>Çene</t>
        </is>
      </c>
      <c r="E297" s="5" t="inlineStr">
        <is>
          <t>Kolay</t>
        </is>
      </c>
      <c r="F297" s="5" t="inlineStr"/>
      <c r="G297" s="6" t="inlineStr"/>
      <c r="H297" s="6" t="inlineStr">
        <is>
          <t>Oynamıyorsun ama formaları sen dağıtıyorsun. İktidar bazen malzeme odasındadır.</t>
        </is>
      </c>
      <c r="I297" s="6" t="inlineStr">
        <is>
          <t>Menajerliğin öyle iyi gitti ki öğretmen kadroyu sana danışıyor. Yeğen senin onayından geçti.</t>
        </is>
      </c>
      <c r="J297" s="6" t="inlineStr">
        <is>
          <t>Menajer oldun; kimse ne iş yaptığını bilmiyor. Sen de.</t>
        </is>
      </c>
      <c r="K297" s="6" t="inlineStr">
        <is>
          <t>Menajer oldun. İlk görevin su şişelerini taşımak. Son görevin de.</t>
        </is>
      </c>
      <c r="L297" s="6" t="inlineStr"/>
      <c r="M297" s="5" t="inlineStr"/>
      <c r="N297" s="5" t="inlineStr"/>
      <c r="O297" s="6" t="inlineStr"/>
      <c r="P297" s="6" t="inlineStr"/>
      <c r="Q297" s="5" t="inlineStr"/>
      <c r="R297" s="5" t="inlineStr"/>
      <c r="S297" s="5" t="inlineStr"/>
      <c r="T297" s="5" t="inlineStr"/>
      <c r="U297" s="5" t="inlineStr"/>
      <c r="V297" s="5" t="inlineStr"/>
      <c r="W297" s="5" t="inlineStr"/>
      <c r="X297" s="5" t="inlineStr"/>
      <c r="Y297" s="5" t="inlineStr"/>
      <c r="Z297" s="6" t="inlineStr"/>
    </row>
    <row r="298">
      <c r="A298" s="5" t="inlineStr">
        <is>
          <t>b4-eski-telefon</t>
        </is>
      </c>
      <c r="B298" s="5" t="n">
        <v>1</v>
      </c>
      <c r="C298" s="6" t="inlineStr">
        <is>
          <t>Kuzenine hediye et</t>
        </is>
      </c>
      <c r="D298" s="5" t="inlineStr"/>
      <c r="E298" s="5" t="inlineStr"/>
      <c r="F298" s="5" t="inlineStr">
        <is>
          <t>Vicdan +1</t>
        </is>
      </c>
      <c r="G298" s="6" t="inlineStr">
        <is>
          <t>Eski telefonu kuzenine verdin. Kuzen onu senden daha iyi kullanıyor. Bunu kimse söylemedi ama herkes biliyor.</t>
        </is>
      </c>
      <c r="H298" s="6" t="inlineStr"/>
      <c r="I298" s="6" t="inlineStr"/>
      <c r="J298" s="6" t="inlineStr"/>
      <c r="K298" s="6" t="inlineStr"/>
      <c r="L298" s="6" t="inlineStr"/>
      <c r="M298" s="5" t="inlineStr"/>
      <c r="N298" s="5" t="inlineStr"/>
      <c r="O298" s="6" t="inlineStr"/>
      <c r="P298" s="6" t="inlineStr"/>
      <c r="Q298" s="5" t="inlineStr"/>
      <c r="R298" s="5" t="inlineStr"/>
      <c r="S298" s="5" t="inlineStr"/>
      <c r="T298" s="5" t="inlineStr"/>
      <c r="U298" s="5" t="inlineStr"/>
      <c r="V298" s="5" t="inlineStr"/>
      <c r="W298" s="5" t="inlineStr"/>
      <c r="X298" s="5" t="inlineStr"/>
      <c r="Y298" s="5" t="inlineStr"/>
      <c r="Z298" s="6" t="inlineStr"/>
    </row>
    <row r="299">
      <c r="A299" s="5" t="inlineStr">
        <is>
          <t>b4-eski-telefon</t>
        </is>
      </c>
      <c r="B299" s="5" t="n">
        <v>2</v>
      </c>
      <c r="C299" s="6" t="inlineStr">
        <is>
          <t>Pazarlığa gir</t>
        </is>
      </c>
      <c r="D299" s="5" t="inlineStr">
        <is>
          <t>Çene</t>
        </is>
      </c>
      <c r="E299" s="5" t="inlineStr">
        <is>
          <t>Orta</t>
        </is>
      </c>
      <c r="F299" s="5" t="inlineStr"/>
      <c r="G299" s="6" t="inlineStr"/>
      <c r="H299" s="6" t="inlineStr">
        <is>
          <t>İlan fiyatının biraz altında sattın. Alıcı memnun, sen memnun, piyasa sakin.</t>
        </is>
      </c>
      <c r="I299" s="6" t="inlineStr">
        <is>
          <t>Üç alıcıyı birbirine karşı oynattın. Telefon ilan fiyatının üstünde satıldı.</t>
        </is>
      </c>
      <c r="J299" s="6" t="inlineStr">
        <is>
          <t>'Son fiyat' dedin. Alıcı 'Tamam, düşüneyim' dedi. Hâlâ düşünüyor.</t>
        </is>
      </c>
      <c r="K299" s="6" t="inlineStr">
        <is>
          <t>Alıcı telefonu aldı, ertesi gün aynı telefonu iki katına ilana koydu. Fotoğraflar seninkiler.</t>
        </is>
      </c>
      <c r="L299" s="6" t="inlineStr"/>
      <c r="M299" s="5" t="inlineStr"/>
      <c r="N299" s="5" t="inlineStr"/>
      <c r="O299" s="6" t="inlineStr"/>
      <c r="P299" s="6" t="inlineStr"/>
      <c r="Q299" s="5" t="inlineStr"/>
      <c r="R299" s="5" t="inlineStr"/>
      <c r="S299" s="5" t="inlineStr"/>
      <c r="T299" s="5" t="inlineStr"/>
      <c r="U299" s="5" t="inlineStr"/>
      <c r="V299" s="5" t="inlineStr"/>
      <c r="W299" s="5" t="inlineStr"/>
      <c r="X299" s="5" t="inlineStr"/>
      <c r="Y299" s="5" t="inlineStr"/>
      <c r="Z299" s="6" t="inlineStr"/>
    </row>
    <row r="300">
      <c r="A300" s="5" t="inlineStr">
        <is>
          <t>b4-eski-telefon</t>
        </is>
      </c>
      <c r="B300" s="5" t="n">
        <v>3</v>
      </c>
      <c r="C300" s="6" t="inlineStr">
        <is>
          <t>Ekran çiziğini dürüstçe yaz</t>
        </is>
      </c>
      <c r="D300" s="5" t="inlineStr">
        <is>
          <t>Vicdan</t>
        </is>
      </c>
      <c r="E300" s="5" t="inlineStr">
        <is>
          <t>Kolay</t>
        </is>
      </c>
      <c r="F300" s="5" t="inlineStr"/>
      <c r="G300" s="6" t="inlineStr"/>
      <c r="H300" s="6" t="inlineStr">
        <is>
          <t>İlana 'Ekranda çizik var' yazdın. Alıcı teşekkür etti ve fiyatı kırmadı.</t>
        </is>
      </c>
      <c r="I300" s="6" t="inlineStr">
        <is>
          <t>Dürüstlüğün alıcıyı öyle etkiledi ki sana kılıf hediye etti. Satıcı puanın tavan.</t>
        </is>
      </c>
      <c r="J300" s="6" t="inlineStr">
        <is>
          <t>Dürüst yazdın; herkes çiziğin fotoğrafını istedi. Kimse telefonun fotoğrafını istemedi.</t>
        </is>
      </c>
      <c r="K300" s="6" t="inlineStr">
        <is>
          <t>Çiziği yazdın. Alıcı 'Başka çizik var mı?' diye sordu. Saydın. Yedi tane çıktı.</t>
        </is>
      </c>
      <c r="L300" s="6" t="inlineStr"/>
      <c r="M300" s="5" t="inlineStr"/>
      <c r="N300" s="5" t="inlineStr"/>
      <c r="O300" s="6" t="inlineStr"/>
      <c r="P300" s="6" t="inlineStr"/>
      <c r="Q300" s="5" t="inlineStr"/>
      <c r="R300" s="5" t="inlineStr"/>
      <c r="S300" s="5" t="inlineStr"/>
      <c r="T300" s="5" t="inlineStr"/>
      <c r="U300" s="5" t="inlineStr"/>
      <c r="V300" s="5" t="inlineStr"/>
      <c r="W300" s="5" t="inlineStr"/>
      <c r="X300" s="5" t="inlineStr"/>
      <c r="Y300" s="5" t="inlineStr"/>
      <c r="Z300" s="6" t="inlineStr"/>
    </row>
    <row r="301">
      <c r="A301" s="5" t="inlineStr">
        <is>
          <t>b4-eski-telefon</t>
        </is>
      </c>
      <c r="B301" s="5" t="n">
        <v>4</v>
      </c>
      <c r="C301" s="6" t="inlineStr">
        <is>
          <t>Takas zinciri başlat</t>
        </is>
      </c>
      <c r="D301" s="5" t="inlineStr">
        <is>
          <t>Kurnazlık</t>
        </is>
      </c>
      <c r="E301" s="5" t="inlineStr">
        <is>
          <t>Zor</t>
        </is>
      </c>
      <c r="F301" s="5" t="inlineStr"/>
      <c r="G301" s="6" t="inlineStr"/>
      <c r="H301" s="6" t="inlineStr">
        <is>
          <t>Telefonu bisiklete, bisikleti kaykaya çevirdin. Kaykay güzel.</t>
        </is>
      </c>
      <c r="I301" s="6" t="inlineStr">
        <is>
          <t>Telefon bisiklete, bisiklet kaykaya, kaykay daha iyi bir telefona dönüştü. Zincir kapandı. Ailen sorgulamadı.</t>
        </is>
      </c>
      <c r="J301" s="6" t="inlineStr">
        <is>
          <t>Telefonu bisiklete çevirdin. Bisikletin zinciri yok.</t>
        </is>
      </c>
      <c r="K301" s="6" t="inlineStr">
        <is>
          <t>Zincir tersine döndü: telefonu verdin, eline bir kutu kartpostal geçti. Değeri tartışmalı, duygusal.</t>
        </is>
      </c>
      <c r="L301" s="6" t="inlineStr"/>
      <c r="M301" s="5" t="inlineStr"/>
      <c r="N301" s="5" t="inlineStr"/>
      <c r="O301" s="6" t="inlineStr"/>
      <c r="P301" s="6" t="inlineStr"/>
      <c r="Q301" s="5" t="inlineStr">
        <is>
          <t>Kantin Ekonomisti</t>
        </is>
      </c>
      <c r="R301" s="5" t="inlineStr"/>
      <c r="S301" s="5" t="inlineStr"/>
      <c r="T301" s="5" t="inlineStr"/>
      <c r="U301" s="5" t="inlineStr"/>
      <c r="V301" s="5" t="inlineStr"/>
      <c r="W301" s="5" t="inlineStr"/>
      <c r="X301" s="5" t="inlineStr"/>
      <c r="Y301" s="5" t="inlineStr"/>
      <c r="Z301" s="6" t="inlineStr"/>
    </row>
    <row r="302">
      <c r="A302" s="5" t="inlineStr">
        <is>
          <t>b4-yaz-tatili</t>
        </is>
      </c>
      <c r="B302" s="5" t="n">
        <v>1</v>
      </c>
      <c r="C302" s="6" t="inlineStr">
        <is>
          <t>İnternetsiz yaşa</t>
        </is>
      </c>
      <c r="D302" s="5" t="inlineStr"/>
      <c r="E302" s="5" t="inlineStr"/>
      <c r="F302" s="5" t="inlineStr">
        <is>
          <t>Dayanıklılık +2</t>
        </is>
      </c>
      <c r="G302" s="6" t="inlineStr">
        <is>
          <t>On beş gün internetsiz kaldın. Denizi, kumu ve babanın dört farklı mangal tekniğini keşfettin.</t>
        </is>
      </c>
      <c r="H302" s="6" t="inlineStr"/>
      <c r="I302" s="6" t="inlineStr"/>
      <c r="J302" s="6" t="inlineStr"/>
      <c r="K302" s="6" t="inlineStr"/>
      <c r="L302" s="6" t="inlineStr"/>
      <c r="M302" s="5" t="inlineStr"/>
      <c r="N302" s="5" t="inlineStr"/>
      <c r="O302" s="6" t="inlineStr"/>
      <c r="P302" s="6" t="inlineStr"/>
      <c r="Q302" s="5" t="inlineStr"/>
      <c r="R302" s="5" t="inlineStr"/>
      <c r="S302" s="5" t="inlineStr"/>
      <c r="T302" s="5" t="inlineStr"/>
      <c r="U302" s="5" t="inlineStr"/>
      <c r="V302" s="5" t="inlineStr"/>
      <c r="W302" s="5" t="inlineStr"/>
      <c r="X302" s="5" t="inlineStr"/>
      <c r="Y302" s="5" t="inlineStr"/>
      <c r="Z302" s="6" t="inlineStr"/>
    </row>
    <row r="303">
      <c r="A303" s="5" t="inlineStr">
        <is>
          <t>b4-yaz-tatili</t>
        </is>
      </c>
      <c r="B303" s="5" t="n">
        <v>2</v>
      </c>
      <c r="C303" s="6" t="inlineStr">
        <is>
          <t>Sinyal noktasını bul</t>
        </is>
      </c>
      <c r="D303" s="5" t="inlineStr">
        <is>
          <t>Kurnazlık</t>
        </is>
      </c>
      <c r="E303" s="5" t="inlineStr">
        <is>
          <t>Orta</t>
        </is>
      </c>
      <c r="F303" s="5" t="inlineStr"/>
      <c r="G303" s="6" t="inlineStr"/>
      <c r="H303" s="6" t="inlineStr">
        <is>
          <t>Merdiven sahanlığının tam ortasında iki çizgi buldun. Tatilin geri kalanı sahanlıkta geçti.</t>
        </is>
      </c>
      <c r="I303" s="6" t="inlineStr">
        <is>
          <t>Sitenin sinyal haritasını çıkardın. Komşu çocuklara nokta başı ücretle kiralıyorsun.</t>
        </is>
      </c>
      <c r="J303" s="6" t="inlineStr">
        <is>
          <t>Sinyali buldun: tek çizgi. Mesajın gittiğinde tatil bitmişti.</t>
        </is>
      </c>
      <c r="K303" s="6" t="inlineStr">
        <is>
          <t>Tam sinyali komşunun modemine yaslanınca buldun. Komşu şifreyi 'SinyalHirsizi' yaptı ve kapıya astı.</t>
        </is>
      </c>
      <c r="L303" s="6" t="inlineStr"/>
      <c r="M303" s="5" t="inlineStr"/>
      <c r="N303" s="5" t="inlineStr"/>
      <c r="O303" s="6" t="inlineStr"/>
      <c r="P303" s="6" t="inlineStr"/>
      <c r="Q303" s="5" t="inlineStr"/>
      <c r="R303" s="5" t="inlineStr"/>
      <c r="S303" s="5" t="inlineStr"/>
      <c r="T303" s="5" t="inlineStr"/>
      <c r="U303" s="5" t="inlineStr"/>
      <c r="V303" s="5" t="inlineStr"/>
      <c r="W303" s="5" t="inlineStr"/>
      <c r="X303" s="5" t="inlineStr"/>
      <c r="Y303" s="5" t="inlineStr"/>
      <c r="Z303" s="6" t="inlineStr"/>
    </row>
    <row r="304">
      <c r="A304" s="5" t="inlineStr">
        <is>
          <t>b4-yaz-tatili</t>
        </is>
      </c>
      <c r="B304" s="5" t="n">
        <v>3</v>
      </c>
      <c r="C304" s="6" t="inlineStr">
        <is>
          <t>Yan yazlıkla ittifak kur</t>
        </is>
      </c>
      <c r="D304" s="5" t="inlineStr">
        <is>
          <t>Sosyal Radar</t>
        </is>
      </c>
      <c r="E304" s="5" t="inlineStr">
        <is>
          <t>Kolay</t>
        </is>
      </c>
      <c r="F304" s="5" t="inlineStr"/>
      <c r="G304" s="6" t="inlineStr"/>
      <c r="H304" s="6" t="inlineStr">
        <is>
          <t>Tek ayak üstünde bir yaz arkadaşlığı kurdun. Eylülde koptunuz. Yazlık dostluklarının doğası bu.</t>
        </is>
      </c>
      <c r="I304" s="6" t="inlineStr">
        <is>
          <t>Yan yazlıktakilerle ortak bir sinyal kulesi kurdunuz: balkonlar arası çamaşır ipi ve bir teneke kutu. İşe yaramadı ama efsaneydi.</t>
        </is>
      </c>
      <c r="J304" s="6" t="inlineStr">
        <is>
          <t>Göz göze geldiniz, el salladınız, sinyal gitti. İkiniz de telefona döndünüz.</t>
        </is>
      </c>
      <c r="K304" s="6" t="inlineStr">
        <is>
          <t>İttifak kurdunuz; onların ailesi sizinkini akşam yemeğine çağırdı. Tatilin geri kalanı aileler arası sohbetle geçti.</t>
        </is>
      </c>
      <c r="L304" s="6" t="inlineStr"/>
      <c r="M304" s="5" t="inlineStr"/>
      <c r="N304" s="5" t="inlineStr"/>
      <c r="O304" s="6" t="inlineStr"/>
      <c r="P304" s="6" t="inlineStr"/>
      <c r="Q304" s="5" t="inlineStr"/>
      <c r="R304" s="5" t="inlineStr"/>
      <c r="S304" s="5" t="inlineStr">
        <is>
          <t>Sosyal Radar</t>
        </is>
      </c>
      <c r="T304" s="5" t="inlineStr"/>
      <c r="U304" s="5" t="inlineStr"/>
      <c r="V304" s="5" t="inlineStr"/>
      <c r="W304" s="5" t="inlineStr"/>
      <c r="X304" s="5" t="inlineStr"/>
      <c r="Y304" s="5" t="inlineStr"/>
      <c r="Z304" s="6" t="inlineStr"/>
    </row>
    <row r="305">
      <c r="A305" s="5" t="inlineStr">
        <is>
          <t>b4-yaz-tatili</t>
        </is>
      </c>
      <c r="B305" s="5" t="n">
        <v>4</v>
      </c>
      <c r="C305" s="6" t="inlineStr">
        <is>
          <t>Ailenden kafe internet parası iste</t>
        </is>
      </c>
      <c r="D305" s="5" t="inlineStr">
        <is>
          <t>Çene</t>
        </is>
      </c>
      <c r="E305" s="5" t="inlineStr">
        <is>
          <t>Orta</t>
        </is>
      </c>
      <c r="F305" s="5" t="inlineStr"/>
      <c r="G305" s="6" t="inlineStr"/>
      <c r="H305" s="6" t="inlineStr">
        <is>
          <t>Sahildeki kafenin internetine erişim onaylandı. Günde bir saat, bir gazoz karşılığında.</t>
        </is>
      </c>
      <c r="I305" s="6" t="inlineStr">
        <is>
          <t>Ailen kafeyi o kadar sevdi ki tatilin geri kalanını orada geçirdiniz. Aile yeniden bağlandı. İnternete.</t>
        </is>
      </c>
      <c r="J305" s="6" t="inlineStr">
        <is>
          <t>'Deniz var, kum var' denildi. İkisinde de sinyal yok.</t>
        </is>
      </c>
      <c r="K305" s="6" t="inlineStr">
        <is>
          <t>Kafeye gittin; kafenin şifresi yalnızca aile boyu menü alanlara veriliyordu. Baban menüyü aldı, şifreyi o kullandı.</t>
        </is>
      </c>
      <c r="L305" s="6" t="inlineStr"/>
      <c r="M305" s="5" t="inlineStr"/>
      <c r="N305" s="5" t="inlineStr"/>
      <c r="O305" s="6" t="inlineStr"/>
      <c r="P305" s="6" t="inlineStr"/>
      <c r="Q305" s="5" t="inlineStr"/>
      <c r="R305" s="5" t="inlineStr"/>
      <c r="S305" s="5" t="inlineStr"/>
      <c r="T305" s="5" t="inlineStr"/>
      <c r="U305" s="5" t="inlineStr"/>
      <c r="V305" s="5" t="inlineStr"/>
      <c r="W305" s="5" t="inlineStr"/>
      <c r="X305" s="5" t="inlineStr"/>
      <c r="Y305" s="5" t="inlineStr"/>
      <c r="Z305" s="6" t="inlineStr"/>
    </row>
    <row r="306">
      <c r="A306" s="5" t="inlineStr">
        <is>
          <t>b4-dershane-denemesi</t>
        </is>
      </c>
      <c r="B306" s="5" t="n">
        <v>1</v>
      </c>
      <c r="C306" s="6" t="inlineStr">
        <is>
          <t>Sıranı kabul et</t>
        </is>
      </c>
      <c r="D306" s="5" t="inlineStr"/>
      <c r="E306" s="5" t="inlineStr"/>
      <c r="F306" s="5" t="inlineStr">
        <is>
          <t>Dayanıklılık +1</t>
        </is>
      </c>
      <c r="G306" s="6" t="inlineStr">
        <is>
          <t>Sıranı gördün, not aldın, yürüdün. Bir sonraki deneme bir hafta sonra. Hayat bir deneme serisi.</t>
        </is>
      </c>
      <c r="H306" s="6" t="inlineStr"/>
      <c r="I306" s="6" t="inlineStr"/>
      <c r="J306" s="6" t="inlineStr"/>
      <c r="K306" s="6" t="inlineStr"/>
      <c r="L306" s="6" t="inlineStr"/>
      <c r="M306" s="5" t="inlineStr"/>
      <c r="N306" s="5" t="inlineStr"/>
      <c r="O306" s="6" t="inlineStr"/>
      <c r="P306" s="6" t="inlineStr"/>
      <c r="Q306" s="5" t="inlineStr"/>
      <c r="R306" s="5" t="inlineStr"/>
      <c r="S306" s="5" t="inlineStr"/>
      <c r="T306" s="5" t="inlineStr"/>
      <c r="U306" s="5" t="inlineStr"/>
      <c r="V306" s="5" t="inlineStr"/>
      <c r="W306" s="5" t="inlineStr"/>
      <c r="X306" s="5" t="inlineStr"/>
      <c r="Y306" s="5" t="inlineStr"/>
      <c r="Z306" s="6" t="inlineStr"/>
    </row>
    <row r="307">
      <c r="A307" s="5" t="inlineStr">
        <is>
          <t>b4-dershane-denemesi</t>
        </is>
      </c>
      <c r="B307" s="5" t="n">
        <v>2</v>
      </c>
      <c r="C307" s="6" t="inlineStr">
        <is>
          <t>Listeyi fotoğrafla, kırp, ailene at</t>
        </is>
      </c>
      <c r="D307" s="5" t="inlineStr">
        <is>
          <t>Kurnazlık</t>
        </is>
      </c>
      <c r="E307" s="5" t="inlineStr">
        <is>
          <t>Orta</t>
        </is>
      </c>
      <c r="F307" s="5" t="inlineStr"/>
      <c r="G307" s="6" t="inlineStr"/>
      <c r="H307" s="6" t="inlineStr">
        <is>
          <t>Fotoğrafı kırptın; üstündeki yirmi kişi kadraj dışında kaldı. Ailen seni ilk sırada sandı.</t>
        </is>
      </c>
      <c r="I307" s="6" t="inlineStr">
        <is>
          <t>Kırptığın fotoğraf aile grubunda dolaştı. Teyzen 'Bizimki de o dershaneye gitsin' dedi. Kuzen artık rakibin.</t>
        </is>
      </c>
      <c r="J307" s="6" t="inlineStr">
        <is>
          <t>Kırptın; üstteki satırdan yarım bir isim göründü. Ailen 'Bu kim?' diye sordu.</t>
        </is>
      </c>
      <c r="K307" s="6" t="inlineStr">
        <is>
          <t>Fazla kırptın. Fotoğrafta yalnızca adın ve altında 'Telafi Programı' yazısı kaldı.</t>
        </is>
      </c>
      <c r="L307" s="6" t="inlineStr"/>
      <c r="M307" s="5" t="inlineStr"/>
      <c r="N307" s="5" t="inlineStr"/>
      <c r="O307" s="6" t="inlineStr"/>
      <c r="P307" s="6" t="inlineStr"/>
      <c r="Q307" s="5" t="inlineStr"/>
      <c r="R307" s="5" t="inlineStr"/>
      <c r="S307" s="5" t="inlineStr"/>
      <c r="T307" s="5" t="inlineStr"/>
      <c r="U307" s="5" t="inlineStr"/>
      <c r="V307" s="5" t="inlineStr"/>
      <c r="W307" s="5" t="inlineStr"/>
      <c r="X307" s="5" t="inlineStr"/>
      <c r="Y307" s="5" t="inlineStr"/>
      <c r="Z307" s="6" t="inlineStr"/>
    </row>
    <row r="308">
      <c r="A308" s="5" t="inlineStr">
        <is>
          <t>b4-dershane-denemesi</t>
        </is>
      </c>
      <c r="B308" s="5" t="n">
        <v>3</v>
      </c>
      <c r="C308" s="6" t="inlineStr">
        <is>
          <t>Rehber öğretmenle konuş</t>
        </is>
      </c>
      <c r="D308" s="5" t="inlineStr">
        <is>
          <t>Çene</t>
        </is>
      </c>
      <c r="E308" s="5" t="inlineStr">
        <is>
          <t>Kolay</t>
        </is>
      </c>
      <c r="F308" s="5" t="inlineStr"/>
      <c r="G308" s="6" t="inlineStr"/>
      <c r="H308" s="6" t="inlineStr">
        <is>
          <t>Rehber öğretmen eksiklerini listeledi. Liste uzundu ama çizilebilir.</t>
        </is>
      </c>
      <c r="I308" s="6" t="inlineStr">
        <is>
          <t>Rehber öğretmen sana bir çalışma planı yaptı ve ailene 'Potansiyeli var' dedi. Potansiyel, her ailenin sevdiği kelime.</t>
        </is>
      </c>
      <c r="J308" s="6" t="inlineStr">
        <is>
          <t>Rehber öğretmen 'Daha çok çalışmalısın' dedi. Bu, ücretli bir bilgiydi.</t>
        </is>
      </c>
      <c r="K308" s="6" t="inlineStr">
        <is>
          <t>Rehber öğretmen konuşurken 'Hangi okuldan geliyordun?' diye sordu. İki yıldır oradasın.</t>
        </is>
      </c>
      <c r="L308" s="6" t="inlineStr"/>
      <c r="M308" s="5" t="inlineStr"/>
      <c r="N308" s="5" t="inlineStr"/>
      <c r="O308" s="6" t="inlineStr"/>
      <c r="P308" s="6" t="inlineStr"/>
      <c r="Q308" s="5" t="inlineStr"/>
      <c r="R308" s="5" t="inlineStr"/>
      <c r="S308" s="5" t="inlineStr"/>
      <c r="T308" s="5" t="inlineStr"/>
      <c r="U308" s="5" t="inlineStr"/>
      <c r="V308" s="5" t="inlineStr"/>
      <c r="W308" s="5" t="inlineStr"/>
      <c r="X308" s="5" t="inlineStr"/>
      <c r="Y308" s="5" t="inlineStr"/>
      <c r="Z308" s="6" t="inlineStr"/>
    </row>
    <row r="309">
      <c r="A309" s="5" t="inlineStr">
        <is>
          <t>b4-lise-sinavi</t>
        </is>
      </c>
      <c r="B309" s="5" t="n">
        <v>1</v>
      </c>
      <c r="C309" s="6" t="inlineStr">
        <is>
          <t>Bildiğini yap, çık</t>
        </is>
      </c>
      <c r="D309" s="5" t="inlineStr"/>
      <c r="E309" s="5" t="inlineStr"/>
      <c r="F309" s="5" t="inlineStr">
        <is>
          <t>Akıl +1</t>
        </is>
      </c>
      <c r="G309" s="6" t="inlineStr">
        <is>
          <t>Bildiğini yaptın, bilmediğini boş bıraktın. Orta sıralarda bir lise seni bekliyor. Binası yeni boyanmış.</t>
        </is>
      </c>
      <c r="H309" s="6" t="inlineStr"/>
      <c r="I309" s="6" t="inlineStr"/>
      <c r="J309" s="6" t="inlineStr"/>
      <c r="K309" s="6" t="inlineStr"/>
      <c r="L309" s="6" t="inlineStr"/>
      <c r="M309" s="5" t="inlineStr"/>
      <c r="N309" s="5" t="inlineStr"/>
      <c r="O309" s="6" t="inlineStr"/>
      <c r="P309" s="6" t="inlineStr"/>
      <c r="Q309" s="5" t="inlineStr"/>
      <c r="R309" s="5" t="inlineStr"/>
      <c r="S309" s="5" t="inlineStr"/>
      <c r="T309" s="5" t="inlineStr"/>
      <c r="U309" s="5" t="inlineStr"/>
      <c r="V309" s="5" t="inlineStr"/>
      <c r="W309" s="5" t="inlineStr"/>
      <c r="X309" s="5" t="inlineStr"/>
      <c r="Y309" s="5" t="inlineStr"/>
      <c r="Z309" s="6" t="inlineStr"/>
    </row>
    <row r="310">
      <c r="A310" s="5" t="inlineStr">
        <is>
          <t>b4-lise-sinavi</t>
        </is>
      </c>
      <c r="B310" s="5" t="n">
        <v>2</v>
      </c>
      <c r="C310" s="6" t="inlineStr">
        <is>
          <t>Hepsini çözmeye çalış</t>
        </is>
      </c>
      <c r="D310" s="5" t="inlineStr">
        <is>
          <t>Akıl</t>
        </is>
      </c>
      <c r="E310" s="5" t="inlineStr">
        <is>
          <t>Zor</t>
        </is>
      </c>
      <c r="F310" s="5" t="inlineStr"/>
      <c r="G310" s="6" t="inlineStr"/>
      <c r="H310" s="6" t="inlineStr">
        <is>
          <t>Sonuç geldi: iyi bir lise. Ailen sonucu, karne fotoğrafından bile hızlı aile grubuna attı.</t>
        </is>
      </c>
      <c r="I310" s="6" t="inlineStr">
        <is>
          <t>Derece yaptın. Okulun girişine pankartın asıldı. Pankarttaki fotoğraf, alnında sivilce olan gün çekilmiş.</t>
        </is>
      </c>
      <c r="J310" s="6" t="inlineStr">
        <is>
          <t>Son on soruda süre bitti. Mahalle lisesi seni kucakladı. En azından yakın.</t>
        </is>
      </c>
      <c r="K310" s="6" t="inlineStr">
        <is>
          <t>Optik formu bir satır kaydırarak doldurdun. Bütün cevaplar bir yukarıda. Sonuç belgesi seni 'ilginç' buldu.</t>
        </is>
      </c>
      <c r="L310" s="6" t="inlineStr"/>
      <c r="M310" s="5" t="inlineStr"/>
      <c r="N310" s="5" t="inlineStr"/>
      <c r="O310" s="6" t="inlineStr"/>
      <c r="P310" s="6" t="inlineStr"/>
      <c r="Q310" s="5" t="inlineStr"/>
      <c r="R310" s="5" t="inlineStr"/>
      <c r="S310" s="5" t="inlineStr"/>
      <c r="T310" s="5" t="inlineStr"/>
      <c r="U310" s="5" t="inlineStr"/>
      <c r="V310" s="5" t="inlineStr">
        <is>
          <t>iyi-lise</t>
        </is>
      </c>
      <c r="W310" s="5" t="inlineStr"/>
      <c r="X310" s="5" t="inlineStr"/>
      <c r="Y310" s="5" t="inlineStr"/>
      <c r="Z310" s="6" t="inlineStr"/>
    </row>
    <row r="311">
      <c r="A311" s="5" t="inlineStr">
        <is>
          <t>b4-lise-sinavi</t>
        </is>
      </c>
      <c r="B311" s="5" t="n">
        <v>3</v>
      </c>
      <c r="C311" s="6" t="inlineStr">
        <is>
          <t>Zorları atla, kolayları topla</t>
        </is>
      </c>
      <c r="D311" s="5" t="inlineStr">
        <is>
          <t>Kurnazlık</t>
        </is>
      </c>
      <c r="E311" s="5" t="inlineStr">
        <is>
          <t>Orta</t>
        </is>
      </c>
      <c r="F311" s="5" t="inlineStr"/>
      <c r="G311" s="6" t="inlineStr"/>
      <c r="H311" s="6" t="inlineStr">
        <is>
          <t>Stratejik atladın, akıllıca topladın. İyi bir lise, düşündüğünden hesaplı bir yoldan geldi.</t>
        </is>
      </c>
      <c r="I311" s="6" t="inlineStr">
        <is>
          <t>Atladığın sorulara dönmeye vaktin kaldı ve hepsini yaptın. Strateji ile şans aynı gün mesaiye geldi.</t>
        </is>
      </c>
      <c r="J311" s="6" t="inlineStr">
        <is>
          <t>Atladığın sorulara dönemedin. Atladıkların kolaymış.</t>
        </is>
      </c>
      <c r="K311" s="6" t="inlineStr">
        <is>
          <t>Kolayların hepsi aynı şık çıkınca şüphelendin ve değiştirdin. Hepsi gerçekten aynı şıktı.</t>
        </is>
      </c>
      <c r="L311" s="6" t="inlineStr"/>
      <c r="M311" s="5" t="inlineStr"/>
      <c r="N311" s="5" t="inlineStr"/>
      <c r="O311" s="6" t="inlineStr"/>
      <c r="P311" s="6" t="inlineStr"/>
      <c r="Q311" s="5" t="inlineStr"/>
      <c r="R311" s="5" t="inlineStr"/>
      <c r="S311" s="5" t="inlineStr"/>
      <c r="T311" s="5" t="inlineStr"/>
      <c r="U311" s="5" t="inlineStr"/>
      <c r="V311" s="5" t="inlineStr">
        <is>
          <t>iyi-lise</t>
        </is>
      </c>
      <c r="W311" s="5" t="inlineStr"/>
      <c r="X311" s="5" t="inlineStr"/>
      <c r="Y311" s="5" t="inlineStr"/>
      <c r="Z311" s="6" t="inlineStr"/>
    </row>
    <row r="312">
      <c r="A312" s="5" t="inlineStr">
        <is>
          <t>b4-lise-sinavi</t>
        </is>
      </c>
      <c r="B312" s="5" t="n">
        <v>4</v>
      </c>
      <c r="C312" s="6" t="inlineStr">
        <is>
          <t>Dershane taktiklerini uygula</t>
        </is>
      </c>
      <c r="D312" s="5" t="inlineStr">
        <is>
          <t>Akıl</t>
        </is>
      </c>
      <c r="E312" s="5" t="inlineStr">
        <is>
          <t>Orta</t>
        </is>
      </c>
      <c r="F312" s="5" t="inlineStr"/>
      <c r="G312" s="6" t="inlineStr"/>
      <c r="H312" s="6" t="inlineStr">
        <is>
          <t>Soru tiplerini tanıdın. Dershanenin cumartesileri karşılığını verdi. İyi bir lise.</t>
        </is>
      </c>
      <c r="I312" s="6" t="inlineStr">
        <is>
          <t>Soruların yarısı dershanede çözdüğün sorulara ikiz çıktı. Derece yaptın; dershane seni broşüre koydu. Küçük puntolu değil.</t>
        </is>
      </c>
      <c r="J312" s="6" t="inlineStr">
        <is>
          <t>Taktikler işledi ama süre yetmedi. Dershane bunu 'bir sonraki paketimiz' olarak değerlendirdi.</t>
        </is>
      </c>
      <c r="K312" s="6" t="inlineStr">
        <is>
          <t>Dershanenin 'Bu tip hiç çıkmaz' dediği soru tipi, sınavın yarısıydı.</t>
        </is>
      </c>
      <c r="L312" s="6" t="inlineStr"/>
      <c r="M312" s="5" t="inlineStr"/>
      <c r="N312" s="5" t="inlineStr"/>
      <c r="O312" s="6" t="inlineStr"/>
      <c r="P312" s="6" t="inlineStr"/>
      <c r="Q312" s="5" t="inlineStr"/>
      <c r="R312" s="5" t="inlineStr">
        <is>
          <t>dershaneli</t>
        </is>
      </c>
      <c r="S312" s="5" t="inlineStr"/>
      <c r="T312" s="5" t="inlineStr"/>
      <c r="U312" s="5" t="inlineStr"/>
      <c r="V312" s="5" t="inlineStr">
        <is>
          <t>iyi-lise</t>
        </is>
      </c>
      <c r="W312" s="5" t="inlineStr"/>
      <c r="X312" s="5" t="inlineStr"/>
      <c r="Y312" s="5" t="inlineStr"/>
      <c r="Z312" s="6" t="inlineStr"/>
    </row>
    <row r="313">
      <c r="A313" s="5" t="inlineStr">
        <is>
          <t>b4-lise-sinavi</t>
        </is>
      </c>
      <c r="B313" s="5" t="n">
        <v>5</v>
      </c>
      <c r="C313" s="6" t="inlineStr">
        <is>
          <t>Nefes al, sırayla ilerle</t>
        </is>
      </c>
      <c r="D313" s="5" t="inlineStr">
        <is>
          <t>Dayanıklılık</t>
        </is>
      </c>
      <c r="E313" s="5" t="inlineStr">
        <is>
          <t>Orta</t>
        </is>
      </c>
      <c r="F313" s="5" t="inlineStr"/>
      <c r="G313" s="6" t="inlineStr"/>
      <c r="H313" s="6" t="inlineStr">
        <is>
          <t>Paniklemedin. Soru soru ilerledin. İyi bir lise, sakinliğin ödülü.</t>
        </is>
      </c>
      <c r="I313" s="6" t="inlineStr">
        <is>
          <t>Salondaki herkes terlerken sen sakindin. Gözetmen bile sana bakıp rahatladı. Derece geldi.</t>
        </is>
      </c>
      <c r="J313" s="6" t="inlineStr">
        <is>
          <t>Sakindin, ama biraz fazla. Son sayfayı çevirmeye vakit kalmadı.</t>
        </is>
      </c>
      <c r="K313" s="6" t="inlineStr">
        <is>
          <t>Öyle sakindin ki bir ara uyuyakaldın. Gözetmen seni 'Süre bitti' anonsuyla uyandırdı.</t>
        </is>
      </c>
      <c r="L313" s="6" t="inlineStr"/>
      <c r="M313" s="5" t="inlineStr"/>
      <c r="N313" s="5" t="inlineStr"/>
      <c r="O313" s="6" t="inlineStr"/>
      <c r="P313" s="6" t="inlineStr"/>
      <c r="Q313" s="5" t="inlineStr">
        <is>
          <t>Kolay Dağılmaz</t>
        </is>
      </c>
      <c r="R313" s="5" t="inlineStr"/>
      <c r="S313" s="5" t="inlineStr"/>
      <c r="T313" s="5" t="inlineStr"/>
      <c r="U313" s="5" t="inlineStr"/>
      <c r="V313" s="5" t="inlineStr">
        <is>
          <t>iyi-lise</t>
        </is>
      </c>
      <c r="W313" s="5" t="inlineStr"/>
      <c r="X313" s="5" t="inlineStr"/>
      <c r="Y313" s="5" t="inlineStr"/>
      <c r="Z313" s="6" t="inlineStr"/>
    </row>
    <row r="314">
      <c r="A314" s="5" t="inlineStr">
        <is>
          <t>b5-lise-ilk-gun</t>
        </is>
      </c>
      <c r="B314" s="5" t="n">
        <v>1</v>
      </c>
      <c r="C314" s="6" t="inlineStr">
        <is>
          <t>Arka sıraya otur</t>
        </is>
      </c>
      <c r="D314" s="5" t="inlineStr"/>
      <c r="E314" s="5" t="inlineStr"/>
      <c r="F314" s="5" t="inlineStr">
        <is>
          <t>Pişkinlik +1</t>
        </is>
      </c>
      <c r="G314" s="6" t="inlineStr">
        <is>
          <t>Arka sıraya yerleştin. Pencere manzaralı, öğretmen görüşü sınırlı. Dört yıllık stratejik yatırım.</t>
        </is>
      </c>
      <c r="H314" s="6" t="inlineStr"/>
      <c r="I314" s="6" t="inlineStr"/>
      <c r="J314" s="6" t="inlineStr"/>
      <c r="K314" s="6" t="inlineStr"/>
      <c r="L314" s="6" t="inlineStr"/>
      <c r="M314" s="5" t="inlineStr"/>
      <c r="N314" s="5" t="inlineStr"/>
      <c r="O314" s="6" t="inlineStr"/>
      <c r="P314" s="6" t="inlineStr"/>
      <c r="Q314" s="5" t="inlineStr"/>
      <c r="R314" s="5" t="inlineStr"/>
      <c r="S314" s="5" t="inlineStr"/>
      <c r="T314" s="5" t="inlineStr"/>
      <c r="U314" s="5" t="inlineStr"/>
      <c r="V314" s="5" t="inlineStr"/>
      <c r="W314" s="5" t="inlineStr"/>
      <c r="X314" s="5" t="inlineStr"/>
      <c r="Y314" s="5" t="inlineStr"/>
      <c r="Z314" s="6" t="inlineStr"/>
    </row>
    <row r="315">
      <c r="A315" s="5" t="inlineStr">
        <is>
          <t>b5-lise-ilk-gun</t>
        </is>
      </c>
      <c r="B315" s="5" t="n">
        <v>2</v>
      </c>
      <c r="C315" s="6" t="inlineStr">
        <is>
          <t>Ön sıraya otur</t>
        </is>
      </c>
      <c r="D315" s="5" t="inlineStr"/>
      <c r="E315" s="5" t="inlineStr"/>
      <c r="F315" s="5" t="inlineStr">
        <is>
          <t>Akıl +1</t>
        </is>
      </c>
      <c r="G315" s="6" t="inlineStr">
        <is>
          <t>Ön sıraya oturdun. Tahtayı net görüyorsun. Tahta da seni.</t>
        </is>
      </c>
      <c r="H315" s="6" t="inlineStr"/>
      <c r="I315" s="6" t="inlineStr"/>
      <c r="J315" s="6" t="inlineStr"/>
      <c r="K315" s="6" t="inlineStr"/>
      <c r="L315" s="6" t="inlineStr"/>
      <c r="M315" s="5" t="inlineStr"/>
      <c r="N315" s="5" t="inlineStr"/>
      <c r="O315" s="6" t="inlineStr"/>
      <c r="P315" s="6" t="inlineStr"/>
      <c r="Q315" s="5" t="inlineStr"/>
      <c r="R315" s="5" t="inlineStr"/>
      <c r="S315" s="5" t="inlineStr"/>
      <c r="T315" s="5" t="inlineStr"/>
      <c r="U315" s="5" t="inlineStr"/>
      <c r="V315" s="5" t="inlineStr"/>
      <c r="W315" s="5" t="inlineStr"/>
      <c r="X315" s="5" t="inlineStr"/>
      <c r="Y315" s="5" t="inlineStr"/>
      <c r="Z315" s="6" t="inlineStr"/>
    </row>
    <row r="316">
      <c r="A316" s="5" t="inlineStr">
        <is>
          <t>b5-lise-ilk-gun</t>
        </is>
      </c>
      <c r="B316" s="5" t="n">
        <v>3</v>
      </c>
      <c r="C316" s="6" t="inlineStr">
        <is>
          <t>İlk teneffüste kendini tanıt</t>
        </is>
      </c>
      <c r="D316" s="5" t="inlineStr">
        <is>
          <t>Çene</t>
        </is>
      </c>
      <c r="E316" s="5" t="inlineStr">
        <is>
          <t>Orta</t>
        </is>
      </c>
      <c r="F316" s="5" t="inlineStr"/>
      <c r="G316" s="6" t="inlineStr"/>
      <c r="H316" s="6" t="inlineStr">
        <is>
          <t>Kendini tanıttın. Öğle arasında üç kişinin adını, iki kişinin sırrını biliyordun.</t>
        </is>
      </c>
      <c r="I316" s="6" t="inlineStr">
        <is>
          <t>İkinci gün sınıfın mesaj grubunu sen kurdun. Yöneticilik yetkisi yalnızca sende.</t>
        </is>
      </c>
      <c r="J316" s="6" t="inlineStr">
        <is>
          <t>Kendini tanıttın. Karşındakiler seni rehbere 'şu çok konuşan' diye kaydetti.</t>
        </is>
      </c>
      <c r="K316" s="6" t="inlineStr">
        <is>
          <t>Heyecanla herkese el salladın. Karşılık veren tek kişi müdür yardımcısıydı.</t>
        </is>
      </c>
      <c r="L316" s="6" t="inlineStr"/>
      <c r="M316" s="5" t="inlineStr"/>
      <c r="N316" s="5" t="inlineStr"/>
      <c r="O316" s="6" t="inlineStr"/>
      <c r="P316" s="6" t="inlineStr"/>
      <c r="Q316" s="5" t="inlineStr"/>
      <c r="R316" s="5" t="inlineStr"/>
      <c r="S316" s="5" t="inlineStr"/>
      <c r="T316" s="5" t="inlineStr"/>
      <c r="U316" s="5" t="inlineStr"/>
      <c r="V316" s="5" t="inlineStr"/>
      <c r="W316" s="5" t="inlineStr"/>
      <c r="X316" s="5" t="inlineStr"/>
      <c r="Y316" s="5" t="inlineStr"/>
      <c r="Z316" s="6" t="inlineStr"/>
    </row>
    <row r="317">
      <c r="A317" s="5" t="inlineStr">
        <is>
          <t>b5-lise-ilk-gun</t>
        </is>
      </c>
      <c r="B317" s="5" t="n">
        <v>4</v>
      </c>
      <c r="C317" s="6" t="inlineStr">
        <is>
          <t>Doğru masayı seç</t>
        </is>
      </c>
      <c r="D317" s="5" t="inlineStr">
        <is>
          <t>Sosyal Radar</t>
        </is>
      </c>
      <c r="E317" s="5" t="inlineStr">
        <is>
          <t>Kolay</t>
        </is>
      </c>
      <c r="F317" s="5" t="inlineStr"/>
      <c r="G317" s="6" t="inlineStr"/>
      <c r="H317" s="6" t="inlineStr">
        <is>
          <t>Doğru masaya oturdun. Dört yıllık sosyal sigortan yapıldı.</t>
        </is>
      </c>
      <c r="I317" s="6" t="inlineStr">
        <is>
          <t>Masadakiler seni ilk gün kabul etti; ikinci gün masaya yeni üye alımını sen onaylıyordun.</t>
        </is>
      </c>
      <c r="J317" s="6" t="inlineStr">
        <is>
          <t>Masayı doğru seçtin. Masadakiler ertesi gün başka masaya taşındı.</t>
        </is>
      </c>
      <c r="K317" s="6" t="inlineStr">
        <is>
          <t>Okulun en popüler masasına oturdun. Öğretmenler masasıymış.</t>
        </is>
      </c>
      <c r="L317" s="6" t="inlineStr"/>
      <c r="M317" s="5" t="inlineStr"/>
      <c r="N317" s="5" t="inlineStr"/>
      <c r="O317" s="6" t="inlineStr"/>
      <c r="P317" s="6" t="inlineStr"/>
      <c r="Q317" s="5" t="inlineStr"/>
      <c r="R317" s="5" t="inlineStr"/>
      <c r="S317" s="5" t="inlineStr">
        <is>
          <t>Sosyal Radar</t>
        </is>
      </c>
      <c r="T317" s="5" t="inlineStr"/>
      <c r="U317" s="5" t="inlineStr"/>
      <c r="V317" s="5" t="inlineStr"/>
      <c r="W317" s="5" t="inlineStr"/>
      <c r="X317" s="5" t="inlineStr"/>
      <c r="Y317" s="5" t="inlineStr"/>
      <c r="Z317" s="6" t="inlineStr"/>
    </row>
    <row r="318">
      <c r="A318" s="5" t="inlineStr">
        <is>
          <t>b5-sac-devrimi</t>
        </is>
      </c>
      <c r="B318" s="5" t="n">
        <v>1</v>
      </c>
      <c r="C318" s="6" t="inlineStr">
        <is>
          <t>Her zamanki gibi kestir</t>
        </is>
      </c>
      <c r="D318" s="5" t="inlineStr"/>
      <c r="E318" s="5" t="inlineStr"/>
      <c r="F318" s="5" t="inlineStr">
        <is>
          <t>Dayanıklılık +1</t>
        </is>
      </c>
      <c r="G318" s="6" t="inlineStr">
        <is>
          <t>Berber 'her zamanki gibi' dedi ve her zamanki gibi yaptı. Devrim bir dönem daha ertelendi.</t>
        </is>
      </c>
      <c r="H318" s="6" t="inlineStr"/>
      <c r="I318" s="6" t="inlineStr"/>
      <c r="J318" s="6" t="inlineStr"/>
      <c r="K318" s="6" t="inlineStr"/>
      <c r="L318" s="6" t="inlineStr"/>
      <c r="M318" s="5" t="inlineStr"/>
      <c r="N318" s="5" t="inlineStr"/>
      <c r="O318" s="6" t="inlineStr"/>
      <c r="P318" s="6" t="inlineStr"/>
      <c r="Q318" s="5" t="inlineStr"/>
      <c r="R318" s="5" t="inlineStr"/>
      <c r="S318" s="5" t="inlineStr"/>
      <c r="T318" s="5" t="inlineStr"/>
      <c r="U318" s="5" t="inlineStr"/>
      <c r="V318" s="5" t="inlineStr"/>
      <c r="W318" s="5" t="inlineStr"/>
      <c r="X318" s="5" t="inlineStr"/>
      <c r="Y318" s="5" t="inlineStr"/>
      <c r="Z318" s="6" t="inlineStr"/>
    </row>
    <row r="319">
      <c r="A319" s="5" t="inlineStr">
        <is>
          <t>b5-sac-devrimi</t>
        </is>
      </c>
      <c r="B319" s="5" t="n">
        <v>2</v>
      </c>
      <c r="C319" s="6" t="inlineStr">
        <is>
          <t>Fotoğraftakini iste</t>
        </is>
      </c>
      <c r="D319" s="5" t="inlineStr">
        <is>
          <t>Pişkinlik</t>
        </is>
      </c>
      <c r="E319" s="5" t="inlineStr">
        <is>
          <t>Zor</t>
        </is>
      </c>
      <c r="F319" s="5" t="inlineStr"/>
      <c r="G319" s="6" t="inlineStr"/>
      <c r="H319" s="6" t="inlineStr">
        <is>
          <t>Fotoğraftaki olmadı ama yeni bir şey oldu. Okulda iki kişi aynısını istedi.</t>
        </is>
      </c>
      <c r="I319" s="6" t="inlineStr">
        <is>
          <t>Saçın koridorda akım başlattı. Berbere artık 'o öğrencinin saçı' diye sipariş geliyor.</t>
        </is>
      </c>
      <c r="J319" s="6" t="inlineStr">
        <is>
          <t>Sonuç fotoğrafa benzemedi. Babanın gençlik fotoğrafına benzedi.</t>
        </is>
      </c>
      <c r="K319" s="6" t="inlineStr">
        <is>
          <t>Berber 'biraz alalım' dedi. Alınan kısım üç ay sonra geri geldi.</t>
        </is>
      </c>
      <c r="L319" s="6" t="inlineStr"/>
      <c r="M319" s="5" t="inlineStr"/>
      <c r="N319" s="5" t="inlineStr"/>
      <c r="O319" s="6" t="inlineStr"/>
      <c r="P319" s="6" t="inlineStr"/>
      <c r="Q319" s="5" t="inlineStr"/>
      <c r="R319" s="5" t="inlineStr"/>
      <c r="S319" s="5" t="inlineStr"/>
      <c r="T319" s="5" t="inlineStr"/>
      <c r="U319" s="5" t="inlineStr"/>
      <c r="V319" s="5" t="inlineStr"/>
      <c r="W319" s="5" t="inlineStr"/>
      <c r="X319" s="5" t="inlineStr"/>
      <c r="Y319" s="5" t="inlineStr"/>
      <c r="Z319" s="6" t="inlineStr"/>
    </row>
    <row r="320">
      <c r="A320" s="5" t="inlineStr">
        <is>
          <t>b5-sac-devrimi</t>
        </is>
      </c>
      <c r="B320" s="5" t="n">
        <v>3</v>
      </c>
      <c r="C320" s="6" t="inlineStr">
        <is>
          <t>Evde kendin kes</t>
        </is>
      </c>
      <c r="D320" s="5" t="inlineStr">
        <is>
          <t>Cesaret</t>
        </is>
      </c>
      <c r="E320" s="5" t="inlineStr">
        <is>
          <t>Orta</t>
        </is>
      </c>
      <c r="F320" s="5" t="inlineStr"/>
      <c r="G320" s="6" t="inlineStr"/>
      <c r="H320" s="6" t="inlineStr">
        <is>
          <t>Kendin kestin. Sonuç cesur ve simetrik değil. Ama cesur.</t>
        </is>
      </c>
      <c r="I320" s="6" t="inlineStr">
        <is>
          <t>Kimse berbere gitmediğini anlamadı. Kuzenlerden randevu talebi geliyor.</t>
        </is>
      </c>
      <c r="J320" s="6" t="inlineStr">
        <is>
          <t>Kendin kestin. Sağ taraf, sol taraftan bir hafta ileride.</t>
        </is>
      </c>
      <c r="K320" s="6" t="inlineStr">
        <is>
          <t>Aile kararıyla ertesi sabah berbere götürüldün. Berber uzun uzun sustu.</t>
        </is>
      </c>
      <c r="L320" s="6" t="inlineStr"/>
      <c r="M320" s="5" t="inlineStr"/>
      <c r="N320" s="5" t="inlineStr"/>
      <c r="O320" s="6" t="inlineStr"/>
      <c r="P320" s="6" t="inlineStr"/>
      <c r="Q320" s="5" t="inlineStr"/>
      <c r="R320" s="5" t="inlineStr"/>
      <c r="S320" s="5" t="inlineStr"/>
      <c r="T320" s="5" t="inlineStr"/>
      <c r="U320" s="5" t="inlineStr"/>
      <c r="V320" s="5" t="inlineStr"/>
      <c r="W320" s="5" t="inlineStr"/>
      <c r="X320" s="5" t="inlineStr"/>
      <c r="Y320" s="5" t="inlineStr"/>
      <c r="Z320" s="6" t="inlineStr"/>
    </row>
    <row r="321">
      <c r="A321" s="5" t="inlineStr">
        <is>
          <t>b5-sac-devrimi</t>
        </is>
      </c>
      <c r="B321" s="5" t="n">
        <v>4</v>
      </c>
      <c r="C321" s="6" t="inlineStr">
        <is>
          <t>Sonucu 'bilerek yaptım' diye sahiplen</t>
        </is>
      </c>
      <c r="D321" s="5" t="inlineStr">
        <is>
          <t>Pişkinlik</t>
        </is>
      </c>
      <c r="E321" s="5" t="inlineStr">
        <is>
          <t>Kolay</t>
        </is>
      </c>
      <c r="F321" s="5" t="inlineStr"/>
      <c r="G321" s="6" t="inlineStr"/>
      <c r="H321" s="6" t="inlineStr">
        <is>
          <t>Saç kötü oldu, sen 'bilerek yaptım' dedin. Herkes inandı.</t>
        </is>
      </c>
      <c r="I321" s="6" t="inlineStr">
        <is>
          <t>'Bu bir tarz' dedin. İkinci hafta gerçekten tarz oldu.</t>
        </is>
      </c>
      <c r="J321" s="6" t="inlineStr">
        <is>
          <t>'Bilerek yaptım' dedin. Kimse sormamıştı.</t>
        </is>
      </c>
      <c r="K321" s="6" t="inlineStr">
        <is>
          <t>'Bilerek yaptım' dedin. Berber yan koltuktan 'Hayır' dedi.</t>
        </is>
      </c>
      <c r="L321" s="6" t="inlineStr"/>
      <c r="M321" s="5" t="inlineStr"/>
      <c r="N321" s="5" t="inlineStr"/>
      <c r="O321" s="6" t="inlineStr"/>
      <c r="P321" s="6" t="inlineStr"/>
      <c r="Q321" s="5" t="inlineStr">
        <is>
          <t>Kendine Gülebilir</t>
        </is>
      </c>
      <c r="R321" s="5" t="inlineStr"/>
      <c r="S321" s="5" t="inlineStr"/>
      <c r="T321" s="5" t="inlineStr"/>
      <c r="U321" s="5" t="inlineStr"/>
      <c r="V321" s="5" t="inlineStr"/>
      <c r="W321" s="5" t="inlineStr"/>
      <c r="X321" s="5" t="inlineStr"/>
      <c r="Y321" s="5" t="inlineStr"/>
      <c r="Z321" s="6" t="inlineStr"/>
    </row>
    <row r="322">
      <c r="A322" s="5" t="inlineStr">
        <is>
          <t>b5-kulup-secimi</t>
        </is>
      </c>
      <c r="B322" s="5" t="n">
        <v>1</v>
      </c>
      <c r="C322" s="6" t="inlineStr">
        <is>
          <t>Formu vermeyi unut</t>
        </is>
      </c>
      <c r="D322" s="5" t="inlineStr"/>
      <c r="E322" s="5" t="inlineStr"/>
      <c r="F322" s="5" t="inlineStr">
        <is>
          <t>Dayanıklılık +1</t>
        </is>
      </c>
      <c r="G322" s="6" t="inlineStr">
        <is>
          <t>Formu vermedin. Sistem seni Çevre ve Geri Dönüşüm Kulübü'ne atadı. Dört yıl boyunca kâğıt topladın.</t>
        </is>
      </c>
      <c r="H322" s="6" t="inlineStr"/>
      <c r="I322" s="6" t="inlineStr"/>
      <c r="J322" s="6" t="inlineStr"/>
      <c r="K322" s="6" t="inlineStr"/>
      <c r="L322" s="6" t="inlineStr"/>
      <c r="M322" s="5" t="inlineStr"/>
      <c r="N322" s="5" t="inlineStr"/>
      <c r="O322" s="6" t="inlineStr"/>
      <c r="P322" s="6" t="inlineStr"/>
      <c r="Q322" s="5" t="inlineStr"/>
      <c r="R322" s="5" t="inlineStr"/>
      <c r="S322" s="5" t="inlineStr"/>
      <c r="T322" s="5" t="inlineStr"/>
      <c r="U322" s="5" t="inlineStr"/>
      <c r="V322" s="5" t="inlineStr"/>
      <c r="W322" s="5" t="inlineStr"/>
      <c r="X322" s="5" t="inlineStr"/>
      <c r="Y322" s="5" t="inlineStr"/>
      <c r="Z322" s="6" t="inlineStr"/>
    </row>
    <row r="323">
      <c r="A323" s="5" t="inlineStr">
        <is>
          <t>b5-kulup-secimi</t>
        </is>
      </c>
      <c r="B323" s="5" t="n">
        <v>2</v>
      </c>
      <c r="C323" s="6" t="inlineStr">
        <is>
          <t>Münazaraya yazıl</t>
        </is>
      </c>
      <c r="D323" s="5" t="inlineStr">
        <is>
          <t>Çene</t>
        </is>
      </c>
      <c r="E323" s="5" t="inlineStr">
        <is>
          <t>Orta</t>
        </is>
      </c>
      <c r="F323" s="5" t="inlineStr"/>
      <c r="G323" s="6" t="inlineStr"/>
      <c r="H323" s="6" t="inlineStr">
        <is>
          <t>İlk münazarada rakibini ikna ettin. Rakibin hâlâ neye ikna olduğunu bilmiyor.</t>
        </is>
      </c>
      <c r="I323" s="6" t="inlineStr">
        <is>
          <t>Taraflar kurayla değişti, yine kazandın. Evde de hiçbir tartışmayı kaybetmiyorsun artık.</t>
        </is>
      </c>
      <c r="J323" s="6" t="inlineStr">
        <is>
          <t>İlk münazarada rakibin tek kelime söyledi: 'Kaynak?' Kaynağın yoktu.</t>
        </is>
      </c>
      <c r="K323" s="6" t="inlineStr">
        <is>
          <t>Münazarada heyecandan rakip takımın tezini savundun. Çok ikna ediciydin.</t>
        </is>
      </c>
      <c r="L323" s="6" t="inlineStr"/>
      <c r="M323" s="5" t="inlineStr"/>
      <c r="N323" s="5" t="inlineStr"/>
      <c r="O323" s="6" t="inlineStr"/>
      <c r="P323" s="6" t="inlineStr"/>
      <c r="Q323" s="5" t="inlineStr"/>
      <c r="R323" s="5" t="inlineStr"/>
      <c r="S323" s="5" t="inlineStr"/>
      <c r="T323" s="5" t="inlineStr"/>
      <c r="U323" s="5" t="inlineStr"/>
      <c r="V323" s="5" t="inlineStr"/>
      <c r="W323" s="5" t="inlineStr"/>
      <c r="X323" s="5" t="inlineStr"/>
      <c r="Y323" s="5" t="inlineStr"/>
      <c r="Z323" s="6" t="inlineStr"/>
    </row>
    <row r="324">
      <c r="A324" s="5" t="inlineStr">
        <is>
          <t>b5-kulup-secimi</t>
        </is>
      </c>
      <c r="B324" s="5" t="n">
        <v>3</v>
      </c>
      <c r="C324" s="6" t="inlineStr">
        <is>
          <t>Tiyatro kulübüne gir</t>
        </is>
      </c>
      <c r="D324" s="5" t="inlineStr">
        <is>
          <t>Pişkinlik</t>
        </is>
      </c>
      <c r="E324" s="5" t="inlineStr">
        <is>
          <t>Kolay</t>
        </is>
      </c>
      <c r="F324" s="5" t="inlineStr"/>
      <c r="G324" s="6" t="inlineStr"/>
      <c r="H324" s="6" t="inlineStr">
        <is>
          <t>Başrolü aldın. Gösteri günü veliler ayağa kalktı; biri sadece çıkmak için.</t>
        </is>
      </c>
      <c r="I324" s="6" t="inlineStr">
        <is>
          <t>Gösteriden sonra bir öğretmen 'Bu öğrenci ileride bir şey olur' dedi. Ne olacağını söylemedi.</t>
        </is>
      </c>
      <c r="J324" s="6" t="inlineStr">
        <is>
          <t>Rolün 'Ağaç 2'. Repliğin yok ama iyi bir ağaçtın.</t>
        </is>
      </c>
      <c r="K324" s="6" t="inlineStr">
        <is>
          <t>Rolün 'Ağaç 2'. Gösterinin en sessiz anında ağaç olarak hapşırdın. Salon hatırlıyor.</t>
        </is>
      </c>
      <c r="L324" s="6" t="inlineStr"/>
      <c r="M324" s="5" t="inlineStr"/>
      <c r="N324" s="5" t="inlineStr"/>
      <c r="O324" s="6" t="inlineStr"/>
      <c r="P324" s="6" t="inlineStr"/>
      <c r="Q324" s="5" t="inlineStr">
        <is>
          <t>Sahne Sever</t>
        </is>
      </c>
      <c r="R324" s="5" t="inlineStr"/>
      <c r="S324" s="5" t="inlineStr"/>
      <c r="T324" s="5" t="inlineStr"/>
      <c r="U324" s="5" t="inlineStr"/>
      <c r="V324" s="5" t="inlineStr"/>
      <c r="W324" s="5" t="inlineStr"/>
      <c r="X324" s="5" t="inlineStr"/>
      <c r="Y324" s="5" t="inlineStr"/>
      <c r="Z324" s="6" t="inlineStr"/>
    </row>
    <row r="325">
      <c r="A325" s="5" t="inlineStr">
        <is>
          <t>b5-kulup-secimi</t>
        </is>
      </c>
      <c r="B325" s="5" t="n">
        <v>4</v>
      </c>
      <c r="C325" s="6" t="inlineStr">
        <is>
          <t>Kendi kulübünü kur</t>
        </is>
      </c>
      <c r="D325" s="5" t="inlineStr">
        <is>
          <t>Çene</t>
        </is>
      </c>
      <c r="E325" s="5" t="inlineStr">
        <is>
          <t>Orta</t>
        </is>
      </c>
      <c r="F325" s="5" t="inlineStr"/>
      <c r="G325" s="6" t="inlineStr"/>
      <c r="H325" s="6" t="inlineStr">
        <is>
          <t>Kantin Ekonomisi Kulübü'nü kurdun. Üç üye, bir başkan, sınırsız tost.</t>
        </is>
      </c>
      <c r="I325" s="6" t="inlineStr">
        <is>
          <t>Kulübün ikinci dönem okulun en kalabalık kulübü oldu. Rehber öğretmen formları sana onaylatıyor.</t>
        </is>
      </c>
      <c r="J325" s="6" t="inlineStr">
        <is>
          <t>Kulübü kurdun. Tek üye sensin. Toplantılar hep oy birliğiyle bitiyor.</t>
        </is>
      </c>
      <c r="K325" s="6" t="inlineStr">
        <is>
          <t>Kulüp dilekçen üç masa dolaştı ve seni satranç kulübüne yönlendirdi.</t>
        </is>
      </c>
      <c r="L325" s="6" t="inlineStr"/>
      <c r="M325" s="5" t="inlineStr"/>
      <c r="N325" s="5" t="inlineStr"/>
      <c r="O325" s="6" t="inlineStr"/>
      <c r="P325" s="6" t="inlineStr"/>
      <c r="Q325" s="5" t="inlineStr">
        <is>
          <t>Organizatör</t>
        </is>
      </c>
      <c r="R325" s="5" t="inlineStr"/>
      <c r="S325" s="5" t="inlineStr"/>
      <c r="T325" s="5" t="inlineStr"/>
      <c r="U325" s="5" t="inlineStr"/>
      <c r="V325" s="5" t="inlineStr"/>
      <c r="W325" s="5" t="inlineStr"/>
      <c r="X325" s="5" t="inlineStr"/>
      <c r="Y325" s="5" t="inlineStr"/>
      <c r="Z325" s="6" t="inlineStr"/>
    </row>
    <row r="326">
      <c r="A326" s="5" t="inlineStr">
        <is>
          <t>b5-dershane-kaydi</t>
        </is>
      </c>
      <c r="B326" s="5" t="n">
        <v>1</v>
      </c>
      <c r="C326" s="6" t="inlineStr">
        <is>
          <t>Önerilen paketi imzala</t>
        </is>
      </c>
      <c r="D326" s="5" t="inlineStr"/>
      <c r="E326" s="5" t="inlineStr"/>
      <c r="F326" s="5" t="inlineStr">
        <is>
          <t>Akıl +1</t>
        </is>
      </c>
      <c r="G326" s="6" t="inlineStr">
        <is>
          <t>En kapsamlı paket alındı. İçinde deneme sınavları, ek dersler ve dershane logolu bir kalem var.</t>
        </is>
      </c>
      <c r="H326" s="6" t="inlineStr"/>
      <c r="I326" s="6" t="inlineStr"/>
      <c r="J326" s="6" t="inlineStr"/>
      <c r="K326" s="6" t="inlineStr"/>
      <c r="L326" s="6" t="inlineStr"/>
      <c r="M326" s="5" t="inlineStr"/>
      <c r="N326" s="5" t="inlineStr"/>
      <c r="O326" s="6" t="inlineStr"/>
      <c r="P326" s="6" t="inlineStr"/>
      <c r="Q326" s="5" t="inlineStr"/>
      <c r="R326" s="5" t="inlineStr"/>
      <c r="S326" s="5" t="inlineStr"/>
      <c r="T326" s="5" t="inlineStr"/>
      <c r="U326" s="5" t="inlineStr"/>
      <c r="V326" s="5" t="inlineStr"/>
      <c r="W326" s="5" t="inlineStr"/>
      <c r="X326" s="5" t="inlineStr"/>
      <c r="Y326" s="5" t="inlineStr"/>
      <c r="Z326" s="6" t="inlineStr"/>
    </row>
    <row r="327">
      <c r="A327" s="5" t="inlineStr">
        <is>
          <t>b5-dershane-kaydi</t>
        </is>
      </c>
      <c r="B327" s="5" t="n">
        <v>2</v>
      </c>
      <c r="C327" s="6" t="inlineStr">
        <is>
          <t>İndirim koparmaya çalış</t>
        </is>
      </c>
      <c r="D327" s="5" t="inlineStr">
        <is>
          <t>Çene</t>
        </is>
      </c>
      <c r="E327" s="5" t="inlineStr">
        <is>
          <t>Orta</t>
        </is>
      </c>
      <c r="F327" s="5" t="inlineStr"/>
      <c r="G327" s="6" t="inlineStr"/>
      <c r="H327" s="6" t="inlineStr">
        <is>
          <t>İndirimi aldın. Danışman müdürü aradı, müdür 'bir kereliğine' dedi. Her kayıtta bir kereliğine diyor.</t>
        </is>
      </c>
      <c r="I327" s="6" t="inlineStr">
        <is>
          <t>Kardeş indirimi, erken kayıt indirimi ve komşu tavsiyesi indirimini birleştirdin. Kardeşin yok.</t>
        </is>
      </c>
      <c r="J327" s="6" t="inlineStr">
        <is>
          <t>İndirim istedin. Danışman 'Kalemi hediye edebiliriz' dedi.</t>
        </is>
      </c>
      <c r="K327" s="6" t="inlineStr">
        <is>
          <t>Pazarlık uzadı. Sonunda fiyat değişmedi ama paketin adına 'Plus' eklendi.</t>
        </is>
      </c>
      <c r="L327" s="6" t="inlineStr"/>
      <c r="M327" s="5" t="inlineStr"/>
      <c r="N327" s="5" t="inlineStr"/>
      <c r="O327" s="6" t="inlineStr"/>
      <c r="P327" s="6" t="inlineStr"/>
      <c r="Q327" s="5" t="inlineStr"/>
      <c r="R327" s="5" t="inlineStr"/>
      <c r="S327" s="5" t="inlineStr"/>
      <c r="T327" s="5" t="inlineStr"/>
      <c r="U327" s="5" t="inlineStr"/>
      <c r="V327" s="5" t="inlineStr"/>
      <c r="W327" s="5" t="inlineStr"/>
      <c r="X327" s="5" t="inlineStr"/>
      <c r="Y327" s="5" t="inlineStr"/>
      <c r="Z327" s="6" t="inlineStr"/>
    </row>
    <row r="328">
      <c r="A328" s="5" t="inlineStr">
        <is>
          <t>b5-dershane-kaydi</t>
        </is>
      </c>
      <c r="B328" s="5" t="n">
        <v>3</v>
      </c>
      <c r="C328" s="6" t="inlineStr">
        <is>
          <t>'Ben evde çalışırım' de</t>
        </is>
      </c>
      <c r="D328" s="5" t="inlineStr">
        <is>
          <t>Pişkinlik</t>
        </is>
      </c>
      <c r="E328" s="5" t="inlineStr">
        <is>
          <t>Zor</t>
        </is>
      </c>
      <c r="F328" s="5" t="inlineStr"/>
      <c r="G328" s="6" t="inlineStr"/>
      <c r="H328" s="6" t="inlineStr">
        <is>
          <t>Aileni ikna ettin. Tasarruf edilen para internet paketine aktarıldı.</t>
        </is>
      </c>
      <c r="I328" s="6" t="inlineStr">
        <is>
          <t>Aileni ikna ettin; evdeki en sessiz oda sana tahsis edildi. Kapısı kilitleniyor.</t>
        </is>
      </c>
      <c r="J328" s="6" t="inlineStr">
        <is>
          <t>'Evde çalışırım' dedin. Ailen seni tanıyordu.</t>
        </is>
      </c>
      <c r="K328" s="6" t="inlineStr">
        <is>
          <t>'Evde çalışırım' dedin. Ailen seni hem dershaneye hem de akşam etüdüne yazdırdı.</t>
        </is>
      </c>
      <c r="L328" s="6" t="inlineStr"/>
      <c r="M328" s="5" t="inlineStr"/>
      <c r="N328" s="5" t="inlineStr"/>
      <c r="O328" s="6" t="inlineStr"/>
      <c r="P328" s="6" t="inlineStr"/>
      <c r="Q328" s="5" t="inlineStr"/>
      <c r="R328" s="5" t="inlineStr"/>
      <c r="S328" s="5" t="inlineStr"/>
      <c r="T328" s="5" t="inlineStr"/>
      <c r="U328" s="5" t="inlineStr"/>
      <c r="V328" s="5" t="inlineStr"/>
      <c r="W328" s="5" t="inlineStr"/>
      <c r="X328" s="5" t="inlineStr"/>
      <c r="Y328" s="5" t="inlineStr"/>
      <c r="Z328" s="6" t="inlineStr"/>
    </row>
    <row r="329">
      <c r="A329" s="5" t="inlineStr">
        <is>
          <t>b5-dershane-kaydi</t>
        </is>
      </c>
      <c r="B329" s="5" t="n">
        <v>4</v>
      </c>
      <c r="C329" s="6" t="inlineStr">
        <is>
          <t>Maliyet-fayda tablosu sun</t>
        </is>
      </c>
      <c r="D329" s="5" t="inlineStr">
        <is>
          <t>Akıl</t>
        </is>
      </c>
      <c r="E329" s="5" t="inlineStr">
        <is>
          <t>Kolay</t>
        </is>
      </c>
      <c r="F329" s="5" t="inlineStr"/>
      <c r="G329" s="6" t="inlineStr"/>
      <c r="H329" s="6" t="inlineStr">
        <is>
          <t>Tablon ailede takdir topladı. Yine de yazdırıldın ama taksitle.</t>
        </is>
      </c>
      <c r="I329" s="6" t="inlineStr">
        <is>
          <t>Tablon sayesinde çevrim içi kursa geçildi. Artan para senin adına ayrıldı. Hesap annende.</t>
        </is>
      </c>
      <c r="J329" s="6" t="inlineStr">
        <is>
          <t>Analizini sundun. Ailen 'Bunları dershanede öğrenirsin' dedi.</t>
        </is>
      </c>
      <c r="K329" s="6" t="inlineStr">
        <is>
          <t>Tablonun sonunda dershane kârlı çıktı. Kendi analizinle mahkûm oldun.</t>
        </is>
      </c>
      <c r="L329" s="6" t="inlineStr"/>
      <c r="M329" s="5" t="inlineStr"/>
      <c r="N329" s="5" t="inlineStr"/>
      <c r="O329" s="6" t="inlineStr"/>
      <c r="P329" s="6" t="inlineStr"/>
      <c r="Q329" s="5" t="inlineStr">
        <is>
          <t>Erken Ekonomi Bilinci</t>
        </is>
      </c>
      <c r="R329" s="5" t="inlineStr"/>
      <c r="S329" s="5" t="inlineStr"/>
      <c r="T329" s="5" t="inlineStr"/>
      <c r="U329" s="5" t="inlineStr"/>
      <c r="V329" s="5" t="inlineStr"/>
      <c r="W329" s="5" t="inlineStr"/>
      <c r="X329" s="5" t="inlineStr"/>
      <c r="Y329" s="5" t="inlineStr"/>
      <c r="Z329" s="6" t="inlineStr"/>
    </row>
    <row r="330">
      <c r="A330" s="5" t="inlineStr">
        <is>
          <t>b5-sigara-teklifi</t>
        </is>
      </c>
      <c r="B330" s="5" t="n">
        <v>1</v>
      </c>
      <c r="C330" s="6" t="inlineStr">
        <is>
          <t>'Yok' de, yürü</t>
        </is>
      </c>
      <c r="D330" s="5" t="inlineStr"/>
      <c r="E330" s="5" t="inlineStr"/>
      <c r="F330" s="5" t="inlineStr">
        <is>
          <t>Cesaret +1</t>
        </is>
      </c>
      <c r="G330" s="6" t="inlineStr">
        <is>
          <t>'Yok' dedin ve yürüdün. Kimse arkandan bir şey demedi. Ertesi gün kimse hatırlamadı bile.</t>
        </is>
      </c>
      <c r="H330" s="6" t="inlineStr"/>
      <c r="I330" s="6" t="inlineStr"/>
      <c r="J330" s="6" t="inlineStr"/>
      <c r="K330" s="6" t="inlineStr"/>
      <c r="L330" s="6" t="inlineStr"/>
      <c r="M330" s="5" t="inlineStr"/>
      <c r="N330" s="5" t="inlineStr"/>
      <c r="O330" s="6" t="inlineStr"/>
      <c r="P330" s="6" t="inlineStr"/>
      <c r="Q330" s="5" t="inlineStr"/>
      <c r="R330" s="5" t="inlineStr"/>
      <c r="S330" s="5" t="inlineStr"/>
      <c r="T330" s="5" t="inlineStr"/>
      <c r="U330" s="5" t="inlineStr"/>
      <c r="V330" s="5" t="inlineStr"/>
      <c r="W330" s="5" t="inlineStr"/>
      <c r="X330" s="5" t="inlineStr"/>
      <c r="Y330" s="5" t="inlineStr"/>
      <c r="Z330" s="6" t="inlineStr"/>
    </row>
    <row r="331">
      <c r="A331" s="5" t="inlineStr">
        <is>
          <t>b5-sigara-teklifi</t>
        </is>
      </c>
      <c r="B331" s="5" t="n">
        <v>2</v>
      </c>
      <c r="C331" s="6" t="inlineStr">
        <is>
          <t>Al</t>
        </is>
      </c>
      <c r="D331" s="5" t="inlineStr"/>
      <c r="E331" s="5" t="inlineStr"/>
      <c r="F331" s="5" t="inlineStr">
        <is>
          <t>Pişkinlik +1</t>
        </is>
      </c>
      <c r="G331" s="6" t="inlineStr">
        <is>
          <t>Aldın ve öksürdün. Herkes görmemiş gibi yaptı. Uzun vadeli bir abonelik başlatıldı; iptal süreci ayrıca anlatılacak.</t>
        </is>
      </c>
      <c r="H331" s="6" t="inlineStr"/>
      <c r="I331" s="6" t="inlineStr"/>
      <c r="J331" s="6" t="inlineStr"/>
      <c r="K331" s="6" t="inlineStr"/>
      <c r="L331" s="6" t="inlineStr"/>
      <c r="M331" s="5" t="inlineStr"/>
      <c r="N331" s="5" t="inlineStr"/>
      <c r="O331" s="6" t="inlineStr"/>
      <c r="P331" s="6" t="inlineStr"/>
      <c r="Q331" s="5" t="inlineStr"/>
      <c r="R331" s="5" t="inlineStr"/>
      <c r="S331" s="5" t="inlineStr"/>
      <c r="T331" s="5" t="inlineStr"/>
      <c r="U331" s="5" t="inlineStr">
        <is>
          <t>sigara</t>
        </is>
      </c>
      <c r="V331" s="5" t="inlineStr"/>
      <c r="W331" s="5" t="inlineStr"/>
      <c r="X331" s="5" t="inlineStr"/>
      <c r="Y331" s="5" t="inlineStr"/>
      <c r="Z331" s="6" t="inlineStr"/>
    </row>
    <row r="332">
      <c r="A332" s="5" t="inlineStr">
        <is>
          <t>b5-sigara-teklifi</t>
        </is>
      </c>
      <c r="B332" s="5" t="n">
        <v>3</v>
      </c>
      <c r="C332" s="6" t="inlineStr">
        <is>
          <t>Esprili bir bahane bul</t>
        </is>
      </c>
      <c r="D332" s="5" t="inlineStr">
        <is>
          <t>Çene</t>
        </is>
      </c>
      <c r="E332" s="5" t="inlineStr">
        <is>
          <t>Orta</t>
        </is>
      </c>
      <c r="F332" s="5" t="inlineStr"/>
      <c r="G332" s="6" t="inlineStr"/>
      <c r="H332" s="6" t="inlineStr">
        <is>
          <t>'Nefesimi sınava saklıyorum' dedin. Güldüler, paket cebe geri girdi.</t>
        </is>
      </c>
      <c r="I332" s="6" t="inlineStr">
        <is>
          <t>Bahanen o kadar iyiydi ki gruptan ikisi de bıraktı. Duvarın dibi yarı yarıya boşaldı.</t>
        </is>
      </c>
      <c r="J332" s="6" t="inlineStr">
        <is>
          <t>Bahaneni kimse dinlemedi. Neyse ki kimse ısrar da etmedi.</t>
        </is>
      </c>
      <c r="K332" s="6" t="inlineStr">
        <is>
          <t>'Annem kokuyu alır' dedin. Lakabın bir yıl boyunca 'Annem Kokuyu Alır' oldu.</t>
        </is>
      </c>
      <c r="L332" s="6" t="inlineStr"/>
      <c r="M332" s="5" t="inlineStr"/>
      <c r="N332" s="5" t="inlineStr"/>
      <c r="O332" s="6" t="inlineStr"/>
      <c r="P332" s="6" t="inlineStr"/>
      <c r="Q332" s="5" t="inlineStr"/>
      <c r="R332" s="5" t="inlineStr"/>
      <c r="S332" s="5" t="inlineStr"/>
      <c r="T332" s="5" t="inlineStr"/>
      <c r="U332" s="5" t="inlineStr"/>
      <c r="V332" s="5" t="inlineStr"/>
      <c r="W332" s="5" t="inlineStr"/>
      <c r="X332" s="5" t="inlineStr"/>
      <c r="Y332" s="5" t="inlineStr"/>
      <c r="Z332" s="6" t="inlineStr"/>
    </row>
    <row r="333">
      <c r="A333" s="5" t="inlineStr">
        <is>
          <t>b5-sigara-teklifi</t>
        </is>
      </c>
      <c r="B333" s="5" t="n">
        <v>4</v>
      </c>
      <c r="C333" s="6" t="inlineStr">
        <is>
          <t>Konuyu değiştir</t>
        </is>
      </c>
      <c r="D333" s="5" t="inlineStr">
        <is>
          <t>Sosyal Radar</t>
        </is>
      </c>
      <c r="E333" s="5" t="inlineStr">
        <is>
          <t>Kolay</t>
        </is>
      </c>
      <c r="F333" s="5" t="inlineStr"/>
      <c r="G333" s="6" t="inlineStr"/>
      <c r="H333" s="6" t="inlineStr">
        <is>
          <t>'Dünkü maç kaç kaç bitti?' diye sordun. On dakika tartışıldı, paket unutuldu.</t>
        </is>
      </c>
      <c r="I333" s="6" t="inlineStr">
        <is>
          <t>Konuyu değiştirdin; grup duvar dibinden kantine taşındı. Tost daha iyi bir alışkanlıktı.</t>
        </is>
      </c>
      <c r="J333" s="6" t="inlineStr">
        <is>
          <t>Konuyu değiştirdin. Paket yine sana uzatıldı. Konu değişmedi.</t>
        </is>
      </c>
      <c r="K333" s="6" t="inlineStr">
        <is>
          <t>Konuyu değiştirmek için 'Müdür yardımcısı geliyor' dedin. Geldi. Hepiniz disiplin defterine girdiniz.</t>
        </is>
      </c>
      <c r="L333" s="6" t="inlineStr"/>
      <c r="M333" s="5" t="inlineStr"/>
      <c r="N333" s="5" t="inlineStr"/>
      <c r="O333" s="6" t="inlineStr"/>
      <c r="P333" s="6" t="inlineStr"/>
      <c r="Q333" s="5" t="inlineStr"/>
      <c r="R333" s="5" t="inlineStr"/>
      <c r="S333" s="5" t="inlineStr">
        <is>
          <t>Sosyal Radar</t>
        </is>
      </c>
      <c r="T333" s="5" t="inlineStr"/>
      <c r="U333" s="5" t="inlineStr"/>
      <c r="V333" s="5" t="inlineStr"/>
      <c r="W333" s="5" t="inlineStr"/>
      <c r="X333" s="5" t="inlineStr"/>
      <c r="Y333" s="5" t="inlineStr"/>
      <c r="Z333" s="6" t="inlineStr"/>
    </row>
    <row r="334">
      <c r="A334" s="5" t="inlineStr">
        <is>
          <t>b5-mesaj-grubu</t>
        </is>
      </c>
      <c r="B334" s="5" t="n">
        <v>1</v>
      </c>
      <c r="C334" s="6" t="inlineStr">
        <is>
          <t>Hiçbir şey olmamış gibi davran</t>
        </is>
      </c>
      <c r="D334" s="5" t="inlineStr"/>
      <c r="E334" s="5" t="inlineStr"/>
      <c r="F334" s="5" t="inlineStr">
        <is>
          <t>Dayanıklılık +1</t>
        </is>
      </c>
      <c r="G334" s="6" t="inlineStr">
        <is>
          <t>Hiçbir şey demedin. Bir ay sonra seni asıl gruba eklediler. Grup o gün sessize alındı.</t>
        </is>
      </c>
      <c r="H334" s="6" t="inlineStr"/>
      <c r="I334" s="6" t="inlineStr"/>
      <c r="J334" s="6" t="inlineStr"/>
      <c r="K334" s="6" t="inlineStr"/>
      <c r="L334" s="6" t="inlineStr"/>
      <c r="M334" s="5" t="inlineStr"/>
      <c r="N334" s="5" t="inlineStr"/>
      <c r="O334" s="6" t="inlineStr"/>
      <c r="P334" s="6" t="inlineStr"/>
      <c r="Q334" s="5" t="inlineStr"/>
      <c r="R334" s="5" t="inlineStr"/>
      <c r="S334" s="5" t="inlineStr"/>
      <c r="T334" s="5" t="inlineStr"/>
      <c r="U334" s="5" t="inlineStr"/>
      <c r="V334" s="5" t="inlineStr"/>
      <c r="W334" s="5" t="inlineStr"/>
      <c r="X334" s="5" t="inlineStr"/>
      <c r="Y334" s="5" t="inlineStr"/>
      <c r="Z334" s="6" t="inlineStr"/>
    </row>
    <row r="335">
      <c r="A335" s="5" t="inlineStr">
        <is>
          <t>b5-mesaj-grubu</t>
        </is>
      </c>
      <c r="B335" s="5" t="n">
        <v>2</v>
      </c>
      <c r="C335" s="6" t="inlineStr">
        <is>
          <t>Kendi grubunu kur</t>
        </is>
      </c>
      <c r="D335" s="5" t="inlineStr">
        <is>
          <t>Sosyal Radar</t>
        </is>
      </c>
      <c r="E335" s="5" t="inlineStr">
        <is>
          <t>Zor</t>
        </is>
      </c>
      <c r="F335" s="5" t="inlineStr"/>
      <c r="G335" s="6" t="inlineStr"/>
      <c r="H335" s="6" t="inlineStr">
        <is>
          <t>Kendi grubunu kurdun. Asıl grubun yarısı sana geçti.</t>
        </is>
      </c>
      <c r="I335" s="6" t="inlineStr">
        <is>
          <t>Grubun sınıfın yeni asıl grubu oldu. Eskisi artık 'eski grup' olarak anılıyor.</t>
        </is>
      </c>
      <c r="J335" s="6" t="inlineStr">
        <is>
          <t>Grubu kurdun. İki kişi katıldı, biri yanlışlıkla.</t>
        </is>
      </c>
      <c r="K335" s="6" t="inlineStr">
        <is>
          <t>Yeni grubun ilk mesajı asıl gruptaki biri hakkındaydı. Ekran görüntüsü on dakikada asıl gruba ulaştı.</t>
        </is>
      </c>
      <c r="L335" s="6" t="inlineStr"/>
      <c r="M335" s="5" t="inlineStr"/>
      <c r="N335" s="5" t="inlineStr"/>
      <c r="O335" s="6" t="inlineStr"/>
      <c r="P335" s="6" t="inlineStr"/>
      <c r="Q335" s="5" t="inlineStr"/>
      <c r="R335" s="5" t="inlineStr"/>
      <c r="S335" s="5" t="inlineStr"/>
      <c r="T335" s="5" t="inlineStr">
        <is>
          <t>Grup Yöneticisi</t>
        </is>
      </c>
      <c r="U335" s="5" t="inlineStr"/>
      <c r="V335" s="5" t="inlineStr"/>
      <c r="W335" s="5" t="inlineStr"/>
      <c r="X335" s="5" t="inlineStr"/>
      <c r="Y335" s="5" t="inlineStr"/>
      <c r="Z335" s="6" t="inlineStr"/>
    </row>
    <row r="336">
      <c r="A336" s="5" t="inlineStr">
        <is>
          <t>b5-mesaj-grubu</t>
        </is>
      </c>
      <c r="B336" s="5" t="n">
        <v>3</v>
      </c>
      <c r="C336" s="6" t="inlineStr">
        <is>
          <t>Birinden ekran görüntüsü iste</t>
        </is>
      </c>
      <c r="D336" s="5" t="inlineStr">
        <is>
          <t>Kurnazlık</t>
        </is>
      </c>
      <c r="E336" s="5" t="inlineStr">
        <is>
          <t>Orta</t>
        </is>
      </c>
      <c r="F336" s="5" t="inlineStr"/>
      <c r="G336" s="6" t="inlineStr"/>
      <c r="H336" s="6" t="inlineStr">
        <is>
          <t>Görüntüleri aldın. Asıl grupta konuşulan tek şey ödevmiş. Hayal kırıklığı.</t>
        </is>
      </c>
      <c r="I336" s="6" t="inlineStr">
        <is>
          <t>Görüntüler her hafta sana ulaşıyor ve kimsenin haberi yok. İstihbarat birimin kuruldu.</t>
        </is>
      </c>
      <c r="J336" s="6" t="inlineStr">
        <is>
          <t>Görüntü istediğin kişi 'Hangi grup?' dedi. O da yokmuş.</t>
        </is>
      </c>
      <c r="K336" s="6" t="inlineStr">
        <is>
          <t>Ekran görüntüsü talebini yanlışlıkla asıl grubun kendisine gönderdin. Artık orada konuşuluyorsun.</t>
        </is>
      </c>
      <c r="L336" s="6" t="inlineStr"/>
      <c r="M336" s="5" t="inlineStr"/>
      <c r="N336" s="5" t="inlineStr"/>
      <c r="O336" s="6" t="inlineStr"/>
      <c r="P336" s="6" t="inlineStr"/>
      <c r="Q336" s="5" t="inlineStr"/>
      <c r="R336" s="5" t="inlineStr"/>
      <c r="S336" s="5" t="inlineStr"/>
      <c r="T336" s="5" t="inlineStr"/>
      <c r="U336" s="5" t="inlineStr"/>
      <c r="V336" s="5" t="inlineStr"/>
      <c r="W336" s="5" t="inlineStr"/>
      <c r="X336" s="5" t="inlineStr"/>
      <c r="Y336" s="5" t="inlineStr"/>
      <c r="Z336" s="6" t="inlineStr"/>
    </row>
    <row r="337">
      <c r="A337" s="5" t="inlineStr">
        <is>
          <t>b5-mesaj-grubu</t>
        </is>
      </c>
      <c r="B337" s="5" t="n">
        <v>4</v>
      </c>
      <c r="C337" s="6" t="inlineStr">
        <is>
          <t>'Beni de ekleyin' yaz</t>
        </is>
      </c>
      <c r="D337" s="5" t="inlineStr">
        <is>
          <t>Pişkinlik</t>
        </is>
      </c>
      <c r="E337" s="5" t="inlineStr">
        <is>
          <t>Kolay</t>
        </is>
      </c>
      <c r="F337" s="5" t="inlineStr"/>
      <c r="G337" s="6" t="inlineStr"/>
      <c r="H337" s="6" t="inlineStr">
        <is>
          <t>Açıkça istedin, eklediler. Kimse zaten neden eklemediğini hatırlamıyordu.</t>
        </is>
      </c>
      <c r="I337" s="6" t="inlineStr">
        <is>
          <t>Eklendin ve bir hafta içinde yönetici yapıldın. Açık sözlülük ödüllendirildi.</t>
        </is>
      </c>
      <c r="J337" s="6" t="inlineStr">
        <is>
          <t>Eklediler. Ertesi gün grubun adı 'Asıl Asıl Grup' oldu.</t>
        </is>
      </c>
      <c r="K337" s="6" t="inlineStr">
        <is>
          <t>'Beni de ekleyin' yazdın. Genel gruba. Bütün sınıf bir asıl grup olduğunu öğrendi.</t>
        </is>
      </c>
      <c r="L337" s="6" t="inlineStr"/>
      <c r="M337" s="5" t="inlineStr"/>
      <c r="N337" s="5" t="inlineStr"/>
      <c r="O337" s="6" t="inlineStr"/>
      <c r="P337" s="6" t="inlineStr"/>
      <c r="Q337" s="5" t="inlineStr"/>
      <c r="R337" s="5" t="inlineStr"/>
      <c r="S337" s="5" t="inlineStr">
        <is>
          <t>Pişkinlik</t>
        </is>
      </c>
      <c r="T337" s="5" t="inlineStr"/>
      <c r="U337" s="5" t="inlineStr"/>
      <c r="V337" s="5" t="inlineStr"/>
      <c r="W337" s="5" t="inlineStr"/>
      <c r="X337" s="5" t="inlineStr"/>
      <c r="Y337" s="5" t="inlineStr"/>
      <c r="Z337" s="6" t="inlineStr"/>
    </row>
    <row r="338">
      <c r="A338" s="5" t="inlineStr">
        <is>
          <t>b5-kantin-vergisi</t>
        </is>
      </c>
      <c r="B338" s="5" t="n">
        <v>1</v>
      </c>
      <c r="C338" s="6" t="inlineStr">
        <is>
          <t>Öde</t>
        </is>
      </c>
      <c r="D338" s="5" t="inlineStr"/>
      <c r="E338" s="5" t="inlineStr"/>
      <c r="F338" s="5" t="inlineStr">
        <is>
          <t>Dayanıklılık +1</t>
        </is>
      </c>
      <c r="G338" s="6" t="inlineStr">
        <is>
          <t>Ödedin. Haftalık tost bütçen bir abonelik hizmetine dönüştü. Fatura yok, iade yok.</t>
        </is>
      </c>
      <c r="H338" s="6" t="inlineStr"/>
      <c r="I338" s="6" t="inlineStr"/>
      <c r="J338" s="6" t="inlineStr"/>
      <c r="K338" s="6" t="inlineStr"/>
      <c r="L338" s="6" t="inlineStr"/>
      <c r="M338" s="5" t="inlineStr"/>
      <c r="N338" s="5" t="inlineStr"/>
      <c r="O338" s="6" t="inlineStr"/>
      <c r="P338" s="6" t="inlineStr"/>
      <c r="Q338" s="5" t="inlineStr"/>
      <c r="R338" s="5" t="inlineStr"/>
      <c r="S338" s="5" t="inlineStr"/>
      <c r="T338" s="5" t="inlineStr"/>
      <c r="U338" s="5" t="inlineStr"/>
      <c r="V338" s="5" t="inlineStr"/>
      <c r="W338" s="5" t="inlineStr"/>
      <c r="X338" s="5" t="inlineStr"/>
      <c r="Y338" s="5" t="inlineStr"/>
      <c r="Z338" s="6" t="inlineStr"/>
    </row>
    <row r="339">
      <c r="A339" s="5" t="inlineStr">
        <is>
          <t>b5-kantin-vergisi</t>
        </is>
      </c>
      <c r="B339" s="5" t="n">
        <v>2</v>
      </c>
      <c r="C339" s="6" t="inlineStr">
        <is>
          <t>Arka kapıyı kullan</t>
        </is>
      </c>
      <c r="D339" s="5" t="inlineStr">
        <is>
          <t>Kurnazlık</t>
        </is>
      </c>
      <c r="E339" s="5" t="inlineStr">
        <is>
          <t>Kolay</t>
        </is>
      </c>
      <c r="F339" s="5" t="inlineStr"/>
      <c r="G339" s="6" t="inlineStr"/>
      <c r="H339" s="6" t="inlineStr">
        <is>
          <t>Arka kapıyı keşfettin. Yol iki dakika uzadı, tost bütçen korundu.</t>
        </is>
      </c>
      <c r="I339" s="6" t="inlineStr">
        <is>
          <t>Arka kapıyı keşfettin ve güzergâhı sınıfa açtın. Ön kapının tarifesi bir haftada çöktü.</t>
        </is>
      </c>
      <c r="J339" s="6" t="inlineStr">
        <is>
          <t>Arka kapıyı buldun. Onlar da buldu. Arka kapı tarifesi ön kapıdan pahalı.</t>
        </is>
      </c>
      <c r="K339" s="6" t="inlineStr">
        <is>
          <t>Arka kapı kilitliydi. Ön kapıya döndüğünde tarifeye 'geç kalma bedeli' eklenmişti.</t>
        </is>
      </c>
      <c r="L339" s="6" t="inlineStr"/>
      <c r="M339" s="5" t="inlineStr"/>
      <c r="N339" s="5" t="inlineStr"/>
      <c r="O339" s="6" t="inlineStr"/>
      <c r="P339" s="6" t="inlineStr"/>
      <c r="Q339" s="5" t="inlineStr"/>
      <c r="R339" s="5" t="inlineStr"/>
      <c r="S339" s="5" t="inlineStr"/>
      <c r="T339" s="5" t="inlineStr"/>
      <c r="U339" s="5" t="inlineStr"/>
      <c r="V339" s="5" t="inlineStr"/>
      <c r="W339" s="5" t="inlineStr"/>
      <c r="X339" s="5" t="inlineStr"/>
      <c r="Y339" s="5" t="inlineStr"/>
      <c r="Z339" s="6" t="inlineStr"/>
    </row>
    <row r="340">
      <c r="A340" s="5" t="inlineStr">
        <is>
          <t>b5-kantin-vergisi</t>
        </is>
      </c>
      <c r="B340" s="5" t="n">
        <v>3</v>
      </c>
      <c r="C340" s="6" t="inlineStr">
        <is>
          <t>Açıkça reddet</t>
        </is>
      </c>
      <c r="D340" s="5" t="inlineStr">
        <is>
          <t>Cesaret</t>
        </is>
      </c>
      <c r="E340" s="5" t="inlineStr">
        <is>
          <t>Zor</t>
        </is>
      </c>
      <c r="F340" s="5" t="inlineStr"/>
      <c r="G340" s="6" t="inlineStr"/>
      <c r="H340" s="6" t="inlineStr">
        <is>
          <t>Reddettin. Birbirlerine baktılar ve 'Bu hafta pas' dediler. Tarifeden muaf tutuldun.</t>
        </is>
      </c>
      <c r="I340" s="6" t="inlineStr">
        <is>
          <t>Sen reddettin, arkandaki beş kişi de reddetti. Sistem bir hafta içinde tasfiye edildi.</t>
        </is>
      </c>
      <c r="J340" s="6" t="inlineStr">
        <is>
          <t>Reddettin. Hiçbir şey olmadı. Sadece adın bir deftere yazıldı.</t>
        </is>
      </c>
      <c r="K340" s="6" t="inlineStr">
        <is>
          <t>Reddettin. Ertesi gün bisikletinin selesi kayıptı. Mahalle haraççılarının kara listesine resmen girdin.</t>
        </is>
      </c>
      <c r="L340" s="6" t="inlineStr"/>
      <c r="M340" s="5" t="inlineStr"/>
      <c r="N340" s="5" t="inlineStr"/>
      <c r="O340" s="6" t="inlineStr"/>
      <c r="P340" s="6" t="inlineStr"/>
      <c r="Q340" s="5" t="inlineStr"/>
      <c r="R340" s="5" t="inlineStr"/>
      <c r="S340" s="5" t="inlineStr"/>
      <c r="T340" s="5" t="inlineStr"/>
      <c r="U340" s="5" t="inlineStr"/>
      <c r="V340" s="5" t="inlineStr"/>
      <c r="W340" s="5" t="inlineStr">
        <is>
          <t>haracci-dusmani</t>
        </is>
      </c>
      <c r="X340" s="5" t="inlineStr"/>
      <c r="Y340" s="5" t="inlineStr"/>
      <c r="Z340" s="6" t="inlineStr"/>
    </row>
    <row r="341">
      <c r="A341" s="5" t="inlineStr">
        <is>
          <t>b5-kantin-vergisi</t>
        </is>
      </c>
      <c r="B341" s="5" t="n">
        <v>4</v>
      </c>
      <c r="C341" s="6" t="inlineStr">
        <is>
          <t>'Abinizle ben görüşürüm' de</t>
        </is>
      </c>
      <c r="D341" s="5" t="inlineStr">
        <is>
          <t>Pişkinlik</t>
        </is>
      </c>
      <c r="E341" s="5" t="inlineStr">
        <is>
          <t>Orta</t>
        </is>
      </c>
      <c r="F341" s="5" t="inlineStr"/>
      <c r="G341" s="6" t="inlineStr"/>
      <c r="H341" s="6" t="inlineStr">
        <is>
          <t>Abiyi aradılar. Abi telefonu açmadı. Belirsizlik senin lehine işledi; geçtin.</t>
        </is>
      </c>
      <c r="I341" s="6" t="inlineStr">
        <is>
          <t>Abiyle görüştün. Abi seni geçiş ücretinden muaf tuttu: 'Eski dosya, kapandı.'</t>
        </is>
      </c>
      <c r="J341" s="6" t="inlineStr">
        <is>
          <t>Abiyi aradın. Abi 'Tarifede indirim yok' dedi.</t>
        </is>
      </c>
      <c r="K341" s="6" t="inlineStr">
        <is>
          <t>Abiyi aradın. Abi sana eski dosyayı faiziyle birlikte hatırlattı.</t>
        </is>
      </c>
      <c r="L341" s="6" t="inlineStr"/>
      <c r="M341" s="5" t="inlineStr"/>
      <c r="N341" s="5" t="inlineStr"/>
      <c r="O341" s="6" t="inlineStr"/>
      <c r="P341" s="6" t="inlineStr"/>
      <c r="Q341" s="5" t="inlineStr"/>
      <c r="R341" s="5" t="inlineStr">
        <is>
          <t>haracci-dusmani</t>
        </is>
      </c>
      <c r="S341" s="5" t="inlineStr"/>
      <c r="T341" s="5" t="inlineStr"/>
      <c r="U341" s="5" t="inlineStr"/>
      <c r="V341" s="5" t="inlineStr"/>
      <c r="W341" s="5" t="inlineStr"/>
      <c r="X341" s="5" t="inlineStr"/>
      <c r="Y341" s="5" t="inlineStr"/>
      <c r="Z341" s="6" t="inlineStr"/>
    </row>
    <row r="342">
      <c r="A342" s="5" t="inlineStr">
        <is>
          <t>b5-ilk-sevgili</t>
        </is>
      </c>
      <c r="B342" s="5" t="n">
        <v>1</v>
      </c>
      <c r="C342" s="6" t="inlineStr">
        <is>
          <t>Hava durumundan konuş</t>
        </is>
      </c>
      <c r="D342" s="5" t="inlineStr"/>
      <c r="E342" s="5" t="inlineStr"/>
      <c r="F342" s="5" t="inlineStr">
        <is>
          <t>Çene +1</t>
        </is>
      </c>
      <c r="G342" s="6" t="inlineStr">
        <is>
          <t>Bir saat boyunca hava durumunu konuştunuz. İkiniz de yarın yağmur yağacağını artık çok iyi biliyorsunuz.</t>
        </is>
      </c>
      <c r="H342" s="6" t="inlineStr"/>
      <c r="I342" s="6" t="inlineStr"/>
      <c r="J342" s="6" t="inlineStr"/>
      <c r="K342" s="6" t="inlineStr"/>
      <c r="L342" s="6" t="inlineStr"/>
      <c r="M342" s="5" t="inlineStr"/>
      <c r="N342" s="5" t="inlineStr"/>
      <c r="O342" s="6" t="inlineStr"/>
      <c r="P342" s="6" t="inlineStr"/>
      <c r="Q342" s="5" t="inlineStr"/>
      <c r="R342" s="5" t="inlineStr"/>
      <c r="S342" s="5" t="inlineStr"/>
      <c r="T342" s="5" t="inlineStr"/>
      <c r="U342" s="5" t="inlineStr"/>
      <c r="V342" s="5" t="inlineStr"/>
      <c r="W342" s="5" t="inlineStr"/>
      <c r="X342" s="5" t="inlineStr"/>
      <c r="Y342" s="5" t="inlineStr"/>
      <c r="Z342" s="6" t="inlineStr"/>
    </row>
    <row r="343">
      <c r="A343" s="5" t="inlineStr">
        <is>
          <t>b5-ilk-sevgili</t>
        </is>
      </c>
      <c r="B343" s="5" t="n">
        <v>2</v>
      </c>
      <c r="C343" s="6" t="inlineStr">
        <is>
          <t>Elini tut</t>
        </is>
      </c>
      <c r="D343" s="5" t="inlineStr">
        <is>
          <t>Cesaret</t>
        </is>
      </c>
      <c r="E343" s="5" t="inlineStr">
        <is>
          <t>Zor</t>
        </is>
      </c>
      <c r="F343" s="5" t="inlineStr"/>
      <c r="G343" s="6" t="inlineStr"/>
      <c r="H343" s="6" t="inlineStr">
        <is>
          <t>Elini tuttun. İki avuç da terliydi. Kimse bundan bahsetmedi. İlişki resmîleşti.</t>
        </is>
      </c>
      <c r="I343" s="6" t="inlineStr">
        <is>
          <t>Elini tuttun ve eve kadar bırakmadınız. Mesajlaşma uygulamasındaki durumun güncellendi.</t>
        </is>
      </c>
      <c r="J343" s="6" t="inlineStr">
        <is>
          <t>Tam uzanacakken karşındaki ayağa kalkıp dondurma almaya gitti.</t>
        </is>
      </c>
      <c r="K343" s="6" t="inlineStr">
        <is>
          <t>Elini tuttuğunu sandın. Tuttuğun banktaki poşetti. Poşet yandaki teyzeninmiş.</t>
        </is>
      </c>
      <c r="L343" s="6" t="inlineStr"/>
      <c r="M343" s="5" t="inlineStr"/>
      <c r="N343" s="5" t="inlineStr"/>
      <c r="O343" s="6" t="inlineStr"/>
      <c r="P343" s="6" t="inlineStr"/>
      <c r="Q343" s="5" t="inlineStr"/>
      <c r="R343" s="5" t="inlineStr"/>
      <c r="S343" s="5" t="inlineStr"/>
      <c r="T343" s="5" t="inlineStr"/>
      <c r="U343" s="5" t="inlineStr"/>
      <c r="V343" s="5" t="inlineStr">
        <is>
          <t>ilk-sevgili</t>
        </is>
      </c>
      <c r="W343" s="5" t="inlineStr"/>
      <c r="X343" s="5" t="inlineStr"/>
      <c r="Y343" s="5" t="inlineStr"/>
      <c r="Z343" s="6" t="inlineStr"/>
    </row>
    <row r="344">
      <c r="A344" s="5" t="inlineStr">
        <is>
          <t>b5-ilk-sevgili</t>
        </is>
      </c>
      <c r="B344" s="5" t="n">
        <v>3</v>
      </c>
      <c r="C344" s="6" t="inlineStr">
        <is>
          <t>'Ben de heyecanlıyım' de</t>
        </is>
      </c>
      <c r="D344" s="5" t="inlineStr">
        <is>
          <t>Vicdan</t>
        </is>
      </c>
      <c r="E344" s="5" t="inlineStr">
        <is>
          <t>Kolay</t>
        </is>
      </c>
      <c r="F344" s="5" t="inlineStr"/>
      <c r="G344" s="6" t="inlineStr"/>
      <c r="H344" s="6" t="inlineStr">
        <is>
          <t>Açık sözlülüğün işe yaradı. Karşındaki güldü, rahatladı ve elini uzattı.</t>
        </is>
      </c>
      <c r="I344" s="6" t="inlineStr">
        <is>
          <t>İkiniz aynı anda 'Ben de' dediniz. Film sahnesiydi; tek eksik müzikti.</t>
        </is>
      </c>
      <c r="J344" s="6" t="inlineStr">
        <is>
          <t>'Ben de heyecanlıyım' dedin. 'Neden?' diye sordu. Anlatamadın.</t>
        </is>
      </c>
      <c r="K344" s="6" t="inlineStr">
        <is>
          <t>Sen 'Ben de heyecanlıyım' derken o 'Annem arıyor' diyordu. Cümleler havada çarpıştı.</t>
        </is>
      </c>
      <c r="L344" s="6" t="inlineStr"/>
      <c r="M344" s="5" t="inlineStr"/>
      <c r="N344" s="5" t="inlineStr"/>
      <c r="O344" s="6" t="inlineStr"/>
      <c r="P344" s="6" t="inlineStr"/>
      <c r="Q344" s="5" t="inlineStr"/>
      <c r="R344" s="5" t="inlineStr"/>
      <c r="S344" s="5" t="inlineStr">
        <is>
          <t>Sosyal Radar</t>
        </is>
      </c>
      <c r="T344" s="5" t="inlineStr"/>
      <c r="U344" s="5" t="inlineStr"/>
      <c r="V344" s="5" t="inlineStr">
        <is>
          <t>ilk-sevgili</t>
        </is>
      </c>
      <c r="W344" s="5" t="inlineStr"/>
      <c r="X344" s="5" t="inlineStr"/>
      <c r="Y344" s="5" t="inlineStr"/>
      <c r="Z344" s="6" t="inlineStr"/>
    </row>
    <row r="345">
      <c r="A345" s="5" t="inlineStr">
        <is>
          <t>b5-ilk-sevgili</t>
        </is>
      </c>
      <c r="B345" s="5" t="n">
        <v>4</v>
      </c>
      <c r="C345" s="6" t="inlineStr">
        <is>
          <t>Önceden hazırladığın espriyi yap</t>
        </is>
      </c>
      <c r="D345" s="5" t="inlineStr">
        <is>
          <t>Pişkinlik</t>
        </is>
      </c>
      <c r="E345" s="5" t="inlineStr">
        <is>
          <t>Orta</t>
        </is>
      </c>
      <c r="F345" s="5" t="inlineStr"/>
      <c r="G345" s="6" t="inlineStr"/>
      <c r="H345" s="6" t="inlineStr">
        <is>
          <t>Espri tuttu. Gülerken omzuna yaslandı. Hazırlık karşılığını buldu.</t>
        </is>
      </c>
      <c r="I345" s="6" t="inlineStr">
        <is>
          <t>Espri tuttu, bir tane daha istedi. Üçüncüsünde el ele eve yürüyordunuz.</t>
        </is>
      </c>
      <c r="J345" s="6" t="inlineStr">
        <is>
          <t>Espriyi yaptın; nazikçe güldü. Nazik gülüşler kayda geçmez.</t>
        </is>
      </c>
      <c r="K345" s="6" t="inlineStr">
        <is>
          <t>Espriyi yaptın, sonra açıklamaya çalıştın. Açıklama espriden uzun sürdü.</t>
        </is>
      </c>
      <c r="L345" s="6" t="inlineStr"/>
      <c r="M345" s="5" t="inlineStr"/>
      <c r="N345" s="5" t="inlineStr"/>
      <c r="O345" s="6" t="inlineStr"/>
      <c r="P345" s="6" t="inlineStr"/>
      <c r="Q345" s="5" t="inlineStr"/>
      <c r="R345" s="5" t="inlineStr"/>
      <c r="S345" s="5" t="inlineStr"/>
      <c r="T345" s="5" t="inlineStr"/>
      <c r="U345" s="5" t="inlineStr"/>
      <c r="V345" s="5" t="inlineStr">
        <is>
          <t>ilk-sevgili</t>
        </is>
      </c>
      <c r="W345" s="5" t="inlineStr"/>
      <c r="X345" s="5" t="inlineStr"/>
      <c r="Y345" s="5" t="inlineStr"/>
      <c r="Z345" s="6" t="inlineStr"/>
    </row>
    <row r="346">
      <c r="A346" s="5" t="inlineStr">
        <is>
          <t>b5-veli-bilgilendirme</t>
        </is>
      </c>
      <c r="B346" s="5" t="n">
        <v>1</v>
      </c>
      <c r="C346" s="6" t="inlineStr">
        <is>
          <t>Bildirimden önce eve yetiş</t>
        </is>
      </c>
      <c r="D346" s="5" t="inlineStr">
        <is>
          <t>Dayanıklılık</t>
        </is>
      </c>
      <c r="E346" s="5" t="inlineStr">
        <is>
          <t>Orta</t>
        </is>
      </c>
      <c r="F346" s="5" t="inlineStr"/>
      <c r="G346" s="6" t="inlineStr"/>
      <c r="H346" s="6" t="inlineStr">
        <is>
          <t>Eve koştun, haberi kendin verdin. Telefon üç saniye sonra titredi. Tarihî bir koşu.</t>
        </is>
      </c>
      <c r="I346" s="6" t="inlineStr">
        <is>
          <t>Haberi verdin, açıklamanı da sundun. Bildirim geldiğinde konu çoktan kapanmıştı.</t>
        </is>
      </c>
      <c r="J346" s="6" t="inlineStr">
        <is>
          <t>Eve vardın. Annen kapıda, telefon elinde bekliyordu.</t>
        </is>
      </c>
      <c r="K346" s="6" t="inlineStr">
        <is>
          <t>Sen yoldayken ikinci not da girildi. İki bildirim, bir aile toplantısı.</t>
        </is>
      </c>
      <c r="L346" s="6" t="inlineStr"/>
      <c r="M346" s="5" t="inlineStr"/>
      <c r="N346" s="5" t="inlineStr"/>
      <c r="O346" s="6" t="inlineStr"/>
      <c r="P346" s="6" t="inlineStr"/>
      <c r="Q346" s="5" t="inlineStr"/>
      <c r="R346" s="5" t="inlineStr"/>
      <c r="S346" s="5" t="inlineStr"/>
      <c r="T346" s="5" t="inlineStr"/>
      <c r="U346" s="5" t="inlineStr"/>
      <c r="V346" s="5" t="inlineStr"/>
      <c r="W346" s="5" t="inlineStr"/>
      <c r="X346" s="5" t="inlineStr"/>
      <c r="Y346" s="5" t="inlineStr"/>
      <c r="Z346" s="6" t="inlineStr"/>
    </row>
    <row r="347">
      <c r="A347" s="5" t="inlineStr">
        <is>
          <t>b5-veli-bilgilendirme</t>
        </is>
      </c>
      <c r="B347" s="5" t="n">
        <v>2</v>
      </c>
      <c r="C347" s="6" t="inlineStr">
        <is>
          <t>Sistemle barış</t>
        </is>
      </c>
      <c r="D347" s="5" t="inlineStr"/>
      <c r="E347" s="5" t="inlineStr"/>
      <c r="F347" s="5" t="inlineStr">
        <is>
          <t>Vicdan +1</t>
        </is>
      </c>
      <c r="G347" s="6" t="inlineStr">
        <is>
          <t>Sistemle barıştın. Ailen artık her not bildiriminin altına tek bir soru işareti bırakıyor.</t>
        </is>
      </c>
      <c r="H347" s="6" t="inlineStr"/>
      <c r="I347" s="6" t="inlineStr"/>
      <c r="J347" s="6" t="inlineStr"/>
      <c r="K347" s="6" t="inlineStr"/>
      <c r="L347" s="6" t="inlineStr"/>
      <c r="M347" s="5" t="inlineStr"/>
      <c r="N347" s="5" t="inlineStr"/>
      <c r="O347" s="6" t="inlineStr"/>
      <c r="P347" s="6" t="inlineStr"/>
      <c r="Q347" s="5" t="inlineStr"/>
      <c r="R347" s="5" t="inlineStr"/>
      <c r="S347" s="5" t="inlineStr"/>
      <c r="T347" s="5" t="inlineStr"/>
      <c r="U347" s="5" t="inlineStr"/>
      <c r="V347" s="5" t="inlineStr"/>
      <c r="W347" s="5" t="inlineStr"/>
      <c r="X347" s="5" t="inlineStr"/>
      <c r="Y347" s="5" t="inlineStr"/>
      <c r="Z347" s="6" t="inlineStr"/>
    </row>
    <row r="348">
      <c r="A348" s="5" t="inlineStr">
        <is>
          <t>b5-veli-bilgilendirme</t>
        </is>
      </c>
      <c r="B348" s="5" t="n">
        <v>3</v>
      </c>
      <c r="C348" s="6" t="inlineStr">
        <is>
          <t>Formdaki numarayı 'güncelle'</t>
        </is>
      </c>
      <c r="D348" s="5" t="inlineStr">
        <is>
          <t>Kurnazlık</t>
        </is>
      </c>
      <c r="E348" s="5" t="inlineStr">
        <is>
          <t>Orta</t>
        </is>
      </c>
      <c r="F348" s="5" t="inlineStr"/>
      <c r="G348" s="6" t="inlineStr"/>
      <c r="H348" s="6" t="inlineStr">
        <is>
          <t>Numara güncellendi. Notlar artık önce sana geliyor. Basın sözcüsü sensin.</t>
        </is>
      </c>
      <c r="I348" s="6" t="inlineStr">
        <is>
          <t>Ailen artık haftalık bir özet bülten alıyor. Hazırlayan ve yayımlayan: sen.</t>
        </is>
      </c>
      <c r="J348" s="6" t="inlineStr">
        <is>
          <t>Numarayı değiştirdin. Sistem ikinci veliye de gönderiyormuş. Babana.</t>
        </is>
      </c>
      <c r="K348" s="6" t="inlineStr">
        <is>
          <t>Kendi numaranı yazdın ama bir rakamı yanlış. Notların artık bir yabancıya gidiyor. O da seninle gurur duyuyor.</t>
        </is>
      </c>
      <c r="L348" s="6" t="inlineStr"/>
      <c r="M348" s="5" t="inlineStr"/>
      <c r="N348" s="5" t="inlineStr"/>
      <c r="O348" s="6" t="inlineStr"/>
      <c r="P348" s="6" t="inlineStr"/>
      <c r="Q348" s="5" t="inlineStr"/>
      <c r="R348" s="5" t="inlineStr"/>
      <c r="S348" s="5" t="inlineStr">
        <is>
          <t>Kurnazlık</t>
        </is>
      </c>
      <c r="T348" s="5" t="inlineStr"/>
      <c r="U348" s="5" t="inlineStr"/>
      <c r="V348" s="5" t="inlineStr"/>
      <c r="W348" s="5" t="inlineStr"/>
      <c r="X348" s="5" t="inlineStr"/>
      <c r="Y348" s="5" t="inlineStr"/>
      <c r="Z348" s="6" t="inlineStr"/>
    </row>
    <row r="349">
      <c r="A349" s="5" t="inlineStr">
        <is>
          <t>b5-okul-temsilcisi</t>
        </is>
      </c>
      <c r="B349" s="5" t="n">
        <v>1</v>
      </c>
      <c r="C349" s="6" t="inlineStr">
        <is>
          <t>Oy ver, geç</t>
        </is>
      </c>
      <c r="D349" s="5" t="inlineStr"/>
      <c r="E349" s="5" t="inlineStr"/>
      <c r="F349" s="5" t="inlineStr">
        <is>
          <t>Vicdan +1</t>
        </is>
      </c>
      <c r="G349" s="6" t="inlineStr">
        <is>
          <t>Oyunu kullandın. Kazanan aday ilk icraat olarak ikinci tost makinesi için bir komisyon kurdu.</t>
        </is>
      </c>
      <c r="H349" s="6" t="inlineStr"/>
      <c r="I349" s="6" t="inlineStr"/>
      <c r="J349" s="6" t="inlineStr"/>
      <c r="K349" s="6" t="inlineStr"/>
      <c r="L349" s="6" t="inlineStr"/>
      <c r="M349" s="5" t="inlineStr"/>
      <c r="N349" s="5" t="inlineStr"/>
      <c r="O349" s="6" t="inlineStr"/>
      <c r="P349" s="6" t="inlineStr"/>
      <c r="Q349" s="5" t="inlineStr"/>
      <c r="R349" s="5" t="inlineStr"/>
      <c r="S349" s="5" t="inlineStr"/>
      <c r="T349" s="5" t="inlineStr"/>
      <c r="U349" s="5" t="inlineStr"/>
      <c r="V349" s="5" t="inlineStr"/>
      <c r="W349" s="5" t="inlineStr"/>
      <c r="X349" s="5" t="inlineStr"/>
      <c r="Y349" s="5" t="inlineStr"/>
      <c r="Z349" s="6" t="inlineStr"/>
    </row>
    <row r="350">
      <c r="A350" s="5" t="inlineStr">
        <is>
          <t>b5-okul-temsilcisi</t>
        </is>
      </c>
      <c r="B350" s="5" t="n">
        <v>2</v>
      </c>
      <c r="C350" s="6" t="inlineStr">
        <is>
          <t>Aday ol</t>
        </is>
      </c>
      <c r="D350" s="5" t="inlineStr">
        <is>
          <t>Çene</t>
        </is>
      </c>
      <c r="E350" s="5" t="inlineStr">
        <is>
          <t>Zor</t>
        </is>
      </c>
      <c r="F350" s="5" t="inlineStr"/>
      <c r="G350" s="6" t="inlineStr"/>
      <c r="H350" s="6" t="inlineStr">
        <is>
          <t>Seçildin. İlk hafta müdürle toplantı yaptın. İkinci hafta müdür toplantıya gelmedi.</t>
        </is>
      </c>
      <c r="I350" s="6" t="inlineStr">
        <is>
          <t>Açık farkla seçildin; ikinci tost makinesi dönem bitmeden geldi. Adın kantin duvarında.</t>
        </is>
      </c>
      <c r="J350" s="6" t="inlineStr">
        <is>
          <t>Kaybettin. Rakibin tek vaadi 'Derse az girelim'di. Kısa ve net vaat kazandı.</t>
        </is>
      </c>
      <c r="K350" s="6" t="inlineStr">
        <is>
          <t>Konuşmanda 'Teneffüsleri uzatacağım' dedin. Müdür yardımcısı mikrofonu nazikçe elinden aldı.</t>
        </is>
      </c>
      <c r="L350" s="6" t="inlineStr"/>
      <c r="M350" s="5" t="inlineStr"/>
      <c r="N350" s="5" t="inlineStr"/>
      <c r="O350" s="6" t="inlineStr"/>
      <c r="P350" s="6" t="inlineStr"/>
      <c r="Q350" s="5" t="inlineStr"/>
      <c r="R350" s="5" t="inlineStr"/>
      <c r="S350" s="5" t="inlineStr"/>
      <c r="T350" s="5" t="inlineStr"/>
      <c r="U350" s="5" t="inlineStr"/>
      <c r="V350" s="5" t="inlineStr">
        <is>
          <t>okul-temsilcisi</t>
        </is>
      </c>
      <c r="W350" s="5" t="inlineStr"/>
      <c r="X350" s="5" t="inlineStr"/>
      <c r="Y350" s="5" t="inlineStr"/>
      <c r="Z350" s="6" t="inlineStr"/>
    </row>
    <row r="351">
      <c r="A351" s="5" t="inlineStr">
        <is>
          <t>b5-okul-temsilcisi</t>
        </is>
      </c>
      <c r="B351" s="5" t="n">
        <v>3</v>
      </c>
      <c r="C351" s="6" t="inlineStr">
        <is>
          <t>Deneyimini öne çıkar</t>
        </is>
      </c>
      <c r="D351" s="5" t="inlineStr">
        <is>
          <t>Pişkinlik</t>
        </is>
      </c>
      <c r="E351" s="5" t="inlineStr">
        <is>
          <t>Kolay</t>
        </is>
      </c>
      <c r="F351" s="5" t="inlineStr"/>
      <c r="G351" s="6" t="inlineStr"/>
      <c r="H351" s="6" t="inlineStr">
        <is>
          <t>'Daha önce de yönettim' dedin. Kimse neyi yönettiğini sormadı. Seçildin.</t>
        </is>
      </c>
      <c r="I351" s="6" t="inlineStr">
        <is>
          <t>İlkokul başkanlığını özgeçmiş gibi sundun. Seçildin; rakibin de sana danışman oldu.</t>
        </is>
      </c>
      <c r="J351" s="6" t="inlineStr">
        <is>
          <t>Deneyimini anlattın. Biri 'Akvaryum ne oldu?' diye sordu. Kampanya orada bitti.</t>
        </is>
      </c>
      <c r="K351" s="6" t="inlineStr">
        <is>
          <t>İlkokuldan bir sınıf arkadaşın söz aldı ve akvaryum vaadini ayrıntılarıyla anlattı.</t>
        </is>
      </c>
      <c r="L351" s="6" t="inlineStr"/>
      <c r="M351" s="5" t="inlineStr"/>
      <c r="N351" s="5" t="inlineStr"/>
      <c r="O351" s="6" t="inlineStr"/>
      <c r="P351" s="6" t="inlineStr"/>
      <c r="Q351" s="5" t="inlineStr"/>
      <c r="R351" s="5" t="inlineStr">
        <is>
          <t>baskan</t>
        </is>
      </c>
      <c r="S351" s="5" t="inlineStr"/>
      <c r="T351" s="5" t="inlineStr"/>
      <c r="U351" s="5" t="inlineStr"/>
      <c r="V351" s="5" t="inlineStr">
        <is>
          <t>okul-temsilcisi</t>
        </is>
      </c>
      <c r="W351" s="5" t="inlineStr"/>
      <c r="X351" s="5" t="inlineStr"/>
      <c r="Y351" s="5" t="inlineStr"/>
      <c r="Z351" s="6" t="inlineStr"/>
    </row>
    <row r="352">
      <c r="A352" s="5" t="inlineStr">
        <is>
          <t>b5-okul-temsilcisi</t>
        </is>
      </c>
      <c r="B352" s="5" t="n">
        <v>4</v>
      </c>
      <c r="C352" s="6" t="inlineStr">
        <is>
          <t>Arkadaşının kampanyasını yönet</t>
        </is>
      </c>
      <c r="D352" s="5" t="inlineStr">
        <is>
          <t>Sosyal Radar</t>
        </is>
      </c>
      <c r="E352" s="5" t="inlineStr">
        <is>
          <t>Orta</t>
        </is>
      </c>
      <c r="F352" s="5" t="inlineStr"/>
      <c r="G352" s="6" t="inlineStr"/>
      <c r="H352" s="6" t="inlineStr">
        <is>
          <t>Adayın kazandı. Gölge temsilci olarak bir dönemin daha var.</t>
        </is>
      </c>
      <c r="I352" s="6" t="inlineStr">
        <is>
          <t>Adayın kazandı. Okul yönetimi bir sonraki seçim kurulunun başına seni atadı.</t>
        </is>
      </c>
      <c r="J352" s="6" t="inlineStr">
        <is>
          <t>Kampanya iyiydi. Adayın 'Geçen yıl ne yaptın?' sorusunu cevaplayamadı.</t>
        </is>
      </c>
      <c r="K352" s="6" t="inlineStr">
        <is>
          <t>Afişleri bastırdın. Yüz afiş, yüz kez yanlış yazılmış bir isim.</t>
        </is>
      </c>
      <c r="L352" s="6" t="inlineStr"/>
      <c r="M352" s="5" t="inlineStr"/>
      <c r="N352" s="5" t="inlineStr"/>
      <c r="O352" s="6" t="inlineStr"/>
      <c r="P352" s="6" t="inlineStr"/>
      <c r="Q352" s="5" t="inlineStr">
        <is>
          <t>Seçim Makinesi</t>
        </is>
      </c>
      <c r="R352" s="5" t="inlineStr"/>
      <c r="S352" s="5" t="inlineStr"/>
      <c r="T352" s="5" t="inlineStr"/>
      <c r="U352" s="5" t="inlineStr"/>
      <c r="V352" s="5" t="inlineStr"/>
      <c r="W352" s="5" t="inlineStr"/>
      <c r="X352" s="5" t="inlineStr"/>
      <c r="Y352" s="5" t="inlineStr"/>
      <c r="Z352" s="6" t="inlineStr"/>
    </row>
    <row r="353">
      <c r="A353" s="5" t="inlineStr">
        <is>
          <t>b5-yapay-zeka-odev</t>
        </is>
      </c>
      <c r="B353" s="5" t="n">
        <v>1</v>
      </c>
      <c r="C353" s="6" t="inlineStr">
        <is>
          <t>Kendin yaz</t>
        </is>
      </c>
      <c r="D353" s="5" t="inlineStr"/>
      <c r="E353" s="5" t="inlineStr"/>
      <c r="F353" s="5" t="inlineStr">
        <is>
          <t>Akıl +1, Vicdan +1</t>
        </is>
      </c>
      <c r="G353" s="6" t="inlineStr">
        <is>
          <t>Kendin yazdın ve ortalama bir not aldın. Sınıfın geri kalanı da aynı notu aynı cümlelerle almıştı.</t>
        </is>
      </c>
      <c r="H353" s="6" t="inlineStr"/>
      <c r="I353" s="6" t="inlineStr"/>
      <c r="J353" s="6" t="inlineStr"/>
      <c r="K353" s="6" t="inlineStr"/>
      <c r="L353" s="6" t="inlineStr"/>
      <c r="M353" s="5" t="inlineStr"/>
      <c r="N353" s="5" t="inlineStr"/>
      <c r="O353" s="6" t="inlineStr"/>
      <c r="P353" s="6" t="inlineStr"/>
      <c r="Q353" s="5" t="inlineStr"/>
      <c r="R353" s="5" t="inlineStr"/>
      <c r="S353" s="5" t="inlineStr"/>
      <c r="T353" s="5" t="inlineStr"/>
      <c r="U353" s="5" t="inlineStr"/>
      <c r="V353" s="5" t="inlineStr"/>
      <c r="W353" s="5" t="inlineStr"/>
      <c r="X353" s="5" t="inlineStr"/>
      <c r="Y353" s="5" t="inlineStr"/>
      <c r="Z353" s="6" t="inlineStr"/>
    </row>
    <row r="354">
      <c r="A354" s="5" t="inlineStr">
        <is>
          <t>b5-yapay-zeka-odev</t>
        </is>
      </c>
      <c r="B354" s="5" t="n">
        <v>2</v>
      </c>
      <c r="C354" s="6" t="inlineStr">
        <is>
          <t>Asistana yazdır, biraz boz</t>
        </is>
      </c>
      <c r="D354" s="5" t="inlineStr">
        <is>
          <t>Kurnazlık</t>
        </is>
      </c>
      <c r="E354" s="5" t="inlineStr">
        <is>
          <t>Orta</t>
        </is>
      </c>
      <c r="F354" s="5" t="inlineStr"/>
      <c r="G354" s="6" t="inlineStr"/>
      <c r="H354" s="6" t="inlineStr">
        <is>
          <t>Asistana yazdırdın, üç yazım hatası ekledin. Öğretmen 'Daha özenli ol' dedi. İnsan olduğuna ikna oldu.</t>
        </is>
      </c>
      <c r="I354" s="6" t="inlineStr">
        <is>
          <t>Ödev o kadar insanca bozuldu ki öğretmen örnek ödev olarak sınıfa okudu.</t>
        </is>
      </c>
      <c r="J354" s="6" t="inlineStr">
        <is>
          <t>Öğretmen 'Bu paragrafı bir yerden hatırlıyorum' dedi. Kendi ödevinden.</t>
        </is>
      </c>
      <c r="K354" s="6" t="inlineStr">
        <is>
          <t>Ödevin son cümlesini silmeyi unuttun: 'Başka bir konuda yardımcı olabilir miyim?'</t>
        </is>
      </c>
      <c r="L354" s="6" t="inlineStr"/>
      <c r="M354" s="5" t="inlineStr"/>
      <c r="N354" s="5" t="inlineStr"/>
      <c r="O354" s="6" t="inlineStr"/>
      <c r="P354" s="6" t="inlineStr"/>
      <c r="Q354" s="5" t="inlineStr"/>
      <c r="R354" s="5" t="inlineStr"/>
      <c r="S354" s="5" t="inlineStr"/>
      <c r="T354" s="5" t="inlineStr"/>
      <c r="U354" s="5" t="inlineStr">
        <is>
          <t>ai-kopyaci</t>
        </is>
      </c>
      <c r="V354" s="5" t="inlineStr"/>
      <c r="W354" s="5" t="inlineStr"/>
      <c r="X354" s="5" t="inlineStr"/>
      <c r="Y354" s="5" t="inlineStr"/>
      <c r="Z354" s="6" t="inlineStr"/>
    </row>
    <row r="355">
      <c r="A355" s="5" t="inlineStr">
        <is>
          <t>b5-yapay-zeka-odev</t>
        </is>
      </c>
      <c r="B355" s="5" t="n">
        <v>3</v>
      </c>
      <c r="C355" s="6" t="inlineStr">
        <is>
          <t>Yazdır, sözlü savunma hazırla</t>
        </is>
      </c>
      <c r="D355" s="5" t="inlineStr">
        <is>
          <t>Pişkinlik</t>
        </is>
      </c>
      <c r="E355" s="5" t="inlineStr">
        <is>
          <t>Kolay</t>
        </is>
      </c>
      <c r="F355" s="5" t="inlineStr"/>
      <c r="G355" s="6" t="inlineStr"/>
      <c r="H355" s="6" t="inlineStr">
        <is>
          <t>Öğretmen sorguya çekti. Savunman ödevden daha özgündü. Tam not.</t>
        </is>
      </c>
      <c r="I355" s="6" t="inlineStr">
        <is>
          <t>Yirmi dakikalık bir sözlü savunma yaptın. Ödev değil, savunma sınıfa örnek gösterildi.</t>
        </is>
      </c>
      <c r="J355" s="6" t="inlineStr">
        <is>
          <t>Savunman hazırdı. Öğretmen hiçbir şey sormadı. Sadece sıfır verdi.</t>
        </is>
      </c>
      <c r="K355" s="6" t="inlineStr">
        <is>
          <t>Savunmanın ortasında 'Bu harika bir soru!' dedin. Asistanın cümlesiydi. Öğretmen anladı.</t>
        </is>
      </c>
      <c r="L355" s="6" t="inlineStr"/>
      <c r="M355" s="5" t="inlineStr"/>
      <c r="N355" s="5" t="inlineStr"/>
      <c r="O355" s="6" t="inlineStr"/>
      <c r="P355" s="6" t="inlineStr"/>
      <c r="Q355" s="5" t="inlineStr"/>
      <c r="R355" s="5" t="inlineStr">
        <is>
          <t>yalanci</t>
        </is>
      </c>
      <c r="S355" s="5" t="inlineStr"/>
      <c r="T355" s="5" t="inlineStr"/>
      <c r="U355" s="5" t="inlineStr">
        <is>
          <t>ai-kopyaci</t>
        </is>
      </c>
      <c r="V355" s="5" t="inlineStr"/>
      <c r="W355" s="5" t="inlineStr"/>
      <c r="X355" s="5" t="inlineStr"/>
      <c r="Y355" s="5" t="inlineStr"/>
      <c r="Z355" s="6" t="inlineStr"/>
    </row>
    <row r="356">
      <c r="A356" s="5" t="inlineStr">
        <is>
          <t>b5-yapay-zeka-odev</t>
        </is>
      </c>
      <c r="B356" s="5" t="n">
        <v>4</v>
      </c>
      <c r="C356" s="6" t="inlineStr">
        <is>
          <t>Asistanla tartışarak birlikte yaz</t>
        </is>
      </c>
      <c r="D356" s="5" t="inlineStr">
        <is>
          <t>Akıl</t>
        </is>
      </c>
      <c r="E356" s="5" t="inlineStr">
        <is>
          <t>Zor</t>
        </is>
      </c>
      <c r="F356" s="5" t="inlineStr"/>
      <c r="G356" s="6" t="inlineStr"/>
      <c r="H356" s="6" t="inlineStr">
        <is>
          <t>Kaynakları tek tek kontrol ettin. Ödev iyi oldu; asistan da senden bir şey öğrendi.</t>
        </is>
      </c>
      <c r="I356" s="6" t="inlineStr">
        <is>
          <t>Asistanın iki yanlış bilgisini yakaladın. Öğretmen ödevini değil, düzeltmelerini puanladı.</t>
        </is>
      </c>
      <c r="J356" s="6" t="inlineStr">
        <is>
          <t>Asistanla tartışırken saat üç oldu. Ödev yok ama asistanla aranız çok iyi.</t>
        </is>
      </c>
      <c r="K356" s="6" t="inlineStr">
        <is>
          <t>Asistanla tartıştın ve ikna oldun. Ödevi yanlış yüzyıl hakkında yazdın.</t>
        </is>
      </c>
      <c r="L356" s="6" t="inlineStr"/>
      <c r="M356" s="5" t="inlineStr"/>
      <c r="N356" s="5" t="inlineStr"/>
      <c r="O356" s="6" t="inlineStr"/>
      <c r="P356" s="6" t="inlineStr"/>
      <c r="Q356" s="5" t="inlineStr"/>
      <c r="R356" s="5" t="inlineStr"/>
      <c r="S356" s="5" t="inlineStr"/>
      <c r="T356" s="5" t="inlineStr">
        <is>
          <t>Teknoloji Merakı</t>
        </is>
      </c>
      <c r="U356" s="5" t="inlineStr"/>
      <c r="V356" s="5" t="inlineStr"/>
      <c r="W356" s="5" t="inlineStr"/>
      <c r="X356" s="5" t="inlineStr"/>
      <c r="Y356" s="5" t="inlineStr"/>
      <c r="Z356" s="6" t="inlineStr"/>
    </row>
    <row r="357">
      <c r="A357" s="5" t="inlineStr">
        <is>
          <t>b5-akraba-sorgusu</t>
        </is>
      </c>
      <c r="B357" s="5" t="n">
        <v>1</v>
      </c>
      <c r="C357" s="6" t="inlineStr">
        <is>
          <t>'Doktor' de</t>
        </is>
      </c>
      <c r="D357" s="5" t="inlineStr"/>
      <c r="E357" s="5" t="inlineStr"/>
      <c r="F357" s="5" t="inlineStr">
        <is>
          <t>Pişkinlik +1</t>
        </is>
      </c>
      <c r="G357" s="6" t="inlineStr">
        <is>
          <t>'Doktor' dedin. Salon rahatladı. Kimse biyoloji notunu sormadı.</t>
        </is>
      </c>
      <c r="H357" s="6" t="inlineStr"/>
      <c r="I357" s="6" t="inlineStr"/>
      <c r="J357" s="6" t="inlineStr"/>
      <c r="K357" s="6" t="inlineStr"/>
      <c r="L357" s="6" t="inlineStr"/>
      <c r="M357" s="5" t="inlineStr"/>
      <c r="N357" s="5" t="inlineStr"/>
      <c r="O357" s="6" t="inlineStr"/>
      <c r="P357" s="6" t="inlineStr"/>
      <c r="Q357" s="5" t="inlineStr"/>
      <c r="R357" s="5" t="inlineStr"/>
      <c r="S357" s="5" t="inlineStr"/>
      <c r="T357" s="5" t="inlineStr"/>
      <c r="U357" s="5" t="inlineStr"/>
      <c r="V357" s="5" t="inlineStr"/>
      <c r="W357" s="5" t="inlineStr"/>
      <c r="X357" s="5" t="inlineStr"/>
      <c r="Y357" s="5" t="inlineStr"/>
      <c r="Z357" s="6" t="inlineStr"/>
    </row>
    <row r="358">
      <c r="A358" s="5" t="inlineStr">
        <is>
          <t>b5-akraba-sorgusu</t>
        </is>
      </c>
      <c r="B358" s="5" t="n">
        <v>2</v>
      </c>
      <c r="C358" s="6" t="inlineStr">
        <is>
          <t>Gerçek hayalini anlat</t>
        </is>
      </c>
      <c r="D358" s="5" t="inlineStr">
        <is>
          <t>Cesaret</t>
        </is>
      </c>
      <c r="E358" s="5" t="inlineStr">
        <is>
          <t>Orta</t>
        </is>
      </c>
      <c r="F358" s="5" t="inlineStr"/>
      <c r="G358" s="6" t="inlineStr"/>
      <c r="H358" s="6" t="inlineStr">
        <is>
          <t>'Oyun tasarımcısı olacağım' dedin. İki akraba anlamadı, bir kuzen alkışladı.</t>
        </is>
      </c>
      <c r="I358" s="6" t="inlineStr">
        <is>
          <t>Hayalini öyle anlattın ki eniştenin yarım kalan hayali aklına geldi. Bir saat onu dinlediniz.</t>
        </is>
      </c>
      <c r="J358" s="6" t="inlineStr">
        <is>
          <t>Hayalini anlattın. Büyük hala 'O iş değil ki' dedi. Konu kapandı.</t>
        </is>
      </c>
      <c r="K358" s="6" t="inlineStr">
        <is>
          <t>Hayalini anlattın. Artık her ziyarette bir akraba 'Nasıl gidiyor o iş?' diye soruyor. İş yok.</t>
        </is>
      </c>
      <c r="L358" s="6" t="inlineStr"/>
      <c r="M358" s="5" t="inlineStr"/>
      <c r="N358" s="5" t="inlineStr"/>
      <c r="O358" s="6" t="inlineStr"/>
      <c r="P358" s="6" t="inlineStr"/>
      <c r="Q358" s="5" t="inlineStr"/>
      <c r="R358" s="5" t="inlineStr"/>
      <c r="S358" s="5" t="inlineStr"/>
      <c r="T358" s="5" t="inlineStr"/>
      <c r="U358" s="5" t="inlineStr"/>
      <c r="V358" s="5" t="inlineStr"/>
      <c r="W358" s="5" t="inlineStr"/>
      <c r="X358" s="5" t="inlineStr"/>
      <c r="Y358" s="5" t="inlineStr"/>
      <c r="Z358" s="6" t="inlineStr"/>
    </row>
    <row r="359">
      <c r="A359" s="5" t="inlineStr">
        <is>
          <t>b5-akraba-sorgusu</t>
        </is>
      </c>
      <c r="B359" s="5" t="n">
        <v>3</v>
      </c>
      <c r="C359" s="6" t="inlineStr">
        <is>
          <t>'Siz ne olmamı istersiniz?' de</t>
        </is>
      </c>
      <c r="D359" s="5" t="inlineStr">
        <is>
          <t>Çene</t>
        </is>
      </c>
      <c r="E359" s="5" t="inlineStr">
        <is>
          <t>Kolay</t>
        </is>
      </c>
      <c r="F359" s="5" t="inlineStr"/>
      <c r="G359" s="6" t="inlineStr"/>
      <c r="H359" s="6" t="inlineStr">
        <is>
          <t>Soruyu geri attın. On bir akraba kırk dakika tartıştı. Sen kuruyemişi bitirdin.</t>
        </is>
      </c>
      <c r="I359" s="6" t="inlineStr">
        <is>
          <t>Salon tıp ve mühendislik diye ikiye bölündü. Sen oylamayı beklemeden kapıdan çıktın.</t>
        </is>
      </c>
      <c r="J359" s="6" t="inlineStr">
        <is>
          <t>Soruyu geri attın. Büyük hala 'Ben sordum' dedi.</t>
        </is>
      </c>
      <c r="K359" s="6" t="inlineStr">
        <is>
          <t>Soruyu geri attın. On bir akraba aynı anda 'Doktor' dedi. Oy birliği sağlandı.</t>
        </is>
      </c>
      <c r="L359" s="6" t="inlineStr"/>
      <c r="M359" s="5" t="inlineStr"/>
      <c r="N359" s="5" t="inlineStr"/>
      <c r="O359" s="6" t="inlineStr"/>
      <c r="P359" s="6" t="inlineStr"/>
      <c r="Q359" s="5" t="inlineStr"/>
      <c r="R359" s="5" t="inlineStr"/>
      <c r="S359" s="5" t="inlineStr">
        <is>
          <t>Çene</t>
        </is>
      </c>
      <c r="T359" s="5" t="inlineStr"/>
      <c r="U359" s="5" t="inlineStr"/>
      <c r="V359" s="5" t="inlineStr"/>
      <c r="W359" s="5" t="inlineStr"/>
      <c r="X359" s="5" t="inlineStr"/>
      <c r="Y359" s="5" t="inlineStr"/>
      <c r="Z359" s="6" t="inlineStr"/>
    </row>
    <row r="360">
      <c r="A360" s="5" t="inlineStr">
        <is>
          <t>b5-akraba-sorgusu</t>
        </is>
      </c>
      <c r="B360" s="5" t="n">
        <v>4</v>
      </c>
      <c r="C360" s="6" t="inlineStr">
        <is>
          <t>Ağzını hep dolu tut</t>
        </is>
      </c>
      <c r="D360" s="5" t="inlineStr">
        <is>
          <t>Dayanıklılık</t>
        </is>
      </c>
      <c r="E360" s="5" t="inlineStr">
        <is>
          <t>Kolay</t>
        </is>
      </c>
      <c r="F360" s="5" t="inlineStr"/>
      <c r="G360" s="6" t="inlineStr"/>
      <c r="H360" s="6" t="inlineStr">
        <is>
          <t>Ağzın bir saat boyunca doluydu. Soru sonunda başka bir kuzene geçti.</t>
        </is>
      </c>
      <c r="I360" s="6" t="inlineStr">
        <is>
          <t>Tabağın dibini gördün; tabak yenilendi, soru hiç sana dönmedi.</t>
        </is>
      </c>
      <c r="J360" s="6" t="inlineStr">
        <is>
          <t>Ağzın doluyken sordular. Beklediler. Sen yuttun. Hâlâ bekliyorlardı.</t>
        </is>
      </c>
      <c r="K360" s="6" t="inlineStr">
        <is>
          <t>Fıstık yanlış yere kaçtı. Biri su getirdi. Soru bu kez 'Doktor olsan bunu bilirdin' diye geldi.</t>
        </is>
      </c>
      <c r="L360" s="6" t="inlineStr"/>
      <c r="M360" s="5" t="inlineStr"/>
      <c r="N360" s="5" t="inlineStr"/>
      <c r="O360" s="6" t="inlineStr"/>
      <c r="P360" s="6" t="inlineStr"/>
      <c r="Q360" s="5" t="inlineStr"/>
      <c r="R360" s="5" t="inlineStr"/>
      <c r="S360" s="5" t="inlineStr"/>
      <c r="T360" s="5" t="inlineStr"/>
      <c r="U360" s="5" t="inlineStr"/>
      <c r="V360" s="5" t="inlineStr"/>
      <c r="W360" s="5" t="inlineStr"/>
      <c r="X360" s="5" t="inlineStr"/>
      <c r="Y360" s="5" t="inlineStr"/>
      <c r="Z360" s="6" t="inlineStr"/>
    </row>
    <row r="361">
      <c r="A361" s="5" t="inlineStr">
        <is>
          <t>b5-okul-gezisi</t>
        </is>
      </c>
      <c r="B361" s="5" t="n">
        <v>1</v>
      </c>
      <c r="C361" s="6" t="inlineStr">
        <is>
          <t>Öğretmenin yanına otur</t>
        </is>
      </c>
      <c r="D361" s="5" t="inlineStr"/>
      <c r="E361" s="5" t="inlineStr"/>
      <c r="F361" s="5" t="inlineStr">
        <is>
          <t>Akıl +1</t>
        </is>
      </c>
      <c r="G361" s="6" t="inlineStr">
        <is>
          <t>Dört saat boyunca yöre tarihini dinledin. Müzeye vardığında rehberden fazlasını biliyordun.</t>
        </is>
      </c>
      <c r="H361" s="6" t="inlineStr"/>
      <c r="I361" s="6" t="inlineStr"/>
      <c r="J361" s="6" t="inlineStr"/>
      <c r="K361" s="6" t="inlineStr"/>
      <c r="L361" s="6" t="inlineStr"/>
      <c r="M361" s="5" t="inlineStr"/>
      <c r="N361" s="5" t="inlineStr"/>
      <c r="O361" s="6" t="inlineStr"/>
      <c r="P361" s="6" t="inlineStr"/>
      <c r="Q361" s="5" t="inlineStr"/>
      <c r="R361" s="5" t="inlineStr"/>
      <c r="S361" s="5" t="inlineStr"/>
      <c r="T361" s="5" t="inlineStr"/>
      <c r="U361" s="5" t="inlineStr"/>
      <c r="V361" s="5" t="inlineStr"/>
      <c r="W361" s="5" t="inlineStr"/>
      <c r="X361" s="5" t="inlineStr"/>
      <c r="Y361" s="5" t="inlineStr"/>
      <c r="Z361" s="6" t="inlineStr"/>
    </row>
    <row r="362">
      <c r="A362" s="5" t="inlineStr">
        <is>
          <t>b5-okul-gezisi</t>
        </is>
      </c>
      <c r="B362" s="5" t="n">
        <v>2</v>
      </c>
      <c r="C362" s="6" t="inlineStr">
        <is>
          <t>Arka koltuğa sız</t>
        </is>
      </c>
      <c r="D362" s="5" t="inlineStr">
        <is>
          <t>Pişkinlik</t>
        </is>
      </c>
      <c r="E362" s="5" t="inlineStr">
        <is>
          <t>Zor</t>
        </is>
      </c>
      <c r="F362" s="5" t="inlineStr"/>
      <c r="G362" s="6" t="inlineStr"/>
      <c r="H362" s="6" t="inlineStr">
        <is>
          <t>Arka koltuğa oturdun ve kimse bir şey demedi. Tapuya şerh düşüldü.</t>
        </is>
      </c>
      <c r="I362" s="6" t="inlineStr">
        <is>
          <t>Dönüş yolunda müzik seçimi sana devredildi. Otobüs senin yayın akışında.</t>
        </is>
      </c>
      <c r="J362" s="6" t="inlineStr">
        <is>
          <t>Arka koltuğa oturdun. Sahibi geldi, bir şey demedi, sadece durdu. Sen kalktın.</t>
        </is>
      </c>
      <c r="K362" s="6" t="inlineStr">
        <is>
          <t>İlk virajda koltuktan kayıp ön tarafa kadar geldin. Dönüşte öğretmenin yanı sana ayrıldı.</t>
        </is>
      </c>
      <c r="L362" s="6" t="inlineStr"/>
      <c r="M362" s="5" t="inlineStr"/>
      <c r="N362" s="5" t="inlineStr"/>
      <c r="O362" s="6" t="inlineStr"/>
      <c r="P362" s="6" t="inlineStr"/>
      <c r="Q362" s="5" t="inlineStr"/>
      <c r="R362" s="5" t="inlineStr"/>
      <c r="S362" s="5" t="inlineStr"/>
      <c r="T362" s="5" t="inlineStr"/>
      <c r="U362" s="5" t="inlineStr"/>
      <c r="V362" s="5" t="inlineStr"/>
      <c r="W362" s="5" t="inlineStr"/>
      <c r="X362" s="5" t="inlineStr"/>
      <c r="Y362" s="5" t="inlineStr"/>
      <c r="Z362" s="6" t="inlineStr"/>
    </row>
    <row r="363">
      <c r="A363" s="5" t="inlineStr">
        <is>
          <t>b5-okul-gezisi</t>
        </is>
      </c>
      <c r="B363" s="5" t="n">
        <v>3</v>
      </c>
      <c r="C363" s="6" t="inlineStr">
        <is>
          <t>Yolculuk listesi hazırla</t>
        </is>
      </c>
      <c r="D363" s="5" t="inlineStr">
        <is>
          <t>Sosyal Radar</t>
        </is>
      </c>
      <c r="E363" s="5" t="inlineStr">
        <is>
          <t>Orta</t>
        </is>
      </c>
      <c r="F363" s="5" t="inlineStr"/>
      <c r="G363" s="6" t="inlineStr"/>
      <c r="H363" s="6" t="inlineStr">
        <is>
          <t>Listen tuttu. Arka koltuk ilk kez ön koltukla aynı şarkıyı söyledi.</t>
        </is>
      </c>
      <c r="I363" s="6" t="inlineStr">
        <is>
          <t>Gezinin asıl anısı listen oldu. Müzeyi kimse hatırlamıyor.</t>
        </is>
      </c>
      <c r="J363" s="6" t="inlineStr">
        <is>
          <t>Listeyi açtın. Şoför kendi radyosunu açtı.</t>
        </is>
      </c>
      <c r="K363" s="6" t="inlineStr">
        <is>
          <t>Listenin ortasına annenin şarkıları karışmış. Bütün otobüs hep bir ağızdan söyledi; sana gülerek.</t>
        </is>
      </c>
      <c r="L363" s="6" t="inlineStr"/>
      <c r="M363" s="5" t="inlineStr"/>
      <c r="N363" s="5" t="inlineStr"/>
      <c r="O363" s="6" t="inlineStr"/>
      <c r="P363" s="6" t="inlineStr"/>
      <c r="Q363" s="5" t="inlineStr"/>
      <c r="R363" s="5" t="inlineStr"/>
      <c r="S363" s="5" t="inlineStr"/>
      <c r="T363" s="5" t="inlineStr"/>
      <c r="U363" s="5" t="inlineStr"/>
      <c r="V363" s="5" t="inlineStr"/>
      <c r="W363" s="5" t="inlineStr"/>
      <c r="X363" s="5" t="inlineStr"/>
      <c r="Y363" s="5" t="inlineStr"/>
      <c r="Z363" s="6" t="inlineStr"/>
    </row>
    <row r="364">
      <c r="A364" s="5" t="inlineStr">
        <is>
          <t>b5-fenomen-video</t>
        </is>
      </c>
      <c r="B364" s="5" t="n">
        <v>1</v>
      </c>
      <c r="C364" s="6" t="inlineStr">
        <is>
          <t>Telefonu kapat</t>
        </is>
      </c>
      <c r="D364" s="5" t="inlineStr"/>
      <c r="E364" s="5" t="inlineStr"/>
      <c r="F364" s="5" t="inlineStr">
        <is>
          <t>Dayanıklılık +1</t>
        </is>
      </c>
      <c r="G364" s="6" t="inlineStr">
        <is>
          <t>Telefonu kapattın. Ertesi sabah sayı durmuştu; internet başka birine geçmişti. Huzurlu bir kayıp.</t>
        </is>
      </c>
      <c r="H364" s="6" t="inlineStr"/>
      <c r="I364" s="6" t="inlineStr"/>
      <c r="J364" s="6" t="inlineStr"/>
      <c r="K364" s="6" t="inlineStr"/>
      <c r="L364" s="6" t="inlineStr"/>
      <c r="M364" s="5" t="inlineStr"/>
      <c r="N364" s="5" t="inlineStr"/>
      <c r="O364" s="6" t="inlineStr"/>
      <c r="P364" s="6" t="inlineStr"/>
      <c r="Q364" s="5" t="inlineStr"/>
      <c r="R364" s="5" t="inlineStr"/>
      <c r="S364" s="5" t="inlineStr"/>
      <c r="T364" s="5" t="inlineStr"/>
      <c r="U364" s="5" t="inlineStr"/>
      <c r="V364" s="5" t="inlineStr"/>
      <c r="W364" s="5" t="inlineStr"/>
      <c r="X364" s="5" t="inlineStr"/>
      <c r="Y364" s="5" t="inlineStr"/>
      <c r="Z364" s="6" t="inlineStr"/>
    </row>
    <row r="365">
      <c r="A365" s="5" t="inlineStr">
        <is>
          <t>b5-fenomen-video</t>
        </is>
      </c>
      <c r="B365" s="5" t="n">
        <v>2</v>
      </c>
      <c r="C365" s="6" t="inlineStr">
        <is>
          <t>Hemen ikinci videoyu çek</t>
        </is>
      </c>
      <c r="D365" s="5" t="inlineStr">
        <is>
          <t>Pişkinlik</t>
        </is>
      </c>
      <c r="E365" s="5" t="inlineStr">
        <is>
          <t>Zor</t>
        </is>
      </c>
      <c r="F365" s="5" t="inlineStr"/>
      <c r="G365" s="6" t="inlineStr"/>
      <c r="H365" s="6" t="inlineStr">
        <is>
          <t>İkinci video da tuttu. Koridorda sana artık 'o video' diye sesleniyorlar.</t>
        </is>
      </c>
      <c r="I365" s="6" t="inlineStr">
        <is>
          <t>Üçüncü video mahalle dönercisinden sponsorluk getirdi. Ömür boyu yarım porsiyon bedava.</t>
        </is>
      </c>
      <c r="J365" s="6" t="inlineStr">
        <is>
          <t>İkinci video kırk izlenme aldı. Otuz dokuzu sensin.</t>
        </is>
      </c>
      <c r="K365" s="6" t="inlineStr">
        <is>
          <t>İkinci videoda annen de vardı. İlkinden çok izlendi. Fenomen olan annen.</t>
        </is>
      </c>
      <c r="L365" s="6" t="inlineStr"/>
      <c r="M365" s="5" t="inlineStr"/>
      <c r="N365" s="5" t="inlineStr"/>
      <c r="O365" s="6" t="inlineStr"/>
      <c r="P365" s="6" t="inlineStr"/>
      <c r="Q365" s="5" t="inlineStr"/>
      <c r="R365" s="5" t="inlineStr"/>
      <c r="S365" s="5" t="inlineStr"/>
      <c r="T365" s="5" t="inlineStr"/>
      <c r="U365" s="5" t="inlineStr"/>
      <c r="V365" s="5" t="inlineStr">
        <is>
          <t>fenomen</t>
        </is>
      </c>
      <c r="W365" s="5" t="inlineStr"/>
      <c r="X365" s="5" t="inlineStr"/>
      <c r="Y365" s="5" t="inlineStr"/>
      <c r="Z365" s="6" t="inlineStr"/>
    </row>
    <row r="366">
      <c r="A366" s="5" t="inlineStr">
        <is>
          <t>b5-fenomen-video</t>
        </is>
      </c>
      <c r="B366" s="5" t="n">
        <v>3</v>
      </c>
      <c r="C366" s="6" t="inlineStr">
        <is>
          <t>Eski takipçilerine seslen</t>
        </is>
      </c>
      <c r="D366" s="5" t="inlineStr">
        <is>
          <t>Çene</t>
        </is>
      </c>
      <c r="E366" s="5" t="inlineStr">
        <is>
          <t>Kolay</t>
        </is>
      </c>
      <c r="F366" s="5" t="inlineStr"/>
      <c r="G366" s="6" t="inlineStr"/>
      <c r="H366" s="6" t="inlineStr">
        <is>
          <t>Eski takipçilerin geri döndü. 'Geri döndüm' videon başlı başına bir olay.</t>
        </is>
      </c>
      <c r="I366" s="6" t="inlineStr">
        <is>
          <t>Geri dönüşün eski şöhretini ikiye katladı. Bir teyze otobüste seni tanıyıp yer verdi. Kariyer zirvesi.</t>
        </is>
      </c>
      <c r="J366" s="6" t="inlineStr">
        <is>
          <t>Seslendin. Takipçilerin başka birine seslenmekle meşgul.</t>
        </is>
      </c>
      <c r="K366" s="6" t="inlineStr">
        <is>
          <t>Seslenişte kendi adını yanlış söyledin. Yorumlar bir hafta bununla uğraştı.</t>
        </is>
      </c>
      <c r="L366" s="6" t="inlineStr"/>
      <c r="M366" s="5" t="inlineStr"/>
      <c r="N366" s="5" t="inlineStr"/>
      <c r="O366" s="6" t="inlineStr"/>
      <c r="P366" s="6" t="inlineStr"/>
      <c r="Q366" s="5" t="inlineStr"/>
      <c r="R366" s="5" t="inlineStr">
        <is>
          <t>fenomen</t>
        </is>
      </c>
      <c r="S366" s="5" t="inlineStr"/>
      <c r="T366" s="5" t="inlineStr"/>
      <c r="U366" s="5" t="inlineStr"/>
      <c r="V366" s="5" t="inlineStr">
        <is>
          <t>fenomen</t>
        </is>
      </c>
      <c r="W366" s="5" t="inlineStr"/>
      <c r="X366" s="5" t="inlineStr"/>
      <c r="Y366" s="5" t="inlineStr"/>
      <c r="Z366" s="6" t="inlineStr"/>
    </row>
    <row r="367">
      <c r="A367" s="5" t="inlineStr">
        <is>
          <t>b5-fenomen-video</t>
        </is>
      </c>
      <c r="B367" s="5" t="n">
        <v>4</v>
      </c>
      <c r="C367" s="6" t="inlineStr">
        <is>
          <t>Gelen teklifleri değerlendir</t>
        </is>
      </c>
      <c r="D367" s="5" t="inlineStr">
        <is>
          <t>Kurnazlık</t>
        </is>
      </c>
      <c r="E367" s="5" t="inlineStr">
        <is>
          <t>Orta</t>
        </is>
      </c>
      <c r="F367" s="5" t="inlineStr"/>
      <c r="G367" s="6" t="inlineStr"/>
      <c r="H367" s="6" t="inlineStr">
        <is>
          <t>Tek teklifi kabul ettin: mahalle kırtasiyesinin tanıtımı. Karşılığı bir yıllık defter.</t>
        </is>
      </c>
      <c r="I367" s="6" t="inlineStr">
        <is>
          <t>Teklifi pazarlıkla ikiye katladın: iki yıllık defter ve bir hesap makinesi.</t>
        </is>
      </c>
      <c r="J367" s="6" t="inlineStr">
        <is>
          <t>Menajerin olduğunu söyleyen kişi sınıftan biriymiş. Yüzde elli istedi.</t>
        </is>
      </c>
      <c r="K367" s="6" t="inlineStr">
        <is>
          <t>Menajerlik sözleşmesi imzaladın. Menajer kuzenin çıktı. Hâlâ komisyonunu soruyor.</t>
        </is>
      </c>
      <c r="L367" s="6" t="inlineStr"/>
      <c r="M367" s="5" t="inlineStr"/>
      <c r="N367" s="5" t="inlineStr"/>
      <c r="O367" s="6" t="inlineStr"/>
      <c r="P367" s="6" t="inlineStr"/>
      <c r="Q367" s="5" t="inlineStr"/>
      <c r="R367" s="5" t="inlineStr"/>
      <c r="S367" s="5" t="inlineStr"/>
      <c r="T367" s="5" t="inlineStr"/>
      <c r="U367" s="5" t="inlineStr"/>
      <c r="V367" s="5" t="inlineStr"/>
      <c r="W367" s="5" t="inlineStr"/>
      <c r="X367" s="5" t="inlineStr"/>
      <c r="Y367" s="5" t="inlineStr"/>
      <c r="Z367" s="6" t="inlineStr"/>
    </row>
    <row r="368">
      <c r="A368" s="5" t="inlineStr">
        <is>
          <t>b5-yaz-isi-garson</t>
        </is>
      </c>
      <c r="B368" s="5" t="n">
        <v>1</v>
      </c>
      <c r="C368" s="6" t="inlineStr">
        <is>
          <t>Tepsiyi taşı</t>
        </is>
      </c>
      <c r="D368" s="5" t="inlineStr">
        <is>
          <t>Dayanıklılık</t>
        </is>
      </c>
      <c r="E368" s="5" t="inlineStr">
        <is>
          <t>Orta</t>
        </is>
      </c>
      <c r="F368" s="5" t="inlineStr"/>
      <c r="G368" s="6" t="inlineStr"/>
      <c r="H368" s="6" t="inlineStr">
        <is>
          <t>On iki çayı dökmeden taşıdın. Patron başını salladı. Bu bir terfidir.</t>
        </is>
      </c>
      <c r="I368" s="6" t="inlineStr">
        <is>
          <t>Tepsiyi tek elle taşırken bir yandan müşteriye laf yetiştirdin. Patron sana 'usta' diyor.</t>
        </is>
      </c>
      <c r="J368" s="6" t="inlineStr">
        <is>
          <t>Bardaklar tabaklara taştı. Müşteriler 'Çay mı bu, çay çorbası mı?' diye soruyor.</t>
        </is>
      </c>
      <c r="K368" s="6" t="inlineStr">
        <is>
          <t>Tepsi masaya ulaştı. Sen ulaşamadın. On iki bardak, bir şekerlik ve sen yerdeydiniz. Kırıklar maaştan kesilecek.</t>
        </is>
      </c>
      <c r="L368" s="6" t="inlineStr">
        <is>
          <t>Çayların çoğu yerine ulaştı. Şekerlik ulaşamadı; martılar memnun.</t>
        </is>
      </c>
      <c r="M368" s="5" t="inlineStr">
        <is>
          <t>balance</t>
        </is>
      </c>
      <c r="N368" s="5" t="inlineStr">
        <is>
          <t>Çay Tepsisi</t>
        </is>
      </c>
      <c r="O368" s="6" t="inlineStr">
        <is>
          <t>Tepsiyi parmağınla dengede tut; on iki bardak da masaya ulaşsın.</t>
        </is>
      </c>
      <c r="P368" s="6" t="inlineStr">
        <is>
          <t>{"item": "🫖"}</t>
        </is>
      </c>
      <c r="Q368" s="5" t="inlineStr"/>
      <c r="R368" s="5" t="inlineStr"/>
      <c r="S368" s="5" t="inlineStr"/>
      <c r="T368" s="5" t="inlineStr"/>
      <c r="U368" s="5" t="inlineStr"/>
      <c r="V368" s="5" t="inlineStr"/>
      <c r="W368" s="5" t="inlineStr"/>
      <c r="X368" s="5" t="inlineStr"/>
      <c r="Y368" s="5" t="inlineStr"/>
      <c r="Z368" s="6" t="inlineStr"/>
    </row>
    <row r="369">
      <c r="A369" s="5" t="inlineStr">
        <is>
          <t>b5-yaz-isi-garson</t>
        </is>
      </c>
      <c r="B369" s="5" t="n">
        <v>2</v>
      </c>
      <c r="C369" s="6" t="inlineStr">
        <is>
          <t>Siparişleri akılda tut</t>
        </is>
      </c>
      <c r="D369" s="5" t="inlineStr">
        <is>
          <t>Akıl</t>
        </is>
      </c>
      <c r="E369" s="5" t="inlineStr">
        <is>
          <t>Kolay</t>
        </is>
      </c>
      <c r="F369" s="5" t="inlineStr"/>
      <c r="G369" s="6" t="inlineStr"/>
      <c r="H369" s="6" t="inlineStr">
        <is>
          <t>Deftersiz sipariş aldın, hepsini doğru getirdin. Bahşişler senin masalarına bırakıldı.</t>
        </is>
      </c>
      <c r="I369" s="6" t="inlineStr">
        <is>
          <t>Müdavimlerin siparişini onlar söylemeden getiriyorsun. Bahşiş kavanozu adınla anılıyor.</t>
        </is>
      </c>
      <c r="J369" s="6" t="inlineStr">
        <is>
          <t>Siparişleri hatırladın, masaları karıştırdın. Açık çay isteyen iki şekerli demli içti.</t>
        </is>
      </c>
      <c r="K369" s="6" t="inlineStr">
        <is>
          <t>Bütün siparişleri eksiksiz ve doğru getirdin. Yandaki çay bahçesine.</t>
        </is>
      </c>
      <c r="L369" s="6" t="inlineStr"/>
      <c r="M369" s="5" t="inlineStr"/>
      <c r="N369" s="5" t="inlineStr"/>
      <c r="O369" s="6" t="inlineStr"/>
      <c r="P369" s="6" t="inlineStr"/>
      <c r="Q369" s="5" t="inlineStr"/>
      <c r="R369" s="5" t="inlineStr"/>
      <c r="S369" s="5" t="inlineStr"/>
      <c r="T369" s="5" t="inlineStr"/>
      <c r="U369" s="5" t="inlineStr"/>
      <c r="V369" s="5" t="inlineStr"/>
      <c r="W369" s="5" t="inlineStr"/>
      <c r="X369" s="5" t="inlineStr"/>
      <c r="Y369" s="5" t="inlineStr"/>
      <c r="Z369" s="6" t="inlineStr"/>
    </row>
    <row r="370">
      <c r="A370" s="5" t="inlineStr">
        <is>
          <t>b5-yaz-isi-garson</t>
        </is>
      </c>
      <c r="B370" s="5" t="n">
        <v>3</v>
      </c>
      <c r="C370" s="6" t="inlineStr">
        <is>
          <t>Kasaya geç</t>
        </is>
      </c>
      <c r="D370" s="5" t="inlineStr">
        <is>
          <t>Kurnazlık</t>
        </is>
      </c>
      <c r="E370" s="5" t="inlineStr">
        <is>
          <t>Kolay</t>
        </is>
      </c>
      <c r="F370" s="5" t="inlineStr"/>
      <c r="G370" s="6" t="inlineStr"/>
      <c r="H370" s="6" t="inlineStr">
        <is>
          <t>Kasaya geçtin; para üstü hiç şaşmadı. Patron ilk kez kasayı sayarken gülümsedi.</t>
        </is>
      </c>
      <c r="I370" s="6" t="inlineStr">
        <is>
          <t>Kasa bütün yaz kuruşu kuruşuna tuttu. Patron seni gelecek yaz için ortak adayı ilan etti.</t>
        </is>
      </c>
      <c r="J370" s="6" t="inlineStr">
        <is>
          <t>Kasaya geçtin. Herkes kartla ödedi. Radar boşta kaldı.</t>
        </is>
      </c>
      <c r="K370" s="6" t="inlineStr">
        <is>
          <t>Para üstünü o kadar hızlı verdin ki bir müşteriye iki kez verdin. Fark maaşından kesildi.</t>
        </is>
      </c>
      <c r="L370" s="6" t="inlineStr"/>
      <c r="M370" s="5" t="inlineStr"/>
      <c r="N370" s="5" t="inlineStr"/>
      <c r="O370" s="6" t="inlineStr"/>
      <c r="P370" s="6" t="inlineStr"/>
      <c r="Q370" s="5" t="inlineStr">
        <is>
          <t>Para Üstü Radarı</t>
        </is>
      </c>
      <c r="R370" s="5" t="inlineStr"/>
      <c r="S370" s="5" t="inlineStr"/>
      <c r="T370" s="5" t="inlineStr"/>
      <c r="U370" s="5" t="inlineStr"/>
      <c r="V370" s="5" t="inlineStr"/>
      <c r="W370" s="5" t="inlineStr"/>
      <c r="X370" s="5" t="inlineStr"/>
      <c r="Y370" s="5" t="inlineStr"/>
      <c r="Z370" s="6" t="inlineStr"/>
    </row>
    <row r="371">
      <c r="A371" s="5" t="inlineStr">
        <is>
          <t>b5-yaz-isi-garson</t>
        </is>
      </c>
      <c r="B371" s="5" t="n">
        <v>4</v>
      </c>
      <c r="C371" s="6" t="inlineStr">
        <is>
          <t>İlk gün istifa et</t>
        </is>
      </c>
      <c r="D371" s="5" t="inlineStr"/>
      <c r="E371" s="5" t="inlineStr"/>
      <c r="F371" s="5" t="inlineStr">
        <is>
          <t>Pişkinlik +1</t>
        </is>
      </c>
      <c r="G371" s="6" t="inlineStr">
        <is>
          <t>İlk gün istifa ettin. Çay bahçesi seni tanımadan kaybetti. İş deneyimi hanesi: yarım gün.</t>
        </is>
      </c>
      <c r="H371" s="6" t="inlineStr"/>
      <c r="I371" s="6" t="inlineStr"/>
      <c r="J371" s="6" t="inlineStr"/>
      <c r="K371" s="6" t="inlineStr"/>
      <c r="L371" s="6" t="inlineStr"/>
      <c r="M371" s="5" t="inlineStr"/>
      <c r="N371" s="5" t="inlineStr"/>
      <c r="O371" s="6" t="inlineStr"/>
      <c r="P371" s="6" t="inlineStr"/>
      <c r="Q371" s="5" t="inlineStr"/>
      <c r="R371" s="5" t="inlineStr"/>
      <c r="S371" s="5" t="inlineStr"/>
      <c r="T371" s="5" t="inlineStr"/>
      <c r="U371" s="5" t="inlineStr"/>
      <c r="V371" s="5" t="inlineStr"/>
      <c r="W371" s="5" t="inlineStr"/>
      <c r="X371" s="5" t="inlineStr"/>
      <c r="Y371" s="5" t="inlineStr"/>
      <c r="Z371" s="6" t="inlineStr"/>
    </row>
    <row r="372">
      <c r="A372" s="5" t="inlineStr">
        <is>
          <t>b5-ilk-maas</t>
        </is>
      </c>
      <c r="B372" s="5" t="n">
        <v>1</v>
      </c>
      <c r="C372" s="6" t="inlineStr">
        <is>
          <t>Annene hediye al</t>
        </is>
      </c>
      <c r="D372" s="5" t="inlineStr"/>
      <c r="E372" s="5" t="inlineStr"/>
      <c r="F372" s="5" t="inlineStr">
        <is>
          <t>Vicdan +2</t>
        </is>
      </c>
      <c r="G372" s="6" t="inlineStr">
        <is>
          <t>Annene bir fular aldın. Beğenmedi. Dolabın en özel çekmecesinde, etiketiyle duruyor.</t>
        </is>
      </c>
      <c r="H372" s="6" t="inlineStr"/>
      <c r="I372" s="6" t="inlineStr"/>
      <c r="J372" s="6" t="inlineStr"/>
      <c r="K372" s="6" t="inlineStr"/>
      <c r="L372" s="6" t="inlineStr"/>
      <c r="M372" s="5" t="inlineStr"/>
      <c r="N372" s="5" t="inlineStr"/>
      <c r="O372" s="6" t="inlineStr"/>
      <c r="P372" s="6" t="inlineStr"/>
      <c r="Q372" s="5" t="inlineStr"/>
      <c r="R372" s="5" t="inlineStr"/>
      <c r="S372" s="5" t="inlineStr"/>
      <c r="T372" s="5" t="inlineStr"/>
      <c r="U372" s="5" t="inlineStr"/>
      <c r="V372" s="5" t="inlineStr"/>
      <c r="W372" s="5" t="inlineStr"/>
      <c r="X372" s="5" t="inlineStr"/>
      <c r="Y372" s="5" t="inlineStr"/>
      <c r="Z372" s="6" t="inlineStr"/>
    </row>
    <row r="373">
      <c r="A373" s="5" t="inlineStr">
        <is>
          <t>b5-ilk-maas</t>
        </is>
      </c>
      <c r="B373" s="5" t="n">
        <v>2</v>
      </c>
      <c r="C373" s="6" t="inlineStr">
        <is>
          <t>Hepsini biriktir</t>
        </is>
      </c>
      <c r="D373" s="5" t="inlineStr">
        <is>
          <t>Dayanıklılık</t>
        </is>
      </c>
      <c r="E373" s="5" t="inlineStr">
        <is>
          <t>Orta</t>
        </is>
      </c>
      <c r="F373" s="5" t="inlineStr"/>
      <c r="G373" s="6" t="inlineStr"/>
      <c r="H373" s="6" t="inlineStr">
        <is>
          <t>Hepsini biriktirdin. Yaz sonunda para hâlâ oradaydı; değeri biraz eksikti.</t>
        </is>
      </c>
      <c r="I373" s="6" t="inlineStr">
        <is>
          <t>Bir yıl boyunca dokunmadın. Ailen ilk kez senden borç istedi.</t>
        </is>
      </c>
      <c r="J373" s="6" t="inlineStr">
        <is>
          <t>İlk hafta sonu küçük bir istisna yaptın. Sonra bir tane daha. Sonra bir tane daha.</t>
        </is>
      </c>
      <c r="K373" s="6" t="inlineStr">
        <is>
          <t>Parayı çok iyi bir yere sakladın. Yeri hâlâ bilinmiyor.</t>
        </is>
      </c>
      <c r="L373" s="6" t="inlineStr"/>
      <c r="M373" s="5" t="inlineStr"/>
      <c r="N373" s="5" t="inlineStr"/>
      <c r="O373" s="6" t="inlineStr"/>
      <c r="P373" s="6" t="inlineStr"/>
      <c r="Q373" s="5" t="inlineStr"/>
      <c r="R373" s="5" t="inlineStr"/>
      <c r="S373" s="5" t="inlineStr"/>
      <c r="T373" s="5" t="inlineStr"/>
      <c r="U373" s="5" t="inlineStr"/>
      <c r="V373" s="5" t="inlineStr"/>
      <c r="W373" s="5" t="inlineStr"/>
      <c r="X373" s="5" t="inlineStr"/>
      <c r="Y373" s="5" t="inlineStr"/>
      <c r="Z373" s="6" t="inlineStr"/>
    </row>
    <row r="374">
      <c r="A374" s="5" t="inlineStr">
        <is>
          <t>b5-ilk-maas</t>
        </is>
      </c>
      <c r="B374" s="5" t="n">
        <v>3</v>
      </c>
      <c r="C374" s="6" t="inlineStr">
        <is>
          <t>Dijital paraya yatır</t>
        </is>
      </c>
      <c r="D374" s="5" t="inlineStr">
        <is>
          <t>Kurnazlık</t>
        </is>
      </c>
      <c r="E374" s="5" t="inlineStr">
        <is>
          <t>Orta</t>
        </is>
      </c>
      <c r="F374" s="5" t="inlineStr"/>
      <c r="G374" s="6" t="inlineStr"/>
      <c r="H374" s="6" t="inlineStr">
        <is>
          <t>Bir ay sonra küçük bir kârla çıktın. Sınıfta sana 'yatırımcı' diyorlar.</t>
        </is>
      </c>
      <c r="I374" s="6" t="inlineStr">
        <is>
          <t>İkiye katladın ve sattın. Ertesi gün piyasa çöktü. Kimse sana inanmıyor.</t>
        </is>
      </c>
      <c r="J374" s="6" t="inlineStr">
        <is>
          <t>Değeri düştü. İstemeden 'uzun vadeli yatırımcı' oldun.</t>
        </is>
      </c>
      <c r="K374" s="6" t="inlineStr">
        <is>
          <t>Yatırdığın dijital paranın kurucusu bir hafta sonra 'mola' verdi. Paran da mola verdi.</t>
        </is>
      </c>
      <c r="L374" s="6" t="inlineStr"/>
      <c r="M374" s="5" t="inlineStr"/>
      <c r="N374" s="5" t="inlineStr"/>
      <c r="O374" s="6" t="inlineStr"/>
      <c r="P374" s="6" t="inlineStr"/>
      <c r="Q374" s="5" t="inlineStr"/>
      <c r="R374" s="5" t="inlineStr"/>
      <c r="S374" s="5" t="inlineStr">
        <is>
          <t>Kurnazlık</t>
        </is>
      </c>
      <c r="T374" s="5" t="inlineStr"/>
      <c r="U374" s="5" t="inlineStr"/>
      <c r="V374" s="5" t="inlineStr"/>
      <c r="W374" s="5" t="inlineStr"/>
      <c r="X374" s="5" t="inlineStr"/>
      <c r="Y374" s="5" t="inlineStr"/>
      <c r="Z374" s="6" t="inlineStr"/>
    </row>
    <row r="375">
      <c r="A375" s="5" t="inlineStr">
        <is>
          <t>b5-ilk-maas</t>
        </is>
      </c>
      <c r="B375" s="5" t="n">
        <v>4</v>
      </c>
      <c r="C375" s="6" t="inlineStr">
        <is>
          <t>Patrondan zam iste</t>
        </is>
      </c>
      <c r="D375" s="5" t="inlineStr">
        <is>
          <t>Çene</t>
        </is>
      </c>
      <c r="E375" s="5" t="inlineStr">
        <is>
          <t>Zor</t>
        </is>
      </c>
      <c r="F375" s="5" t="inlineStr"/>
      <c r="G375" s="6" t="inlineStr"/>
      <c r="H375" s="6" t="inlineStr">
        <is>
          <t>Zam istedin, aldın. Gelecek yaz için yeni ücret tarifesi imzalandı.</t>
        </is>
      </c>
      <c r="I375" s="6" t="inlineStr">
        <is>
          <t>Zamla birlikte bir de 'sezon primi' icat ettin. Patron hâlâ ne olduğunu anlamadı.</t>
        </is>
      </c>
      <c r="J375" s="6" t="inlineStr">
        <is>
          <t>Zam istedin. Patron 'Seneye' dedi. Seneye çay bahçesi devrediliyor.</t>
        </is>
      </c>
      <c r="K375" s="6" t="inlineStr">
        <is>
          <t>Zam istedin. Patron maaşını yeniden hesapladı. İki kırık bardak unutulmamıştı.</t>
        </is>
      </c>
      <c r="L375" s="6" t="inlineStr"/>
      <c r="M375" s="5" t="inlineStr"/>
      <c r="N375" s="5" t="inlineStr"/>
      <c r="O375" s="6" t="inlineStr"/>
      <c r="P375" s="6" t="inlineStr"/>
      <c r="Q375" s="5" t="inlineStr"/>
      <c r="R375" s="5" t="inlineStr">
        <is>
          <t>ilkKelimePara</t>
        </is>
      </c>
      <c r="S375" s="5" t="inlineStr"/>
      <c r="T375" s="5" t="inlineStr"/>
      <c r="U375" s="5" t="inlineStr"/>
      <c r="V375" s="5" t="inlineStr"/>
      <c r="W375" s="5" t="inlineStr"/>
      <c r="X375" s="5" t="inlineStr"/>
      <c r="Y375" s="5" t="inlineStr"/>
      <c r="Z375" s="6" t="inlineStr"/>
    </row>
    <row r="376">
      <c r="A376" s="5" t="inlineStr">
        <is>
          <t>b5-ayrilik</t>
        </is>
      </c>
      <c r="B376" s="5" t="n">
        <v>1</v>
      </c>
      <c r="C376" s="6" t="inlineStr">
        <is>
          <t>Olgunca karşıla</t>
        </is>
      </c>
      <c r="D376" s="5" t="inlineStr"/>
      <c r="E376" s="5" t="inlineStr"/>
      <c r="F376" s="5" t="inlineStr">
        <is>
          <t>Dayanıklılık +2</t>
        </is>
      </c>
      <c r="G376" s="6" t="inlineStr">
        <is>
          <t>Olgunca konuştunuz, iyi dilekler dilediniz. Sonra eve gidip üç saat aynı şarkıyı dinledin.</t>
        </is>
      </c>
      <c r="H376" s="6" t="inlineStr"/>
      <c r="I376" s="6" t="inlineStr"/>
      <c r="J376" s="6" t="inlineStr"/>
      <c r="K376" s="6" t="inlineStr"/>
      <c r="L376" s="6" t="inlineStr"/>
      <c r="M376" s="5" t="inlineStr"/>
      <c r="N376" s="5" t="inlineStr"/>
      <c r="O376" s="6" t="inlineStr"/>
      <c r="P376" s="6" t="inlineStr"/>
      <c r="Q376" s="5" t="inlineStr"/>
      <c r="R376" s="5" t="inlineStr"/>
      <c r="S376" s="5" t="inlineStr"/>
      <c r="T376" s="5" t="inlineStr"/>
      <c r="U376" s="5" t="inlineStr">
        <is>
          <t>ilk-ayrilik</t>
        </is>
      </c>
      <c r="V376" s="5" t="inlineStr"/>
      <c r="W376" s="5" t="inlineStr"/>
      <c r="X376" s="5" t="inlineStr">
        <is>
          <t>ilk-sevgili</t>
        </is>
      </c>
      <c r="Y376" s="5" t="inlineStr"/>
      <c r="Z376" s="6" t="inlineStr"/>
    </row>
    <row r="377">
      <c r="A377" s="5" t="inlineStr">
        <is>
          <t>b5-ayrilik</t>
        </is>
      </c>
      <c r="B377" s="5" t="n">
        <v>2</v>
      </c>
      <c r="C377" s="6" t="inlineStr">
        <is>
          <t>Önce sen yaz</t>
        </is>
      </c>
      <c r="D377" s="5" t="inlineStr">
        <is>
          <t>Kurnazlık</t>
        </is>
      </c>
      <c r="E377" s="5" t="inlineStr">
        <is>
          <t>Zor</t>
        </is>
      </c>
      <c r="F377" s="5" t="inlineStr"/>
      <c r="G377" s="6" t="inlineStr"/>
      <c r="H377" s="6" t="inlineStr">
        <is>
          <t>O yazmadan sen yazdın: 'Bence ikimiz de biliyoruz.' Kayıtlara ayrılan taraf olarak geçtin.</t>
        </is>
      </c>
      <c r="I377" s="6" t="inlineStr">
        <is>
          <t>Mesajın o kadar zarifti ki ekran görüntüsü arkadaş gruplarında örnek metin olarak dolaşıyor.</t>
        </is>
      </c>
      <c r="J377" s="6" t="inlineStr">
        <is>
          <t>Sen yazarken o da yazıyordu. Mesajlar aynı saniyede gitti. Beraberlik.</t>
        </is>
      </c>
      <c r="K377" s="6" t="inlineStr">
        <is>
          <t>Ayrılık mesajını aile grubuna gönderdin. Babaannen 'Kimle?' diye sordu.</t>
        </is>
      </c>
      <c r="L377" s="6" t="inlineStr"/>
      <c r="M377" s="5" t="inlineStr"/>
      <c r="N377" s="5" t="inlineStr"/>
      <c r="O377" s="6" t="inlineStr"/>
      <c r="P377" s="6" t="inlineStr"/>
      <c r="Q377" s="5" t="inlineStr"/>
      <c r="R377" s="5" t="inlineStr"/>
      <c r="S377" s="5" t="inlineStr"/>
      <c r="T377" s="5" t="inlineStr"/>
      <c r="U377" s="5" t="inlineStr">
        <is>
          <t>ilk-ayrilik</t>
        </is>
      </c>
      <c r="V377" s="5" t="inlineStr"/>
      <c r="W377" s="5" t="inlineStr"/>
      <c r="X377" s="5" t="inlineStr">
        <is>
          <t>ilk-sevgili</t>
        </is>
      </c>
      <c r="Y377" s="5" t="inlineStr"/>
      <c r="Z377" s="6" t="inlineStr"/>
    </row>
    <row r="378">
      <c r="A378" s="5" t="inlineStr">
        <is>
          <t>b5-ayrilik</t>
        </is>
      </c>
      <c r="B378" s="5" t="n">
        <v>3</v>
      </c>
      <c r="C378" s="6" t="inlineStr">
        <is>
          <t>Kazanmaya çalış</t>
        </is>
      </c>
      <c r="D378" s="5" t="inlineStr">
        <is>
          <t>Çene</t>
        </is>
      </c>
      <c r="E378" s="5" t="inlineStr">
        <is>
          <t>Orta</t>
        </is>
      </c>
      <c r="F378" s="5" t="inlineStr"/>
      <c r="G378" s="6" t="inlineStr"/>
      <c r="H378" s="6" t="inlineStr">
        <is>
          <t>Konuştunuz ve bir şans daha verildi. İki hafta daha el ele. Sonra yine üç nokta.</t>
        </is>
      </c>
      <c r="I378" s="6" t="inlineStr">
        <is>
          <t>Barıştınız, bir de ortak fotoğraf paylaştınız. Ayrılık resmî olarak ertelendi.</t>
        </is>
      </c>
      <c r="J378" s="6" t="inlineStr">
        <is>
          <t>Uzun bir mesaj yazdın. Cevap: 'Tamam 👍'. Başparmak her şeyi anlattı.</t>
        </is>
      </c>
      <c r="K378" s="6" t="inlineStr">
        <is>
          <t>Bir şarkı söyleyip sesli mesaj olarak gönderdin. O sesli mesaj şu an okul koridorlarında.</t>
        </is>
      </c>
      <c r="L378" s="6" t="inlineStr"/>
      <c r="M378" s="5" t="inlineStr"/>
      <c r="N378" s="5" t="inlineStr"/>
      <c r="O378" s="6" t="inlineStr"/>
      <c r="P378" s="6" t="inlineStr"/>
      <c r="Q378" s="5" t="inlineStr"/>
      <c r="R378" s="5" t="inlineStr"/>
      <c r="S378" s="5" t="inlineStr"/>
      <c r="T378" s="5" t="inlineStr"/>
      <c r="U378" s="5" t="inlineStr"/>
      <c r="V378" s="5" t="inlineStr"/>
      <c r="W378" s="5" t="inlineStr"/>
      <c r="X378" s="5" t="inlineStr"/>
      <c r="Y378" s="5" t="inlineStr"/>
      <c r="Z378" s="6" t="inlineStr"/>
    </row>
    <row r="379">
      <c r="A379" s="5" t="inlineStr">
        <is>
          <t>b5-ayrilik</t>
        </is>
      </c>
      <c r="B379" s="5" t="n">
        <v>4</v>
      </c>
      <c r="C379" s="6" t="inlineStr">
        <is>
          <t>Ayrılığı espriye çevir</t>
        </is>
      </c>
      <c r="D379" s="5" t="inlineStr">
        <is>
          <t>Pişkinlik</t>
        </is>
      </c>
      <c r="E379" s="5" t="inlineStr">
        <is>
          <t>Kolay</t>
        </is>
      </c>
      <c r="F379" s="5" t="inlineStr"/>
      <c r="G379" s="6" t="inlineStr"/>
      <c r="H379" s="6" t="inlineStr">
        <is>
          <t>Ayrılığı arkadaşlarına komik bir hikâye olarak anlattın. İki hafta sonra sen de gülüyordun.</t>
        </is>
      </c>
      <c r="I379" s="6" t="inlineStr">
        <is>
          <t>Hikâyeyi öyle anlattın ki eski sevgilin bile güldü. Gerçekten arkadaş kaldınız.</t>
        </is>
      </c>
      <c r="J379" s="6" t="inlineStr">
        <is>
          <t>Espri yaptın. Kimse gülmedi. Herkes sana acıyarak baktı.</t>
        </is>
      </c>
      <c r="K379" s="6" t="inlineStr">
        <is>
          <t>Esprin eski sevgilinin kulağına gitti. O da senin hakkında bir espri yaptı. Onunki daha iyiydi.</t>
        </is>
      </c>
      <c r="L379" s="6" t="inlineStr"/>
      <c r="M379" s="5" t="inlineStr"/>
      <c r="N379" s="5" t="inlineStr"/>
      <c r="O379" s="6" t="inlineStr"/>
      <c r="P379" s="6" t="inlineStr"/>
      <c r="Q379" s="5" t="inlineStr">
        <is>
          <t>Kendine Gülebilir</t>
        </is>
      </c>
      <c r="R379" s="5" t="inlineStr"/>
      <c r="S379" s="5" t="inlineStr"/>
      <c r="T379" s="5" t="inlineStr"/>
      <c r="U379" s="5" t="inlineStr">
        <is>
          <t>ilk-ayrilik</t>
        </is>
      </c>
      <c r="V379" s="5" t="inlineStr"/>
      <c r="W379" s="5" t="inlineStr"/>
      <c r="X379" s="5" t="inlineStr">
        <is>
          <t>ilk-sevgili</t>
        </is>
      </c>
      <c r="Y379" s="5" t="inlineStr"/>
      <c r="Z379" s="6" t="inlineStr"/>
    </row>
    <row r="380">
      <c r="A380" s="5" t="inlineStr">
        <is>
          <t>b5-beden-dersi</t>
        </is>
      </c>
      <c r="B380" s="5" t="n">
        <v>1</v>
      </c>
      <c r="C380" s="6" t="inlineStr">
        <is>
          <t>Pasör ol</t>
        </is>
      </c>
      <c r="D380" s="5" t="inlineStr">
        <is>
          <t>Dayanıklılık</t>
        </is>
      </c>
      <c r="E380" s="5" t="inlineStr">
        <is>
          <t>Orta</t>
        </is>
      </c>
      <c r="F380" s="5" t="inlineStr"/>
      <c r="G380" s="6" t="inlineStr"/>
      <c r="H380" s="6" t="inlineStr">
        <is>
          <t>Pasör oldun; takımın iki maç kazandı. Asist listesinin başındasın.</t>
        </is>
      </c>
      <c r="I380" s="6" t="inlineStr">
        <is>
          <t>Paslarını gören beden öğretmeni seni okul takımına çağırdı. Adını ilk kez doğru söyledi.</t>
        </is>
      </c>
      <c r="J380" s="6" t="inlineStr">
        <is>
          <t>Pas verdin. Top tavandaki lambaya gitti. Lamba hâlâ sallanıyor.</t>
        </is>
      </c>
      <c r="K380" s="6" t="inlineStr">
        <is>
          <t>Servisi fazla güçlü attın. Top duvarı aşıp komşu bahçeye düştü. Komşu vermedi; turnuva bitti.</t>
        </is>
      </c>
      <c r="L380" s="6" t="inlineStr"/>
      <c r="M380" s="5" t="inlineStr"/>
      <c r="N380" s="5" t="inlineStr"/>
      <c r="O380" s="6" t="inlineStr"/>
      <c r="P380" s="6" t="inlineStr"/>
      <c r="Q380" s="5" t="inlineStr"/>
      <c r="R380" s="5" t="inlineStr"/>
      <c r="S380" s="5" t="inlineStr"/>
      <c r="T380" s="5" t="inlineStr"/>
      <c r="U380" s="5" t="inlineStr"/>
      <c r="V380" s="5" t="inlineStr"/>
      <c r="W380" s="5" t="inlineStr"/>
      <c r="X380" s="5" t="inlineStr"/>
      <c r="Y380" s="5" t="inlineStr"/>
      <c r="Z380" s="6" t="inlineStr"/>
    </row>
    <row r="381">
      <c r="A381" s="5" t="inlineStr">
        <is>
          <t>b5-beden-dersi</t>
        </is>
      </c>
      <c r="B381" s="5" t="n">
        <v>2</v>
      </c>
      <c r="C381" s="6" t="inlineStr">
        <is>
          <t>Kenarda puan tut</t>
        </is>
      </c>
      <c r="D381" s="5" t="inlineStr"/>
      <c r="E381" s="5" t="inlineStr"/>
      <c r="F381" s="5" t="inlineStr">
        <is>
          <t>Akıl +1</t>
        </is>
      </c>
      <c r="G381" s="6" t="inlineStr">
        <is>
          <t>Maç 25-23 bitti. Sen 25-24 yazdın. İtiraz eden olmadı; defter sende.</t>
        </is>
      </c>
      <c r="H381" s="6" t="inlineStr"/>
      <c r="I381" s="6" t="inlineStr"/>
      <c r="J381" s="6" t="inlineStr"/>
      <c r="K381" s="6" t="inlineStr"/>
      <c r="L381" s="6" t="inlineStr"/>
      <c r="M381" s="5" t="inlineStr"/>
      <c r="N381" s="5" t="inlineStr"/>
      <c r="O381" s="6" t="inlineStr"/>
      <c r="P381" s="6" t="inlineStr"/>
      <c r="Q381" s="5" t="inlineStr"/>
      <c r="R381" s="5" t="inlineStr"/>
      <c r="S381" s="5" t="inlineStr"/>
      <c r="T381" s="5" t="inlineStr"/>
      <c r="U381" s="5" t="inlineStr"/>
      <c r="V381" s="5" t="inlineStr"/>
      <c r="W381" s="5" t="inlineStr"/>
      <c r="X381" s="5" t="inlineStr"/>
      <c r="Y381" s="5" t="inlineStr"/>
      <c r="Z381" s="6" t="inlineStr"/>
    </row>
    <row r="382">
      <c r="A382" s="5" t="inlineStr">
        <is>
          <t>b5-beden-dersi</t>
        </is>
      </c>
      <c r="B382" s="5" t="n">
        <v>3</v>
      </c>
      <c r="C382" s="6" t="inlineStr">
        <is>
          <t>Eski sakatlığını hatırlat</t>
        </is>
      </c>
      <c r="D382" s="5" t="inlineStr">
        <is>
          <t>Pişkinlik</t>
        </is>
      </c>
      <c r="E382" s="5" t="inlineStr">
        <is>
          <t>Kolay</t>
        </is>
      </c>
      <c r="F382" s="5" t="inlineStr"/>
      <c r="G382" s="6" t="inlineStr"/>
      <c r="H382" s="6" t="inlineStr">
        <is>
          <t>'Kolum bir kere kırılmıştı' dedin. Hem kenarda oturdun hem de saygı kazandın.</t>
        </is>
      </c>
      <c r="I382" s="6" t="inlineStr">
        <is>
          <t>Hikâyeyi öyle anlattın ki öğretmen seni bütün dönem hakem ilan etti. Düdük sende.</t>
        </is>
      </c>
      <c r="J382" s="6" t="inlineStr">
        <is>
          <t>'Kolum bir kere kırılmıştı' dedin. Öğretmen 'Diğeri sağlam ama' dedi.</t>
        </is>
      </c>
      <c r="K382" s="6" t="inlineStr">
        <is>
          <t>Sınıftan biri 'Tepsiyle kaymıştın, değil mi?' diye sordu. Lakabın dört yıl boyunca 'Tepsi' oldu.</t>
        </is>
      </c>
      <c r="L382" s="6" t="inlineStr"/>
      <c r="M382" s="5" t="inlineStr"/>
      <c r="N382" s="5" t="inlineStr"/>
      <c r="O382" s="6" t="inlineStr"/>
      <c r="P382" s="6" t="inlineStr"/>
      <c r="Q382" s="5" t="inlineStr"/>
      <c r="R382" s="5" t="inlineStr">
        <is>
          <t>alcili-kol</t>
        </is>
      </c>
      <c r="S382" s="5" t="inlineStr"/>
      <c r="T382" s="5" t="inlineStr"/>
      <c r="U382" s="5" t="inlineStr"/>
      <c r="V382" s="5" t="inlineStr"/>
      <c r="W382" s="5" t="inlineStr"/>
      <c r="X382" s="5" t="inlineStr"/>
      <c r="Y382" s="5" t="inlineStr"/>
      <c r="Z382" s="6" t="inlineStr"/>
    </row>
    <row r="383">
      <c r="A383" s="5" t="inlineStr">
        <is>
          <t>b5-beden-dersi</t>
        </is>
      </c>
      <c r="B383" s="5" t="n">
        <v>4</v>
      </c>
      <c r="C383" s="6" t="inlineStr">
        <is>
          <t>Takım kaptanı ol</t>
        </is>
      </c>
      <c r="D383" s="5" t="inlineStr">
        <is>
          <t>Sosyal Radar</t>
        </is>
      </c>
      <c r="E383" s="5" t="inlineStr">
        <is>
          <t>Orta</t>
        </is>
      </c>
      <c r="F383" s="5" t="inlineStr"/>
      <c r="G383" s="6" t="inlineStr"/>
      <c r="H383" s="6" t="inlineStr">
        <is>
          <t>Takımı dengeli kurdun. En son seçilen arkadaşın maçın yıldızı oldu.</t>
        </is>
      </c>
      <c r="I383" s="6" t="inlineStr">
        <is>
          <t>Turnuvayı kazandınız. Kupa yok, ama öğretmen sınıfa beş dakika ekstra teneffüs verdi.</t>
        </is>
      </c>
      <c r="J383" s="6" t="inlineStr">
        <is>
          <t>Herkes kendi arkadaşını istedi. Takım üç fraksiyona bölündü.</t>
        </is>
      </c>
      <c r="K383" s="6" t="inlineStr">
        <is>
          <t>Takımı kurarken kendini unuttun. Maçı kenardan izledin. Takımın kazandı.</t>
        </is>
      </c>
      <c r="L383" s="6" t="inlineStr"/>
      <c r="M383" s="5" t="inlineStr"/>
      <c r="N383" s="5" t="inlineStr"/>
      <c r="O383" s="6" t="inlineStr"/>
      <c r="P383" s="6" t="inlineStr"/>
      <c r="Q383" s="5" t="inlineStr">
        <is>
          <t>Asist Ustası</t>
        </is>
      </c>
      <c r="R383" s="5" t="inlineStr"/>
      <c r="S383" s="5" t="inlineStr"/>
      <c r="T383" s="5" t="inlineStr"/>
      <c r="U383" s="5" t="inlineStr"/>
      <c r="V383" s="5" t="inlineStr"/>
      <c r="W383" s="5" t="inlineStr"/>
      <c r="X383" s="5" t="inlineStr"/>
      <c r="Y383" s="5" t="inlineStr"/>
      <c r="Z383" s="6" t="inlineStr"/>
    </row>
    <row r="384">
      <c r="A384" s="5" t="inlineStr">
        <is>
          <t>b5-kafede-ders</t>
        </is>
      </c>
      <c r="B384" s="5" t="n">
        <v>1</v>
      </c>
      <c r="C384" s="6" t="inlineStr">
        <is>
          <t>Gerçekten ders çalış</t>
        </is>
      </c>
      <c r="D384" s="5" t="inlineStr">
        <is>
          <t>Akıl</t>
        </is>
      </c>
      <c r="E384" s="5" t="inlineStr">
        <is>
          <t>Zor</t>
        </is>
      </c>
      <c r="F384" s="5" t="inlineStr"/>
      <c r="G384" s="6" t="inlineStr"/>
      <c r="H384" s="6" t="inlineStr">
        <is>
          <t>Kulaklığı taktın ve iki ünite bitirdin. Arkadaşların bunu ihanet olarak değerlendirdi.</t>
        </is>
      </c>
      <c r="I384" s="6" t="inlineStr">
        <is>
          <t>Üç ünite bitirdin, masaya da özet çıkardın. Kafe fiilen etüt merkezine döndü.</t>
        </is>
      </c>
      <c r="J384" s="6" t="inlineStr">
        <is>
          <t>Kitabı açtın. Karşındaki bir video gösterdi. Kitap kapandı. Açılış töreni başarılıydı.</t>
        </is>
      </c>
      <c r="K384" s="6" t="inlineStr">
        <is>
          <t>Beş saat boyunca aynı sayfaya baktın. Konuyu değil, sayfa numarasını ezberledin: 48.</t>
        </is>
      </c>
      <c r="L384" s="6" t="inlineStr"/>
      <c r="M384" s="5" t="inlineStr"/>
      <c r="N384" s="5" t="inlineStr"/>
      <c r="O384" s="6" t="inlineStr"/>
      <c r="P384" s="6" t="inlineStr"/>
      <c r="Q384" s="5" t="inlineStr"/>
      <c r="R384" s="5" t="inlineStr"/>
      <c r="S384" s="5" t="inlineStr"/>
      <c r="T384" s="5" t="inlineStr"/>
      <c r="U384" s="5" t="inlineStr"/>
      <c r="V384" s="5" t="inlineStr"/>
      <c r="W384" s="5" t="inlineStr"/>
      <c r="X384" s="5" t="inlineStr"/>
      <c r="Y384" s="5" t="inlineStr"/>
      <c r="Z384" s="6" t="inlineStr"/>
    </row>
    <row r="385">
      <c r="A385" s="5" t="inlineStr">
        <is>
          <t>b5-kafede-ders</t>
        </is>
      </c>
      <c r="B385" s="5" t="n">
        <v>2</v>
      </c>
      <c r="C385" s="6" t="inlineStr">
        <is>
          <t>Sohbete katıl</t>
        </is>
      </c>
      <c r="D385" s="5" t="inlineStr"/>
      <c r="E385" s="5" t="inlineStr"/>
      <c r="F385" s="5" t="inlineStr">
        <is>
          <t>Sosyal Radar +1</t>
        </is>
      </c>
      <c r="G385" s="6" t="inlineStr">
        <is>
          <t>Beş saat sohbet ettiniz. Kimin kimden hoşlandığını öğrendin. Sınavda o sorulmayacak.</t>
        </is>
      </c>
      <c r="H385" s="6" t="inlineStr"/>
      <c r="I385" s="6" t="inlineStr"/>
      <c r="J385" s="6" t="inlineStr"/>
      <c r="K385" s="6" t="inlineStr"/>
      <c r="L385" s="6" t="inlineStr"/>
      <c r="M385" s="5" t="inlineStr"/>
      <c r="N385" s="5" t="inlineStr"/>
      <c r="O385" s="6" t="inlineStr"/>
      <c r="P385" s="6" t="inlineStr"/>
      <c r="Q385" s="5" t="inlineStr"/>
      <c r="R385" s="5" t="inlineStr"/>
      <c r="S385" s="5" t="inlineStr"/>
      <c r="T385" s="5" t="inlineStr"/>
      <c r="U385" s="5" t="inlineStr"/>
      <c r="V385" s="5" t="inlineStr"/>
      <c r="W385" s="5" t="inlineStr"/>
      <c r="X385" s="5" t="inlineStr"/>
      <c r="Y385" s="5" t="inlineStr"/>
      <c r="Z385" s="6" t="inlineStr"/>
    </row>
    <row r="386">
      <c r="A386" s="5" t="inlineStr">
        <is>
          <t>b5-kafede-ders</t>
        </is>
      </c>
      <c r="B386" s="5" t="n">
        <v>3</v>
      </c>
      <c r="C386" s="6" t="inlineStr">
        <is>
          <t>Garsonla arayı düzelt</t>
        </is>
      </c>
      <c r="D386" s="5" t="inlineStr">
        <is>
          <t>Çene</t>
        </is>
      </c>
      <c r="E386" s="5" t="inlineStr">
        <is>
          <t>Kolay</t>
        </is>
      </c>
      <c r="F386" s="5" t="inlineStr"/>
      <c r="G386" s="6" t="inlineStr"/>
      <c r="H386" s="6" t="inlineStr">
        <is>
          <t>Garsonla sohbet ettin; masaya ikram kurabiye geldi. Masa üç saat daha güvende.</t>
        </is>
      </c>
      <c r="I386" s="6" t="inlineStr">
        <is>
          <t>Garson masanıza 'rezerve' kartı koydu. Artık resmî bir etüt merkezisiniz.</t>
        </is>
      </c>
      <c r="J386" s="6" t="inlineStr">
        <is>
          <t>Garsona gülümsedin. Hesabı getirdi.</t>
        </is>
      </c>
      <c r="K386" s="6" t="inlineStr">
        <is>
          <t>Garson sınıftan birinin abisi çıktı. Ders çalışmadığınız haberi eve sizden önce ulaştı.</t>
        </is>
      </c>
      <c r="L386" s="6" t="inlineStr"/>
      <c r="M386" s="5" t="inlineStr"/>
      <c r="N386" s="5" t="inlineStr"/>
      <c r="O386" s="6" t="inlineStr"/>
      <c r="P386" s="6" t="inlineStr"/>
      <c r="Q386" s="5" t="inlineStr"/>
      <c r="R386" s="5" t="inlineStr"/>
      <c r="S386" s="5" t="inlineStr"/>
      <c r="T386" s="5" t="inlineStr"/>
      <c r="U386" s="5" t="inlineStr"/>
      <c r="V386" s="5" t="inlineStr"/>
      <c r="W386" s="5" t="inlineStr"/>
      <c r="X386" s="5" t="inlineStr"/>
      <c r="Y386" s="5" t="inlineStr"/>
      <c r="Z386" s="6" t="inlineStr"/>
    </row>
    <row r="387">
      <c r="A387" s="5" t="inlineStr">
        <is>
          <t>b5-deneme-sinavi</t>
        </is>
      </c>
      <c r="B387" s="5" t="n">
        <v>1</v>
      </c>
      <c r="C387" s="6" t="inlineStr">
        <is>
          <t>Nefesini düzenle, başla</t>
        </is>
      </c>
      <c r="D387" s="5" t="inlineStr">
        <is>
          <t>Dayanıklılık</t>
        </is>
      </c>
      <c r="E387" s="5" t="inlineStr">
        <is>
          <t>Zor</t>
        </is>
      </c>
      <c r="F387" s="5" t="inlineStr"/>
      <c r="G387" s="6" t="inlineStr"/>
      <c r="H387" s="6" t="inlineStr">
        <is>
          <t>Sakince çözdün. Netin geçen denemeden yedi fazla. Adın ilan panosunda.</t>
        </is>
      </c>
      <c r="I387" s="6" t="inlineStr">
        <is>
          <t>Deneme birincisi oldun. Dershane afişine fotoğrafın basıldı. Dört yıl önceki fotoğrafın.</t>
        </is>
      </c>
      <c r="J387" s="6" t="inlineStr">
        <is>
          <t>Sakin başladın ama ilk sayfada yirmi dakika kaldın. Son sayfa kuşbakışı geçildi.</t>
        </is>
      </c>
      <c r="K387" s="6" t="inlineStr">
        <is>
          <t>O kadar rahatladın ki uyudun. Gözetmen zil çalınca uyandırdı. Optik formda yüzünün izi var.</t>
        </is>
      </c>
      <c r="L387" s="6" t="inlineStr">
        <is>
          <t>Nefes tuttu, zaman tutmadı. Son on soruyu aynı şıkla doldurdun; üçü tuttu.</t>
        </is>
      </c>
      <c r="M387" s="5" t="inlineStr">
        <is>
          <t>breath</t>
        </is>
      </c>
      <c r="N387" s="5" t="inlineStr">
        <is>
          <t>Sınav Nefesi</t>
        </is>
      </c>
      <c r="O387" s="6" t="inlineStr">
        <is>
          <t>Daire büyürken nefes al, küçülürken ver. Sorular bekleyebilir.</t>
        </is>
      </c>
      <c r="P387" s="6" t="inlineStr"/>
      <c r="Q387" s="5" t="inlineStr"/>
      <c r="R387" s="5" t="inlineStr"/>
      <c r="S387" s="5" t="inlineStr"/>
      <c r="T387" s="5" t="inlineStr">
        <is>
          <t>Deneme Kurdu</t>
        </is>
      </c>
      <c r="U387" s="5" t="inlineStr"/>
      <c r="V387" s="5" t="inlineStr"/>
      <c r="W387" s="5" t="inlineStr"/>
      <c r="X387" s="5" t="inlineStr"/>
      <c r="Y387" s="5" t="inlineStr"/>
      <c r="Z387" s="6" t="inlineStr"/>
    </row>
    <row r="388">
      <c r="A388" s="5" t="inlineStr">
        <is>
          <t>b5-deneme-sinavi</t>
        </is>
      </c>
      <c r="B388" s="5" t="n">
        <v>2</v>
      </c>
      <c r="C388" s="6" t="inlineStr">
        <is>
          <t>Her soruya bir şık işaretle</t>
        </is>
      </c>
      <c r="D388" s="5" t="inlineStr"/>
      <c r="E388" s="5" t="inlineStr"/>
      <c r="F388" s="5" t="inlineStr">
        <is>
          <t>Pişkinlik +1</t>
        </is>
      </c>
      <c r="G388" s="6" t="inlineStr">
        <is>
          <t>Hiçbir soruyu boş bırakmadın. Netin istatistiksel beklentiye birebir uydu. Bilim doğrulandı.</t>
        </is>
      </c>
      <c r="H388" s="6" t="inlineStr"/>
      <c r="I388" s="6" t="inlineStr"/>
      <c r="J388" s="6" t="inlineStr"/>
      <c r="K388" s="6" t="inlineStr"/>
      <c r="L388" s="6" t="inlineStr"/>
      <c r="M388" s="5" t="inlineStr"/>
      <c r="N388" s="5" t="inlineStr"/>
      <c r="O388" s="6" t="inlineStr"/>
      <c r="P388" s="6" t="inlineStr"/>
      <c r="Q388" s="5" t="inlineStr"/>
      <c r="R388" s="5" t="inlineStr"/>
      <c r="S388" s="5" t="inlineStr"/>
      <c r="T388" s="5" t="inlineStr"/>
      <c r="U388" s="5" t="inlineStr"/>
      <c r="V388" s="5" t="inlineStr"/>
      <c r="W388" s="5" t="inlineStr"/>
      <c r="X388" s="5" t="inlineStr"/>
      <c r="Y388" s="5" t="inlineStr"/>
      <c r="Z388" s="6" t="inlineStr"/>
    </row>
    <row r="389">
      <c r="A389" s="5" t="inlineStr">
        <is>
          <t>b5-deneme-sinavi</t>
        </is>
      </c>
      <c r="B389" s="5" t="n">
        <v>3</v>
      </c>
      <c r="C389" s="6" t="inlineStr">
        <is>
          <t>Yandakinin kâğıdına bak</t>
        </is>
      </c>
      <c r="D389" s="5" t="inlineStr">
        <is>
          <t>Kurnazlık</t>
        </is>
      </c>
      <c r="E389" s="5" t="inlineStr">
        <is>
          <t>Zor</t>
        </is>
      </c>
      <c r="F389" s="5" t="inlineStr"/>
      <c r="G389" s="6" t="inlineStr"/>
      <c r="H389" s="6" t="inlineStr">
        <is>
          <t>Birkaç cevabı teyit ettin. Yandaki de senin kâğıdına bakıyormuş. Adil takas.</t>
        </is>
      </c>
      <c r="I389" s="6" t="inlineStr">
        <is>
          <t>Yandakinin doğrularını aldın, yanlışlarını atladın. Ondan yüksek aldın.</t>
        </is>
      </c>
      <c r="J389" s="6" t="inlineStr">
        <is>
          <t>Yandakine baktın; o da sana bakıyordu. İkiniz de aynı soruda takılmıştınız.</t>
        </is>
      </c>
      <c r="K389" s="6" t="inlineStr">
        <is>
          <t>Yandakinin kâğıdından birebir aldın. Kitapçık türü farklıymış. Netin eksiye düştü.</t>
        </is>
      </c>
      <c r="L389" s="6" t="inlineStr"/>
      <c r="M389" s="5" t="inlineStr"/>
      <c r="N389" s="5" t="inlineStr"/>
      <c r="O389" s="6" t="inlineStr"/>
      <c r="P389" s="6" t="inlineStr"/>
      <c r="Q389" s="5" t="inlineStr"/>
      <c r="R389" s="5" t="inlineStr"/>
      <c r="S389" s="5" t="inlineStr"/>
      <c r="T389" s="5" t="inlineStr"/>
      <c r="U389" s="5" t="inlineStr"/>
      <c r="V389" s="5" t="inlineStr"/>
      <c r="W389" s="5" t="inlineStr"/>
      <c r="X389" s="5" t="inlineStr"/>
      <c r="Y389" s="5" t="inlineStr"/>
      <c r="Z389" s="6" t="inlineStr"/>
    </row>
    <row r="390">
      <c r="A390" s="5" t="inlineStr">
        <is>
          <t>b5-deneme-sinavi</t>
        </is>
      </c>
      <c r="B390" s="5" t="n">
        <v>4</v>
      </c>
      <c r="C390" s="6" t="inlineStr">
        <is>
          <t>Soruların örüntüsünü çöz</t>
        </is>
      </c>
      <c r="D390" s="5" t="inlineStr">
        <is>
          <t>Akıl</t>
        </is>
      </c>
      <c r="E390" s="5" t="inlineStr">
        <is>
          <t>Kolay</t>
        </is>
      </c>
      <c r="F390" s="5" t="inlineStr"/>
      <c r="G390" s="6" t="inlineStr"/>
      <c r="H390" s="6" t="inlineStr">
        <is>
          <t>Soruları zorluk sırasına dizdin ve sürenin yarısında bitirdin.</t>
        </is>
      </c>
      <c r="I390" s="6" t="inlineStr">
        <is>
          <t>Soru hazırlayanın mantığını çözdün. Cevap anahtarı çıkmadan netini biliyordun.</t>
        </is>
      </c>
      <c r="J390" s="6" t="inlineStr">
        <is>
          <t>Örüntüyü aradın. Yoktu. Sorular rastgele hazırlanmış.</t>
        </is>
      </c>
      <c r="K390" s="6" t="inlineStr">
        <is>
          <t>Örüntüye o kadar daldın ki soruları çözmeye vakit kalmadı. Ama örüntü şahane.</t>
        </is>
      </c>
      <c r="L390" s="6" t="inlineStr"/>
      <c r="M390" s="5" t="inlineStr"/>
      <c r="N390" s="5" t="inlineStr"/>
      <c r="O390" s="6" t="inlineStr"/>
      <c r="P390" s="6" t="inlineStr"/>
      <c r="Q390" s="5" t="inlineStr">
        <is>
          <t>Analitik Zihin</t>
        </is>
      </c>
      <c r="R390" s="5" t="inlineStr"/>
      <c r="S390" s="5" t="inlineStr"/>
      <c r="T390" s="5" t="inlineStr"/>
      <c r="U390" s="5" t="inlineStr"/>
      <c r="V390" s="5" t="inlineStr"/>
      <c r="W390" s="5" t="inlineStr"/>
      <c r="X390" s="5" t="inlineStr"/>
      <c r="Y390" s="5" t="inlineStr"/>
      <c r="Z390" s="6" t="inlineStr"/>
    </row>
    <row r="391">
      <c r="A391" s="5" t="inlineStr">
        <is>
          <t>b5-doktor-ol</t>
        </is>
      </c>
      <c r="B391" s="5" t="n">
        <v>1</v>
      </c>
      <c r="C391" s="6" t="inlineStr">
        <is>
          <t>'Tamam' de</t>
        </is>
      </c>
      <c r="D391" s="5" t="inlineStr"/>
      <c r="E391" s="5" t="inlineStr"/>
      <c r="F391" s="5" t="inlineStr">
        <is>
          <t>Vicdan +1</t>
        </is>
      </c>
      <c r="G391" s="6" t="inlineStr">
        <is>
          <t>'Tamam' dedin. Babaannen haberi komşulara verdi. Artık mahallenin müstakbel doktorusun. Biyoloji notun hâlâ gizli.</t>
        </is>
      </c>
      <c r="H391" s="6" t="inlineStr"/>
      <c r="I391" s="6" t="inlineStr"/>
      <c r="J391" s="6" t="inlineStr"/>
      <c r="K391" s="6" t="inlineStr"/>
      <c r="L391" s="6" t="inlineStr"/>
      <c r="M391" s="5" t="inlineStr"/>
      <c r="N391" s="5" t="inlineStr"/>
      <c r="O391" s="6" t="inlineStr"/>
      <c r="P391" s="6" t="inlineStr"/>
      <c r="Q391" s="5" t="inlineStr"/>
      <c r="R391" s="5" t="inlineStr"/>
      <c r="S391" s="5" t="inlineStr"/>
      <c r="T391" s="5" t="inlineStr"/>
      <c r="U391" s="5" t="inlineStr">
        <is>
          <t>doktor-sozu</t>
        </is>
      </c>
      <c r="V391" s="5" t="inlineStr"/>
      <c r="W391" s="5" t="inlineStr"/>
      <c r="X391" s="5" t="inlineStr"/>
      <c r="Y391" s="5" t="inlineStr"/>
      <c r="Z391" s="6" t="inlineStr"/>
    </row>
    <row r="392">
      <c r="A392" s="5" t="inlineStr">
        <is>
          <t>b5-doktor-ol</t>
        </is>
      </c>
      <c r="B392" s="5" t="n">
        <v>2</v>
      </c>
      <c r="C392" s="6" t="inlineStr">
        <is>
          <t>Kendi hayalini savun</t>
        </is>
      </c>
      <c r="D392" s="5" t="inlineStr">
        <is>
          <t>Cesaret</t>
        </is>
      </c>
      <c r="E392" s="5" t="inlineStr">
        <is>
          <t>Zor</t>
        </is>
      </c>
      <c r="F392" s="5" t="inlineStr"/>
      <c r="G392" s="6" t="inlineStr"/>
      <c r="H392" s="6" t="inlineStr">
        <is>
          <t>Masada sessizlik oldu. Sonra baban 'Peki, bir düşünelim' dedi. Tarihî bir ilk.</t>
        </is>
      </c>
      <c r="I392" s="6" t="inlineStr">
        <is>
          <t>Öyle savundun ki baban kendi yarım kalan hayalini anlattı. Tatlıyı birlikte yediniz.</t>
        </is>
      </c>
      <c r="J392" s="6" t="inlineStr">
        <is>
          <t>Baban 'Önce doktor ol, sonra ne istersen' dedi. Takvim belirsiz.</t>
        </is>
      </c>
      <c r="K392" s="6" t="inlineStr">
        <is>
          <t>Ertesi gün kuzenin tıbba hazırlandığını açıkladı. Aile yatırımı başka hisseye kaydı.</t>
        </is>
      </c>
      <c r="L392" s="6" t="inlineStr"/>
      <c r="M392" s="5" t="inlineStr"/>
      <c r="N392" s="5" t="inlineStr"/>
      <c r="O392" s="6" t="inlineStr"/>
      <c r="P392" s="6" t="inlineStr"/>
      <c r="Q392" s="5" t="inlineStr"/>
      <c r="R392" s="5" t="inlineStr"/>
      <c r="S392" s="5" t="inlineStr"/>
      <c r="T392" s="5" t="inlineStr"/>
      <c r="U392" s="5" t="inlineStr"/>
      <c r="V392" s="5" t="inlineStr"/>
      <c r="W392" s="5" t="inlineStr"/>
      <c r="X392" s="5" t="inlineStr"/>
      <c r="Y392" s="5" t="inlineStr"/>
      <c r="Z392" s="6" t="inlineStr"/>
    </row>
    <row r="393">
      <c r="A393" s="5" t="inlineStr">
        <is>
          <t>b5-doktor-ol</t>
        </is>
      </c>
      <c r="B393" s="5" t="n">
        <v>3</v>
      </c>
      <c r="C393" s="6" t="inlineStr">
        <is>
          <t>Masadakileri tek tek ikna et</t>
        </is>
      </c>
      <c r="D393" s="5" t="inlineStr">
        <is>
          <t>Çene</t>
        </is>
      </c>
      <c r="E393" s="5" t="inlineStr">
        <is>
          <t>Orta</t>
        </is>
      </c>
      <c r="F393" s="5" t="inlineStr"/>
      <c r="G393" s="6" t="inlineStr"/>
      <c r="H393" s="6" t="inlineStr">
        <is>
          <t>Önce anneni, sonra babaanneni kazandın. Baban azınlıkta kaldı.</t>
        </is>
      </c>
      <c r="I393" s="6" t="inlineStr">
        <is>
          <t>Aile meclisi toplandı, oylama yapıldı, kazandın. Baban çekimser kaldı.</t>
        </is>
      </c>
      <c r="J393" s="6" t="inlineStr">
        <is>
          <t>Anneni kazandın, babaannen babanın tarafına geçti. Oylar eşit, karar ertelendi.</t>
        </is>
      </c>
      <c r="K393" s="6" t="inlineStr">
        <is>
          <t>İkna turunda 'doktor' kelimesini o kadar çok tekrarladın ki sonunda sen ikna oldun.</t>
        </is>
      </c>
      <c r="L393" s="6" t="inlineStr"/>
      <c r="M393" s="5" t="inlineStr"/>
      <c r="N393" s="5" t="inlineStr"/>
      <c r="O393" s="6" t="inlineStr"/>
      <c r="P393" s="6" t="inlineStr"/>
      <c r="Q393" s="5" t="inlineStr"/>
      <c r="R393" s="5" t="inlineStr"/>
      <c r="S393" s="5" t="inlineStr">
        <is>
          <t>Çene</t>
        </is>
      </c>
      <c r="T393" s="5" t="inlineStr"/>
      <c r="U393" s="5" t="inlineStr"/>
      <c r="V393" s="5" t="inlineStr"/>
      <c r="W393" s="5" t="inlineStr"/>
      <c r="X393" s="5" t="inlineStr"/>
      <c r="Y393" s="5" t="inlineStr"/>
      <c r="Z393" s="6" t="inlineStr"/>
    </row>
    <row r="394">
      <c r="A394" s="5" t="inlineStr">
        <is>
          <t>b5-doktor-ol</t>
        </is>
      </c>
      <c r="B394" s="5" t="n">
        <v>4</v>
      </c>
      <c r="C394" s="6" t="inlineStr">
        <is>
          <t>Sessiz kal, zamana bırak</t>
        </is>
      </c>
      <c r="D394" s="5" t="inlineStr">
        <is>
          <t>Dayanıklılık</t>
        </is>
      </c>
      <c r="E394" s="5" t="inlineStr">
        <is>
          <t>Kolay</t>
        </is>
      </c>
      <c r="F394" s="5" t="inlineStr"/>
      <c r="G394" s="6" t="inlineStr"/>
      <c r="H394" s="6" t="inlineStr">
        <is>
          <t>Sustun. Konu üç hafta içinde kendiliğinden söndü.</t>
        </is>
      </c>
      <c r="I394" s="6" t="inlineStr">
        <is>
          <t>Sen sustun, baban da sustu. Bir ay sonra 'Sen bilirsin' dedi. Sessizlik diplomasisi.</t>
        </is>
      </c>
      <c r="J394" s="6" t="inlineStr">
        <is>
          <t>Sustun. Sessizliğin 'evet' olarak yorumlandı.</t>
        </is>
      </c>
      <c r="K394" s="6" t="inlineStr">
        <is>
          <t>Sustun. Ailen bunu onay saydı ve seni tıp fakültesinin tanıtım gününe kaydettirdi.</t>
        </is>
      </c>
      <c r="L394" s="6" t="inlineStr"/>
      <c r="M394" s="5" t="inlineStr"/>
      <c r="N394" s="5" t="inlineStr"/>
      <c r="O394" s="6" t="inlineStr"/>
      <c r="P394" s="6" t="inlineStr"/>
      <c r="Q394" s="5" t="inlineStr">
        <is>
          <t>Sessiz Gözlemci</t>
        </is>
      </c>
      <c r="R394" s="5" t="inlineStr"/>
      <c r="S394" s="5" t="inlineStr"/>
      <c r="T394" s="5" t="inlineStr"/>
      <c r="U394" s="5" t="inlineStr"/>
      <c r="V394" s="5" t="inlineStr"/>
      <c r="W394" s="5" t="inlineStr"/>
      <c r="X394" s="5" t="inlineStr"/>
      <c r="Y394" s="5" t="inlineStr"/>
      <c r="Z394" s="6" t="inlineStr"/>
    </row>
    <row r="395">
      <c r="A395" s="5" t="inlineStr">
        <is>
          <t>b5-yurt-disi</t>
        </is>
      </c>
      <c r="B395" s="5" t="n">
        <v>1</v>
      </c>
      <c r="C395" s="6" t="inlineStr">
        <is>
          <t>Sekmeyi kapat</t>
        </is>
      </c>
      <c r="D395" s="5" t="inlineStr"/>
      <c r="E395" s="5" t="inlineStr"/>
      <c r="F395" s="5" t="inlineStr">
        <is>
          <t>Dayanıklılık +1</t>
        </is>
      </c>
      <c r="G395" s="6" t="inlineStr">
        <is>
          <t>Sekmeyi kapattın. Hayal, tarayıcı geçmişinde saklı. Her temizlikten sonra yine geri geliyor.</t>
        </is>
      </c>
      <c r="H395" s="6" t="inlineStr"/>
      <c r="I395" s="6" t="inlineStr"/>
      <c r="J395" s="6" t="inlineStr"/>
      <c r="K395" s="6" t="inlineStr"/>
      <c r="L395" s="6" t="inlineStr"/>
      <c r="M395" s="5" t="inlineStr"/>
      <c r="N395" s="5" t="inlineStr"/>
      <c r="O395" s="6" t="inlineStr"/>
      <c r="P395" s="6" t="inlineStr"/>
      <c r="Q395" s="5" t="inlineStr"/>
      <c r="R395" s="5" t="inlineStr"/>
      <c r="S395" s="5" t="inlineStr"/>
      <c r="T395" s="5" t="inlineStr"/>
      <c r="U395" s="5" t="inlineStr"/>
      <c r="V395" s="5" t="inlineStr"/>
      <c r="W395" s="5" t="inlineStr"/>
      <c r="X395" s="5" t="inlineStr"/>
      <c r="Y395" s="5" t="inlineStr"/>
      <c r="Z395" s="6" t="inlineStr"/>
    </row>
    <row r="396">
      <c r="A396" s="5" t="inlineStr">
        <is>
          <t>b5-yurt-disi</t>
        </is>
      </c>
      <c r="B396" s="5" t="n">
        <v>2</v>
      </c>
      <c r="C396" s="6" t="inlineStr">
        <is>
          <t>Niyet mektubu yaz</t>
        </is>
      </c>
      <c r="D396" s="5" t="inlineStr">
        <is>
          <t>Akıl</t>
        </is>
      </c>
      <c r="E396" s="5" t="inlineStr">
        <is>
          <t>Zor</t>
        </is>
      </c>
      <c r="F396" s="5" t="inlineStr"/>
      <c r="G396" s="6" t="inlineStr"/>
      <c r="H396" s="6" t="inlineStr">
        <is>
          <t>Mektubu yazdın ve bir okuldan bekleme listesi cevabı aldın. Umut yazılı hâle geldi.</t>
        </is>
      </c>
      <c r="I396" s="6" t="inlineStr">
        <is>
          <t>Kısmi burs geldi. Ailen hesap makinesini çıkardı. Hesap makinesi hâlâ düşünüyor.</t>
        </is>
      </c>
      <c r="J396" s="6" t="inlineStr">
        <is>
          <t>Referans isteyeceğin üç kişiden ikisi 'Ne yazayım?' diye sordu. Üçüncüsü cevap vermedi.</t>
        </is>
      </c>
      <c r="K396" s="6" t="inlineStr">
        <is>
          <t>Mektubu gönderdin. Okulun adını yanlış yazmışsın. Diğer okulun adıyla.</t>
        </is>
      </c>
      <c r="L396" s="6" t="inlineStr"/>
      <c r="M396" s="5" t="inlineStr"/>
      <c r="N396" s="5" t="inlineStr"/>
      <c r="O396" s="6" t="inlineStr"/>
      <c r="P396" s="6" t="inlineStr"/>
      <c r="Q396" s="5" t="inlineStr"/>
      <c r="R396" s="5" t="inlineStr"/>
      <c r="S396" s="5" t="inlineStr"/>
      <c r="T396" s="5" t="inlineStr"/>
      <c r="U396" s="5" t="inlineStr"/>
      <c r="V396" s="5" t="inlineStr">
        <is>
          <t>yurt-disi-hayali</t>
        </is>
      </c>
      <c r="W396" s="5" t="inlineStr"/>
      <c r="X396" s="5" t="inlineStr"/>
      <c r="Y396" s="5" t="inlineStr"/>
      <c r="Z396" s="6" t="inlineStr"/>
    </row>
    <row r="397">
      <c r="A397" s="5" t="inlineStr">
        <is>
          <t>b5-yurt-disi</t>
        </is>
      </c>
      <c r="B397" s="5" t="n">
        <v>3</v>
      </c>
      <c r="C397" s="6" t="inlineStr">
        <is>
          <t>Aileye sunum yap</t>
        </is>
      </c>
      <c r="D397" s="5" t="inlineStr">
        <is>
          <t>Çene</t>
        </is>
      </c>
      <c r="E397" s="5" t="inlineStr">
        <is>
          <t>Orta</t>
        </is>
      </c>
      <c r="F397" s="5" t="inlineStr"/>
      <c r="G397" s="6" t="inlineStr"/>
      <c r="H397" s="6" t="inlineStr">
        <is>
          <t>Ailen 'Önce buradaki sınavı kazan' dedi. Kısmi onay alındı.</t>
        </is>
      </c>
      <c r="I397" s="6" t="inlineStr">
        <is>
          <t>Sunumun sonunda ailen yurt dışı fonu açtı. İlk katkı: bayram harçlıkları.</t>
        </is>
      </c>
      <c r="J397" s="6" t="inlineStr">
        <is>
          <t>Ailen ücreti yüksek sesle okudu. Sonra bir daha okudu.</t>
        </is>
      </c>
      <c r="K397" s="6" t="inlineStr">
        <is>
          <t>Baban tanıtım videosunu izledi ve kendisi başvurmak istedi.</t>
        </is>
      </c>
      <c r="L397" s="6" t="inlineStr"/>
      <c r="M397" s="5" t="inlineStr"/>
      <c r="N397" s="5" t="inlineStr"/>
      <c r="O397" s="6" t="inlineStr"/>
      <c r="P397" s="6" t="inlineStr"/>
      <c r="Q397" s="5" t="inlineStr"/>
      <c r="R397" s="5" t="inlineStr"/>
      <c r="S397" s="5" t="inlineStr"/>
      <c r="T397" s="5" t="inlineStr"/>
      <c r="U397" s="5" t="inlineStr"/>
      <c r="V397" s="5" t="inlineStr"/>
      <c r="W397" s="5" t="inlineStr"/>
      <c r="X397" s="5" t="inlineStr"/>
      <c r="Y397" s="5" t="inlineStr"/>
      <c r="Z397" s="6" t="inlineStr"/>
    </row>
    <row r="398">
      <c r="A398" s="5" t="inlineStr">
        <is>
          <t>b5-yurt-disi</t>
        </is>
      </c>
      <c r="B398" s="5" t="n">
        <v>4</v>
      </c>
      <c r="C398" s="6" t="inlineStr">
        <is>
          <t>Az bilinen bir burs programı bul</t>
        </is>
      </c>
      <c r="D398" s="5" t="inlineStr">
        <is>
          <t>Kurnazlık</t>
        </is>
      </c>
      <c r="E398" s="5" t="inlineStr">
        <is>
          <t>Kolay</t>
        </is>
      </c>
      <c r="F398" s="5" t="inlineStr"/>
      <c r="G398" s="6" t="inlineStr"/>
      <c r="H398" s="6" t="inlineStr">
        <is>
          <t>Kimsenin bilmediği bir yaz okulu bursu buldun. Başvurun kabul edildi. Uçak bileti ailede.</t>
        </is>
      </c>
      <c r="I398" s="6" t="inlineStr">
        <is>
          <t>Tam burslu bir yaz programı buldun. Ailen hâlâ neyin dolandırıcılık olduğunu anlamaya çalışıyor. Değil.</t>
        </is>
      </c>
      <c r="J398" s="6" t="inlineStr">
        <is>
          <t>Burs programını buldun. Son başvuru tarihi dündü.</t>
        </is>
      </c>
      <c r="K398" s="6" t="inlineStr">
        <is>
          <t>Formu doldurdun, başvuru ücretini ödedin. Program yokmuş. Sitesi ise çok iyi tasarlanmıştı.</t>
        </is>
      </c>
      <c r="L398" s="6" t="inlineStr"/>
      <c r="M398" s="5" t="inlineStr"/>
      <c r="N398" s="5" t="inlineStr"/>
      <c r="O398" s="6" t="inlineStr"/>
      <c r="P398" s="6" t="inlineStr"/>
      <c r="Q398" s="5" t="inlineStr">
        <is>
          <t>Teknoloji Merakı</t>
        </is>
      </c>
      <c r="R398" s="5" t="inlineStr"/>
      <c r="S398" s="5" t="inlineStr"/>
      <c r="T398" s="5" t="inlineStr"/>
      <c r="U398" s="5" t="inlineStr"/>
      <c r="V398" s="5" t="inlineStr">
        <is>
          <t>yurt-disi-hayali</t>
        </is>
      </c>
      <c r="W398" s="5" t="inlineStr"/>
      <c r="X398" s="5" t="inlineStr"/>
      <c r="Y398" s="5" t="inlineStr"/>
      <c r="Z398" s="6" t="inlineStr"/>
    </row>
    <row r="399">
      <c r="A399" s="5" t="inlineStr">
        <is>
          <t>b5-ilk-konser</t>
        </is>
      </c>
      <c r="B399" s="5" t="n">
        <v>1</v>
      </c>
      <c r="C399" s="6" t="inlineStr">
        <is>
          <t>Ön sıraya ilerle</t>
        </is>
      </c>
      <c r="D399" s="5" t="inlineStr">
        <is>
          <t>Cesaret</t>
        </is>
      </c>
      <c r="E399" s="5" t="inlineStr">
        <is>
          <t>Orta</t>
        </is>
      </c>
      <c r="F399" s="5" t="inlineStr"/>
      <c r="G399" s="6" t="inlineStr"/>
      <c r="H399" s="6" t="inlineStr">
        <is>
          <t>Ön sıraya ulaştın. Şarkıcı bir an sana baktı. En azından sen öyle hatırlıyorsun.</t>
        </is>
      </c>
      <c r="I399" s="6" t="inlineStr">
        <is>
          <t>Sahneden atılan su şişesini yakaladın. Hâlâ bir rafta, cam fanusun içinde duruyor.</t>
        </is>
      </c>
      <c r="J399" s="6" t="inlineStr">
        <is>
          <t>Sen ilerledin, önündeki uzun boylu da ilerledi. Konseri onun ensesinden izledin.</t>
        </is>
      </c>
      <c r="K399" s="6" t="inlineStr">
        <is>
          <t>Yerinden bir dakika ayrıldın. Geri dönemedin. Konseri tuvalet kuyruğundan dinledin.</t>
        </is>
      </c>
      <c r="L399" s="6" t="inlineStr"/>
      <c r="M399" s="5" t="inlineStr"/>
      <c r="N399" s="5" t="inlineStr"/>
      <c r="O399" s="6" t="inlineStr"/>
      <c r="P399" s="6" t="inlineStr"/>
      <c r="Q399" s="5" t="inlineStr"/>
      <c r="R399" s="5" t="inlineStr"/>
      <c r="S399" s="5" t="inlineStr"/>
      <c r="T399" s="5" t="inlineStr"/>
      <c r="U399" s="5" t="inlineStr"/>
      <c r="V399" s="5" t="inlineStr"/>
      <c r="W399" s="5" t="inlineStr"/>
      <c r="X399" s="5" t="inlineStr"/>
      <c r="Y399" s="5" t="inlineStr"/>
      <c r="Z399" s="6" t="inlineStr"/>
    </row>
    <row r="400">
      <c r="A400" s="5" t="inlineStr">
        <is>
          <t>b5-ilk-konser</t>
        </is>
      </c>
      <c r="B400" s="5" t="n">
        <v>2</v>
      </c>
      <c r="C400" s="6" t="inlineStr">
        <is>
          <t>Hepsini telefonla kaydet</t>
        </is>
      </c>
      <c r="D400" s="5" t="inlineStr"/>
      <c r="E400" s="5" t="inlineStr"/>
      <c r="F400" s="5" t="inlineStr">
        <is>
          <t>Kurnazlık +1</t>
        </is>
      </c>
      <c r="G400" s="6" t="inlineStr">
        <is>
          <t>Konserin tamamını çektin. Videoları hiç izlemedin. Konseri de izlemedin. Ama arşiv sağlam.</t>
        </is>
      </c>
      <c r="H400" s="6" t="inlineStr"/>
      <c r="I400" s="6" t="inlineStr"/>
      <c r="J400" s="6" t="inlineStr"/>
      <c r="K400" s="6" t="inlineStr"/>
      <c r="L400" s="6" t="inlineStr"/>
      <c r="M400" s="5" t="inlineStr"/>
      <c r="N400" s="5" t="inlineStr"/>
      <c r="O400" s="6" t="inlineStr"/>
      <c r="P400" s="6" t="inlineStr"/>
      <c r="Q400" s="5" t="inlineStr"/>
      <c r="R400" s="5" t="inlineStr"/>
      <c r="S400" s="5" t="inlineStr"/>
      <c r="T400" s="5" t="inlineStr"/>
      <c r="U400" s="5" t="inlineStr"/>
      <c r="V400" s="5" t="inlineStr"/>
      <c r="W400" s="5" t="inlineStr"/>
      <c r="X400" s="5" t="inlineStr"/>
      <c r="Y400" s="5" t="inlineStr"/>
      <c r="Z400" s="6" t="inlineStr"/>
    </row>
    <row r="401">
      <c r="A401" s="5" t="inlineStr">
        <is>
          <t>b5-ilk-konser</t>
        </is>
      </c>
      <c r="B401" s="5" t="n">
        <v>3</v>
      </c>
      <c r="C401" s="6" t="inlineStr">
        <is>
          <t>Bütün şarkılara eşlik et</t>
        </is>
      </c>
      <c r="D401" s="5" t="inlineStr">
        <is>
          <t>Pişkinlik</t>
        </is>
      </c>
      <c r="E401" s="5" t="inlineStr">
        <is>
          <t>Kolay</t>
        </is>
      </c>
      <c r="F401" s="5" t="inlineStr"/>
      <c r="G401" s="6" t="inlineStr"/>
      <c r="H401" s="6" t="inlineStr">
        <is>
          <t>Bilmediğin sözleri uydurdun. Kimse fark etmedi; herkes uyduruyordu.</t>
        </is>
      </c>
      <c r="I401" s="6" t="inlineStr">
        <is>
          <t>O kadar içten söyledin ki etrafındakiler sana eşlik etti. Senin sözlerine.</t>
        </is>
      </c>
      <c r="J401" s="6" t="inlineStr">
        <is>
          <t>Eşlik ettin. Ertesi gün sesin yoktu. İki gün mimikle anlaştın.</t>
        </is>
      </c>
      <c r="K401" s="6" t="inlineStr">
        <is>
          <t>En sessiz şarkıda, tek başına, yanlış nakaratı bağırdın. Yan sıradakiler hâlâ anlatıyor.</t>
        </is>
      </c>
      <c r="L401" s="6" t="inlineStr"/>
      <c r="M401" s="5" t="inlineStr"/>
      <c r="N401" s="5" t="inlineStr"/>
      <c r="O401" s="6" t="inlineStr"/>
      <c r="P401" s="6" t="inlineStr"/>
      <c r="Q401" s="5" t="inlineStr"/>
      <c r="R401" s="5" t="inlineStr"/>
      <c r="S401" s="5" t="inlineStr"/>
      <c r="T401" s="5" t="inlineStr"/>
      <c r="U401" s="5" t="inlineStr"/>
      <c r="V401" s="5" t="inlineStr"/>
      <c r="W401" s="5" t="inlineStr"/>
      <c r="X401" s="5" t="inlineStr"/>
      <c r="Y401" s="5" t="inlineStr"/>
      <c r="Z401" s="6" t="inlineStr"/>
    </row>
    <row r="402">
      <c r="A402" s="5" t="inlineStr">
        <is>
          <t>b5-ev-partisi</t>
        </is>
      </c>
      <c r="B402" s="5" t="n">
        <v>1</v>
      </c>
      <c r="C402" s="6" t="inlineStr">
        <is>
          <t>Gitme</t>
        </is>
      </c>
      <c r="D402" s="5" t="inlineStr"/>
      <c r="E402" s="5" t="inlineStr"/>
      <c r="F402" s="5" t="inlineStr">
        <is>
          <t>Vicdan +1</t>
        </is>
      </c>
      <c r="G402" s="6" t="inlineStr">
        <is>
          <t>Evde kaldın. Pazartesi herkes aynı geceyi farklı anlattı. Tek güvenilir tanık sensin.</t>
        </is>
      </c>
      <c r="H402" s="6" t="inlineStr"/>
      <c r="I402" s="6" t="inlineStr"/>
      <c r="J402" s="6" t="inlineStr"/>
      <c r="K402" s="6" t="inlineStr"/>
      <c r="L402" s="6" t="inlineStr"/>
      <c r="M402" s="5" t="inlineStr"/>
      <c r="N402" s="5" t="inlineStr"/>
      <c r="O402" s="6" t="inlineStr"/>
      <c r="P402" s="6" t="inlineStr"/>
      <c r="Q402" s="5" t="inlineStr"/>
      <c r="R402" s="5" t="inlineStr"/>
      <c r="S402" s="5" t="inlineStr"/>
      <c r="T402" s="5" t="inlineStr"/>
      <c r="U402" s="5" t="inlineStr"/>
      <c r="V402" s="5" t="inlineStr"/>
      <c r="W402" s="5" t="inlineStr"/>
      <c r="X402" s="5" t="inlineStr"/>
      <c r="Y402" s="5" t="inlineStr"/>
      <c r="Z402" s="6" t="inlineStr"/>
    </row>
    <row r="403">
      <c r="A403" s="5" t="inlineStr">
        <is>
          <t>b5-ev-partisi</t>
        </is>
      </c>
      <c r="B403" s="5" t="n">
        <v>2</v>
      </c>
      <c r="C403" s="6" t="inlineStr">
        <is>
          <t>Git, kenarda dur</t>
        </is>
      </c>
      <c r="D403" s="5" t="inlineStr">
        <is>
          <t>Sosyal Radar</t>
        </is>
      </c>
      <c r="E403" s="5" t="inlineStr">
        <is>
          <t>Kolay</t>
        </is>
      </c>
      <c r="F403" s="5" t="inlineStr"/>
      <c r="G403" s="6" t="inlineStr"/>
      <c r="H403" s="6" t="inlineStr">
        <is>
          <t>Kimin kimle konuştuğunu not ettin. Pazartesi herkes sana soru soruyor.</t>
        </is>
      </c>
      <c r="I403" s="6" t="inlineStr">
        <is>
          <t>Aile dönmeden evi baştan sona toplattın. Kahraman değil, lojistik sorumlusu.</t>
        </is>
      </c>
      <c r="J403" s="6" t="inlineStr">
        <is>
          <t>Kenarda durdun. Bütün fotoğraflarda arkada, elinde bir tabak cipsle varsın.</t>
        </is>
      </c>
      <c r="K403" s="6" t="inlineStr">
        <is>
          <t>Kapıya site yöneticisi geldiğinde kapıyı açan sen oldun. Tutanakta tek isim var.</t>
        </is>
      </c>
      <c r="L403" s="6" t="inlineStr"/>
      <c r="M403" s="5" t="inlineStr"/>
      <c r="N403" s="5" t="inlineStr"/>
      <c r="O403" s="6" t="inlineStr"/>
      <c r="P403" s="6" t="inlineStr"/>
      <c r="Q403" s="5" t="inlineStr"/>
      <c r="R403" s="5" t="inlineStr"/>
      <c r="S403" s="5" t="inlineStr"/>
      <c r="T403" s="5" t="inlineStr"/>
      <c r="U403" s="5" t="inlineStr"/>
      <c r="V403" s="5" t="inlineStr"/>
      <c r="W403" s="5" t="inlineStr"/>
      <c r="X403" s="5" t="inlineStr"/>
      <c r="Y403" s="5" t="inlineStr"/>
      <c r="Z403" s="6" t="inlineStr"/>
    </row>
    <row r="404">
      <c r="A404" s="5" t="inlineStr">
        <is>
          <t>b5-ev-partisi</t>
        </is>
      </c>
      <c r="B404" s="5" t="n">
        <v>3</v>
      </c>
      <c r="C404" s="6" t="inlineStr">
        <is>
          <t>Partinin ruhu ol</t>
        </is>
      </c>
      <c r="D404" s="5" t="inlineStr">
        <is>
          <t>Pişkinlik</t>
        </is>
      </c>
      <c r="E404" s="5" t="inlineStr">
        <is>
          <t>Zor</t>
        </is>
      </c>
      <c r="F404" s="5" t="inlineStr"/>
      <c r="G404" s="6" t="inlineStr"/>
      <c r="H404" s="6" t="inlineStr">
        <is>
          <t>Partinin ruhu oldun. Ertesi gün kimse neden bu kadar güldüğünü hatırlamıyordu. Sen dahil.</t>
        </is>
      </c>
      <c r="I404" s="6" t="inlineStr">
        <is>
          <t>Gece efsaneleşti. Mesaj grubunda hâlâ 'o gece' diye anılıyor. Ayrıntılar gizli.</t>
        </is>
      </c>
      <c r="J404" s="6" t="inlineStr">
        <is>
          <t>Ortamı ısıtmak için müziği değiştirdin. Müzik de ortam da soğudu.</t>
        </is>
      </c>
      <c r="K404" s="6" t="inlineStr">
        <is>
          <t>Dans ederken balkondaki saksıyı devirdin. Saksı alt katın balkonuna indi. Mahalle hafızası güncellendi.</t>
        </is>
      </c>
      <c r="L404" s="6" t="inlineStr"/>
      <c r="M404" s="5" t="inlineStr"/>
      <c r="N404" s="5" t="inlineStr"/>
      <c r="O404" s="6" t="inlineStr"/>
      <c r="P404" s="6" t="inlineStr"/>
      <c r="Q404" s="5" t="inlineStr"/>
      <c r="R404" s="5" t="inlineStr"/>
      <c r="S404" s="5" t="inlineStr"/>
      <c r="T404" s="5" t="inlineStr"/>
      <c r="U404" s="5" t="inlineStr"/>
      <c r="V404" s="5" t="inlineStr"/>
      <c r="W404" s="5" t="inlineStr"/>
      <c r="X404" s="5" t="inlineStr"/>
      <c r="Y404" s="5" t="inlineStr"/>
      <c r="Z404" s="6" t="inlineStr"/>
    </row>
    <row r="405">
      <c r="A405" s="5" t="inlineStr">
        <is>
          <t>b5-ev-partisi</t>
        </is>
      </c>
      <c r="B405" s="5" t="n">
        <v>4</v>
      </c>
      <c r="C405" s="6" t="inlineStr">
        <is>
          <t>Komşu diplomasisini üstlen</t>
        </is>
      </c>
      <c r="D405" s="5" t="inlineStr">
        <is>
          <t>Çene</t>
        </is>
      </c>
      <c r="E405" s="5" t="inlineStr">
        <is>
          <t>Orta</t>
        </is>
      </c>
      <c r="F405" s="5" t="inlineStr"/>
      <c r="G405" s="6" t="inlineStr"/>
      <c r="H405" s="6" t="inlineStr">
        <is>
          <t>Komşuların kapısını sen çaldın, özür diledin. Cam vakasından beri bu işin uzmanısın.</t>
        </is>
      </c>
      <c r="I405" s="6" t="inlineStr">
        <is>
          <t>Alt kata bir tabak kurabiye götürdün. Parti bitmeden şikâyet geri çekildi.</t>
        </is>
      </c>
      <c r="J405" s="6" t="inlineStr">
        <is>
          <t>Komşu seni tanıdı: 'Sen o camı kıran değil misin?' Görüşme kısa sürdü.</t>
        </is>
      </c>
      <c r="K405" s="6" t="inlineStr">
        <is>
          <t>Özür dilerken komşunun kapı kolu elinde kaldı. Eski dosya yeniden açıldı.</t>
        </is>
      </c>
      <c r="L405" s="6" t="inlineStr"/>
      <c r="M405" s="5" t="inlineStr"/>
      <c r="N405" s="5" t="inlineStr"/>
      <c r="O405" s="6" t="inlineStr"/>
      <c r="P405" s="6" t="inlineStr"/>
      <c r="Q405" s="5" t="inlineStr"/>
      <c r="R405" s="5" t="inlineStr">
        <is>
          <t>camKirildi</t>
        </is>
      </c>
      <c r="S405" s="5" t="inlineStr"/>
      <c r="T405" s="5" t="inlineStr"/>
      <c r="U405" s="5" t="inlineStr"/>
      <c r="V405" s="5" t="inlineStr"/>
      <c r="W405" s="5" t="inlineStr"/>
      <c r="X405" s="5" t="inlineStr"/>
      <c r="Y405" s="5" t="inlineStr"/>
      <c r="Z405" s="6" t="inlineStr"/>
    </row>
    <row r="406">
      <c r="A406" s="5" t="inlineStr">
        <is>
          <t>b5-kurye-isi</t>
        </is>
      </c>
      <c r="B406" s="5" t="n">
        <v>1</v>
      </c>
      <c r="C406" s="6" t="inlineStr">
        <is>
          <t>Trafiğin arasından kestir</t>
        </is>
      </c>
      <c r="D406" s="5" t="inlineStr">
        <is>
          <t>Kurnazlık</t>
        </is>
      </c>
      <c r="E406" s="5" t="inlineStr">
        <is>
          <t>Zor</t>
        </is>
      </c>
      <c r="F406" s="5" t="inlineStr"/>
      <c r="G406" s="6" t="inlineStr"/>
      <c r="H406" s="6" t="inlineStr">
        <is>
          <t>Siparişi dokuz dakikada teslim ettin. Müşteri beş yıldız verdi, yoruma 'Işık hızı' yazdı.</t>
        </is>
      </c>
      <c r="I406" s="6" t="inlineStr">
        <is>
          <t>Günde yirmi teslimat yaptın. Uygulama seni haftanın kuryesi seçti. Ödül: bir yağmurluk.</t>
        </is>
      </c>
      <c r="J406" s="6" t="inlineStr">
        <is>
          <t>Kestirme çıkmaz sokak çıktı. Müşteri yemeğini ısıtarak yedi.</t>
        </is>
      </c>
      <c r="K406" s="6" t="inlineStr">
        <is>
          <t>Adresi karıştırdın. Siparişi yanlış kapıdaki teyze aldı, ödedi, yedi ve seni sofraya davet etti. Asıl müşteri hâlâ bekliyor.</t>
        </is>
      </c>
      <c r="L406" s="6" t="inlineStr">
        <is>
          <t>Zamanında vardın ama çorba ayrı bir yolculuk yaşamış. Müşteri 'Lezzetli ama eksik' yazdı.</t>
        </is>
      </c>
      <c r="M406" s="5" t="inlineStr">
        <is>
          <t>lanes</t>
        </is>
      </c>
      <c r="N406" s="5" t="inlineStr">
        <is>
          <t>Teslimat Yolu</t>
        </is>
      </c>
      <c r="O406" s="6" t="inlineStr">
        <is>
          <t>Sağa sola kay; çukurlardan, barikatlardan ve aniden açılan araba kapılarından kaç.</t>
        </is>
      </c>
      <c r="P406" s="6" t="inlineStr">
        <is>
          <t>{"obstacles": ["🚗", "🕳️", "🚧", "🐕"]}</t>
        </is>
      </c>
      <c r="Q406" s="5" t="inlineStr"/>
      <c r="R406" s="5" t="inlineStr"/>
      <c r="S406" s="5" t="inlineStr"/>
      <c r="T406" s="5" t="inlineStr">
        <is>
          <t>Kestirme Bilir</t>
        </is>
      </c>
      <c r="U406" s="5" t="inlineStr"/>
      <c r="V406" s="5" t="inlineStr"/>
      <c r="W406" s="5" t="inlineStr"/>
      <c r="X406" s="5" t="inlineStr"/>
      <c r="Y406" s="5" t="inlineStr"/>
      <c r="Z406" s="6" t="inlineStr"/>
    </row>
    <row r="407">
      <c r="A407" s="5" t="inlineStr">
        <is>
          <t>b5-kurye-isi</t>
        </is>
      </c>
      <c r="B407" s="5" t="n">
        <v>2</v>
      </c>
      <c r="C407" s="6" t="inlineStr">
        <is>
          <t>Kurallara uyarak git</t>
        </is>
      </c>
      <c r="D407" s="5" t="inlineStr"/>
      <c r="E407" s="5" t="inlineStr"/>
      <c r="F407" s="5" t="inlineStr">
        <is>
          <t>Vicdan +1</t>
        </is>
      </c>
      <c r="G407" s="6" t="inlineStr">
        <is>
          <t>Her kırmızıda durdun. Sipariş on dakika geç ulaştı. Müşteri iki yıldız verdi, yoruma 'Kurallara uymuş' yazdı.</t>
        </is>
      </c>
      <c r="H407" s="6" t="inlineStr"/>
      <c r="I407" s="6" t="inlineStr"/>
      <c r="J407" s="6" t="inlineStr"/>
      <c r="K407" s="6" t="inlineStr"/>
      <c r="L407" s="6" t="inlineStr"/>
      <c r="M407" s="5" t="inlineStr"/>
      <c r="N407" s="5" t="inlineStr"/>
      <c r="O407" s="6" t="inlineStr"/>
      <c r="P407" s="6" t="inlineStr"/>
      <c r="Q407" s="5" t="inlineStr"/>
      <c r="R407" s="5" t="inlineStr"/>
      <c r="S407" s="5" t="inlineStr"/>
      <c r="T407" s="5" t="inlineStr"/>
      <c r="U407" s="5" t="inlineStr"/>
      <c r="V407" s="5" t="inlineStr"/>
      <c r="W407" s="5" t="inlineStr"/>
      <c r="X407" s="5" t="inlineStr"/>
      <c r="Y407" s="5" t="inlineStr"/>
      <c r="Z407" s="6" t="inlineStr"/>
    </row>
    <row r="408">
      <c r="A408" s="5" t="inlineStr">
        <is>
          <t>b5-kurye-isi</t>
        </is>
      </c>
      <c r="B408" s="5" t="n">
        <v>3</v>
      </c>
      <c r="C408" s="6" t="inlineStr">
        <is>
          <t>Kapıda sohbet et, bahşiş kap</t>
        </is>
      </c>
      <c r="D408" s="5" t="inlineStr">
        <is>
          <t>Çene</t>
        </is>
      </c>
      <c r="E408" s="5" t="inlineStr">
        <is>
          <t>Kolay</t>
        </is>
      </c>
      <c r="F408" s="5" t="inlineStr"/>
      <c r="G408" s="6" t="inlineStr"/>
      <c r="H408" s="6" t="inlineStr">
        <is>
          <t>Kapıda iki cümle kurdun, bahşiş geldi. Kurye değil, halkla ilişkiler uzmanısın.</t>
        </is>
      </c>
      <c r="I408" s="6" t="inlineStr">
        <is>
          <t>Bir müşteri her akşam aynı saatte seni soruyor. Sadık müşteri tabanın oluştu.</t>
        </is>
      </c>
      <c r="J408" s="6" t="inlineStr">
        <is>
          <t>Sohbet ettin. Müşteri kapıyı kapattı. Bahşişi 'teşekkürler' olarak ödedi.</t>
        </is>
      </c>
      <c r="K408" s="6" t="inlineStr">
        <is>
          <t>Sohbet uzadı; sıradaki üç sipariş soğudu. Uygulama seni 'dikkat' listesine aldı.</t>
        </is>
      </c>
      <c r="L408" s="6" t="inlineStr"/>
      <c r="M408" s="5" t="inlineStr"/>
      <c r="N408" s="5" t="inlineStr"/>
      <c r="O408" s="6" t="inlineStr"/>
      <c r="P408" s="6" t="inlineStr"/>
      <c r="Q408" s="5" t="inlineStr"/>
      <c r="R408" s="5" t="inlineStr"/>
      <c r="S408" s="5" t="inlineStr"/>
      <c r="T408" s="5" t="inlineStr"/>
      <c r="U408" s="5" t="inlineStr"/>
      <c r="V408" s="5" t="inlineStr"/>
      <c r="W408" s="5" t="inlineStr"/>
      <c r="X408" s="5" t="inlineStr"/>
      <c r="Y408" s="5" t="inlineStr"/>
      <c r="Z408" s="6" t="inlineStr"/>
    </row>
    <row r="409">
      <c r="A409" s="5" t="inlineStr">
        <is>
          <t>b5-ozel-ders</t>
        </is>
      </c>
      <c r="B409" s="5" t="n">
        <v>1</v>
      </c>
      <c r="C409" s="6" t="inlineStr">
        <is>
          <t>Her dakikayı değerlendir</t>
        </is>
      </c>
      <c r="D409" s="5" t="inlineStr">
        <is>
          <t>Akıl</t>
        </is>
      </c>
      <c r="E409" s="5" t="inlineStr">
        <is>
          <t>Orta</t>
        </is>
      </c>
      <c r="F409" s="5" t="inlineStr"/>
      <c r="G409" s="6" t="inlineStr"/>
      <c r="H409" s="6" t="inlineStr">
        <is>
          <t>Her ders dolu geçti. Matematik notun iki basamak arttı. Annenin montu yolda.</t>
        </is>
      </c>
      <c r="I409" s="6" t="inlineStr">
        <is>
          <t>Öğretmen üçüncü derste 'Ben sana artık ne anlatayım?' dedi. Kalan dersler iptal edildi.</t>
        </is>
      </c>
      <c r="J409" s="6" t="inlineStr">
        <is>
          <t>Dersler iyi geçti. Sınavda çalıştığın konudan tek soru gelmedi.</t>
        </is>
      </c>
      <c r="K409" s="6" t="inlineStr">
        <is>
          <t>Bir ay sonra öğretmen yanlış müfredattan anlattığını fark etti. Özür diledi, ücreti almayı ihmal etmedi.</t>
        </is>
      </c>
      <c r="L409" s="6" t="inlineStr"/>
      <c r="M409" s="5" t="inlineStr"/>
      <c r="N409" s="5" t="inlineStr"/>
      <c r="O409" s="6" t="inlineStr"/>
      <c r="P409" s="6" t="inlineStr"/>
      <c r="Q409" s="5" t="inlineStr"/>
      <c r="R409" s="5" t="inlineStr"/>
      <c r="S409" s="5" t="inlineStr"/>
      <c r="T409" s="5" t="inlineStr"/>
      <c r="U409" s="5" t="inlineStr"/>
      <c r="V409" s="5" t="inlineStr"/>
      <c r="W409" s="5" t="inlineStr"/>
      <c r="X409" s="5" t="inlineStr"/>
      <c r="Y409" s="5" t="inlineStr"/>
      <c r="Z409" s="6" t="inlineStr"/>
    </row>
    <row r="410">
      <c r="A410" s="5" t="inlineStr">
        <is>
          <t>b5-ozel-ders</t>
        </is>
      </c>
      <c r="B410" s="5" t="n">
        <v>2</v>
      </c>
      <c r="C410" s="6" t="inlineStr">
        <is>
          <t>Öğretmeni sohbete boğ</t>
        </is>
      </c>
      <c r="D410" s="5" t="inlineStr">
        <is>
          <t>Çene</t>
        </is>
      </c>
      <c r="E410" s="5" t="inlineStr">
        <is>
          <t>Orta</t>
        </is>
      </c>
      <c r="F410" s="5" t="inlineStr"/>
      <c r="G410" s="6" t="inlineStr"/>
      <c r="H410" s="6" t="inlineStr">
        <is>
          <t>Sohbet arasında öğretmen hayatta işe yarayacak üç formül verdi. Hiçbiri sınavda yok.</t>
        </is>
      </c>
      <c r="I410" s="6" t="inlineStr">
        <is>
          <t>O kadar iyi anlaştınız ki üçüncü aydan sonra ücret almadı: 'Sen benim öğrencimsin.'</t>
        </is>
      </c>
      <c r="J410" s="6" t="inlineStr">
        <is>
          <t>Ailen ders sonrası 'Ne öğrendin?' diye sordu. Öğretmenin kedisinin adını söyledin.</t>
        </is>
      </c>
      <c r="K410" s="6" t="inlineStr">
        <is>
          <t>Ders saati öğretmenin tatil planlarıyla doldu. Ücret eksiksiz alındı.</t>
        </is>
      </c>
      <c r="L410" s="6" t="inlineStr"/>
      <c r="M410" s="5" t="inlineStr"/>
      <c r="N410" s="5" t="inlineStr"/>
      <c r="O410" s="6" t="inlineStr"/>
      <c r="P410" s="6" t="inlineStr"/>
      <c r="Q410" s="5" t="inlineStr"/>
      <c r="R410" s="5" t="inlineStr"/>
      <c r="S410" s="5" t="inlineStr"/>
      <c r="T410" s="5" t="inlineStr"/>
      <c r="U410" s="5" t="inlineStr"/>
      <c r="V410" s="5" t="inlineStr"/>
      <c r="W410" s="5" t="inlineStr"/>
      <c r="X410" s="5" t="inlineStr"/>
      <c r="Y410" s="5" t="inlineStr"/>
      <c r="Z410" s="6" t="inlineStr"/>
    </row>
    <row r="411">
      <c r="A411" s="5" t="inlineStr">
        <is>
          <t>b5-ozel-ders</t>
        </is>
      </c>
      <c r="B411" s="5" t="n">
        <v>3</v>
      </c>
      <c r="C411" s="6" t="inlineStr">
        <is>
          <t>Dersleri iptal ettir</t>
        </is>
      </c>
      <c r="D411" s="5" t="inlineStr"/>
      <c r="E411" s="5" t="inlineStr"/>
      <c r="F411" s="5" t="inlineStr">
        <is>
          <t>Pişkinlik +1</t>
        </is>
      </c>
      <c r="G411" s="6" t="inlineStr">
        <is>
          <t>Dersi bırakmak istediğini söyledin. İptal edildi. Tasarruf edilen para ertesi gün başka bir özel derse yatırıldı.</t>
        </is>
      </c>
      <c r="H411" s="6" t="inlineStr"/>
      <c r="I411" s="6" t="inlineStr"/>
      <c r="J411" s="6" t="inlineStr"/>
      <c r="K411" s="6" t="inlineStr"/>
      <c r="L411" s="6" t="inlineStr"/>
      <c r="M411" s="5" t="inlineStr"/>
      <c r="N411" s="5" t="inlineStr"/>
      <c r="O411" s="6" t="inlineStr"/>
      <c r="P411" s="6" t="inlineStr"/>
      <c r="Q411" s="5" t="inlineStr"/>
      <c r="R411" s="5" t="inlineStr"/>
      <c r="S411" s="5" t="inlineStr"/>
      <c r="T411" s="5" t="inlineStr"/>
      <c r="U411" s="5" t="inlineStr"/>
      <c r="V411" s="5" t="inlineStr"/>
      <c r="W411" s="5" t="inlineStr"/>
      <c r="X411" s="5" t="inlineStr"/>
      <c r="Y411" s="5" t="inlineStr"/>
      <c r="Z411" s="6" t="inlineStr"/>
    </row>
    <row r="412">
      <c r="A412" s="5" t="inlineStr">
        <is>
          <t>b5-rehberlik</t>
        </is>
      </c>
      <c r="B412" s="5" t="n">
        <v>1</v>
      </c>
      <c r="C412" s="6" t="inlineStr">
        <is>
          <t>Sonucu kabul et</t>
        </is>
      </c>
      <c r="D412" s="5" t="inlineStr"/>
      <c r="E412" s="5" t="inlineStr"/>
      <c r="F412" s="5" t="inlineStr">
        <is>
          <t>Dayanıklılık +1</t>
        </is>
      </c>
      <c r="G412" s="6" t="inlineStr">
        <is>
          <t>Rehber öğretmen bir denizcilik broşürü verdi. Yüzme bilmediğin dosyaya işlenmedi.</t>
        </is>
      </c>
      <c r="H412" s="6" t="inlineStr"/>
      <c r="I412" s="6" t="inlineStr"/>
      <c r="J412" s="6" t="inlineStr"/>
      <c r="K412" s="6" t="inlineStr"/>
      <c r="L412" s="6" t="inlineStr"/>
      <c r="M412" s="5" t="inlineStr"/>
      <c r="N412" s="5" t="inlineStr"/>
      <c r="O412" s="6" t="inlineStr"/>
      <c r="P412" s="6" t="inlineStr"/>
      <c r="Q412" s="5" t="inlineStr"/>
      <c r="R412" s="5" t="inlineStr"/>
      <c r="S412" s="5" t="inlineStr"/>
      <c r="T412" s="5" t="inlineStr"/>
      <c r="U412" s="5" t="inlineStr"/>
      <c r="V412" s="5" t="inlineStr"/>
      <c r="W412" s="5" t="inlineStr"/>
      <c r="X412" s="5" t="inlineStr"/>
      <c r="Y412" s="5" t="inlineStr"/>
      <c r="Z412" s="6" t="inlineStr"/>
    </row>
    <row r="413">
      <c r="A413" s="5" t="inlineStr">
        <is>
          <t>b5-rehberlik</t>
        </is>
      </c>
      <c r="B413" s="5" t="n">
        <v>2</v>
      </c>
      <c r="C413" s="6" t="inlineStr">
        <is>
          <t>Testi yeniden al</t>
        </is>
      </c>
      <c r="D413" s="5" t="inlineStr">
        <is>
          <t>Akıl</t>
        </is>
      </c>
      <c r="E413" s="5" t="inlineStr">
        <is>
          <t>Orta</t>
        </is>
      </c>
      <c r="F413" s="5" t="inlineStr"/>
      <c r="G413" s="6" t="inlineStr"/>
      <c r="H413" s="6" t="inlineStr">
        <is>
          <t>Dikkatle yeniden aldın. Yeni sonuç: mühendis. Ailen sonucu çerçeveletti.</t>
        </is>
      </c>
      <c r="I413" s="6" t="inlineStr">
        <is>
          <t>Sonuç tam hayal ettiğin meslek çıktı. Rehber öğretmen üçüncü kez almanı önermedi.</t>
        </is>
      </c>
      <c r="J413" s="6" t="inlineStr">
        <is>
          <t>Yeniden aldın. Sonuç: deniz feneri bekçisi yardımcısı.</t>
        </is>
      </c>
      <c r="K413" s="6" t="inlineStr">
        <is>
          <t>Sistem seni 'kararsız' olarak sınıflandırdı ve her hafta tekrar çağırıyor. Hâlâ gidiyorsun.</t>
        </is>
      </c>
      <c r="L413" s="6" t="inlineStr"/>
      <c r="M413" s="5" t="inlineStr"/>
      <c r="N413" s="5" t="inlineStr"/>
      <c r="O413" s="6" t="inlineStr"/>
      <c r="P413" s="6" t="inlineStr"/>
      <c r="Q413" s="5" t="inlineStr"/>
      <c r="R413" s="5" t="inlineStr"/>
      <c r="S413" s="5" t="inlineStr"/>
      <c r="T413" s="5" t="inlineStr"/>
      <c r="U413" s="5" t="inlineStr"/>
      <c r="V413" s="5" t="inlineStr"/>
      <c r="W413" s="5" t="inlineStr"/>
      <c r="X413" s="5" t="inlineStr"/>
      <c r="Y413" s="5" t="inlineStr"/>
      <c r="Z413" s="6" t="inlineStr"/>
    </row>
    <row r="414">
      <c r="A414" s="5" t="inlineStr">
        <is>
          <t>b5-rehberlik</t>
        </is>
      </c>
      <c r="B414" s="5" t="n">
        <v>3</v>
      </c>
      <c r="C414" s="6" t="inlineStr">
        <is>
          <t>Rehber öğretmenle gerçekten konuş</t>
        </is>
      </c>
      <c r="D414" s="5" t="inlineStr">
        <is>
          <t>Sosyal Radar</t>
        </is>
      </c>
      <c r="E414" s="5" t="inlineStr">
        <is>
          <t>Kolay</t>
        </is>
      </c>
      <c r="F414" s="5" t="inlineStr"/>
      <c r="G414" s="6" t="inlineStr"/>
      <c r="H414" s="6" t="inlineStr">
        <is>
          <t>Testi bir kenara bıraktınız. Kırk dakika sonra ilk kez kendi cevabını duydun.</t>
        </is>
      </c>
      <c r="I414" s="6" t="inlineStr">
        <is>
          <t>Öğretmen dosyana 'Ne istediğini biliyor' yazdı. Ailen dosyayı gördü, ilk kez itiraz etmedi.</t>
        </is>
      </c>
      <c r="J414" s="6" t="inlineStr">
        <is>
          <t>Sohbet güzel geçti. Sonunda öğretmen seni testi yeniden almaya ikna etti.</t>
        </is>
      </c>
      <c r="K414" s="6" t="inlineStr">
        <is>
          <t>Sohbet öğretmenin kendi kariyer pişmanlıklarına döndü. Seansın sonunda sen onu teselli ettin.</t>
        </is>
      </c>
      <c r="L414" s="6" t="inlineStr"/>
      <c r="M414" s="5" t="inlineStr"/>
      <c r="N414" s="5" t="inlineStr"/>
      <c r="O414" s="6" t="inlineStr"/>
      <c r="P414" s="6" t="inlineStr"/>
      <c r="Q414" s="5" t="inlineStr">
        <is>
          <t>Odayı Okur</t>
        </is>
      </c>
      <c r="R414" s="5" t="inlineStr"/>
      <c r="S414" s="5" t="inlineStr"/>
      <c r="T414" s="5" t="inlineStr"/>
      <c r="U414" s="5" t="inlineStr"/>
      <c r="V414" s="5" t="inlineStr"/>
      <c r="W414" s="5" t="inlineStr"/>
      <c r="X414" s="5" t="inlineStr"/>
      <c r="Y414" s="5" t="inlineStr"/>
      <c r="Z414" s="6" t="inlineStr"/>
    </row>
    <row r="415">
      <c r="A415" s="5" t="inlineStr">
        <is>
          <t>b5-telefon-detoksu</t>
        </is>
      </c>
      <c r="B415" s="5" t="n">
        <v>1</v>
      </c>
      <c r="C415" s="6" t="inlineStr">
        <is>
          <t>Kabul et, çalış</t>
        </is>
      </c>
      <c r="D415" s="5" t="inlineStr"/>
      <c r="E415" s="5" t="inlineStr"/>
      <c r="F415" s="5" t="inlineStr">
        <is>
          <t>Akıl +1, Dayanıklılık +1</t>
        </is>
      </c>
      <c r="G415" s="6" t="inlineStr">
        <is>
          <t>İki ay telefonsuz geçti. Dünyada ne olduğunu bilmiyorsun ama trigonometriyi biliyorsun.</t>
        </is>
      </c>
      <c r="H415" s="6" t="inlineStr"/>
      <c r="I415" s="6" t="inlineStr"/>
      <c r="J415" s="6" t="inlineStr"/>
      <c r="K415" s="6" t="inlineStr"/>
      <c r="L415" s="6" t="inlineStr"/>
      <c r="M415" s="5" t="inlineStr"/>
      <c r="N415" s="5" t="inlineStr"/>
      <c r="O415" s="6" t="inlineStr"/>
      <c r="P415" s="6" t="inlineStr"/>
      <c r="Q415" s="5" t="inlineStr"/>
      <c r="R415" s="5" t="inlineStr"/>
      <c r="S415" s="5" t="inlineStr"/>
      <c r="T415" s="5" t="inlineStr"/>
      <c r="U415" s="5" t="inlineStr"/>
      <c r="V415" s="5" t="inlineStr"/>
      <c r="W415" s="5" t="inlineStr"/>
      <c r="X415" s="5" t="inlineStr"/>
      <c r="Y415" s="5" t="inlineStr"/>
      <c r="Z415" s="6" t="inlineStr"/>
    </row>
    <row r="416">
      <c r="A416" s="5" t="inlineStr">
        <is>
          <t>b5-telefon-detoksu</t>
        </is>
      </c>
      <c r="B416" s="5" t="n">
        <v>2</v>
      </c>
      <c r="C416" s="6" t="inlineStr">
        <is>
          <t>Akşamları bir saat için pazarlık et</t>
        </is>
      </c>
      <c r="D416" s="5" t="inlineStr">
        <is>
          <t>Çene</t>
        </is>
      </c>
      <c r="E416" s="5" t="inlineStr">
        <is>
          <t>Orta</t>
        </is>
      </c>
      <c r="F416" s="5" t="inlineStr"/>
      <c r="G416" s="6" t="inlineStr"/>
      <c r="H416" s="6" t="inlineStr">
        <is>
          <t>Akşam bir saat için anlaştınız. Saat dolunca telefon teslim; tutanaksız ama saygılı.</t>
        </is>
      </c>
      <c r="I416" s="6" t="inlineStr">
        <is>
          <t>Sözleşmeye 'hafta sonu tam gün' maddesi ekletmeyi başardın. Aile hukukunda bir ilk.</t>
        </is>
      </c>
      <c r="J416" s="6" t="inlineStr">
        <is>
          <t>Bir saati aldın. Süre bitince alarm çaldı. Alarm babanın telefonuna kurulmuş.</t>
        </is>
      </c>
      <c r="K416" s="6" t="inlineStr">
        <is>
          <t>Pazarlık uzadı. Tablet ve bilgisayar da emanete alındı. Masa küçüldü.</t>
        </is>
      </c>
      <c r="L416" s="6" t="inlineStr"/>
      <c r="M416" s="5" t="inlineStr"/>
      <c r="N416" s="5" t="inlineStr"/>
      <c r="O416" s="6" t="inlineStr"/>
      <c r="P416" s="6" t="inlineStr"/>
      <c r="Q416" s="5" t="inlineStr"/>
      <c r="R416" s="5" t="inlineStr"/>
      <c r="S416" s="5" t="inlineStr"/>
      <c r="T416" s="5" t="inlineStr"/>
      <c r="U416" s="5" t="inlineStr"/>
      <c r="V416" s="5" t="inlineStr"/>
      <c r="W416" s="5" t="inlineStr"/>
      <c r="X416" s="5" t="inlineStr"/>
      <c r="Y416" s="5" t="inlineStr"/>
      <c r="Z416" s="6" t="inlineStr"/>
    </row>
    <row r="417">
      <c r="A417" s="5" t="inlineStr">
        <is>
          <t>b5-telefon-detoksu</t>
        </is>
      </c>
      <c r="B417" s="5" t="n">
        <v>3</v>
      </c>
      <c r="C417" s="6" t="inlineStr">
        <is>
          <t>Anahtarı bul</t>
        </is>
      </c>
      <c r="D417" s="5" t="inlineStr">
        <is>
          <t>Kurnazlık</t>
        </is>
      </c>
      <c r="E417" s="5" t="inlineStr">
        <is>
          <t>Orta</t>
        </is>
      </c>
      <c r="F417" s="5" t="inlineStr"/>
      <c r="G417" s="6" t="inlineStr"/>
      <c r="H417" s="6" t="inlineStr">
        <is>
          <t>Gece yarısı telefonu aldın, sabahtan önce geri koydun. Ekmek dolabı sırrını korudu.</t>
        </is>
      </c>
      <c r="I417" s="6" t="inlineStr">
        <is>
          <t>İki ay boyunca her gece bir saat telefon, her sabah ders. Kimse fark etmedi. Kusursuz operasyon.</t>
        </is>
      </c>
      <c r="J417" s="6" t="inlineStr">
        <is>
          <t>Anahtarı buldun. Çekmecede telefon yoktu. Annen bir adım öndeydi.</t>
        </is>
      </c>
      <c r="K417" s="6" t="inlineStr">
        <is>
          <t>Anahtarı alırken ekmek poşetini hışırdattın. Gece üçte bütün aile mutfakta seni bekliyordu.</t>
        </is>
      </c>
      <c r="L417" s="6" t="inlineStr"/>
      <c r="M417" s="5" t="inlineStr"/>
      <c r="N417" s="5" t="inlineStr"/>
      <c r="O417" s="6" t="inlineStr"/>
      <c r="P417" s="6" t="inlineStr"/>
      <c r="Q417" s="5" t="inlineStr"/>
      <c r="R417" s="5" t="inlineStr"/>
      <c r="S417" s="5" t="inlineStr">
        <is>
          <t>Kurnazlık</t>
        </is>
      </c>
      <c r="T417" s="5" t="inlineStr"/>
      <c r="U417" s="5" t="inlineStr"/>
      <c r="V417" s="5" t="inlineStr"/>
      <c r="W417" s="5" t="inlineStr"/>
      <c r="X417" s="5" t="inlineStr"/>
      <c r="Y417" s="5" t="inlineStr"/>
      <c r="Z417" s="6" t="inlineStr"/>
    </row>
    <row r="418">
      <c r="A418" s="5" t="inlineStr">
        <is>
          <t>b5-universite-sinavi</t>
        </is>
      </c>
      <c r="B418" s="5" t="n">
        <v>1</v>
      </c>
      <c r="C418" s="6" t="inlineStr">
        <is>
          <t>Soruları sırayla çöz</t>
        </is>
      </c>
      <c r="D418" s="5" t="inlineStr">
        <is>
          <t>Akıl</t>
        </is>
      </c>
      <c r="E418" s="5" t="inlineStr">
        <is>
          <t>Zor</t>
        </is>
      </c>
      <c r="F418" s="5" t="inlineStr"/>
      <c r="G418" s="6" t="inlineStr"/>
      <c r="H418" s="6" t="inlineStr">
        <is>
          <t>Sabırla çözdün. Sonuçlar açıklandı: üniversiteye girdin. Aile grubu üç saat boyunca tebrik yağdırdı.</t>
        </is>
      </c>
      <c r="I418" s="6" t="inlineStr">
        <is>
          <t>Derece yaptın. Dershane seni afişe bastı, okul da bastı. Annen iki afişin de fotoğrafını çekti.</t>
        </is>
      </c>
      <c r="J418" s="6" t="inlineStr">
        <is>
          <t>Puanın hiçbir yere yetmedi. Ailen 'Seneye' dedi. Kelime evde yankılanıyor.</t>
        </is>
      </c>
      <c r="K418" s="6" t="inlineStr">
        <is>
          <t>Optik formu bir satır kaydırarak doldurdun. Cevaplar doğru, kutular yanlış. Tarihin en bilgili sıfırı.</t>
        </is>
      </c>
      <c r="L418" s="6" t="inlineStr"/>
      <c r="M418" s="5" t="inlineStr"/>
      <c r="N418" s="5" t="inlineStr"/>
      <c r="O418" s="6" t="inlineStr"/>
      <c r="P418" s="6" t="inlineStr"/>
      <c r="Q418" s="5" t="inlineStr"/>
      <c r="R418" s="5" t="inlineStr"/>
      <c r="S418" s="5" t="inlineStr"/>
      <c r="T418" s="5" t="inlineStr"/>
      <c r="U418" s="5" t="inlineStr"/>
      <c r="V418" s="5" t="inlineStr">
        <is>
          <t>universiteli</t>
        </is>
      </c>
      <c r="W418" s="5" t="inlineStr"/>
      <c r="X418" s="5" t="inlineStr"/>
      <c r="Y418" s="5" t="inlineStr"/>
      <c r="Z418" s="6" t="inlineStr"/>
    </row>
    <row r="419">
      <c r="A419" s="5" t="inlineStr">
        <is>
          <t>b5-universite-sinavi</t>
        </is>
      </c>
      <c r="B419" s="5" t="n">
        <v>2</v>
      </c>
      <c r="C419" s="6" t="inlineStr">
        <is>
          <t>Eleyerek tahmin et, boş bırakma</t>
        </is>
      </c>
      <c r="D419" s="5" t="inlineStr">
        <is>
          <t>Kurnazlık</t>
        </is>
      </c>
      <c r="E419" s="5" t="inlineStr">
        <is>
          <t>Orta</t>
        </is>
      </c>
      <c r="F419" s="5" t="inlineStr"/>
      <c r="G419" s="6" t="inlineStr"/>
      <c r="H419" s="6" t="inlineStr">
        <is>
          <t>Bilmediklerini eleyerek tahmin ettin. İstatistik lehine çalıştı: üniversitelisin.</t>
        </is>
      </c>
      <c r="I419" s="6" t="inlineStr">
        <is>
          <t>Tahminlerinin çoğu tuttu. Şans, akademik bir yöntem olarak kayda geçti.</t>
        </is>
      </c>
      <c r="J419" s="6" t="inlineStr">
        <is>
          <t>Olasılık hesabı bu yıl karşı taraftaydı. Puanın barajın bir tık altında.</t>
        </is>
      </c>
      <c r="K419" s="6" t="inlineStr">
        <is>
          <t>Bütün tahminleri 'C' yaptın. Bu yıl cevap anahtarında en az 'C' vardı.</t>
        </is>
      </c>
      <c r="L419" s="6" t="inlineStr"/>
      <c r="M419" s="5" t="inlineStr"/>
      <c r="N419" s="5" t="inlineStr"/>
      <c r="O419" s="6" t="inlineStr"/>
      <c r="P419" s="6" t="inlineStr"/>
      <c r="Q419" s="5" t="inlineStr"/>
      <c r="R419" s="5" t="inlineStr"/>
      <c r="S419" s="5" t="inlineStr"/>
      <c r="T419" s="5" t="inlineStr"/>
      <c r="U419" s="5" t="inlineStr"/>
      <c r="V419" s="5" t="inlineStr">
        <is>
          <t>universiteli</t>
        </is>
      </c>
      <c r="W419" s="5" t="inlineStr"/>
      <c r="X419" s="5" t="inlineStr"/>
      <c r="Y419" s="5" t="inlineStr"/>
      <c r="Z419" s="6" t="inlineStr"/>
    </row>
    <row r="420">
      <c r="A420" s="5" t="inlineStr">
        <is>
          <t>b5-universite-sinavi</t>
        </is>
      </c>
      <c r="B420" s="5" t="n">
        <v>3</v>
      </c>
      <c r="C420" s="6" t="inlineStr">
        <is>
          <t>Lisenin birikimine güven</t>
        </is>
      </c>
      <c r="D420" s="5" t="inlineStr">
        <is>
          <t>Akıl</t>
        </is>
      </c>
      <c r="E420" s="5" t="inlineStr">
        <is>
          <t>Kolay</t>
        </is>
      </c>
      <c r="F420" s="5" t="inlineStr"/>
      <c r="G420" s="6" t="inlineStr"/>
      <c r="H420" s="6" t="inlineStr">
        <is>
          <t>İyi bir lisedeki dört yıl boşa gitmemiş. Üniversiteye girdin; sakin ve beklendiği gibi.</t>
        </is>
      </c>
      <c r="I420" s="6" t="inlineStr">
        <is>
          <t>Süre bitmeden çıktın. Tercih listendeki ilk bölüme yerleştin.</t>
        </is>
      </c>
      <c r="J420" s="6" t="inlineStr">
        <is>
          <t>Birikime güvendin. Birikim dört yıl önce kalmış. Puan yetmedi.</t>
        </is>
      </c>
      <c r="K420" s="6" t="inlineStr">
        <is>
          <t>Fazla rahattın; kimliğini evde unuttun. Annen koşarak getirdiğinde kapılar kapanmıştı.</t>
        </is>
      </c>
      <c r="L420" s="6" t="inlineStr"/>
      <c r="M420" s="5" t="inlineStr"/>
      <c r="N420" s="5" t="inlineStr"/>
      <c r="O420" s="6" t="inlineStr"/>
      <c r="P420" s="6" t="inlineStr"/>
      <c r="Q420" s="5" t="inlineStr"/>
      <c r="R420" s="5" t="inlineStr">
        <is>
          <t>iyi-lise</t>
        </is>
      </c>
      <c r="S420" s="5" t="inlineStr"/>
      <c r="T420" s="5" t="inlineStr"/>
      <c r="U420" s="5" t="inlineStr"/>
      <c r="V420" s="5" t="inlineStr">
        <is>
          <t>universiteli</t>
        </is>
      </c>
      <c r="W420" s="5" t="inlineStr"/>
      <c r="X420" s="5" t="inlineStr"/>
      <c r="Y420" s="5" t="inlineStr"/>
      <c r="Z420" s="6" t="inlineStr"/>
    </row>
    <row r="421">
      <c r="A421" s="5" t="inlineStr">
        <is>
          <t>b5-universite-sinavi</t>
        </is>
      </c>
      <c r="B421" s="5" t="n">
        <v>4</v>
      </c>
      <c r="C421" s="6" t="inlineStr">
        <is>
          <t>Deneme tecrübene yaslan</t>
        </is>
      </c>
      <c r="D421" s="5" t="inlineStr">
        <is>
          <t>Dayanıklılık</t>
        </is>
      </c>
      <c r="E421" s="5" t="inlineStr">
        <is>
          <t>Kolay</t>
        </is>
      </c>
      <c r="F421" s="5" t="inlineStr"/>
      <c r="G421" s="6" t="inlineStr"/>
      <c r="H421" s="6" t="inlineStr">
        <is>
          <t>Yüzlerce denemeden sonra bu sadece bir tane daha. Rahatça çözdün; üniversitelisin.</t>
        </is>
      </c>
      <c r="I421" s="6" t="inlineStr">
        <is>
          <t>Denemelerdeki en yüksek puanını geçtin. Dershane seni broşürüne 'başarı hikâyesi' olarak aldı.</t>
        </is>
      </c>
      <c r="J421" s="6" t="inlineStr">
        <is>
          <t>Denemelerde hep iyiydin. Sınav, deneme olmadığını hatırlattı.</t>
        </is>
      </c>
      <c r="K421" s="6" t="inlineStr">
        <is>
          <t>Alışkanlıkla sınav biter bitmez cevap anahtarı sırasına girdin. Bu sınavda cevap anahtarı dağıtılmıyor. Puan yetmedi.</t>
        </is>
      </c>
      <c r="L421" s="6" t="inlineStr"/>
      <c r="M421" s="5" t="inlineStr"/>
      <c r="N421" s="5" t="inlineStr"/>
      <c r="O421" s="6" t="inlineStr"/>
      <c r="P421" s="6" t="inlineStr"/>
      <c r="Q421" s="5" t="inlineStr">
        <is>
          <t>Deneme Kurdu</t>
        </is>
      </c>
      <c r="R421" s="5" t="inlineStr"/>
      <c r="S421" s="5" t="inlineStr"/>
      <c r="T421" s="5" t="inlineStr"/>
      <c r="U421" s="5" t="inlineStr"/>
      <c r="V421" s="5" t="inlineStr">
        <is>
          <t>universiteli</t>
        </is>
      </c>
      <c r="W421" s="5" t="inlineStr"/>
      <c r="X421" s="5" t="inlineStr"/>
      <c r="Y421" s="5" t="inlineStr"/>
      <c r="Z421" s="6" t="inlineStr"/>
    </row>
    <row r="422">
      <c r="A422" s="5" t="inlineStr">
        <is>
          <t>b5-universite-sinavi</t>
        </is>
      </c>
      <c r="B422" s="5" t="n">
        <v>5</v>
      </c>
      <c r="C422" s="6" t="inlineStr">
        <is>
          <t>Sınava girme, hemen çalışmaya başla</t>
        </is>
      </c>
      <c r="D422" s="5" t="inlineStr"/>
      <c r="E422" s="5" t="inlineStr"/>
      <c r="F422" s="5" t="inlineStr">
        <is>
          <t>Cesaret +1, Dayanıklılık +1</t>
        </is>
      </c>
      <c r="G422" s="6" t="inlineStr">
        <is>
          <t>Sınava girmedin; ertesi sabah bir işe başladın. Ailen buna 'ara yıl' dedi. Sen 'maaş' dedin.</t>
        </is>
      </c>
      <c r="H422" s="6" t="inlineStr"/>
      <c r="I422" s="6" t="inlineStr"/>
      <c r="J422" s="6" t="inlineStr"/>
      <c r="K422" s="6" t="inlineStr"/>
      <c r="L422" s="6" t="inlineStr"/>
      <c r="M422" s="5" t="inlineStr"/>
      <c r="N422" s="5" t="inlineStr"/>
      <c r="O422" s="6" t="inlineStr"/>
      <c r="P422" s="6" t="inlineStr"/>
      <c r="Q422" s="5" t="inlineStr"/>
      <c r="R422" s="5" t="inlineStr"/>
      <c r="S422" s="5" t="inlineStr"/>
      <c r="T422" s="5" t="inlineStr"/>
      <c r="U422" s="5" t="inlineStr"/>
      <c r="V422" s="5" t="inlineStr"/>
      <c r="W422" s="5" t="inlineStr"/>
      <c r="X422" s="5" t="inlineStr"/>
      <c r="Y422" s="5" t="inlineStr"/>
      <c r="Z422" s="6" t="inlineStr"/>
    </row>
    <row r="423">
      <c r="A423" s="5" t="inlineStr">
        <is>
          <t>b5-mezuniyet-balosu</t>
        </is>
      </c>
      <c r="B423" s="5" t="n">
        <v>1</v>
      </c>
      <c r="C423" s="6" t="inlineStr">
        <is>
          <t>Masada otur, fotoğraflara gülümse</t>
        </is>
      </c>
      <c r="D423" s="5" t="inlineStr"/>
      <c r="E423" s="5" t="inlineStr"/>
      <c r="F423" s="5" t="inlineStr">
        <is>
          <t>Sosyal Radar +1</t>
        </is>
      </c>
      <c r="G423" s="6" t="inlineStr">
        <is>
          <t>Bütün gece masada oturdun. Yıllıktaki fotoğrafların hepsinde karenin kenarında gülümseyen sensin.</t>
        </is>
      </c>
      <c r="H423" s="6" t="inlineStr"/>
      <c r="I423" s="6" t="inlineStr"/>
      <c r="J423" s="6" t="inlineStr"/>
      <c r="K423" s="6" t="inlineStr"/>
      <c r="L423" s="6" t="inlineStr"/>
      <c r="M423" s="5" t="inlineStr"/>
      <c r="N423" s="5" t="inlineStr"/>
      <c r="O423" s="6" t="inlineStr"/>
      <c r="P423" s="6" t="inlineStr"/>
      <c r="Q423" s="5" t="inlineStr"/>
      <c r="R423" s="5" t="inlineStr"/>
      <c r="S423" s="5" t="inlineStr"/>
      <c r="T423" s="5" t="inlineStr"/>
      <c r="U423" s="5" t="inlineStr"/>
      <c r="V423" s="5" t="inlineStr"/>
      <c r="W423" s="5" t="inlineStr"/>
      <c r="X423" s="5" t="inlineStr"/>
      <c r="Y423" s="5" t="inlineStr"/>
      <c r="Z423" s="6" t="inlineStr"/>
    </row>
    <row r="424">
      <c r="A424" s="5" t="inlineStr">
        <is>
          <t>b5-mezuniyet-balosu</t>
        </is>
      </c>
      <c r="B424" s="5" t="n">
        <v>2</v>
      </c>
      <c r="C424" s="6" t="inlineStr">
        <is>
          <t>İlk dansı başlat</t>
        </is>
      </c>
      <c r="D424" s="5" t="inlineStr">
        <is>
          <t>Cesaret</t>
        </is>
      </c>
      <c r="E424" s="5" t="inlineStr">
        <is>
          <t>Zor</t>
        </is>
      </c>
      <c r="F424" s="5" t="inlineStr"/>
      <c r="G424" s="6" t="inlineStr"/>
      <c r="H424" s="6" t="inlineStr">
        <is>
          <t>Piste ilk sen çıktın. Otuz saniye yalnızdın, sonra herkes geldi. Tarih seni hatırlayacak.</t>
        </is>
      </c>
      <c r="I424" s="6" t="inlineStr">
        <is>
          <t>Pisti açtın, öğretmenler bile dans etti. Müdür yardımcısının figürleri artık okul efsanesi.</t>
        </is>
      </c>
      <c r="J424" s="6" t="inlineStr">
        <is>
          <t>Piste çıktın, şarkı bitti. Sessizlikte pistin ortasında yalnızdın.</t>
        </is>
      </c>
      <c r="K424" s="6" t="inlineStr">
        <is>
          <t>Piste çıkarken kaydın ve pasta masasına kadar gittin. Balo fotoğraflarının yarısında pastayla birliktesin.</t>
        </is>
      </c>
      <c r="L424" s="6" t="inlineStr"/>
      <c r="M424" s="5" t="inlineStr"/>
      <c r="N424" s="5" t="inlineStr"/>
      <c r="O424" s="6" t="inlineStr"/>
      <c r="P424" s="6" t="inlineStr"/>
      <c r="Q424" s="5" t="inlineStr"/>
      <c r="R424" s="5" t="inlineStr"/>
      <c r="S424" s="5" t="inlineStr"/>
      <c r="T424" s="5" t="inlineStr"/>
      <c r="U424" s="5" t="inlineStr"/>
      <c r="V424" s="5" t="inlineStr"/>
      <c r="W424" s="5" t="inlineStr"/>
      <c r="X424" s="5" t="inlineStr"/>
      <c r="Y424" s="5" t="inlineStr"/>
      <c r="Z424" s="6" t="inlineStr"/>
    </row>
    <row r="425">
      <c r="A425" s="5" t="inlineStr">
        <is>
          <t>b5-mezuniyet-balosu</t>
        </is>
      </c>
      <c r="B425" s="5" t="n">
        <v>3</v>
      </c>
      <c r="C425" s="6" t="inlineStr">
        <is>
          <t>Mikrofonu al</t>
        </is>
      </c>
      <c r="D425" s="5" t="inlineStr">
        <is>
          <t>Pişkinlik</t>
        </is>
      </c>
      <c r="E425" s="5" t="inlineStr">
        <is>
          <t>Orta</t>
        </is>
      </c>
      <c r="F425" s="5" t="inlineStr"/>
      <c r="G425" s="6" t="inlineStr"/>
      <c r="H425" s="6" t="inlineStr">
        <is>
          <t>Dört yılı üç espriyle özetledin. Salon ayakta alkışladı.</t>
        </is>
      </c>
      <c r="I425" s="6" t="inlineStr">
        <is>
          <t>O kadar güldürdün ki DJ müziği kıstı ve sana bir mikrofon daha uzattı. Gece seninle kapandı.</t>
        </is>
      </c>
      <c r="J425" s="6" t="inlineStr">
        <is>
          <t>Mikrofon kapalıydı. Kimse duymadı ama herkes el salladı.</t>
        </is>
      </c>
      <c r="K425" s="6" t="inlineStr">
        <is>
          <t>Konuşmanda bütün öğretmenlerin lakaplarını saydın. Öğretmenler de salondaydı. Diplomalar henüz verilmemişti.</t>
        </is>
      </c>
      <c r="L425" s="6" t="inlineStr"/>
      <c r="M425" s="5" t="inlineStr"/>
      <c r="N425" s="5" t="inlineStr"/>
      <c r="O425" s="6" t="inlineStr"/>
      <c r="P425" s="6" t="inlineStr"/>
      <c r="Q425" s="5" t="inlineStr"/>
      <c r="R425" s="5" t="inlineStr"/>
      <c r="S425" s="5" t="inlineStr">
        <is>
          <t>Pişkinlik</t>
        </is>
      </c>
      <c r="T425" s="5" t="inlineStr"/>
      <c r="U425" s="5" t="inlineStr"/>
      <c r="V425" s="5" t="inlineStr"/>
      <c r="W425" s="5" t="inlineStr"/>
      <c r="X425" s="5" t="inlineStr"/>
      <c r="Y425" s="5" t="inlineStr"/>
      <c r="Z425" s="6" t="inlineStr"/>
    </row>
    <row r="426">
      <c r="A426" s="5" t="inlineStr">
        <is>
          <t>b5-mezuniyet-balosu</t>
        </is>
      </c>
      <c r="B426" s="5" t="n">
        <v>4</v>
      </c>
      <c r="C426" s="6" t="inlineStr">
        <is>
          <t>Sevgilini dansa kaldır</t>
        </is>
      </c>
      <c r="D426" s="5" t="inlineStr">
        <is>
          <t>Cesaret</t>
        </is>
      </c>
      <c r="E426" s="5" t="inlineStr">
        <is>
          <t>Kolay</t>
        </is>
      </c>
      <c r="F426" s="5" t="inlineStr"/>
      <c r="G426" s="6" t="inlineStr"/>
      <c r="H426" s="6" t="inlineStr">
        <is>
          <t>El ele dans ettiniz. Fotoğrafçı o kareyi vitrine koydu.</t>
        </is>
      </c>
      <c r="I426" s="6" t="inlineStr">
        <is>
          <t>Yıllığa 'Dönemin Çifti' olarak girdiniz. Oylama yapılmadı ama itiraz da gelmedi.</t>
        </is>
      </c>
      <c r="J426" s="6" t="inlineStr">
        <is>
          <t>Şarkı hızlıydı. Siz yavaş dans ettiniz. İkinize de yer açıldı.</t>
        </is>
      </c>
      <c r="K426" s="6" t="inlineStr">
        <is>
          <t>İlk adımda ayağına bastın. Fotoğraflarda gülümsüyor ama topallıyor.</t>
        </is>
      </c>
      <c r="L426" s="6" t="inlineStr"/>
      <c r="M426" s="5" t="inlineStr"/>
      <c r="N426" s="5" t="inlineStr"/>
      <c r="O426" s="6" t="inlineStr"/>
      <c r="P426" s="6" t="inlineStr"/>
      <c r="Q426" s="5" t="inlineStr"/>
      <c r="R426" s="5" t="inlineStr">
        <is>
          <t>ilk-sevgili</t>
        </is>
      </c>
      <c r="S426" s="5" t="inlineStr"/>
      <c r="T426" s="5" t="inlineStr"/>
      <c r="U426" s="5" t="inlineStr"/>
      <c r="V426" s="5" t="inlineStr"/>
      <c r="W426" s="5" t="inlineStr"/>
      <c r="X426" s="5" t="inlineStr"/>
      <c r="Y426" s="5" t="inlineStr"/>
      <c r="Z426" s="6" t="inlineStr"/>
    </row>
    <row r="427">
      <c r="A427" s="5" t="inlineStr">
        <is>
          <t>b5-tercih-listesi</t>
        </is>
      </c>
      <c r="B427" s="5" t="n">
        <v>1</v>
      </c>
      <c r="C427" s="6" t="inlineStr">
        <is>
          <t>Ailenin listesini onayla</t>
        </is>
      </c>
      <c r="D427" s="5" t="inlineStr"/>
      <c r="E427" s="5" t="inlineStr"/>
      <c r="F427" s="5" t="inlineStr">
        <is>
          <t>Vicdan +1</t>
        </is>
      </c>
      <c r="G427" s="6" t="inlineStr">
        <is>
          <t>Listeyi aile hazırladı, sen imzaladın. Hayatının sonraki dört yılı noter onaylı olarak devredildi.</t>
        </is>
      </c>
      <c r="H427" s="6" t="inlineStr"/>
      <c r="I427" s="6" t="inlineStr"/>
      <c r="J427" s="6" t="inlineStr"/>
      <c r="K427" s="6" t="inlineStr"/>
      <c r="L427" s="6" t="inlineStr"/>
      <c r="M427" s="5" t="inlineStr"/>
      <c r="N427" s="5" t="inlineStr"/>
      <c r="O427" s="6" t="inlineStr"/>
      <c r="P427" s="6" t="inlineStr"/>
      <c r="Q427" s="5" t="inlineStr"/>
      <c r="R427" s="5" t="inlineStr"/>
      <c r="S427" s="5" t="inlineStr"/>
      <c r="T427" s="5" t="inlineStr"/>
      <c r="U427" s="5" t="inlineStr"/>
      <c r="V427" s="5" t="inlineStr"/>
      <c r="W427" s="5" t="inlineStr"/>
      <c r="X427" s="5" t="inlineStr"/>
      <c r="Y427" s="5" t="inlineStr"/>
      <c r="Z427" s="6" t="inlineStr"/>
    </row>
    <row r="428">
      <c r="A428" s="5" t="inlineStr">
        <is>
          <t>b5-tercih-listesi</t>
        </is>
      </c>
      <c r="B428" s="5" t="n">
        <v>2</v>
      </c>
      <c r="C428" s="6" t="inlineStr">
        <is>
          <t>Kendi listeni yap</t>
        </is>
      </c>
      <c r="D428" s="5" t="inlineStr">
        <is>
          <t>Akıl</t>
        </is>
      </c>
      <c r="E428" s="5" t="inlineStr">
        <is>
          <t>Orta</t>
        </is>
      </c>
      <c r="F428" s="5" t="inlineStr"/>
      <c r="G428" s="6" t="inlineStr"/>
      <c r="H428" s="6" t="inlineStr">
        <is>
          <t>Üçüncü tercihine yerleştin. Ailen kısmen memnun; sen tamamen.</t>
        </is>
      </c>
      <c r="I428" s="6" t="inlineStr">
        <is>
          <t>İlk tercihine yerleştin. Ailen ilk kez 'O bölüm ne iş yapıyor?' diye araştırma yaptı.</t>
        </is>
      </c>
      <c r="J428" s="6" t="inlineStr">
        <is>
          <t>Yirminci tercihine yerleştin. Bölümün adını ilk kez yerleşince duydun.</t>
        </is>
      </c>
      <c r="K428" s="6" t="inlineStr">
        <is>
          <t>Listeyi yaptın ama onaylamayı unuttun. Sistem seni ek kontenjanla şehrin öbür ucundaki bir kampüse yerleştirdi.</t>
        </is>
      </c>
      <c r="L428" s="6" t="inlineStr"/>
      <c r="M428" s="5" t="inlineStr"/>
      <c r="N428" s="5" t="inlineStr"/>
      <c r="O428" s="6" t="inlineStr"/>
      <c r="P428" s="6" t="inlineStr"/>
      <c r="Q428" s="5" t="inlineStr"/>
      <c r="R428" s="5" t="inlineStr"/>
      <c r="S428" s="5" t="inlineStr"/>
      <c r="T428" s="5" t="inlineStr"/>
      <c r="U428" s="5" t="inlineStr"/>
      <c r="V428" s="5" t="inlineStr"/>
      <c r="W428" s="5" t="inlineStr"/>
      <c r="X428" s="5" t="inlineStr"/>
      <c r="Y428" s="5" t="inlineStr"/>
      <c r="Z428" s="6" t="inlineStr"/>
    </row>
    <row r="429">
      <c r="A429" s="5" t="inlineStr">
        <is>
          <t>b5-tercih-listesi</t>
        </is>
      </c>
      <c r="B429" s="5" t="n">
        <v>3</v>
      </c>
      <c r="C429" s="6" t="inlineStr">
        <is>
          <t>Kuzenin tavsiyesini dinle</t>
        </is>
      </c>
      <c r="D429" s="5" t="inlineStr">
        <is>
          <t>Sosyal Radar</t>
        </is>
      </c>
      <c r="E429" s="5" t="inlineStr">
        <is>
          <t>Kolay</t>
        </is>
      </c>
      <c r="F429" s="5" t="inlineStr"/>
      <c r="G429" s="6" t="inlineStr"/>
      <c r="H429" s="6" t="inlineStr">
        <is>
          <t>Kuzenin tavsiyesi bu sefer işe yaradı. En çok kuzen şaşırdı.</t>
        </is>
      </c>
      <c r="I429" s="6" t="inlineStr">
        <is>
          <t>Kuzenin önerdiği bölüm isabetli çıktı. Kuzen artık ücretli tercih danışmanlığı yapıyor.</t>
        </is>
      </c>
      <c r="J429" s="6" t="inlineStr">
        <is>
          <t>Kuzenin tavsiyesinin kaynağı, kuzeninin kuzeniymiş.</t>
        </is>
      </c>
      <c r="K429" s="6" t="inlineStr">
        <is>
          <t>Kuzenin 'geleceğin mesleği' dediği bölüme yerleştin. Gelecek biraz ertelendi.</t>
        </is>
      </c>
      <c r="L429" s="6" t="inlineStr"/>
      <c r="M429" s="5" t="inlineStr"/>
      <c r="N429" s="5" t="inlineStr"/>
      <c r="O429" s="6" t="inlineStr"/>
      <c r="P429" s="6" t="inlineStr"/>
      <c r="Q429" s="5" t="inlineStr"/>
      <c r="R429" s="5" t="inlineStr"/>
      <c r="S429" s="5" t="inlineStr"/>
      <c r="T429" s="5" t="inlineStr"/>
      <c r="U429" s="5" t="inlineStr"/>
      <c r="V429" s="5" t="inlineStr"/>
      <c r="W429" s="5" t="inlineStr"/>
      <c r="X429" s="5" t="inlineStr"/>
      <c r="Y429" s="5" t="inlineStr"/>
      <c r="Z429" s="6" t="inlineStr"/>
    </row>
    <row r="430">
      <c r="A430" s="5" t="inlineStr">
        <is>
          <t>b5-tercih-listesi</t>
        </is>
      </c>
      <c r="B430" s="5" t="n">
        <v>4</v>
      </c>
      <c r="C430" s="6" t="inlineStr">
        <is>
          <t>Yurt dışı başvurusunu yedekte tut</t>
        </is>
      </c>
      <c r="D430" s="5" t="inlineStr">
        <is>
          <t>Kurnazlık</t>
        </is>
      </c>
      <c r="E430" s="5" t="inlineStr">
        <is>
          <t>Zor</t>
        </is>
      </c>
      <c r="F430" s="5" t="inlineStr"/>
      <c r="G430" s="6" t="inlineStr"/>
      <c r="H430" s="6" t="inlineStr">
        <is>
          <t>İki seçeneğin var: burası ve orası. Ailen ikisinden de ayrı ayrı endişeli.</t>
        </is>
      </c>
      <c r="I430" s="6" t="inlineStr">
        <is>
          <t>Hem buradan hem oradan kabul geldi. Seçim yapma lüksü, hayatında ilk kez.</t>
        </is>
      </c>
      <c r="J430" s="6" t="inlineStr">
        <is>
          <t>Yedek plan için belge hazırladın. Tercüme ücreti okul ücretinden pahalı çıktı.</t>
        </is>
      </c>
      <c r="K430" s="6" t="inlineStr">
        <is>
          <t>Yurt dışındaki okulu buradaki tercih listesine yazmaya çalıştın. Sistem kabul etmedi; sen de sistemi.</t>
        </is>
      </c>
      <c r="L430" s="6" t="inlineStr"/>
      <c r="M430" s="5" t="inlineStr"/>
      <c r="N430" s="5" t="inlineStr"/>
      <c r="O430" s="6" t="inlineStr"/>
      <c r="P430" s="6" t="inlineStr"/>
      <c r="Q430" s="5" t="inlineStr"/>
      <c r="R430" s="5" t="inlineStr">
        <is>
          <t>yurt-disi-hayali</t>
        </is>
      </c>
      <c r="S430" s="5" t="inlineStr"/>
      <c r="T430" s="5" t="inlineStr"/>
      <c r="U430" s="5" t="inlineStr"/>
      <c r="V430" s="5" t="inlineStr"/>
      <c r="W430" s="5" t="inlineStr"/>
      <c r="X430" s="5" t="inlineStr"/>
      <c r="Y430" s="5" t="inlineStr"/>
      <c r="Z430" s="6" t="inlineStr"/>
    </row>
    <row r="431">
      <c r="A431" s="5" t="inlineStr">
        <is>
          <t>b5-mezuniyet</t>
        </is>
      </c>
      <c r="B431" s="5" t="n">
        <v>1</v>
      </c>
      <c r="C431" s="6" t="inlineStr">
        <is>
          <t>Kepini at</t>
        </is>
      </c>
      <c r="D431" s="5" t="inlineStr"/>
      <c r="E431" s="5" t="inlineStr"/>
      <c r="F431" s="5" t="inlineStr">
        <is>
          <t>Dayanıklılık +1</t>
        </is>
      </c>
      <c r="G431" s="6" t="inlineStr">
        <is>
          <t>Kepini attın; yere başkasınınki düştü. İçinde 'Seni hiç unutmayacağım' yazıyor. İsim yok.</t>
        </is>
      </c>
      <c r="H431" s="6" t="inlineStr"/>
      <c r="I431" s="6" t="inlineStr"/>
      <c r="J431" s="6" t="inlineStr"/>
      <c r="K431" s="6" t="inlineStr"/>
      <c r="L431" s="6" t="inlineStr"/>
      <c r="M431" s="5" t="inlineStr"/>
      <c r="N431" s="5" t="inlineStr"/>
      <c r="O431" s="6" t="inlineStr"/>
      <c r="P431" s="6" t="inlineStr"/>
      <c r="Q431" s="5" t="inlineStr"/>
      <c r="R431" s="5" t="inlineStr"/>
      <c r="S431" s="5" t="inlineStr"/>
      <c r="T431" s="5" t="inlineStr"/>
      <c r="U431" s="5" t="inlineStr"/>
      <c r="V431" s="5" t="inlineStr"/>
      <c r="W431" s="5" t="inlineStr"/>
      <c r="X431" s="5" t="inlineStr"/>
      <c r="Y431" s="5" t="inlineStr"/>
      <c r="Z431" s="6" t="inlineStr"/>
    </row>
    <row r="432">
      <c r="A432" s="5" t="inlineStr">
        <is>
          <t>b5-mezuniyet</t>
        </is>
      </c>
      <c r="B432" s="5" t="n">
        <v>2</v>
      </c>
      <c r="C432" s="6" t="inlineStr">
        <is>
          <t>Veda konuşması yap</t>
        </is>
      </c>
      <c r="D432" s="5" t="inlineStr">
        <is>
          <t>Çene</t>
        </is>
      </c>
      <c r="E432" s="5" t="inlineStr">
        <is>
          <t>Zor</t>
        </is>
      </c>
      <c r="F432" s="5" t="inlineStr"/>
      <c r="G432" s="6" t="inlineStr"/>
      <c r="H432" s="6" t="inlineStr">
        <is>
          <t>Konuşmanda üç kişi ağladı, beş kişi güldü. Oran olarak başarılı.</t>
        </is>
      </c>
      <c r="I432" s="6" t="inlineStr">
        <is>
          <t>Konuşman okulun resmî hesabında paylaşıldı. Yorumlar ağlayan veli emojileriyle dolu.</t>
        </is>
      </c>
      <c r="J432" s="6" t="inlineStr">
        <is>
          <t>Ses sistemi konuşmanın yalnızca 'ııı' kısımlarını salona iletti.</t>
        </is>
      </c>
      <c r="K432" s="6" t="inlineStr">
        <is>
          <t>Bütün öğretmenlere tek tek teşekkür ettin. Birini unuttun. Ön sıradaydı. En çok o alkışladı.</t>
        </is>
      </c>
      <c r="L432" s="6" t="inlineStr"/>
      <c r="M432" s="5" t="inlineStr"/>
      <c r="N432" s="5" t="inlineStr"/>
      <c r="O432" s="6" t="inlineStr"/>
      <c r="P432" s="6" t="inlineStr"/>
      <c r="Q432" s="5" t="inlineStr"/>
      <c r="R432" s="5" t="inlineStr"/>
      <c r="S432" s="5" t="inlineStr"/>
      <c r="T432" s="5" t="inlineStr"/>
      <c r="U432" s="5" t="inlineStr"/>
      <c r="V432" s="5" t="inlineStr"/>
      <c r="W432" s="5" t="inlineStr"/>
      <c r="X432" s="5" t="inlineStr"/>
      <c r="Y432" s="5" t="inlineStr"/>
      <c r="Z432" s="6" t="inlineStr"/>
    </row>
    <row r="433">
      <c r="A433" s="5" t="inlineStr">
        <is>
          <t>b5-mezuniyet</t>
        </is>
      </c>
      <c r="B433" s="5" t="n">
        <v>3</v>
      </c>
      <c r="C433" s="6" t="inlineStr">
        <is>
          <t>Herkesle fotoğraf çekil</t>
        </is>
      </c>
      <c r="D433" s="5" t="inlineStr">
        <is>
          <t>Sosyal Radar</t>
        </is>
      </c>
      <c r="E433" s="5" t="inlineStr">
        <is>
          <t>Kolay</t>
        </is>
      </c>
      <c r="F433" s="5" t="inlineStr"/>
      <c r="G433" s="6" t="inlineStr"/>
      <c r="H433" s="6" t="inlineStr">
        <is>
          <t>Telefonunda dört yüz fotoğraf var. Hepsi aynı açıdan, hepsi değerli.</t>
        </is>
      </c>
      <c r="I433" s="6" t="inlineStr">
        <is>
          <t>Çektiğin kare yıllığın arka kapağı oldu. Dört yıllık tarih tek karede.</t>
        </is>
      </c>
      <c r="J433" s="6" t="inlineStr">
        <is>
          <t>Bütün fotoğraflarda gözlerin kapalı. En azından tutarlısın.</t>
        </is>
      </c>
      <c r="K433" s="6" t="inlineStr">
        <is>
          <t>Kareye sığmak için bir adım geri attın. Arkada merdiven vardı. Fotoğrafların çoğu gökyüzü.</t>
        </is>
      </c>
      <c r="L433" s="6" t="inlineStr"/>
      <c r="M433" s="5" t="inlineStr"/>
      <c r="N433" s="5" t="inlineStr"/>
      <c r="O433" s="6" t="inlineStr"/>
      <c r="P433" s="6" t="inlineStr"/>
      <c r="Q433" s="5" t="inlineStr"/>
      <c r="R433" s="5" t="inlineStr"/>
      <c r="S433" s="5" t="inlineStr"/>
      <c r="T433" s="5" t="inlineStr"/>
      <c r="U433" s="5" t="inlineStr"/>
      <c r="V433" s="5" t="inlineStr"/>
      <c r="W433" s="5" t="inlineStr"/>
      <c r="X433" s="5" t="inlineStr"/>
      <c r="Y433" s="5" t="inlineStr"/>
      <c r="Z433" s="6" t="inlineStr"/>
    </row>
    <row r="434">
      <c r="A434" s="5" t="inlineStr">
        <is>
          <t>b5-mezuniyet</t>
        </is>
      </c>
      <c r="B434" s="5" t="n">
        <v>4</v>
      </c>
      <c r="C434" s="6" t="inlineStr">
        <is>
          <t>Temsilci olarak kürsüye çık</t>
        </is>
      </c>
      <c r="D434" s="5" t="inlineStr">
        <is>
          <t>Pişkinlik</t>
        </is>
      </c>
      <c r="E434" s="5" t="inlineStr">
        <is>
          <t>Kolay</t>
        </is>
      </c>
      <c r="F434" s="5" t="inlineStr"/>
      <c r="G434" s="6" t="inlineStr"/>
      <c r="H434" s="6" t="inlineStr">
        <is>
          <t>Dört yılı özetledin, vaatlerinin yarısı için 'süreç devam ediyor' dedin. Salon anlayışla alkışladı.</t>
        </is>
      </c>
      <c r="I434" s="6" t="inlineStr">
        <is>
          <t>Kürsüden inerken müdür sana sarıldı. Yeni temsilciye devir teslim töreni yapıldı. Tutanaklı.</t>
        </is>
      </c>
      <c r="J434" s="6" t="inlineStr">
        <is>
          <t>Kürsüye çıktın, kâğıdın rüzgârla uçtu. Doğaçlama kısa sürdü.</t>
        </is>
      </c>
      <c r="K434" s="6" t="inlineStr">
        <is>
          <t>Teşekkür listesini okurken kendi adını da saydın. Alkışladılar. İronik biçimde.</t>
        </is>
      </c>
      <c r="L434" s="6" t="inlineStr"/>
      <c r="M434" s="5" t="inlineStr"/>
      <c r="N434" s="5" t="inlineStr"/>
      <c r="O434" s="6" t="inlineStr"/>
      <c r="P434" s="6" t="inlineStr"/>
      <c r="Q434" s="5" t="inlineStr"/>
      <c r="R434" s="5" t="inlineStr">
        <is>
          <t>okul-temsilcisi</t>
        </is>
      </c>
      <c r="S434" s="5" t="inlineStr"/>
      <c r="T434" s="5" t="inlineStr"/>
      <c r="U434" s="5" t="inlineStr"/>
      <c r="V434" s="5" t="inlineStr"/>
      <c r="W434" s="5" t="inlineStr"/>
      <c r="X434" s="5" t="inlineStr"/>
      <c r="Y434" s="5" t="inlineStr"/>
      <c r="Z434" s="6" t="inlineStr"/>
    </row>
    <row r="435">
      <c r="A435" s="5" t="inlineStr">
        <is>
          <t>b5-ehliyet-kursu</t>
        </is>
      </c>
      <c r="B435" s="5" t="n">
        <v>1</v>
      </c>
      <c r="C435" s="6" t="inlineStr">
        <is>
          <t>Direksiyon sınavına gir</t>
        </is>
      </c>
      <c r="D435" s="5" t="inlineStr">
        <is>
          <t>Dayanıklılık</t>
        </is>
      </c>
      <c r="E435" s="5" t="inlineStr">
        <is>
          <t>Orta</t>
        </is>
      </c>
      <c r="F435" s="5" t="inlineStr"/>
      <c r="G435" s="6" t="inlineStr"/>
      <c r="H435" s="6" t="inlineStr">
        <is>
          <t>İlk seferde geçtin. Ehliyet geldi. Araba gelmedi.</t>
        </is>
      </c>
      <c r="I435" s="6" t="inlineStr">
        <is>
          <t>Görevli 'Bu kadar düzgün park görmedim' dedi. Ailen anahtarı yine vermedi ama umut var.</t>
        </is>
      </c>
      <c r="J435" s="6" t="inlineStr">
        <is>
          <t>Paralel parkta kaldırıma üç kez dokundun. Görevli 'Haftaya' dedi.</t>
        </is>
      </c>
      <c r="K435" s="6" t="inlineStr">
        <is>
          <t>Yokuşta kalkışı başardın, düz yolda stop ettin. Arkadaki kursiyerler alkışladı. Yeni sınav bir ay sonra.</t>
        </is>
      </c>
      <c r="L435" s="6" t="inlineStr"/>
      <c r="M435" s="5" t="inlineStr"/>
      <c r="N435" s="5" t="inlineStr"/>
      <c r="O435" s="6" t="inlineStr"/>
      <c r="P435" s="6" t="inlineStr"/>
      <c r="Q435" s="5" t="inlineStr"/>
      <c r="R435" s="5" t="inlineStr"/>
      <c r="S435" s="5" t="inlineStr"/>
      <c r="T435" s="5" t="inlineStr"/>
      <c r="U435" s="5" t="inlineStr"/>
      <c r="V435" s="5" t="inlineStr">
        <is>
          <t>ehliyetli</t>
        </is>
      </c>
      <c r="W435" s="5" t="inlineStr"/>
      <c r="X435" s="5" t="inlineStr"/>
      <c r="Y435" s="5" t="inlineStr"/>
      <c r="Z435" s="6" t="inlineStr"/>
    </row>
    <row r="436">
      <c r="A436" s="5" t="inlineStr">
        <is>
          <t>b5-ehliyet-kursu</t>
        </is>
      </c>
      <c r="B436" s="5" t="n">
        <v>2</v>
      </c>
      <c r="C436" s="6" t="inlineStr">
        <is>
          <t>Babanla pratik yap</t>
        </is>
      </c>
      <c r="D436" s="5" t="inlineStr">
        <is>
          <t>Cesaret</t>
        </is>
      </c>
      <c r="E436" s="5" t="inlineStr">
        <is>
          <t>Zor</t>
        </is>
      </c>
      <c r="F436" s="5" t="inlineStr"/>
      <c r="G436" s="6" t="inlineStr"/>
      <c r="H436" s="6" t="inlineStr">
        <is>
          <t>Babanla pratik yaptın. Baban zamanın yüzde yetmişinde sustu. Sınavı geçtin.</t>
        </is>
      </c>
      <c r="I436" s="6" t="inlineStr">
        <is>
          <t>İlk kez aynı fikirdeydiniz. Sınavı kusursuz geçtin; baban arabayı ödünç verdi. Bir kere.</t>
        </is>
      </c>
      <c r="J436" s="6" t="inlineStr">
        <is>
          <t>Baban her virajda 'Yavaş!' dedi. Hiç hızlanmamıştın. Ders yarıda kaldı.</t>
        </is>
      </c>
      <c r="K436" s="6" t="inlineStr">
        <is>
          <t>Site otoparkında bir direğe fazla yaklaştın. Direk kıpırdamadı. Ayna kıpırdadı.</t>
        </is>
      </c>
      <c r="L436" s="6" t="inlineStr"/>
      <c r="M436" s="5" t="inlineStr"/>
      <c r="N436" s="5" t="inlineStr"/>
      <c r="O436" s="6" t="inlineStr"/>
      <c r="P436" s="6" t="inlineStr"/>
      <c r="Q436" s="5" t="inlineStr"/>
      <c r="R436" s="5" t="inlineStr"/>
      <c r="S436" s="5" t="inlineStr"/>
      <c r="T436" s="5" t="inlineStr"/>
      <c r="U436" s="5" t="inlineStr"/>
      <c r="V436" s="5" t="inlineStr">
        <is>
          <t>ehliyetli</t>
        </is>
      </c>
      <c r="W436" s="5" t="inlineStr"/>
      <c r="X436" s="5" t="inlineStr"/>
      <c r="Y436" s="5" t="inlineStr"/>
      <c r="Z436" s="6" t="inlineStr"/>
    </row>
    <row r="437">
      <c r="A437" s="5" t="inlineStr">
        <is>
          <t>b5-ehliyet-kursu</t>
        </is>
      </c>
      <c r="B437" s="5" t="n">
        <v>3</v>
      </c>
      <c r="C437" s="6" t="inlineStr">
        <is>
          <t>Kurye tecrübeni kullan</t>
        </is>
      </c>
      <c r="D437" s="5" t="inlineStr">
        <is>
          <t>Kurnazlık</t>
        </is>
      </c>
      <c r="E437" s="5" t="inlineStr">
        <is>
          <t>Kolay</t>
        </is>
      </c>
      <c r="F437" s="5" t="inlineStr"/>
      <c r="G437" s="6" t="inlineStr"/>
      <c r="H437" s="6" t="inlineStr">
        <is>
          <t>Sınav güzergâhını ezbere biliyordun, her çukuru tanıyordun. İlk seferde geçtin.</t>
        </is>
      </c>
      <c r="I437" s="6" t="inlineStr">
        <is>
          <t>Görevliye daha kısa bir güzergâh önerdin. Kabul etti. Geçtin.</t>
        </is>
      </c>
      <c r="J437" s="6" t="inlineStr">
        <is>
          <t>Güzergâhı biliyordun. Bisiklet yolundan gitmeye çalıştın.</t>
        </is>
      </c>
      <c r="K437" s="6" t="inlineStr">
        <is>
          <t>Alışkanlıkla otoparkın içinden kestirdin. Görevli çok şaşırdı. Sonuç: haftaya.</t>
        </is>
      </c>
      <c r="L437" s="6" t="inlineStr"/>
      <c r="M437" s="5" t="inlineStr"/>
      <c r="N437" s="5" t="inlineStr"/>
      <c r="O437" s="6" t="inlineStr"/>
      <c r="P437" s="6" t="inlineStr"/>
      <c r="Q437" s="5" t="inlineStr">
        <is>
          <t>Kestirme Bilir</t>
        </is>
      </c>
      <c r="R437" s="5" t="inlineStr"/>
      <c r="S437" s="5" t="inlineStr"/>
      <c r="T437" s="5" t="inlineStr"/>
      <c r="U437" s="5" t="inlineStr"/>
      <c r="V437" s="5" t="inlineStr">
        <is>
          <t>ehliyetli</t>
        </is>
      </c>
      <c r="W437" s="5" t="inlineStr"/>
      <c r="X437" s="5" t="inlineStr"/>
      <c r="Y437" s="5" t="inlineStr"/>
      <c r="Z437" s="6" t="inlineStr"/>
    </row>
    <row r="438">
      <c r="A438" s="5" t="inlineStr">
        <is>
          <t>b5-ehliyet-kursu</t>
        </is>
      </c>
      <c r="B438" s="5" t="n">
        <v>4</v>
      </c>
      <c r="C438" s="6" t="inlineStr">
        <is>
          <t>Ehliyeti sonraya bırak</t>
        </is>
      </c>
      <c r="D438" s="5" t="inlineStr"/>
      <c r="E438" s="5" t="inlineStr"/>
      <c r="F438" s="5" t="inlineStr">
        <is>
          <t>Dayanıklılık +1</t>
        </is>
      </c>
      <c r="G438" s="6" t="inlineStr">
        <is>
          <t>Kursu yarıda bıraktın. Ehliyet, hayatın bir sonraki bölümünün sorunu olarak dosyaya kaldırıldı.</t>
        </is>
      </c>
      <c r="H438" s="6" t="inlineStr"/>
      <c r="I438" s="6" t="inlineStr"/>
      <c r="J438" s="6" t="inlineStr"/>
      <c r="K438" s="6" t="inlineStr"/>
      <c r="L438" s="6" t="inlineStr"/>
      <c r="M438" s="5" t="inlineStr"/>
      <c r="N438" s="5" t="inlineStr"/>
      <c r="O438" s="6" t="inlineStr"/>
      <c r="P438" s="6" t="inlineStr"/>
      <c r="Q438" s="5" t="inlineStr"/>
      <c r="R438" s="5" t="inlineStr"/>
      <c r="S438" s="5" t="inlineStr"/>
      <c r="T438" s="5" t="inlineStr"/>
      <c r="U438" s="5" t="inlineStr"/>
      <c r="V438" s="5" t="inlineStr"/>
      <c r="W438" s="5" t="inlineStr"/>
      <c r="X438" s="5" t="inlineStr"/>
      <c r="Y438" s="5" t="inlineStr"/>
      <c r="Z438" s="6" t="inlineStr"/>
    </row>
    <row r="439">
      <c r="A439" s="5" t="inlineStr">
        <is>
          <t>b5-tek-basina-tatil</t>
        </is>
      </c>
      <c r="B439" s="5" t="n">
        <v>1</v>
      </c>
      <c r="C439" s="6" t="inlineStr">
        <is>
          <t>Bütçeyi sen tut</t>
        </is>
      </c>
      <c r="D439" s="5" t="inlineStr">
        <is>
          <t>Akıl</t>
        </is>
      </c>
      <c r="E439" s="5" t="inlineStr">
        <is>
          <t>Orta</t>
        </is>
      </c>
      <c r="F439" s="5" t="inlineStr"/>
      <c r="G439" s="6" t="inlineStr"/>
      <c r="H439" s="6" t="inlineStr">
        <is>
          <t>Bütçeyi tuttun; tatil sonunda para bile arttı. Artık grubun muhasebecisisin.</t>
        </is>
      </c>
      <c r="I439" s="6" t="inlineStr">
        <is>
          <t>Aynı parayla tatili iki gün uzattınız. Hesap tablon grubun ortak mirası oldu.</t>
        </is>
      </c>
      <c r="J439" s="6" t="inlineStr">
        <is>
          <t>Üçüncü gün herkes kendi hesabını ödemeye başladı. Tablo çöktü.</t>
        </is>
      </c>
      <c r="K439" s="6" t="inlineStr">
        <is>
          <t>Tablodaki bir formül hatası yüzünden dönüş biletleri alınmamış. Aile grubu devreye girdi.</t>
        </is>
      </c>
      <c r="L439" s="6" t="inlineStr"/>
      <c r="M439" s="5" t="inlineStr"/>
      <c r="N439" s="5" t="inlineStr"/>
      <c r="O439" s="6" t="inlineStr"/>
      <c r="P439" s="6" t="inlineStr"/>
      <c r="Q439" s="5" t="inlineStr"/>
      <c r="R439" s="5" t="inlineStr"/>
      <c r="S439" s="5" t="inlineStr"/>
      <c r="T439" s="5" t="inlineStr"/>
      <c r="U439" s="5" t="inlineStr"/>
      <c r="V439" s="5" t="inlineStr"/>
      <c r="W439" s="5" t="inlineStr"/>
      <c r="X439" s="5" t="inlineStr"/>
      <c r="Y439" s="5" t="inlineStr"/>
      <c r="Z439" s="6" t="inlineStr"/>
    </row>
    <row r="440">
      <c r="A440" s="5" t="inlineStr">
        <is>
          <t>b5-tek-basina-tatil</t>
        </is>
      </c>
      <c r="B440" s="5" t="n">
        <v>2</v>
      </c>
      <c r="C440" s="6" t="inlineStr">
        <is>
          <t>Aile grubuna saatlik rapor ver</t>
        </is>
      </c>
      <c r="D440" s="5" t="inlineStr"/>
      <c r="E440" s="5" t="inlineStr"/>
      <c r="F440" s="5" t="inlineStr">
        <is>
          <t>Vicdan +1</t>
        </is>
      </c>
      <c r="G440" s="6" t="inlineStr">
        <is>
          <t>Her saat bir fotoğraf attın. Annen tatili senden daha ayrıntılı yaşadı. Sen fotoğraf çekmekle meşguldün.</t>
        </is>
      </c>
      <c r="H440" s="6" t="inlineStr"/>
      <c r="I440" s="6" t="inlineStr"/>
      <c r="J440" s="6" t="inlineStr"/>
      <c r="K440" s="6" t="inlineStr"/>
      <c r="L440" s="6" t="inlineStr"/>
      <c r="M440" s="5" t="inlineStr"/>
      <c r="N440" s="5" t="inlineStr"/>
      <c r="O440" s="6" t="inlineStr"/>
      <c r="P440" s="6" t="inlineStr"/>
      <c r="Q440" s="5" t="inlineStr"/>
      <c r="R440" s="5" t="inlineStr"/>
      <c r="S440" s="5" t="inlineStr"/>
      <c r="T440" s="5" t="inlineStr"/>
      <c r="U440" s="5" t="inlineStr"/>
      <c r="V440" s="5" t="inlineStr"/>
      <c r="W440" s="5" t="inlineStr"/>
      <c r="X440" s="5" t="inlineStr"/>
      <c r="Y440" s="5" t="inlineStr"/>
      <c r="Z440" s="6" t="inlineStr"/>
    </row>
    <row r="441">
      <c r="A441" s="5" t="inlineStr">
        <is>
          <t>b5-tek-basina-tatil</t>
        </is>
      </c>
      <c r="B441" s="5" t="n">
        <v>3</v>
      </c>
      <c r="C441" s="6" t="inlineStr">
        <is>
          <t>Plansız takıl</t>
        </is>
      </c>
      <c r="D441" s="5" t="inlineStr">
        <is>
          <t>Pişkinlik</t>
        </is>
      </c>
      <c r="E441" s="5" t="inlineStr">
        <is>
          <t>Kolay</t>
        </is>
      </c>
      <c r="F441" s="5" t="inlineStr"/>
      <c r="G441" s="6" t="inlineStr"/>
      <c r="H441" s="6" t="inlineStr">
        <is>
          <t>Plansız gezdiniz. Tatilin en iyi anı, kaybolup bulduğunuz bir koy oldu.</t>
        </is>
      </c>
      <c r="I441" s="6" t="inlineStr">
        <is>
          <t>Bulduğunuz koya her yaz dönmeye söz verdiniz. Söz, mesaj grubunda sabitlendi.</t>
        </is>
      </c>
      <c r="J441" s="6" t="inlineStr">
        <is>
          <t>Üç gün boyunca nereye gideceğinizi tartıştınız. Pansiyonun bahçesinden çıkmadınız.</t>
        </is>
      </c>
      <c r="K441" s="6" t="inlineStr">
        <is>
          <t>Pansiyonun adını unuttunuz. Gece bir buçukta kapı kapı sordunuz. Bütün kasaba sizi tanıyor.</t>
        </is>
      </c>
      <c r="L441" s="6" t="inlineStr"/>
      <c r="M441" s="5" t="inlineStr"/>
      <c r="N441" s="5" t="inlineStr"/>
      <c r="O441" s="6" t="inlineStr"/>
      <c r="P441" s="6" t="inlineStr"/>
      <c r="Q441" s="5" t="inlineStr"/>
      <c r="R441" s="5" t="inlineStr"/>
      <c r="S441" s="5" t="inlineStr"/>
      <c r="T441" s="5" t="inlineStr"/>
      <c r="U441" s="5" t="inlineStr"/>
      <c r="V441" s="5" t="inlineStr"/>
      <c r="W441" s="5" t="inlineStr"/>
      <c r="X441" s="5" t="inlineStr"/>
      <c r="Y441" s="5" t="inlineStr"/>
      <c r="Z441" s="6" t="inlineStr"/>
    </row>
    <row r="442">
      <c r="A442" s="5" t="inlineStr">
        <is>
          <t>b5-tek-basina-tatil</t>
        </is>
      </c>
      <c r="B442" s="5" t="n">
        <v>4</v>
      </c>
      <c r="C442" s="6" t="inlineStr">
        <is>
          <t>Grubu organize et</t>
        </is>
      </c>
      <c r="D442" s="5" t="inlineStr">
        <is>
          <t>Sosyal Radar</t>
        </is>
      </c>
      <c r="E442" s="5" t="inlineStr">
        <is>
          <t>Orta</t>
        </is>
      </c>
      <c r="F442" s="5" t="inlineStr"/>
      <c r="G442" s="6" t="inlineStr"/>
      <c r="H442" s="6" t="inlineStr">
        <is>
          <t>Görevleri dağıttın, tatil pürüzsüz geçti. Kimse teşekkür etmedi; iyi yönetim görünmez.</t>
        </is>
      </c>
      <c r="I442" s="6" t="inlineStr">
        <is>
          <t>Tatil o kadar iyi geçti ki gelecek yıl için başvuru formu açtın. Yedi başvuru geldi.</t>
        </is>
      </c>
      <c r="J442" s="6" t="inlineStr">
        <is>
          <t>Herkes kendi görevini başkasına devretti. Sonunda hepsi sana geldi.</t>
        </is>
      </c>
      <c r="K442" s="6" t="inlineStr">
        <is>
          <t>Görev çizelgesi astın. Arkadaşların seni pansiyon sahibine şikâyet etti. Sahibi sana 'müdür' diyor.</t>
        </is>
      </c>
      <c r="L442" s="6" t="inlineStr"/>
      <c r="M442" s="5" t="inlineStr"/>
      <c r="N442" s="5" t="inlineStr"/>
      <c r="O442" s="6" t="inlineStr"/>
      <c r="P442" s="6" t="inlineStr"/>
      <c r="Q442" s="5" t="inlineStr">
        <is>
          <t>Grup Yöneticisi</t>
        </is>
      </c>
      <c r="R442" s="5" t="inlineStr"/>
      <c r="S442" s="5" t="inlineStr"/>
      <c r="T442" s="5" t="inlineStr"/>
      <c r="U442" s="5" t="inlineStr"/>
      <c r="V442" s="5" t="inlineStr"/>
      <c r="W442" s="5" t="inlineStr"/>
      <c r="X442" s="5" t="inlineStr"/>
      <c r="Y442" s="5" t="inlineStr"/>
      <c r="Z442" s="6" t="inlineStr"/>
    </row>
    <row r="443">
      <c r="A443" s="5" t="inlineStr">
        <is>
          <t>b6-yurt-odasi</t>
        </is>
      </c>
      <c r="B443" s="5" t="n">
        <v>1</v>
      </c>
      <c r="C443" s="6" t="inlineStr">
        <is>
          <t>Kalan yatağı al</t>
        </is>
      </c>
      <c r="D443" s="5" t="inlineStr"/>
      <c r="E443" s="5" t="inlineStr"/>
      <c r="F443" s="5" t="inlineStr">
        <is>
          <t>Dayanıklılık +1</t>
        </is>
      </c>
      <c r="G443" s="6" t="inlineStr">
        <is>
          <t>Kapının dibindeki yatağı aldın. Gece gelen herkes önce sana basıyor. Resmî karşılama komitesi sensin.</t>
        </is>
      </c>
      <c r="H443" s="6" t="inlineStr"/>
      <c r="I443" s="6" t="inlineStr"/>
      <c r="J443" s="6" t="inlineStr"/>
      <c r="K443" s="6" t="inlineStr"/>
      <c r="L443" s="6" t="inlineStr"/>
      <c r="M443" s="5" t="inlineStr"/>
      <c r="N443" s="5" t="inlineStr"/>
      <c r="O443" s="6" t="inlineStr"/>
      <c r="P443" s="6" t="inlineStr"/>
      <c r="Q443" s="5" t="inlineStr"/>
      <c r="R443" s="5" t="inlineStr"/>
      <c r="S443" s="5" t="inlineStr"/>
      <c r="T443" s="5" t="inlineStr"/>
      <c r="U443" s="5" t="inlineStr"/>
      <c r="V443" s="5" t="inlineStr"/>
      <c r="W443" s="5" t="inlineStr"/>
      <c r="X443" s="5" t="inlineStr"/>
      <c r="Y443" s="5" t="inlineStr"/>
      <c r="Z443" s="6" t="inlineStr"/>
    </row>
    <row r="444">
      <c r="A444" s="5" t="inlineStr">
        <is>
          <t>b6-yurt-odasi</t>
        </is>
      </c>
      <c r="B444" s="5" t="n">
        <v>2</v>
      </c>
      <c r="C444" s="6" t="inlineStr">
        <is>
          <t>Oda kuralları taslağı hazırla</t>
        </is>
      </c>
      <c r="D444" s="5" t="inlineStr">
        <is>
          <t>Akıl</t>
        </is>
      </c>
      <c r="E444" s="5" t="inlineStr">
        <is>
          <t>Zor</t>
        </is>
      </c>
      <c r="F444" s="5" t="inlineStr"/>
      <c r="G444" s="6" t="inlineStr"/>
      <c r="H444" s="6" t="inlineStr">
        <is>
          <t>Beş maddelik kurallar listesi kapıya asıldı. Üçüncü madde ilk gece ihlal edildi.</t>
        </is>
      </c>
      <c r="I444" s="6" t="inlineStr">
        <is>
          <t>Kurallar oylamayla kabul edildi. Oda, yurdun en düzenli bürokrasisi ilan edildi.</t>
        </is>
      </c>
      <c r="J444" s="6" t="inlineStr">
        <is>
          <t>Listeyi astın. Ertesi sabah altına biri 'Tamam hocam' yazmıştı.</t>
        </is>
      </c>
      <c r="K444" s="6" t="inlineStr">
        <is>
          <t>Kurallar reddedildi. Yerine senin horlama kayıtların kapıya asıldı.</t>
        </is>
      </c>
      <c r="L444" s="6" t="inlineStr"/>
      <c r="M444" s="5" t="inlineStr"/>
      <c r="N444" s="5" t="inlineStr"/>
      <c r="O444" s="6" t="inlineStr"/>
      <c r="P444" s="6" t="inlineStr"/>
      <c r="Q444" s="5" t="inlineStr"/>
      <c r="R444" s="5" t="inlineStr"/>
      <c r="S444" s="5" t="inlineStr"/>
      <c r="T444" s="5" t="inlineStr">
        <is>
          <t>Organizatör</t>
        </is>
      </c>
      <c r="U444" s="5" t="inlineStr"/>
      <c r="V444" s="5" t="inlineStr"/>
      <c r="W444" s="5" t="inlineStr"/>
      <c r="X444" s="5" t="inlineStr"/>
      <c r="Y444" s="5" t="inlineStr"/>
      <c r="Z444" s="6" t="inlineStr"/>
    </row>
    <row r="445">
      <c r="A445" s="5" t="inlineStr">
        <is>
          <t>b6-yurt-odasi</t>
        </is>
      </c>
      <c r="B445" s="5" t="n">
        <v>3</v>
      </c>
      <c r="C445" s="6" t="inlineStr">
        <is>
          <t>Prizli yatağı kap</t>
        </is>
      </c>
      <c r="D445" s="5" t="inlineStr">
        <is>
          <t>Kurnazlık</t>
        </is>
      </c>
      <c r="E445" s="5" t="inlineStr">
        <is>
          <t>Kolay</t>
        </is>
      </c>
      <c r="F445" s="5" t="inlineStr"/>
      <c r="G445" s="6" t="inlineStr"/>
      <c r="H445" s="6" t="inlineStr">
        <is>
          <t>Prizli yatak senin. Oda arkadaşların şarj için sana dilekçe veriyor.</t>
        </is>
      </c>
      <c r="I445" s="6" t="inlineStr">
        <is>
          <t>Prizli yatağı aldın, bir çoklu priz kurdun. Artık odanın enerji bakanısın.</t>
        </is>
      </c>
      <c r="J445" s="6" t="inlineStr">
        <is>
          <t>Prizli yatağı aldın. Priz, yurt açıldığından beri çalışmıyormuş.</t>
        </is>
      </c>
      <c r="K445" s="6" t="inlineStr">
        <is>
          <t>Prizli yatak senin oldu. Uzatma kablosu da, yangın yönetmeliği uyarısı da.</t>
        </is>
      </c>
      <c r="L445" s="6" t="inlineStr"/>
      <c r="M445" s="5" t="inlineStr"/>
      <c r="N445" s="5" t="inlineStr"/>
      <c r="O445" s="6" t="inlineStr"/>
      <c r="P445" s="6" t="inlineStr"/>
      <c r="Q445" s="5" t="inlineStr"/>
      <c r="R445" s="5" t="inlineStr"/>
      <c r="S445" s="5" t="inlineStr">
        <is>
          <t>Kurnazlık</t>
        </is>
      </c>
      <c r="T445" s="5" t="inlineStr"/>
      <c r="U445" s="5" t="inlineStr"/>
      <c r="V445" s="5" t="inlineStr"/>
      <c r="W445" s="5" t="inlineStr"/>
      <c r="X445" s="5" t="inlineStr"/>
      <c r="Y445" s="5" t="inlineStr"/>
      <c r="Z445" s="6" t="inlineStr"/>
    </row>
    <row r="446">
      <c r="A446" s="5" t="inlineStr">
        <is>
          <t>b6-yurt-odasi</t>
        </is>
      </c>
      <c r="B446" s="5" t="n">
        <v>4</v>
      </c>
      <c r="C446" s="6" t="inlineStr">
        <is>
          <t>Üst ranzayla diplomatik ilişki kur</t>
        </is>
      </c>
      <c r="D446" s="5" t="inlineStr">
        <is>
          <t>Çene</t>
        </is>
      </c>
      <c r="E446" s="5" t="inlineStr">
        <is>
          <t>Orta</t>
        </is>
      </c>
      <c r="F446" s="5" t="inlineStr"/>
      <c r="G446" s="6" t="inlineStr"/>
      <c r="H446" s="6" t="inlineStr">
        <is>
          <t>Üst ranzayla anlaşma imzaladın: o ışığı kapatacak, sen alarmını.</t>
        </is>
      </c>
      <c r="I446" s="6" t="inlineStr">
        <is>
          <t>Üst ranza memleketten gelen kolileri seninle paylaşıyor. Tarihî bir ittifak.</t>
        </is>
      </c>
      <c r="J446" s="6" t="inlineStr">
        <is>
          <t>Anlaşma yapıldı. İlk gece iki taraf da ihlal etti.</t>
        </is>
      </c>
      <c r="K446" s="6" t="inlineStr">
        <is>
          <t>Diplomasi sırasında tişört konusunu açtın. Soğuk savaş dönem sonuna kadar sürdü.</t>
        </is>
      </c>
      <c r="L446" s="6" t="inlineStr"/>
      <c r="M446" s="5" t="inlineStr"/>
      <c r="N446" s="5" t="inlineStr"/>
      <c r="O446" s="6" t="inlineStr"/>
      <c r="P446" s="6" t="inlineStr"/>
      <c r="Q446" s="5" t="inlineStr"/>
      <c r="R446" s="5" t="inlineStr"/>
      <c r="S446" s="5" t="inlineStr"/>
      <c r="T446" s="5" t="inlineStr"/>
      <c r="U446" s="5" t="inlineStr"/>
      <c r="V446" s="5" t="inlineStr"/>
      <c r="W446" s="5" t="inlineStr"/>
      <c r="X446" s="5" t="inlineStr"/>
      <c r="Y446" s="5" t="inlineStr"/>
      <c r="Z446" s="6" t="inlineStr"/>
    </row>
    <row r="447">
      <c r="A447" s="5" t="inlineStr">
        <is>
          <t>b6-ilk-tam-zamanli-is</t>
        </is>
      </c>
      <c r="B447" s="5" t="n">
        <v>1</v>
      </c>
      <c r="C447" s="6" t="inlineStr">
        <is>
          <t>Söyleneni yap</t>
        </is>
      </c>
      <c r="D447" s="5" t="inlineStr"/>
      <c r="E447" s="5" t="inlineStr"/>
      <c r="F447" s="5" t="inlineStr">
        <is>
          <t>Dayanıklılık +2</t>
        </is>
      </c>
      <c r="G447" s="6" t="inlineStr">
        <is>
          <t>İlk ay hiç soru sormadın. Patron seni 'sessiz eleman' diye kaydetti. Maaş da sessiz.</t>
        </is>
      </c>
      <c r="H447" s="6" t="inlineStr"/>
      <c r="I447" s="6" t="inlineStr"/>
      <c r="J447" s="6" t="inlineStr"/>
      <c r="K447" s="6" t="inlineStr"/>
      <c r="L447" s="6" t="inlineStr"/>
      <c r="M447" s="5" t="inlineStr"/>
      <c r="N447" s="5" t="inlineStr"/>
      <c r="O447" s="6" t="inlineStr"/>
      <c r="P447" s="6" t="inlineStr"/>
      <c r="Q447" s="5" t="inlineStr"/>
      <c r="R447" s="5" t="inlineStr"/>
      <c r="S447" s="5" t="inlineStr"/>
      <c r="T447" s="5" t="inlineStr"/>
      <c r="U447" s="5" t="inlineStr"/>
      <c r="V447" s="5" t="inlineStr"/>
      <c r="W447" s="5" t="inlineStr"/>
      <c r="X447" s="5" t="inlineStr"/>
      <c r="Y447" s="5" t="inlineStr"/>
      <c r="Z447" s="6" t="inlineStr"/>
    </row>
    <row r="448">
      <c r="A448" s="5" t="inlineStr">
        <is>
          <t>b6-ilk-tam-zamanli-is</t>
        </is>
      </c>
      <c r="B448" s="5" t="n">
        <v>2</v>
      </c>
      <c r="C448" s="6" t="inlineStr">
        <is>
          <t>Stoğu ezberle</t>
        </is>
      </c>
      <c r="D448" s="5" t="inlineStr">
        <is>
          <t>Akıl</t>
        </is>
      </c>
      <c r="E448" s="5" t="inlineStr">
        <is>
          <t>Orta</t>
        </is>
      </c>
      <c r="F448" s="5" t="inlineStr"/>
      <c r="G448" s="6" t="inlineStr"/>
      <c r="H448" s="6" t="inlineStr">
        <is>
          <t>Hangi vidanın hangi rafta olduğunu artık biliyorsun. Müşteriler doğrudan sana geliyor.</t>
        </is>
      </c>
      <c r="I448" s="6" t="inlineStr">
        <is>
          <t>Stok defterini ezberledin. Patron sayımı sana bırakıp bir haftalığına tatile gitti.</t>
        </is>
      </c>
      <c r="J448" s="6" t="inlineStr">
        <is>
          <t>Ezberledin. Patron ertesi gün rafları yeniden düzenledi.</t>
        </is>
      </c>
      <c r="K448" s="6" t="inlineStr">
        <is>
          <t>Sayımda bir kutu vidayı iki kez saydın. Kayıtlara göre dükkan şu anda kâr ediyor.</t>
        </is>
      </c>
      <c r="L448" s="6" t="inlineStr"/>
      <c r="M448" s="5" t="inlineStr"/>
      <c r="N448" s="5" t="inlineStr"/>
      <c r="O448" s="6" t="inlineStr"/>
      <c r="P448" s="6" t="inlineStr"/>
      <c r="Q448" s="5" t="inlineStr"/>
      <c r="R448" s="5" t="inlineStr"/>
      <c r="S448" s="5" t="inlineStr"/>
      <c r="T448" s="5" t="inlineStr"/>
      <c r="U448" s="5" t="inlineStr"/>
      <c r="V448" s="5" t="inlineStr"/>
      <c r="W448" s="5" t="inlineStr"/>
      <c r="X448" s="5" t="inlineStr"/>
      <c r="Y448" s="5" t="inlineStr"/>
      <c r="Z448" s="6" t="inlineStr"/>
    </row>
    <row r="449">
      <c r="A449" s="5" t="inlineStr">
        <is>
          <t>b6-ilk-tam-zamanli-is</t>
        </is>
      </c>
      <c r="B449" s="5" t="n">
        <v>3</v>
      </c>
      <c r="C449" s="6" t="inlineStr">
        <is>
          <t>Müşteriye fazlasını sat</t>
        </is>
      </c>
      <c r="D449" s="5" t="inlineStr">
        <is>
          <t>Çene</t>
        </is>
      </c>
      <c r="E449" s="5" t="inlineStr">
        <is>
          <t>Orta</t>
        </is>
      </c>
      <c r="F449" s="5" t="inlineStr"/>
      <c r="G449" s="6" t="inlineStr"/>
      <c r="H449" s="6" t="inlineStr">
        <is>
          <t>Vida almaya gelene matkap sattın. Patron seni 'bizim eleman' diye tanıtmaya başladı.</t>
        </is>
      </c>
      <c r="I449" s="6" t="inlineStr">
        <is>
          <t>Vida almaya gelen müşteri dükkandan bir tadilat projesiyle çıktı. Prim yattı.</t>
        </is>
      </c>
      <c r="J449" s="6" t="inlineStr">
        <is>
          <t>Fazlasını satmaya çalıştın. Müşteri vidayı da almadı.</t>
        </is>
      </c>
      <c r="K449" s="6" t="inlineStr">
        <is>
          <t>Müşteriye en pahalısını sattın. Müşteri patronun kayınpederiymiş.</t>
        </is>
      </c>
      <c r="L449" s="6" t="inlineStr"/>
      <c r="M449" s="5" t="inlineStr"/>
      <c r="N449" s="5" t="inlineStr"/>
      <c r="O449" s="6" t="inlineStr"/>
      <c r="P449" s="6" t="inlineStr"/>
      <c r="Q449" s="5" t="inlineStr"/>
      <c r="R449" s="5" t="inlineStr"/>
      <c r="S449" s="5" t="inlineStr"/>
      <c r="T449" s="5" t="inlineStr"/>
      <c r="U449" s="5" t="inlineStr"/>
      <c r="V449" s="5" t="inlineStr"/>
      <c r="W449" s="5" t="inlineStr"/>
      <c r="X449" s="5" t="inlineStr"/>
      <c r="Y449" s="5" t="inlineStr"/>
      <c r="Z449" s="6" t="inlineStr"/>
    </row>
    <row r="450">
      <c r="A450" s="5" t="inlineStr">
        <is>
          <t>b6-ehliyet</t>
        </is>
      </c>
      <c r="B450" s="5" t="n">
        <v>1</v>
      </c>
      <c r="C450" s="6" t="inlineStr">
        <is>
          <t>Kitabına uygun yap</t>
        </is>
      </c>
      <c r="D450" s="5" t="inlineStr">
        <is>
          <t>Akıl</t>
        </is>
      </c>
      <c r="E450" s="5" t="inlineStr">
        <is>
          <t>Kolay</t>
        </is>
      </c>
      <c r="F450" s="5" t="inlineStr"/>
      <c r="G450" s="6" t="inlineStr"/>
      <c r="H450" s="6" t="inlineStr">
        <is>
          <t>Sinyal, ayna, kalkış. Görevli bir şey yazdı. İyi bir şeymiş.</t>
        </is>
      </c>
      <c r="I450" s="6" t="inlineStr">
        <is>
          <t>Kusursuz sürüş. Görevli otuz yılda ilk kez gülümsedi ve 'Park da yap bakalım' dedi. Yaptın.</t>
        </is>
      </c>
      <c r="J450" s="6" t="inlineStr">
        <is>
          <t>Kitabına uygun yaptın. Kitapta olmayan bir kedi yola çıktı. Kaldın.</t>
        </is>
      </c>
      <c r="K450" s="6" t="inlineStr">
        <is>
          <t>Aynaya o kadar uzun baktın ki görevli 'Kendine mi bakıyorsun?' diye sordu. Tutanağa geçti.</t>
        </is>
      </c>
      <c r="L450" s="6" t="inlineStr"/>
      <c r="M450" s="5" t="inlineStr"/>
      <c r="N450" s="5" t="inlineStr"/>
      <c r="O450" s="6" t="inlineStr"/>
      <c r="P450" s="6" t="inlineStr"/>
      <c r="Q450" s="5" t="inlineStr"/>
      <c r="R450" s="5" t="inlineStr"/>
      <c r="S450" s="5" t="inlineStr"/>
      <c r="T450" s="5" t="inlineStr"/>
      <c r="U450" s="5" t="inlineStr"/>
      <c r="V450" s="5" t="inlineStr">
        <is>
          <t>ehliyetli</t>
        </is>
      </c>
      <c r="W450" s="5" t="inlineStr"/>
      <c r="X450" s="5" t="inlineStr"/>
      <c r="Y450" s="5" t="inlineStr"/>
      <c r="Z450" s="6" t="inlineStr"/>
    </row>
    <row r="451">
      <c r="A451" s="5" t="inlineStr">
        <is>
          <t>b6-ehliyet</t>
        </is>
      </c>
      <c r="B451" s="5" t="n">
        <v>2</v>
      </c>
      <c r="C451" s="6" t="inlineStr">
        <is>
          <t>Yokuşta el frenine güven</t>
        </is>
      </c>
      <c r="D451" s="5" t="inlineStr">
        <is>
          <t>Dayanıklılık</t>
        </is>
      </c>
      <c r="E451" s="5" t="inlineStr">
        <is>
          <t>Orta</t>
        </is>
      </c>
      <c r="F451" s="5" t="inlineStr"/>
      <c r="G451" s="6" t="inlineStr"/>
      <c r="H451" s="6" t="inlineStr">
        <is>
          <t>El freni, debriyaj, sabır. Araba yokuşu çıktı, sen de sınavı.</t>
        </is>
      </c>
      <c r="I451" s="6" t="inlineStr">
        <is>
          <t>Kalkış o kadar yumuşaktı ki görevli ne zaman kalktığınızı sordu.</t>
        </is>
      </c>
      <c r="J451" s="6" t="inlineStr">
        <is>
          <t>Araba geri kaydı. Arkadaki sınav aracındaki aday da seninle birlikte kaldı.</t>
        </is>
      </c>
      <c r="K451" s="6" t="inlineStr">
        <is>
          <t>Araba stop etti. Sonra bir daha. Sonra görevli indi, yokuşu yürüyerek çıktı.</t>
        </is>
      </c>
      <c r="L451" s="6" t="inlineStr"/>
      <c r="M451" s="5" t="inlineStr"/>
      <c r="N451" s="5" t="inlineStr"/>
      <c r="O451" s="6" t="inlineStr"/>
      <c r="P451" s="6" t="inlineStr"/>
      <c r="Q451" s="5" t="inlineStr"/>
      <c r="R451" s="5" t="inlineStr"/>
      <c r="S451" s="5" t="inlineStr"/>
      <c r="T451" s="5" t="inlineStr"/>
      <c r="U451" s="5" t="inlineStr"/>
      <c r="V451" s="5" t="inlineStr">
        <is>
          <t>ehliyetli</t>
        </is>
      </c>
      <c r="W451" s="5" t="inlineStr"/>
      <c r="X451" s="5" t="inlineStr"/>
      <c r="Y451" s="5" t="inlineStr"/>
      <c r="Z451" s="6" t="inlineStr"/>
    </row>
    <row r="452">
      <c r="A452" s="5" t="inlineStr">
        <is>
          <t>b6-ehliyet</t>
        </is>
      </c>
      <c r="B452" s="5" t="n">
        <v>3</v>
      </c>
      <c r="C452" s="6" t="inlineStr">
        <is>
          <t>Görevliyle sohbet aç</t>
        </is>
      </c>
      <c r="D452" s="5" t="inlineStr">
        <is>
          <t>Çene</t>
        </is>
      </c>
      <c r="E452" s="5" t="inlineStr">
        <is>
          <t>Zor</t>
        </is>
      </c>
      <c r="F452" s="5" t="inlineStr"/>
      <c r="G452" s="6" t="inlineStr"/>
      <c r="H452" s="6" t="inlineStr">
        <is>
          <t>Görevli emekli olunca balığa çıkacakmış. Sınav bitti, sen geçtin, konu balıktı.</t>
        </is>
      </c>
      <c r="I452" s="6" t="inlineStr">
        <is>
          <t>Görevli seni oğlunun düğününe davet etti. Ehliyet de posta ile geldi.</t>
        </is>
      </c>
      <c r="J452" s="6" t="inlineStr">
        <is>
          <t>Sohbete daldın, direksiyonu unuttun. Kaldırıma çıktın.</t>
        </is>
      </c>
      <c r="K452" s="6" t="inlineStr">
        <is>
          <t>Görevli 'Konuşma, sür' dedi. Konuşmayı bıraktın. Sürmeyi de.</t>
        </is>
      </c>
      <c r="L452" s="6" t="inlineStr"/>
      <c r="M452" s="5" t="inlineStr"/>
      <c r="N452" s="5" t="inlineStr"/>
      <c r="O452" s="6" t="inlineStr"/>
      <c r="P452" s="6" t="inlineStr"/>
      <c r="Q452" s="5" t="inlineStr"/>
      <c r="R452" s="5" t="inlineStr"/>
      <c r="S452" s="5" t="inlineStr"/>
      <c r="T452" s="5" t="inlineStr"/>
      <c r="U452" s="5" t="inlineStr"/>
      <c r="V452" s="5" t="inlineStr">
        <is>
          <t>ehliyetli</t>
        </is>
      </c>
      <c r="W452" s="5" t="inlineStr"/>
      <c r="X452" s="5" t="inlineStr"/>
      <c r="Y452" s="5" t="inlineStr"/>
      <c r="Z452" s="6" t="inlineStr"/>
    </row>
    <row r="453">
      <c r="A453" s="5" t="inlineStr">
        <is>
          <t>b6-ehliyet</t>
        </is>
      </c>
      <c r="B453" s="5" t="n">
        <v>4</v>
      </c>
      <c r="C453" s="6" t="inlineStr">
        <is>
          <t>Sınavı ertele</t>
        </is>
      </c>
      <c r="D453" s="5" t="inlineStr"/>
      <c r="E453" s="5" t="inlineStr"/>
      <c r="F453" s="5" t="inlineStr">
        <is>
          <t>Vicdan +1</t>
        </is>
      </c>
      <c r="G453" s="6" t="inlineStr">
        <is>
          <t>Sınavı erteledin. Toplu taşıma kartına bir yıllık yükleme yaptın.</t>
        </is>
      </c>
      <c r="H453" s="6" t="inlineStr"/>
      <c r="I453" s="6" t="inlineStr"/>
      <c r="J453" s="6" t="inlineStr"/>
      <c r="K453" s="6" t="inlineStr"/>
      <c r="L453" s="6" t="inlineStr"/>
      <c r="M453" s="5" t="inlineStr"/>
      <c r="N453" s="5" t="inlineStr"/>
      <c r="O453" s="6" t="inlineStr"/>
      <c r="P453" s="6" t="inlineStr"/>
      <c r="Q453" s="5" t="inlineStr"/>
      <c r="R453" s="5" t="inlineStr"/>
      <c r="S453" s="5" t="inlineStr"/>
      <c r="T453" s="5" t="inlineStr"/>
      <c r="U453" s="5" t="inlineStr"/>
      <c r="V453" s="5" t="inlineStr"/>
      <c r="W453" s="5" t="inlineStr"/>
      <c r="X453" s="5" t="inlineStr"/>
      <c r="Y453" s="5" t="inlineStr"/>
      <c r="Z453" s="6" t="inlineStr"/>
    </row>
    <row r="454">
      <c r="A454" s="5" t="inlineStr">
        <is>
          <t>b6-ilk-maas</t>
        </is>
      </c>
      <c r="B454" s="5" t="n">
        <v>1</v>
      </c>
      <c r="C454" s="6" t="inlineStr">
        <is>
          <t>Annene hediye al</t>
        </is>
      </c>
      <c r="D454" s="5" t="inlineStr"/>
      <c r="E454" s="5" t="inlineStr"/>
      <c r="F454" s="5" t="inlineStr">
        <is>
          <t>Vicdan +2</t>
        </is>
      </c>
      <c r="G454" s="6" t="inlineStr">
        <is>
          <t>Annene bir şal aldın. Şal dolaba kaldırıldı: 'Özel günlerde takarım.' Özel gün hiç gelmedi.</t>
        </is>
      </c>
      <c r="H454" s="6" t="inlineStr"/>
      <c r="I454" s="6" t="inlineStr"/>
      <c r="J454" s="6" t="inlineStr"/>
      <c r="K454" s="6" t="inlineStr"/>
      <c r="L454" s="6" t="inlineStr"/>
      <c r="M454" s="5" t="inlineStr"/>
      <c r="N454" s="5" t="inlineStr"/>
      <c r="O454" s="6" t="inlineStr"/>
      <c r="P454" s="6" t="inlineStr"/>
      <c r="Q454" s="5" t="inlineStr"/>
      <c r="R454" s="5" t="inlineStr"/>
      <c r="S454" s="5" t="inlineStr"/>
      <c r="T454" s="5" t="inlineStr"/>
      <c r="U454" s="5" t="inlineStr"/>
      <c r="V454" s="5" t="inlineStr"/>
      <c r="W454" s="5" t="inlineStr"/>
      <c r="X454" s="5" t="inlineStr"/>
      <c r="Y454" s="5" t="inlineStr"/>
      <c r="Z454" s="6" t="inlineStr"/>
    </row>
    <row r="455">
      <c r="A455" s="5" t="inlineStr">
        <is>
          <t>b6-ilk-maas</t>
        </is>
      </c>
      <c r="B455" s="5" t="n">
        <v>2</v>
      </c>
      <c r="C455" s="6" t="inlineStr">
        <is>
          <t>Hepsini harca</t>
        </is>
      </c>
      <c r="D455" s="5" t="inlineStr"/>
      <c r="E455" s="5" t="inlineStr"/>
      <c r="F455" s="5" t="inlineStr">
        <is>
          <t>Pişkinlik +1, Çene +1</t>
        </is>
      </c>
      <c r="G455" s="6" t="inlineStr">
        <is>
          <t>Maaş üç günde bitti. Kalan yirmi yedi gün için 'deneyim yatırımı' açıklaması hazırladın.</t>
        </is>
      </c>
      <c r="H455" s="6" t="inlineStr"/>
      <c r="I455" s="6" t="inlineStr"/>
      <c r="J455" s="6" t="inlineStr"/>
      <c r="K455" s="6" t="inlineStr"/>
      <c r="L455" s="6" t="inlineStr"/>
      <c r="M455" s="5" t="inlineStr"/>
      <c r="N455" s="5" t="inlineStr"/>
      <c r="O455" s="6" t="inlineStr"/>
      <c r="P455" s="6" t="inlineStr"/>
      <c r="Q455" s="5" t="inlineStr"/>
      <c r="R455" s="5" t="inlineStr"/>
      <c r="S455" s="5" t="inlineStr"/>
      <c r="T455" s="5" t="inlineStr"/>
      <c r="U455" s="5" t="inlineStr"/>
      <c r="V455" s="5" t="inlineStr"/>
      <c r="W455" s="5" t="inlineStr"/>
      <c r="X455" s="5" t="inlineStr"/>
      <c r="Y455" s="5" t="inlineStr"/>
      <c r="Z455" s="6" t="inlineStr"/>
    </row>
    <row r="456">
      <c r="A456" s="5" t="inlineStr">
        <is>
          <t>b6-ilk-maas</t>
        </is>
      </c>
      <c r="B456" s="5" t="n">
        <v>3</v>
      </c>
      <c r="C456" s="6" t="inlineStr">
        <is>
          <t>Bütçe tablosu yap</t>
        </is>
      </c>
      <c r="D456" s="5" t="inlineStr">
        <is>
          <t>Akıl</t>
        </is>
      </c>
      <c r="E456" s="5" t="inlineStr">
        <is>
          <t>Zor</t>
        </is>
      </c>
      <c r="F456" s="5" t="inlineStr"/>
      <c r="G456" s="6" t="inlineStr"/>
      <c r="H456" s="6" t="inlineStr">
        <is>
          <t>Tablo hazır. Gelir tek satır, giderler iki sayfa. Ama renkli.</t>
        </is>
      </c>
      <c r="I456" s="6" t="inlineStr">
        <is>
          <t>Tabloyu ay sonuna kadar tuttun ve para arttı. Olay aile tarihine 'mucize' olarak geçti.</t>
        </is>
      </c>
      <c r="J456" s="6" t="inlineStr">
        <is>
          <t>Tablo yaptın. İkinci hafta tabloya bakmayı bıraktın. Tablo sana bakmaya devam etti.</t>
        </is>
      </c>
      <c r="K456" s="6" t="inlineStr">
        <is>
          <t>Formül hatası yüzünden ay sonunda zengin görünüyordun. Harcadın.</t>
        </is>
      </c>
      <c r="L456" s="6" t="inlineStr"/>
      <c r="M456" s="5" t="inlineStr"/>
      <c r="N456" s="5" t="inlineStr"/>
      <c r="O456" s="6" t="inlineStr"/>
      <c r="P456" s="6" t="inlineStr"/>
      <c r="Q456" s="5" t="inlineStr"/>
      <c r="R456" s="5" t="inlineStr"/>
      <c r="S456" s="5" t="inlineStr"/>
      <c r="T456" s="5" t="inlineStr">
        <is>
          <t>Bütçe Tablocusu</t>
        </is>
      </c>
      <c r="U456" s="5" t="inlineStr"/>
      <c r="V456" s="5" t="inlineStr"/>
      <c r="W456" s="5" t="inlineStr"/>
      <c r="X456" s="5" t="inlineStr"/>
      <c r="Y456" s="5" t="inlineStr"/>
      <c r="Z456" s="6" t="inlineStr"/>
    </row>
    <row r="457">
      <c r="A457" s="5" t="inlineStr">
        <is>
          <t>b6-ilk-maas</t>
        </is>
      </c>
      <c r="B457" s="5" t="n">
        <v>4</v>
      </c>
      <c r="C457" s="6" t="inlineStr">
        <is>
          <t>Yarısını yastık altına koy</t>
        </is>
      </c>
      <c r="D457" s="5" t="inlineStr">
        <is>
          <t>Kurnazlık</t>
        </is>
      </c>
      <c r="E457" s="5" t="inlineStr">
        <is>
          <t>Kolay</t>
        </is>
      </c>
      <c r="F457" s="5" t="inlineStr"/>
      <c r="G457" s="6" t="inlineStr"/>
      <c r="H457" s="6" t="inlineStr">
        <is>
          <t>Ay sonunda yastığın altından bir hazine çıktı. Kendi hazinen.</t>
        </is>
      </c>
      <c r="I457" s="6" t="inlineStr">
        <is>
          <t>Birikim dolaptan yatağa, yataktan yastığa göç etti ve büyüdü. Makarya Merkez Bankası izlemede.</t>
        </is>
      </c>
      <c r="J457" s="6" t="inlineStr">
        <is>
          <t>Sakladın. Yastık kılıfını annen yıkamaya götürdü.</t>
        </is>
      </c>
      <c r="K457" s="6" t="inlineStr">
        <is>
          <t>Sakladın, yerini unuttun. Üç yıl sonra taşınırken bulacaksın. Değeri yarıya inmiş olacak.</t>
        </is>
      </c>
      <c r="L457" s="6" t="inlineStr"/>
      <c r="M457" s="5" t="inlineStr"/>
      <c r="N457" s="5" t="inlineStr"/>
      <c r="O457" s="6" t="inlineStr"/>
      <c r="P457" s="6" t="inlineStr"/>
      <c r="Q457" s="5" t="inlineStr">
        <is>
          <t>Yastık Altı Ekonomisti</t>
        </is>
      </c>
      <c r="R457" s="5" t="inlineStr"/>
      <c r="S457" s="5" t="inlineStr"/>
      <c r="T457" s="5" t="inlineStr"/>
      <c r="U457" s="5" t="inlineStr"/>
      <c r="V457" s="5" t="inlineStr"/>
      <c r="W457" s="5" t="inlineStr"/>
      <c r="X457" s="5" t="inlineStr"/>
      <c r="Y457" s="5" t="inlineStr"/>
      <c r="Z457" s="6" t="inlineStr"/>
    </row>
    <row r="458">
      <c r="A458" s="5" t="inlineStr">
        <is>
          <t>b6-usta-cirak</t>
        </is>
      </c>
      <c r="B458" s="5" t="n">
        <v>1</v>
      </c>
      <c r="C458" s="6" t="inlineStr">
        <is>
          <t>Çayı mükemmelleştir</t>
        </is>
      </c>
      <c r="D458" s="5" t="inlineStr"/>
      <c r="E458" s="5" t="inlineStr"/>
      <c r="F458" s="5" t="inlineStr">
        <is>
          <t>Vicdan +1, Dayanıklılık +1</t>
        </is>
      </c>
      <c r="G458" s="6" t="inlineStr">
        <is>
          <t>Çayın ustanın ağzına layık oldu. Dükkana gelen herkes çay için kalıyor. İş hâlâ yok.</t>
        </is>
      </c>
      <c r="H458" s="6" t="inlineStr"/>
      <c r="I458" s="6" t="inlineStr"/>
      <c r="J458" s="6" t="inlineStr"/>
      <c r="K458" s="6" t="inlineStr"/>
      <c r="L458" s="6" t="inlineStr"/>
      <c r="M458" s="5" t="inlineStr"/>
      <c r="N458" s="5" t="inlineStr"/>
      <c r="O458" s="6" t="inlineStr"/>
      <c r="P458" s="6" t="inlineStr"/>
      <c r="Q458" s="5" t="inlineStr"/>
      <c r="R458" s="5" t="inlineStr"/>
      <c r="S458" s="5" t="inlineStr"/>
      <c r="T458" s="5" t="inlineStr"/>
      <c r="U458" s="5" t="inlineStr"/>
      <c r="V458" s="5" t="inlineStr"/>
      <c r="W458" s="5" t="inlineStr"/>
      <c r="X458" s="5" t="inlineStr"/>
      <c r="Y458" s="5" t="inlineStr"/>
      <c r="Z458" s="6" t="inlineStr"/>
    </row>
    <row r="459">
      <c r="A459" s="5" t="inlineStr">
        <is>
          <t>b6-usta-cirak</t>
        </is>
      </c>
      <c r="B459" s="5" t="n">
        <v>2</v>
      </c>
      <c r="C459" s="6" t="inlineStr">
        <is>
          <t>Ustayı gizlice izle</t>
        </is>
      </c>
      <c r="D459" s="5" t="inlineStr">
        <is>
          <t>Sosyal Radar</t>
        </is>
      </c>
      <c r="E459" s="5" t="inlineStr">
        <is>
          <t>Orta</t>
        </is>
      </c>
      <c r="F459" s="5" t="inlineStr"/>
      <c r="G459" s="6" t="inlineStr"/>
      <c r="H459" s="6" t="inlineStr">
        <is>
          <t>Ustanın ellerini üç ay izledin. Bir sabah o tuhaf sesin nereden geldiğini buldun.</t>
        </is>
      </c>
      <c r="I459" s="6" t="inlineStr">
        <is>
          <t>Usta bir gün 'Sen yap' deyip çıktı. Döndüğünde motor çalışıyordu. Sana ilk kez çayı o koydu.</t>
        </is>
      </c>
      <c r="J459" s="6" t="inlineStr">
        <is>
          <t>İzledin ama usta hep sırtını dönüyordu. Sırtını çok iyi tanıyorsun artık.</t>
        </is>
      </c>
      <c r="K459" s="6" t="inlineStr">
        <is>
          <t>İzlerken sökülen parçaları karıştırdın. Müşterinin arabası şimdi bir ses daha çıkarıyor.</t>
        </is>
      </c>
      <c r="L459" s="6" t="inlineStr"/>
      <c r="M459" s="5" t="inlineStr"/>
      <c r="N459" s="5" t="inlineStr"/>
      <c r="O459" s="6" t="inlineStr"/>
      <c r="P459" s="6" t="inlineStr"/>
      <c r="Q459" s="5" t="inlineStr"/>
      <c r="R459" s="5" t="inlineStr"/>
      <c r="S459" s="5" t="inlineStr"/>
      <c r="T459" s="5" t="inlineStr"/>
      <c r="U459" s="5" t="inlineStr"/>
      <c r="V459" s="5" t="inlineStr">
        <is>
          <t>usta-eli</t>
        </is>
      </c>
      <c r="W459" s="5" t="inlineStr"/>
      <c r="X459" s="5" t="inlineStr"/>
      <c r="Y459" s="5" t="inlineStr"/>
      <c r="Z459" s="6" t="inlineStr"/>
    </row>
    <row r="460">
      <c r="A460" s="5" t="inlineStr">
        <is>
          <t>b6-usta-cirak</t>
        </is>
      </c>
      <c r="B460" s="5" t="n">
        <v>3</v>
      </c>
      <c r="C460" s="6" t="inlineStr">
        <is>
          <t>O özel vidanın yerini bul</t>
        </is>
      </c>
      <c r="D460" s="5" t="inlineStr">
        <is>
          <t>Kurnazlık</t>
        </is>
      </c>
      <c r="E460" s="5" t="inlineStr">
        <is>
          <t>Zor</t>
        </is>
      </c>
      <c r="F460" s="5" t="inlineStr"/>
      <c r="G460" s="6" t="inlineStr"/>
      <c r="H460" s="6" t="inlineStr">
        <is>
          <t>Vidayı buldun. Ustaya söylemedin. Aranızda artık sessiz bir eşitlik var.</t>
        </is>
      </c>
      <c r="I460" s="6" t="inlineStr">
        <is>
          <t>Vidayla birlikte otuz yıllık fiyat defterini de buldun. Ustalık belgesi değil ama yakın.</t>
        </is>
      </c>
      <c r="J460" s="6" t="inlineStr">
        <is>
          <t>Vidayı ararken usta arkandaydı. 'Bir şey mi kaybettin?' dedi.</t>
        </is>
      </c>
      <c r="K460" s="6" t="inlineStr">
        <is>
          <t>Vida yerine çay ocağının altındaki eski kasayı buldun. Usta ertesi gün kilidi değiştirdi.</t>
        </is>
      </c>
      <c r="L460" s="6" t="inlineStr"/>
      <c r="M460" s="5" t="inlineStr"/>
      <c r="N460" s="5" t="inlineStr"/>
      <c r="O460" s="6" t="inlineStr"/>
      <c r="P460" s="6" t="inlineStr"/>
      <c r="Q460" s="5" t="inlineStr"/>
      <c r="R460" s="5" t="inlineStr"/>
      <c r="S460" s="5" t="inlineStr">
        <is>
          <t>Kurnazlık</t>
        </is>
      </c>
      <c r="T460" s="5" t="inlineStr"/>
      <c r="U460" s="5" t="inlineStr"/>
      <c r="V460" s="5" t="inlineStr">
        <is>
          <t>usta-eli</t>
        </is>
      </c>
      <c r="W460" s="5" t="inlineStr"/>
      <c r="X460" s="5" t="inlineStr"/>
      <c r="Y460" s="5" t="inlineStr"/>
      <c r="Z460" s="6" t="inlineStr"/>
    </row>
    <row r="461">
      <c r="A461" s="5" t="inlineStr">
        <is>
          <t>b6-usta-cirak</t>
        </is>
      </c>
      <c r="B461" s="5" t="n">
        <v>4</v>
      </c>
      <c r="C461" s="6" t="inlineStr">
        <is>
          <t>Kendi yöntemini dene</t>
        </is>
      </c>
      <c r="D461" s="5" t="inlineStr">
        <is>
          <t>Cesaret</t>
        </is>
      </c>
      <c r="E461" s="5" t="inlineStr">
        <is>
          <t>Zor</t>
        </is>
      </c>
      <c r="F461" s="5" t="inlineStr"/>
      <c r="G461" s="6" t="inlineStr"/>
      <c r="H461" s="6" t="inlineStr">
        <is>
          <t>Kendi yönteminle tamir ettin. Usta 'Bu da bir yol' dedi. Övgü sayılıyor.</t>
        </is>
      </c>
      <c r="I461" s="6" t="inlineStr">
        <is>
          <t>Yöntemin ustanınkinden hızlı çıktı. Usta iki gün konuşmadı, üçüncü gün aynısını yaptı.</t>
        </is>
      </c>
      <c r="J461" s="6" t="inlineStr">
        <is>
          <t>Kendi yöntemin başka bir parçayı da söktü.</t>
        </is>
      </c>
      <c r="K461" s="6" t="inlineStr">
        <is>
          <t>Araba çalıştı. Ama yalnızca geri geri gidiyor.</t>
        </is>
      </c>
      <c r="L461" s="6" t="inlineStr"/>
      <c r="M461" s="5" t="inlineStr"/>
      <c r="N461" s="5" t="inlineStr"/>
      <c r="O461" s="6" t="inlineStr"/>
      <c r="P461" s="6" t="inlineStr"/>
      <c r="Q461" s="5" t="inlineStr"/>
      <c r="R461" s="5" t="inlineStr"/>
      <c r="S461" s="5" t="inlineStr"/>
      <c r="T461" s="5" t="inlineStr"/>
      <c r="U461" s="5" t="inlineStr"/>
      <c r="V461" s="5" t="inlineStr"/>
      <c r="W461" s="5" t="inlineStr"/>
      <c r="X461" s="5" t="inlineStr"/>
      <c r="Y461" s="5" t="inlineStr"/>
      <c r="Z461" s="6" t="inlineStr"/>
    </row>
    <row r="462">
      <c r="A462" s="5" t="inlineStr">
        <is>
          <t>b6-final-haftasi</t>
        </is>
      </c>
      <c r="B462" s="5" t="n">
        <v>1</v>
      </c>
      <c r="C462" s="6" t="inlineStr">
        <is>
          <t>Sabaha kadar çalış</t>
        </is>
      </c>
      <c r="D462" s="5" t="inlineStr"/>
      <c r="E462" s="5" t="inlineStr"/>
      <c r="F462" s="5" t="inlineStr">
        <is>
          <t>Dayanıklılık +2, Akıl +1</t>
        </is>
      </c>
      <c r="G462" s="6" t="inlineStr">
        <is>
          <t>Sabaha kadar çalıştın. Sınavda her şeyi hatırladın, yalnızca sırasını değil.</t>
        </is>
      </c>
      <c r="H462" s="6" t="inlineStr"/>
      <c r="I462" s="6" t="inlineStr"/>
      <c r="J462" s="6" t="inlineStr"/>
      <c r="K462" s="6" t="inlineStr"/>
      <c r="L462" s="6" t="inlineStr"/>
      <c r="M462" s="5" t="inlineStr"/>
      <c r="N462" s="5" t="inlineStr"/>
      <c r="O462" s="6" t="inlineStr"/>
      <c r="P462" s="6" t="inlineStr"/>
      <c r="Q462" s="5" t="inlineStr"/>
      <c r="R462" s="5" t="inlineStr"/>
      <c r="S462" s="5" t="inlineStr"/>
      <c r="T462" s="5" t="inlineStr"/>
      <c r="U462" s="5" t="inlineStr"/>
      <c r="V462" s="5" t="inlineStr"/>
      <c r="W462" s="5" t="inlineStr"/>
      <c r="X462" s="5" t="inlineStr"/>
      <c r="Y462" s="5" t="inlineStr"/>
      <c r="Z462" s="6" t="inlineStr"/>
    </row>
    <row r="463">
      <c r="A463" s="5" t="inlineStr">
        <is>
          <t>b6-final-haftasi</t>
        </is>
      </c>
      <c r="B463" s="5" t="n">
        <v>2</v>
      </c>
      <c r="C463" s="6" t="inlineStr">
        <is>
          <t>Geçen yılın sorularını bul</t>
        </is>
      </c>
      <c r="D463" s="5" t="inlineStr">
        <is>
          <t>Kurnazlık</t>
        </is>
      </c>
      <c r="E463" s="5" t="inlineStr">
        <is>
          <t>Kolay</t>
        </is>
      </c>
      <c r="F463" s="5" t="inlineStr"/>
      <c r="G463" s="6" t="inlineStr"/>
      <c r="H463" s="6" t="inlineStr">
        <is>
          <t>Geçen yılın soruları birebir çıktı. Sınıfın yarısı o fotokopiciyi bilmiyordu.</t>
        </is>
      </c>
      <c r="I463" s="6" t="inlineStr">
        <is>
          <t>Son beş yılın soruları elinde. Fotokopici seni ortak yapmayı teklif etti.</t>
        </is>
      </c>
      <c r="J463" s="6" t="inlineStr">
        <is>
          <t>Soruları buldun. Hoca bu yıl emekli olmuş, yerine gelen kendi sorularını getirmiş.</t>
        </is>
      </c>
      <c r="K463" s="6" t="inlineStr">
        <is>
          <t>Bulduğun sorular başka bölümünmüş. Sınavda istatistik bekledin, edebiyat geldi.</t>
        </is>
      </c>
      <c r="L463" s="6" t="inlineStr"/>
      <c r="M463" s="5" t="inlineStr"/>
      <c r="N463" s="5" t="inlineStr"/>
      <c r="O463" s="6" t="inlineStr"/>
      <c r="P463" s="6" t="inlineStr"/>
      <c r="Q463" s="5" t="inlineStr"/>
      <c r="R463" s="5" t="inlineStr"/>
      <c r="S463" s="5" t="inlineStr">
        <is>
          <t>Akıl</t>
        </is>
      </c>
      <c r="T463" s="5" t="inlineStr"/>
      <c r="U463" s="5" t="inlineStr"/>
      <c r="V463" s="5" t="inlineStr"/>
      <c r="W463" s="5" t="inlineStr"/>
      <c r="X463" s="5" t="inlineStr"/>
      <c r="Y463" s="5" t="inlineStr"/>
      <c r="Z463" s="6" t="inlineStr"/>
    </row>
    <row r="464">
      <c r="A464" s="5" t="inlineStr">
        <is>
          <t>b6-final-haftasi</t>
        </is>
      </c>
      <c r="B464" s="5" t="n">
        <v>3</v>
      </c>
      <c r="C464" s="6" t="inlineStr">
        <is>
          <t>Çalışma grubu kur</t>
        </is>
      </c>
      <c r="D464" s="5" t="inlineStr">
        <is>
          <t>Sosyal Radar</t>
        </is>
      </c>
      <c r="E464" s="5" t="inlineStr">
        <is>
          <t>Orta</t>
        </is>
      </c>
      <c r="F464" s="5" t="inlineStr"/>
      <c r="G464" s="6" t="inlineStr"/>
      <c r="H464" s="6" t="inlineStr">
        <is>
          <t>Üç saat çalışıldı, iki saat yemek siparişi tartışıldı. Verimlilik yüksek.</t>
        </is>
      </c>
      <c r="I464" s="6" t="inlineStr">
        <is>
          <t>Grubun en iyisi herkese özet çıkardı. Senin katkın grubun adıydı. Yeterli oldu.</t>
        </is>
      </c>
      <c r="J464" s="6" t="inlineStr">
        <is>
          <t>Grup adı üzerinde anlaşılamadı. Sınav geldi.</t>
        </is>
      </c>
      <c r="K464" s="6" t="inlineStr">
        <is>
          <t>Herkes senin notlarına güveniyordu. Senin notun yoktu.</t>
        </is>
      </c>
      <c r="L464" s="6" t="inlineStr"/>
      <c r="M464" s="5" t="inlineStr"/>
      <c r="N464" s="5" t="inlineStr"/>
      <c r="O464" s="6" t="inlineStr"/>
      <c r="P464" s="6" t="inlineStr"/>
      <c r="Q464" s="5" t="inlineStr"/>
      <c r="R464" s="5" t="inlineStr"/>
      <c r="S464" s="5" t="inlineStr"/>
      <c r="T464" s="5" t="inlineStr"/>
      <c r="U464" s="5" t="inlineStr"/>
      <c r="V464" s="5" t="inlineStr"/>
      <c r="W464" s="5" t="inlineStr"/>
      <c r="X464" s="5" t="inlineStr"/>
      <c r="Y464" s="5" t="inlineStr"/>
      <c r="Z464" s="6" t="inlineStr"/>
    </row>
    <row r="465">
      <c r="A465" s="5" t="inlineStr">
        <is>
          <t>b6-final-haftasi</t>
        </is>
      </c>
      <c r="B465" s="5" t="n">
        <v>4</v>
      </c>
      <c r="C465" s="6" t="inlineStr">
        <is>
          <t>Hocaya e-posta at</t>
        </is>
      </c>
      <c r="D465" s="5" t="inlineStr">
        <is>
          <t>Pişkinlik</t>
        </is>
      </c>
      <c r="E465" s="5" t="inlineStr">
        <is>
          <t>Zor</t>
        </is>
      </c>
      <c r="F465" s="5" t="inlineStr"/>
      <c r="G465" s="6" t="inlineStr"/>
      <c r="H465" s="6" t="inlineStr">
        <is>
          <t>'Konu kapsamı' sordun. Cevap: 'Her şey.' Yine de bir bilgi.</t>
        </is>
      </c>
      <c r="I465" s="6" t="inlineStr">
        <is>
          <t>Hoca iki konuyu kapsamdan çıkardı. Bütün bölüm seni tanımadan sevdi.</t>
        </is>
      </c>
      <c r="J465" s="6" t="inlineStr">
        <is>
          <t>E-postan 'Sayın hocam' ile başlayıp 'özeti yok mu' ile bitti. Cevap gelmedi.</t>
        </is>
      </c>
      <c r="K465" s="6" t="inlineStr">
        <is>
          <t>E-postayı bölümün bütün öğretim üyelerine attın. Adın bir kurul gündemine girdi.</t>
        </is>
      </c>
      <c r="L465" s="6" t="inlineStr"/>
      <c r="M465" s="5" t="inlineStr"/>
      <c r="N465" s="5" t="inlineStr"/>
      <c r="O465" s="6" t="inlineStr"/>
      <c r="P465" s="6" t="inlineStr"/>
      <c r="Q465" s="5" t="inlineStr"/>
      <c r="R465" s="5" t="inlineStr"/>
      <c r="S465" s="5" t="inlineStr"/>
      <c r="T465" s="5" t="inlineStr"/>
      <c r="U465" s="5" t="inlineStr"/>
      <c r="V465" s="5" t="inlineStr"/>
      <c r="W465" s="5" t="inlineStr"/>
      <c r="X465" s="5" t="inlineStr"/>
      <c r="Y465" s="5" t="inlineStr"/>
      <c r="Z465" s="6" t="inlineStr"/>
    </row>
    <row r="466">
      <c r="A466" s="5" t="inlineStr">
        <is>
          <t>b6-kredi-karti</t>
        </is>
      </c>
      <c r="B466" s="5" t="n">
        <v>1</v>
      </c>
      <c r="C466" s="6" t="inlineStr">
        <is>
          <t>Kartı reddet</t>
        </is>
      </c>
      <c r="D466" s="5" t="inlineStr"/>
      <c r="E466" s="5" t="inlineStr"/>
      <c r="F466" s="5" t="inlineStr">
        <is>
          <t>Vicdan +2</t>
        </is>
      </c>
      <c r="G466" s="6" t="inlineStr">
        <is>
          <t>Reddettin. Banka üç gün sonra yine aradı. Sonra yine. İlişki tek taraflı.</t>
        </is>
      </c>
      <c r="H466" s="6" t="inlineStr"/>
      <c r="I466" s="6" t="inlineStr"/>
      <c r="J466" s="6" t="inlineStr"/>
      <c r="K466" s="6" t="inlineStr"/>
      <c r="L466" s="6" t="inlineStr"/>
      <c r="M466" s="5" t="inlineStr"/>
      <c r="N466" s="5" t="inlineStr"/>
      <c r="O466" s="6" t="inlineStr"/>
      <c r="P466" s="6" t="inlineStr"/>
      <c r="Q466" s="5" t="inlineStr"/>
      <c r="R466" s="5" t="inlineStr"/>
      <c r="S466" s="5" t="inlineStr"/>
      <c r="T466" s="5" t="inlineStr"/>
      <c r="U466" s="5" t="inlineStr"/>
      <c r="V466" s="5" t="inlineStr"/>
      <c r="W466" s="5" t="inlineStr"/>
      <c r="X466" s="5" t="inlineStr"/>
      <c r="Y466" s="5" t="inlineStr"/>
      <c r="Z466" s="6" t="inlineStr"/>
    </row>
    <row r="467">
      <c r="A467" s="5" t="inlineStr">
        <is>
          <t>b6-kredi-karti</t>
        </is>
      </c>
      <c r="B467" s="5" t="n">
        <v>2</v>
      </c>
      <c r="C467" s="6" t="inlineStr">
        <is>
          <t>Sadece acil durumlar için al</t>
        </is>
      </c>
      <c r="D467" s="5" t="inlineStr">
        <is>
          <t>Dayanıklılık</t>
        </is>
      </c>
      <c r="E467" s="5" t="inlineStr">
        <is>
          <t>Orta</t>
        </is>
      </c>
      <c r="F467" s="5" t="inlineStr"/>
      <c r="G467" s="6" t="inlineStr"/>
      <c r="H467" s="6" t="inlineStr">
        <is>
          <t>Kart çekmecede durdu. Acil durum bir kez yaşandı: kargo ücreti.</t>
        </is>
      </c>
      <c r="I467" s="6" t="inlineStr">
        <is>
          <t>Kart bir yıl çekmecede bekledi. Banka limiti artırdı, sen harcamayı artırmadın.</t>
        </is>
      </c>
      <c r="J467" s="6" t="inlineStr">
        <is>
          <t>Acil durum tanımın zamanla genişledi. Kahve de acil durum oldu.</t>
        </is>
      </c>
      <c r="K467" s="6" t="inlineStr">
        <is>
          <t>Acil durumlar listesi kırk maddeye ulaştı. Asgari ödeme artık bir yaşam tarzı.</t>
        </is>
      </c>
      <c r="L467" s="6" t="inlineStr"/>
      <c r="M467" s="5" t="inlineStr"/>
      <c r="N467" s="5" t="inlineStr"/>
      <c r="O467" s="6" t="inlineStr"/>
      <c r="P467" s="6" t="inlineStr"/>
      <c r="Q467" s="5" t="inlineStr"/>
      <c r="R467" s="5" t="inlineStr"/>
      <c r="S467" s="5" t="inlineStr"/>
      <c r="T467" s="5" t="inlineStr"/>
      <c r="U467" s="5" t="inlineStr"/>
      <c r="V467" s="5" t="inlineStr"/>
      <c r="W467" s="5" t="inlineStr">
        <is>
          <t>borclu</t>
        </is>
      </c>
      <c r="X467" s="5" t="inlineStr"/>
      <c r="Y467" s="5" t="inlineStr"/>
      <c r="Z467" s="6" t="inlineStr"/>
    </row>
    <row r="468">
      <c r="A468" s="5" t="inlineStr">
        <is>
          <t>b6-kredi-karti</t>
        </is>
      </c>
      <c r="B468" s="5" t="n">
        <v>3</v>
      </c>
      <c r="C468" s="6" t="inlineStr">
        <is>
          <t>Limiti sonuna kadar kullan</t>
        </is>
      </c>
      <c r="D468" s="5" t="inlineStr"/>
      <c r="E468" s="5" t="inlineStr"/>
      <c r="F468" s="5" t="inlineStr">
        <is>
          <t>Pişkinlik +2</t>
        </is>
      </c>
      <c r="G468" s="6" t="inlineStr">
        <is>
          <t>Limiti bir haftada doldurdun. Banka hemen yeni limit teklif etti. Ne kadar düşünceli.</t>
        </is>
      </c>
      <c r="H468" s="6" t="inlineStr"/>
      <c r="I468" s="6" t="inlineStr"/>
      <c r="J468" s="6" t="inlineStr"/>
      <c r="K468" s="6" t="inlineStr"/>
      <c r="L468" s="6" t="inlineStr"/>
      <c r="M468" s="5" t="inlineStr"/>
      <c r="N468" s="5" t="inlineStr"/>
      <c r="O468" s="6" t="inlineStr"/>
      <c r="P468" s="6" t="inlineStr"/>
      <c r="Q468" s="5" t="inlineStr"/>
      <c r="R468" s="5" t="inlineStr"/>
      <c r="S468" s="5" t="inlineStr"/>
      <c r="T468" s="5" t="inlineStr"/>
      <c r="U468" s="5" t="inlineStr">
        <is>
          <t>borclu</t>
        </is>
      </c>
      <c r="V468" s="5" t="inlineStr"/>
      <c r="W468" s="5" t="inlineStr"/>
      <c r="X468" s="5" t="inlineStr"/>
      <c r="Y468" s="5" t="inlineStr"/>
      <c r="Z468" s="6" t="inlineStr"/>
    </row>
    <row r="469">
      <c r="A469" s="5" t="inlineStr">
        <is>
          <t>b6-kredi-karti</t>
        </is>
      </c>
      <c r="B469" s="5" t="n">
        <v>4</v>
      </c>
      <c r="C469" s="6" t="inlineStr">
        <is>
          <t>Faizleri hesapla</t>
        </is>
      </c>
      <c r="D469" s="5" t="inlineStr">
        <is>
          <t>Akıl</t>
        </is>
      </c>
      <c r="E469" s="5" t="inlineStr">
        <is>
          <t>Kolay</t>
        </is>
      </c>
      <c r="F469" s="5" t="inlineStr"/>
      <c r="G469" s="6" t="inlineStr"/>
      <c r="H469" s="6" t="inlineStr">
        <is>
          <t>Faiz tablosunu gördün. Kartı alıp hiç kullanmamaya karar verdin.</t>
        </is>
      </c>
      <c r="I469" s="6" t="inlineStr">
        <is>
          <t>Bankayı arayıp yıllık ücreti iptal ettirdin. Temsilci ilk kez bir müşteriden bir şey öğrendi.</t>
        </is>
      </c>
      <c r="J469" s="6" t="inlineStr">
        <is>
          <t>Hesapladın. Sonuç korkunçtu. Kartı yine de aldın, çünkü tasarımı güzeldi.</t>
        </is>
      </c>
      <c r="K469" s="6" t="inlineStr">
        <is>
          <t>Asgari ödemeyi gelir satırına yazdın. Tablo sana 'Zenginsin' dedi. Tablo yalan söylüyordu.</t>
        </is>
      </c>
      <c r="L469" s="6" t="inlineStr"/>
      <c r="M469" s="5" t="inlineStr"/>
      <c r="N469" s="5" t="inlineStr"/>
      <c r="O469" s="6" t="inlineStr"/>
      <c r="P469" s="6" t="inlineStr"/>
      <c r="Q469" s="5" t="inlineStr">
        <is>
          <t>Bütçe Tablocusu</t>
        </is>
      </c>
      <c r="R469" s="5" t="inlineStr"/>
      <c r="S469" s="5" t="inlineStr"/>
      <c r="T469" s="5" t="inlineStr"/>
      <c r="U469" s="5" t="inlineStr"/>
      <c r="V469" s="5" t="inlineStr"/>
      <c r="W469" s="5" t="inlineStr">
        <is>
          <t>borclu</t>
        </is>
      </c>
      <c r="X469" s="5" t="inlineStr"/>
      <c r="Y469" s="5" t="inlineStr"/>
      <c r="Z469" s="6" t="inlineStr"/>
    </row>
    <row r="470">
      <c r="A470" s="5" t="inlineStr">
        <is>
          <t>b6-ogrenci-kulubu</t>
        </is>
      </c>
      <c r="B470" s="5" t="n">
        <v>1</v>
      </c>
      <c r="C470" s="6" t="inlineStr">
        <is>
          <t>Bir kulübe yazıl, bir daha gitme</t>
        </is>
      </c>
      <c r="D470" s="5" t="inlineStr"/>
      <c r="E470" s="5" t="inlineStr"/>
      <c r="F470" s="5" t="inlineStr">
        <is>
          <t>Kurnazlık +1</t>
        </is>
      </c>
      <c r="G470" s="6" t="inlineStr">
        <is>
          <t>Üye listesinde adın hâlâ duruyor. Aidat hatırlatmaları da.</t>
        </is>
      </c>
      <c r="H470" s="6" t="inlineStr"/>
      <c r="I470" s="6" t="inlineStr"/>
      <c r="J470" s="6" t="inlineStr"/>
      <c r="K470" s="6" t="inlineStr"/>
      <c r="L470" s="6" t="inlineStr"/>
      <c r="M470" s="5" t="inlineStr"/>
      <c r="N470" s="5" t="inlineStr"/>
      <c r="O470" s="6" t="inlineStr"/>
      <c r="P470" s="6" t="inlineStr"/>
      <c r="Q470" s="5" t="inlineStr"/>
      <c r="R470" s="5" t="inlineStr"/>
      <c r="S470" s="5" t="inlineStr"/>
      <c r="T470" s="5" t="inlineStr"/>
      <c r="U470" s="5" t="inlineStr"/>
      <c r="V470" s="5" t="inlineStr"/>
      <c r="W470" s="5" t="inlineStr"/>
      <c r="X470" s="5" t="inlineStr"/>
      <c r="Y470" s="5" t="inlineStr"/>
      <c r="Z470" s="6" t="inlineStr"/>
    </row>
    <row r="471">
      <c r="A471" s="5" t="inlineStr">
        <is>
          <t>b6-ogrenci-kulubu</t>
        </is>
      </c>
      <c r="B471" s="5" t="n">
        <v>2</v>
      </c>
      <c r="C471" s="6" t="inlineStr">
        <is>
          <t>Doğa yürüyüşü kulübüne katıl</t>
        </is>
      </c>
      <c r="D471" s="5" t="inlineStr">
        <is>
          <t>Dayanıklılık</t>
        </is>
      </c>
      <c r="E471" s="5" t="inlineStr">
        <is>
          <t>Orta</t>
        </is>
      </c>
      <c r="F471" s="5" t="inlineStr"/>
      <c r="G471" s="6" t="inlineStr"/>
      <c r="H471" s="6" t="inlineStr">
        <is>
          <t>İlk yürüyüşü bitirdin. Fotoğraflarda hep önde, hep ter içinde.</t>
        </is>
      </c>
      <c r="I471" s="6" t="inlineStr">
        <is>
          <t>Kulübün en hızlı yeni üyesisin. Rota planlaması artık sana soruluyor.</t>
        </is>
      </c>
      <c r="J471" s="6" t="inlineStr">
        <is>
          <t>Otobüste uyudun, döndüğünde 'Harikaydı' dedin.</t>
        </is>
      </c>
      <c r="K471" s="6" t="inlineStr">
        <is>
          <t>Yürüyüşte kayboldun. Kulübün yeni güvenlik yönergesi senin adını taşıyor.</t>
        </is>
      </c>
      <c r="L471" s="6" t="inlineStr"/>
      <c r="M471" s="5" t="inlineStr"/>
      <c r="N471" s="5" t="inlineStr"/>
      <c r="O471" s="6" t="inlineStr"/>
      <c r="P471" s="6" t="inlineStr"/>
      <c r="Q471" s="5" t="inlineStr"/>
      <c r="R471" s="5" t="inlineStr"/>
      <c r="S471" s="5" t="inlineStr"/>
      <c r="T471" s="5" t="inlineStr"/>
      <c r="U471" s="5" t="inlineStr"/>
      <c r="V471" s="5" t="inlineStr"/>
      <c r="W471" s="5" t="inlineStr"/>
      <c r="X471" s="5" t="inlineStr"/>
      <c r="Y471" s="5" t="inlineStr"/>
      <c r="Z471" s="6" t="inlineStr"/>
    </row>
    <row r="472">
      <c r="A472" s="5" t="inlineStr">
        <is>
          <t>b6-ogrenci-kulubu</t>
        </is>
      </c>
      <c r="B472" s="5" t="n">
        <v>3</v>
      </c>
      <c r="C472" s="6" t="inlineStr">
        <is>
          <t>Tiyatro kulübünde rol al</t>
        </is>
      </c>
      <c r="D472" s="5" t="inlineStr">
        <is>
          <t>Pişkinlik</t>
        </is>
      </c>
      <c r="E472" s="5" t="inlineStr">
        <is>
          <t>Orta</t>
        </is>
      </c>
      <c r="F472" s="5" t="inlineStr"/>
      <c r="G472" s="6" t="inlineStr"/>
      <c r="H472" s="6" t="inlineStr">
        <is>
          <t>Sekiz satırlık rolün dördünü söyledin, dördünü doğaçladın. Alkış eşitti.</t>
        </is>
      </c>
      <c r="I472" s="6" t="inlineStr">
        <is>
          <t>Yan rolle başladın, oyunun sonunda herkes senden bahsediyordu.</t>
        </is>
      </c>
      <c r="J472" s="6" t="inlineStr">
        <is>
          <t>Rolün: 'Ağaç 2'. Ağaç 1 daha çok sahnedeydi.</t>
        </is>
      </c>
      <c r="K472" s="6" t="inlineStr">
        <is>
          <t>Sahneye erken çıktın. Önünde hâlâ perde vardı.</t>
        </is>
      </c>
      <c r="L472" s="6" t="inlineStr"/>
      <c r="M472" s="5" t="inlineStr"/>
      <c r="N472" s="5" t="inlineStr"/>
      <c r="O472" s="6" t="inlineStr"/>
      <c r="P472" s="6" t="inlineStr"/>
      <c r="Q472" s="5" t="inlineStr"/>
      <c r="R472" s="5" t="inlineStr"/>
      <c r="S472" s="5" t="inlineStr"/>
      <c r="T472" s="5" t="inlineStr">
        <is>
          <t>Sahne Sever</t>
        </is>
      </c>
      <c r="U472" s="5" t="inlineStr"/>
      <c r="V472" s="5" t="inlineStr"/>
      <c r="W472" s="5" t="inlineStr"/>
      <c r="X472" s="5" t="inlineStr"/>
      <c r="Y472" s="5" t="inlineStr"/>
      <c r="Z472" s="6" t="inlineStr"/>
    </row>
    <row r="473">
      <c r="A473" s="5" t="inlineStr">
        <is>
          <t>b6-ogrenci-kulubu</t>
        </is>
      </c>
      <c r="B473" s="5" t="n">
        <v>4</v>
      </c>
      <c r="C473" s="6" t="inlineStr">
        <is>
          <t>Başkanlığa aday ol</t>
        </is>
      </c>
      <c r="D473" s="5" t="inlineStr">
        <is>
          <t>Çene</t>
        </is>
      </c>
      <c r="E473" s="5" t="inlineStr">
        <is>
          <t>Zor</t>
        </is>
      </c>
      <c r="F473" s="5" t="inlineStr"/>
      <c r="G473" s="6" t="inlineStr"/>
      <c r="H473" s="6" t="inlineStr">
        <is>
          <t>Seçimi kazandın. İlk icraatın bir sonraki toplantıyı ertelemek oldu.</t>
        </is>
      </c>
      <c r="I473" s="6" t="inlineStr">
        <is>
          <t>Oy birliğiyle seçildin. Rakibin sana yardımcı olmak için çekildi. Başkanlık yılları geri döndü.</t>
        </is>
      </c>
      <c r="J473" s="6" t="inlineStr">
        <is>
          <t>Kaybettin. Kazanan senin broşürünü kullanmıştı.</t>
        </is>
      </c>
      <c r="K473" s="6" t="inlineStr">
        <is>
          <t>Tek oyun kendi oyundu. O da geçersiz sayıldı.</t>
        </is>
      </c>
      <c r="L473" s="6" t="inlineStr"/>
      <c r="M473" s="5" t="inlineStr"/>
      <c r="N473" s="5" t="inlineStr"/>
      <c r="O473" s="6" t="inlineStr"/>
      <c r="P473" s="6" t="inlineStr"/>
      <c r="Q473" s="5" t="inlineStr"/>
      <c r="R473" s="5" t="inlineStr">
        <is>
          <t>baskan</t>
        </is>
      </c>
      <c r="S473" s="5" t="inlineStr"/>
      <c r="T473" s="5" t="inlineStr"/>
      <c r="U473" s="5" t="inlineStr"/>
      <c r="V473" s="5" t="inlineStr"/>
      <c r="W473" s="5" t="inlineStr"/>
      <c r="X473" s="5" t="inlineStr"/>
      <c r="Y473" s="5" t="inlineStr"/>
      <c r="Z473" s="6" t="inlineStr"/>
    </row>
    <row r="474">
      <c r="A474" s="5" t="inlineStr">
        <is>
          <t>b6-gece-motor</t>
        </is>
      </c>
      <c r="B474" s="5" t="n">
        <v>1</v>
      </c>
      <c r="C474" s="6" t="inlineStr">
        <is>
          <t>Kaskı tak, yavaş sür</t>
        </is>
      </c>
      <c r="D474" s="5" t="inlineStr"/>
      <c r="E474" s="5" t="inlineStr"/>
      <c r="F474" s="5" t="inlineStr">
        <is>
          <t>Vicdan +1, Dayanıklılık +1</t>
        </is>
      </c>
      <c r="G474" s="6" t="inlineStr">
        <is>
          <t>Yarışa girmedin. Sahilde saatte otuzla tur attın. Martılar seni geçti.</t>
        </is>
      </c>
      <c r="H474" s="6" t="inlineStr"/>
      <c r="I474" s="6" t="inlineStr"/>
      <c r="J474" s="6" t="inlineStr"/>
      <c r="K474" s="6" t="inlineStr"/>
      <c r="L474" s="6" t="inlineStr"/>
      <c r="M474" s="5" t="inlineStr"/>
      <c r="N474" s="5" t="inlineStr"/>
      <c r="O474" s="6" t="inlineStr"/>
      <c r="P474" s="6" t="inlineStr"/>
      <c r="Q474" s="5" t="inlineStr"/>
      <c r="R474" s="5" t="inlineStr"/>
      <c r="S474" s="5" t="inlineStr"/>
      <c r="T474" s="5" t="inlineStr"/>
      <c r="U474" s="5" t="inlineStr"/>
      <c r="V474" s="5" t="inlineStr"/>
      <c r="W474" s="5" t="inlineStr"/>
      <c r="X474" s="5" t="inlineStr"/>
      <c r="Y474" s="5" t="inlineStr"/>
      <c r="Z474" s="6" t="inlineStr"/>
    </row>
    <row r="475">
      <c r="A475" s="5" t="inlineStr">
        <is>
          <t>b6-gece-motor</t>
        </is>
      </c>
      <c r="B475" s="5" t="n">
        <v>2</v>
      </c>
      <c r="C475" s="6" t="inlineStr">
        <is>
          <t>Yarışa katıl</t>
        </is>
      </c>
      <c r="D475" s="5" t="inlineStr">
        <is>
          <t>Cesaret</t>
        </is>
      </c>
      <c r="E475" s="5" t="inlineStr">
        <is>
          <t>Zor</t>
        </is>
      </c>
      <c r="F475" s="5" t="inlineStr"/>
      <c r="G475" s="6" t="inlineStr"/>
      <c r="H475" s="6" t="inlineStr">
        <is>
          <t>Yarışı kazandın. Ödül: sabaha kadar anlatılan bir hikâye ve bir hız cezası.</t>
        </is>
      </c>
      <c r="I475" s="6" t="inlineStr">
        <is>
          <t>Kazandın. Motorun sahibi seni gelecek haftaya davet etti. Motoru geri verip eve gittin.</t>
        </is>
      </c>
      <c r="J475" s="6" t="inlineStr">
        <is>
          <t>Motor son düzlükte stop etti. Onu köprüye kadar ittin.</t>
        </is>
      </c>
      <c r="K475" s="6" t="inlineStr">
        <is>
          <t>Virajı alamadın, kumsala girdin. Motor kumda, sen martıların arasında. Yaralanan tek şey gururun.</t>
        </is>
      </c>
      <c r="L475" s="6" t="inlineStr"/>
      <c r="M475" s="5" t="inlineStr"/>
      <c r="N475" s="5" t="inlineStr"/>
      <c r="O475" s="6" t="inlineStr"/>
      <c r="P475" s="6" t="inlineStr"/>
      <c r="Q475" s="5" t="inlineStr"/>
      <c r="R475" s="5" t="inlineStr"/>
      <c r="S475" s="5" t="inlineStr"/>
      <c r="T475" s="5" t="inlineStr"/>
      <c r="U475" s="5" t="inlineStr"/>
      <c r="V475" s="5" t="inlineStr"/>
      <c r="W475" s="5" t="inlineStr"/>
      <c r="X475" s="5" t="inlineStr"/>
      <c r="Y475" s="5" t="n">
        <v>5</v>
      </c>
      <c r="Z475" s="6" t="inlineStr">
        <is>
          <t>Sahil yolundaki gece yarışında, 'Son viraj' dediği virajda.</t>
        </is>
      </c>
    </row>
    <row r="476">
      <c r="A476" s="5" t="inlineStr">
        <is>
          <t>b6-gece-motor</t>
        </is>
      </c>
      <c r="B476" s="5" t="n">
        <v>3</v>
      </c>
      <c r="C476" s="6" t="inlineStr">
        <is>
          <t>Yarışı organize et, sürme</t>
        </is>
      </c>
      <c r="D476" s="5" t="inlineStr">
        <is>
          <t>Kurnazlık</t>
        </is>
      </c>
      <c r="E476" s="5" t="inlineStr">
        <is>
          <t>Orta</t>
        </is>
      </c>
      <c r="F476" s="5" t="inlineStr"/>
      <c r="G476" s="6" t="inlineStr"/>
      <c r="H476" s="6" t="inlineStr">
        <is>
          <t>Başlangıç bayrağını sen salladın. Kimse seni fark etmedi ama hikâyede sen vardın.</t>
        </is>
      </c>
      <c r="I476" s="6" t="inlineStr">
        <is>
          <t>Kazananı önceden bildin. Herkesin gözünde kâhin oldun ve yarış bir daha yapılmadı.</t>
        </is>
      </c>
      <c r="J476" s="6" t="inlineStr">
        <is>
          <t>Bayrak diye salladığın şey birinin montuydu. Mont sahibi yarışı bıraktı.</t>
        </is>
      </c>
      <c r="K476" s="6" t="inlineStr">
        <is>
          <t>Zabıta geldi ve organizatörü sordu. Herkes aynı anda seni gösterdi.</t>
        </is>
      </c>
      <c r="L476" s="6" t="inlineStr"/>
      <c r="M476" s="5" t="inlineStr"/>
      <c r="N476" s="5" t="inlineStr"/>
      <c r="O476" s="6" t="inlineStr"/>
      <c r="P476" s="6" t="inlineStr"/>
      <c r="Q476" s="5" t="inlineStr"/>
      <c r="R476" s="5" t="inlineStr"/>
      <c r="S476" s="5" t="inlineStr"/>
      <c r="T476" s="5" t="inlineStr"/>
      <c r="U476" s="5" t="inlineStr"/>
      <c r="V476" s="5" t="inlineStr"/>
      <c r="W476" s="5" t="inlineStr"/>
      <c r="X476" s="5" t="inlineStr"/>
      <c r="Y476" s="5" t="inlineStr"/>
      <c r="Z476" s="6" t="inlineStr"/>
    </row>
    <row r="477">
      <c r="A477" s="5" t="inlineStr">
        <is>
          <t>b6-gece-motor</t>
        </is>
      </c>
      <c r="B477" s="5" t="n">
        <v>4</v>
      </c>
      <c r="C477" s="6" t="inlineStr">
        <is>
          <t>Arkadaşını vazgeçir</t>
        </is>
      </c>
      <c r="D477" s="5" t="inlineStr">
        <is>
          <t>Çene</t>
        </is>
      </c>
      <c r="E477" s="5" t="inlineStr">
        <is>
          <t>Orta</t>
        </is>
      </c>
      <c r="F477" s="5" t="inlineStr"/>
      <c r="G477" s="6" t="inlineStr"/>
      <c r="H477" s="6" t="inlineStr">
        <is>
          <t>İkna ettin. Yarış yerine çay içtiniz. O da sonunda rahatladı.</t>
        </is>
      </c>
      <c r="I477" s="6" t="inlineStr">
        <is>
          <t>Arkadaşın motoru sattı, parasıyla ikinize akşam yemeği ısmarladı.</t>
        </is>
      </c>
      <c r="J477" s="6" t="inlineStr">
        <is>
          <t>İkna edemedin. Sahilde bekledin. Döndü, hiçbir şey anlatmadı.</t>
        </is>
      </c>
      <c r="K477" s="6" t="inlineStr">
        <is>
          <t>İkna ederken motora oturdun. Arkadaşın 'O zaman sen sür' dedi.</t>
        </is>
      </c>
      <c r="L477" s="6" t="inlineStr"/>
      <c r="M477" s="5" t="inlineStr"/>
      <c r="N477" s="5" t="inlineStr"/>
      <c r="O477" s="6" t="inlineStr"/>
      <c r="P477" s="6" t="inlineStr"/>
      <c r="Q477" s="5" t="inlineStr"/>
      <c r="R477" s="5" t="inlineStr"/>
      <c r="S477" s="5" t="inlineStr"/>
      <c r="T477" s="5" t="inlineStr"/>
      <c r="U477" s="5" t="inlineStr"/>
      <c r="V477" s="5" t="inlineStr"/>
      <c r="W477" s="5" t="inlineStr"/>
      <c r="X477" s="5" t="inlineStr"/>
      <c r="Y477" s="5" t="inlineStr"/>
      <c r="Z477" s="6" t="inlineStr"/>
    </row>
    <row r="478">
      <c r="A478" s="5" t="inlineStr">
        <is>
          <t>b6-gece-vardiyasi</t>
        </is>
      </c>
      <c r="B478" s="5" t="n">
        <v>1</v>
      </c>
      <c r="C478" s="6" t="inlineStr">
        <is>
          <t>Raf diz, zamanı öldür</t>
        </is>
      </c>
      <c r="D478" s="5" t="inlineStr"/>
      <c r="E478" s="5" t="inlineStr"/>
      <c r="F478" s="5" t="inlineStr">
        <is>
          <t>Dayanıklılık +1</t>
        </is>
      </c>
      <c r="G478" s="6" t="inlineStr">
        <is>
          <t>Bütün raflar dizildi, etiketler hizalandı. Saat hâlâ üç buçuk.</t>
        </is>
      </c>
      <c r="H478" s="6" t="inlineStr"/>
      <c r="I478" s="6" t="inlineStr"/>
      <c r="J478" s="6" t="inlineStr"/>
      <c r="K478" s="6" t="inlineStr"/>
      <c r="L478" s="6" t="inlineStr"/>
      <c r="M478" s="5" t="inlineStr"/>
      <c r="N478" s="5" t="inlineStr"/>
      <c r="O478" s="6" t="inlineStr"/>
      <c r="P478" s="6" t="inlineStr"/>
      <c r="Q478" s="5" t="inlineStr"/>
      <c r="R478" s="5" t="inlineStr"/>
      <c r="S478" s="5" t="inlineStr"/>
      <c r="T478" s="5" t="inlineStr"/>
      <c r="U478" s="5" t="inlineStr"/>
      <c r="V478" s="5" t="inlineStr"/>
      <c r="W478" s="5" t="inlineStr"/>
      <c r="X478" s="5" t="inlineStr"/>
      <c r="Y478" s="5" t="inlineStr"/>
      <c r="Z478" s="6" t="inlineStr"/>
    </row>
    <row r="479">
      <c r="A479" s="5" t="inlineStr">
        <is>
          <t>b6-gece-vardiyasi</t>
        </is>
      </c>
      <c r="B479" s="5" t="n">
        <v>2</v>
      </c>
      <c r="C479" s="6" t="inlineStr">
        <is>
          <t>Dörtteki duvarı geç</t>
        </is>
      </c>
      <c r="D479" s="5" t="inlineStr">
        <is>
          <t>Dayanıklılık</t>
        </is>
      </c>
      <c r="E479" s="5" t="inlineStr">
        <is>
          <t>Zor</t>
        </is>
      </c>
      <c r="F479" s="5" t="inlineStr"/>
      <c r="G479" s="6" t="inlineStr"/>
      <c r="H479" s="6" t="inlineStr">
        <is>
          <t>Duvarı geçtin. Sabah altıda güneş doğarken ikinci nefes geldi.</t>
        </is>
      </c>
      <c r="I479" s="6" t="inlineStr">
        <is>
          <t>Vardiyadan sonra gündüz de uyumadın. Vücudun yeni bir saat dilimi ilan etti.</t>
        </is>
      </c>
      <c r="J479" s="6" t="inlineStr">
        <is>
          <t>Kasada uyuyakaldın. Müşteri para üstünü kendi aldı, fişini de kendi kesti.</t>
        </is>
      </c>
      <c r="K479" s="6" t="inlineStr">
        <is>
          <t>Sabah vardiyası seni rafların arasında, koli bandına sarılmış halde buldu.</t>
        </is>
      </c>
      <c r="L479" s="6" t="inlineStr"/>
      <c r="M479" s="5" t="inlineStr"/>
      <c r="N479" s="5" t="inlineStr"/>
      <c r="O479" s="6" t="inlineStr"/>
      <c r="P479" s="6" t="inlineStr"/>
      <c r="Q479" s="5" t="inlineStr"/>
      <c r="R479" s="5" t="inlineStr"/>
      <c r="S479" s="5" t="inlineStr">
        <is>
          <t>Dayanıklılık</t>
        </is>
      </c>
      <c r="T479" s="5" t="inlineStr">
        <is>
          <t>Nöbet Disiplini</t>
        </is>
      </c>
      <c r="U479" s="5" t="inlineStr"/>
      <c r="V479" s="5" t="inlineStr"/>
      <c r="W479" s="5" t="inlineStr"/>
      <c r="X479" s="5" t="inlineStr"/>
      <c r="Y479" s="5" t="inlineStr"/>
      <c r="Z479" s="6" t="inlineStr"/>
    </row>
    <row r="480">
      <c r="A480" s="5" t="inlineStr">
        <is>
          <t>b6-gece-vardiyasi</t>
        </is>
      </c>
      <c r="B480" s="5" t="n">
        <v>3</v>
      </c>
      <c r="C480" s="6" t="inlineStr">
        <is>
          <t>Gece müşterisiyle sohbet et</t>
        </is>
      </c>
      <c r="D480" s="5" t="inlineStr">
        <is>
          <t>Sosyal Radar</t>
        </is>
      </c>
      <c r="E480" s="5" t="inlineStr">
        <is>
          <t>Kolay</t>
        </is>
      </c>
      <c r="F480" s="5" t="inlineStr"/>
      <c r="G480" s="6" t="inlineStr"/>
      <c r="H480" s="6" t="inlineStr">
        <is>
          <t>Sakız alan müşteri hayatını anlattı, sen de kendininkini. İkiniz de hafifledi.</t>
        </is>
      </c>
      <c r="I480" s="6" t="inlineStr">
        <is>
          <t>Sakızcı bir işletme sahibiymiş. Kartını bıraktı: 'Gündüz çalışmak istersen.'</t>
        </is>
      </c>
      <c r="J480" s="6" t="inlineStr">
        <is>
          <t>Sohbet açtın. Adam sadece sakız istiyordu.</t>
        </is>
      </c>
      <c r="K480" s="6" t="inlineStr">
        <is>
          <t>Kamera kayıtlarında iki saat boyunca bir hayat hikâyesi dinlediğin görüldü. Tutanak tutuldu.</t>
        </is>
      </c>
      <c r="L480" s="6" t="inlineStr"/>
      <c r="M480" s="5" t="inlineStr"/>
      <c r="N480" s="5" t="inlineStr"/>
      <c r="O480" s="6" t="inlineStr"/>
      <c r="P480" s="6" t="inlineStr"/>
      <c r="Q480" s="5" t="inlineStr"/>
      <c r="R480" s="5" t="inlineStr"/>
      <c r="S480" s="5" t="inlineStr"/>
      <c r="T480" s="5" t="inlineStr"/>
      <c r="U480" s="5" t="inlineStr"/>
      <c r="V480" s="5" t="inlineStr"/>
      <c r="W480" s="5" t="inlineStr"/>
      <c r="X480" s="5" t="inlineStr"/>
      <c r="Y480" s="5" t="inlineStr"/>
      <c r="Z480" s="6" t="inlineStr"/>
    </row>
    <row r="481">
      <c r="A481" s="5" t="inlineStr">
        <is>
          <t>b6-gece-vardiyasi</t>
        </is>
      </c>
      <c r="B481" s="5" t="n">
        <v>4</v>
      </c>
      <c r="C481" s="6" t="inlineStr">
        <is>
          <t>Gündüz vardiyasına geçmeyi iste</t>
        </is>
      </c>
      <c r="D481" s="5" t="inlineStr">
        <is>
          <t>Çene</t>
        </is>
      </c>
      <c r="E481" s="5" t="inlineStr">
        <is>
          <t>Zor</t>
        </is>
      </c>
      <c r="F481" s="5" t="inlineStr"/>
      <c r="G481" s="6" t="inlineStr"/>
      <c r="H481" s="6" t="inlineStr">
        <is>
          <t>Gündüze geçtin. Gün ışığı biraz fazla parlak geldi.</t>
        </is>
      </c>
      <c r="I481" s="6" t="inlineStr">
        <is>
          <t>Gündüze geçtin, hafta sonları da izinlisin. Gece vardiyası artık bir anı.</t>
        </is>
      </c>
      <c r="J481" s="6" t="inlineStr">
        <is>
          <t>Talebin 'değerlendirmeye' alındı. Değerlendirme de gece vardiyasında yapılıyor.</t>
        </is>
      </c>
      <c r="K481" s="6" t="inlineStr">
        <is>
          <t>Müdür seni hafta sonu gece vardiyasına da ekledi. Teşekkür ederek.</t>
        </is>
      </c>
      <c r="L481" s="6" t="inlineStr"/>
      <c r="M481" s="5" t="inlineStr"/>
      <c r="N481" s="5" t="inlineStr"/>
      <c r="O481" s="6" t="inlineStr"/>
      <c r="P481" s="6" t="inlineStr"/>
      <c r="Q481" s="5" t="inlineStr"/>
      <c r="R481" s="5" t="inlineStr"/>
      <c r="S481" s="5" t="inlineStr"/>
      <c r="T481" s="5" t="inlineStr"/>
      <c r="U481" s="5" t="inlineStr"/>
      <c r="V481" s="5" t="inlineStr"/>
      <c r="W481" s="5" t="inlineStr"/>
      <c r="X481" s="5" t="inlineStr"/>
      <c r="Y481" s="5" t="inlineStr"/>
      <c r="Z481" s="6" t="inlineStr"/>
    </row>
    <row r="482">
      <c r="A482" s="5" t="inlineStr">
        <is>
          <t>b6-kiralik-ev</t>
        </is>
      </c>
      <c r="B482" s="5" t="n">
        <v>1</v>
      </c>
      <c r="C482" s="6" t="inlineStr">
        <is>
          <t>Söylenen fiyata tut</t>
        </is>
      </c>
      <c r="D482" s="5" t="inlineStr"/>
      <c r="E482" s="5" t="inlineStr"/>
      <c r="F482" s="5" t="inlineStr">
        <is>
          <t>Dayanıklılık +1</t>
        </is>
      </c>
      <c r="G482" s="6" t="inlineStr">
        <is>
          <t>Ev sahibi o kadar mutlu oldu ki sana iki anahtar verdi. Biri kilide uymuyor. Hangisi, belirsiz.</t>
        </is>
      </c>
      <c r="H482" s="6" t="inlineStr"/>
      <c r="I482" s="6" t="inlineStr"/>
      <c r="J482" s="6" t="inlineStr"/>
      <c r="K482" s="6" t="inlineStr"/>
      <c r="L482" s="6" t="inlineStr"/>
      <c r="M482" s="5" t="inlineStr"/>
      <c r="N482" s="5" t="inlineStr"/>
      <c r="O482" s="6" t="inlineStr"/>
      <c r="P482" s="6" t="inlineStr"/>
      <c r="Q482" s="5" t="inlineStr"/>
      <c r="R482" s="5" t="inlineStr"/>
      <c r="S482" s="5" t="inlineStr"/>
      <c r="T482" s="5" t="inlineStr"/>
      <c r="U482" s="5" t="inlineStr"/>
      <c r="V482" s="5" t="inlineStr"/>
      <c r="W482" s="5" t="inlineStr"/>
      <c r="X482" s="5" t="inlineStr"/>
      <c r="Y482" s="5" t="inlineStr"/>
      <c r="Z482" s="6" t="inlineStr"/>
    </row>
    <row r="483">
      <c r="A483" s="5" t="inlineStr">
        <is>
          <t>b6-kiralik-ev</t>
        </is>
      </c>
      <c r="B483" s="5" t="n">
        <v>2</v>
      </c>
      <c r="C483" s="6" t="inlineStr">
        <is>
          <t>Kirayı pazarlık et</t>
        </is>
      </c>
      <c r="D483" s="5" t="inlineStr">
        <is>
          <t>Çene</t>
        </is>
      </c>
      <c r="E483" s="5" t="inlineStr">
        <is>
          <t>Orta</t>
        </is>
      </c>
      <c r="F483" s="5" t="inlineStr"/>
      <c r="G483" s="6" t="inlineStr"/>
      <c r="H483" s="6" t="inlineStr">
        <is>
          <t>Kirayı biraz indirdin. Ev sahibi 'Gençlere güvenirim' dedi. Sen ona güvenmedin.</t>
        </is>
      </c>
      <c r="I483" s="6" t="inlineStr">
        <is>
          <t>Kira indi, depozito yarıya düştü, kombi bakımı ev sahibine yazıldı. Tarihî anlaşma.</t>
        </is>
      </c>
      <c r="J483" s="6" t="inlineStr">
        <is>
          <t>Fiyat aynı kaldı ama ev sahibi seni 'hareketli genç' olarak tanımladı.</t>
        </is>
      </c>
      <c r="K483" s="6" t="inlineStr">
        <is>
          <t>Pazarlık uzadı, ev sahibi daha yüksek teklif veren birini buldu. 'Kusura bakma' dedi. Kusura baktın.</t>
        </is>
      </c>
      <c r="L483" s="6" t="inlineStr">
        <is>
          <t>Kira aynı kaldı ama aidatı ev sahibi ödeyecek. Yarım zafer, tam aidat.</t>
        </is>
      </c>
      <c r="M483" s="5" t="inlineStr">
        <is>
          <t>bargain</t>
        </is>
      </c>
      <c r="N483" s="5" t="inlineStr">
        <is>
          <t>Kira Pazarlığı</t>
        </is>
      </c>
      <c r="O483" s="6" t="inlineStr">
        <is>
          <t>Ev sahibinin sabrı bitmeden kirayı aşağı kaydır ve makul yerde anlaş.</t>
        </is>
      </c>
      <c r="P483" s="6" t="inlineStr">
        <is>
          <t>{"item": "kira", "mode": "buy"}</t>
        </is>
      </c>
      <c r="Q483" s="5" t="inlineStr"/>
      <c r="R483" s="5" t="inlineStr"/>
      <c r="S483" s="5" t="inlineStr"/>
      <c r="T483" s="5" t="inlineStr"/>
      <c r="U483" s="5" t="inlineStr"/>
      <c r="V483" s="5" t="inlineStr"/>
      <c r="W483" s="5" t="inlineStr"/>
      <c r="X483" s="5" t="inlineStr"/>
      <c r="Y483" s="5" t="inlineStr"/>
      <c r="Z483" s="6" t="inlineStr"/>
    </row>
    <row r="484">
      <c r="A484" s="5" t="inlineStr">
        <is>
          <t>b6-kiralik-ev</t>
        </is>
      </c>
      <c r="B484" s="5" t="n">
        <v>3</v>
      </c>
      <c r="C484" s="6" t="inlineStr">
        <is>
          <t>Önceki kiracıyı bul</t>
        </is>
      </c>
      <c r="D484" s="5" t="inlineStr">
        <is>
          <t>Sosyal Radar</t>
        </is>
      </c>
      <c r="E484" s="5" t="inlineStr">
        <is>
          <t>Zor</t>
        </is>
      </c>
      <c r="F484" s="5" t="inlineStr"/>
      <c r="G484" s="6" t="inlineStr"/>
      <c r="H484" s="6" t="inlineStr">
        <is>
          <t>Önceki kiracı tek kelime söyledi: 'Kombi.' Sözleşmeye bir madde ekledin.</t>
        </is>
      </c>
      <c r="I484" s="6" t="inlineStr">
        <is>
          <t>Rutubeti, gürültücü komşuyu ve ev sahibinin zayıf noktasını öğrendin. Pazarlık kendiliğinden bitti.</t>
        </is>
      </c>
      <c r="J484" s="6" t="inlineStr">
        <is>
          <t>Önceki kiracı 'Güzel ev' dedi ve telefonu çok hızlı kapattı.</t>
        </is>
      </c>
      <c r="K484" s="6" t="inlineStr">
        <is>
          <t>Yanlışlıkla ev sahibini aradın, önceki kiracıyı sordun. İkisi artık senin hakkında konuşuyor.</t>
        </is>
      </c>
      <c r="L484" s="6" t="inlineStr"/>
      <c r="M484" s="5" t="inlineStr"/>
      <c r="N484" s="5" t="inlineStr"/>
      <c r="O484" s="6" t="inlineStr"/>
      <c r="P484" s="6" t="inlineStr"/>
      <c r="Q484" s="5" t="inlineStr"/>
      <c r="R484" s="5" t="inlineStr"/>
      <c r="S484" s="5" t="inlineStr"/>
      <c r="T484" s="5" t="inlineStr"/>
      <c r="U484" s="5" t="inlineStr"/>
      <c r="V484" s="5" t="inlineStr"/>
      <c r="W484" s="5" t="inlineStr"/>
      <c r="X484" s="5" t="inlineStr"/>
      <c r="Y484" s="5" t="inlineStr"/>
      <c r="Z484" s="6" t="inlineStr"/>
    </row>
    <row r="485">
      <c r="A485" s="5" t="inlineStr">
        <is>
          <t>b6-tasinma</t>
        </is>
      </c>
      <c r="B485" s="5" t="n">
        <v>1</v>
      </c>
      <c r="C485" s="6" t="inlineStr">
        <is>
          <t>Nakliyeci çağır</t>
        </is>
      </c>
      <c r="D485" s="5" t="inlineStr"/>
      <c r="E485" s="5" t="inlineStr"/>
      <c r="F485" s="5" t="inlineStr">
        <is>
          <t>Kurnazlık +1</t>
        </is>
      </c>
      <c r="G485" s="6" t="inlineStr">
        <is>
          <t>Nakliyeci eşyaları taşıdı, fatura kiradan yüksek geldi. En azından kolların yerinde.</t>
        </is>
      </c>
      <c r="H485" s="6" t="inlineStr"/>
      <c r="I485" s="6" t="inlineStr"/>
      <c r="J485" s="6" t="inlineStr"/>
      <c r="K485" s="6" t="inlineStr"/>
      <c r="L485" s="6" t="inlineStr"/>
      <c r="M485" s="5" t="inlineStr"/>
      <c r="N485" s="5" t="inlineStr"/>
      <c r="O485" s="6" t="inlineStr"/>
      <c r="P485" s="6" t="inlineStr"/>
      <c r="Q485" s="5" t="inlineStr"/>
      <c r="R485" s="5" t="inlineStr"/>
      <c r="S485" s="5" t="inlineStr"/>
      <c r="T485" s="5" t="inlineStr"/>
      <c r="U485" s="5" t="inlineStr"/>
      <c r="V485" s="5" t="inlineStr"/>
      <c r="W485" s="5" t="inlineStr"/>
      <c r="X485" s="5" t="inlineStr"/>
      <c r="Y485" s="5" t="inlineStr"/>
      <c r="Z485" s="6" t="inlineStr"/>
    </row>
    <row r="486">
      <c r="A486" s="5" t="inlineStr">
        <is>
          <t>b6-tasinma</t>
        </is>
      </c>
      <c r="B486" s="5" t="n">
        <v>2</v>
      </c>
      <c r="C486" s="6" t="inlineStr">
        <is>
          <t>Buzdolabını merdivenden çıkar</t>
        </is>
      </c>
      <c r="D486" s="5" t="inlineStr">
        <is>
          <t>Dayanıklılık</t>
        </is>
      </c>
      <c r="E486" s="5" t="inlineStr">
        <is>
          <t>Orta</t>
        </is>
      </c>
      <c r="F486" s="5" t="inlineStr"/>
      <c r="G486" s="6" t="inlineStr"/>
      <c r="H486" s="6" t="inlineStr">
        <is>
          <t>Buzdolabı dördüncü kata çıktı. Sen dördüncü katta bir süre yattın.</t>
        </is>
      </c>
      <c r="I486" s="6" t="inlineStr">
        <is>
          <t>Buzdolabını tek başına çıkardın. Komşular balkondan alkışladı, biri video çekti.</t>
        </is>
      </c>
      <c r="J486" s="6" t="inlineStr">
        <is>
          <t>Buzdolabı üçüncü katta kaldı. Üçüncü kattaki komşuyla artık tanışıyorsun.</t>
        </is>
      </c>
      <c r="K486" s="6" t="inlineStr">
        <is>
          <t>Buzdolabı geri kaydı, duvarda bir çizik bıraktı. Depozito da o çizikten içeri kaçtı.</t>
        </is>
      </c>
      <c r="L486" s="6" t="inlineStr">
        <is>
          <t>Buzdolabı yukarıda ama kapısı ters takılı. Artık duvara doğru açılıyor.</t>
        </is>
      </c>
      <c r="M486" s="5" t="inlineStr">
        <is>
          <t>balance</t>
        </is>
      </c>
      <c r="N486" s="5" t="inlineStr">
        <is>
          <t>Dördüncü Kat</t>
        </is>
      </c>
      <c r="O486" s="6" t="inlineStr">
        <is>
          <t>Buzdolabını merdivende sağa sola devirmeden dengede tut.</t>
        </is>
      </c>
      <c r="P486" s="6" t="inlineStr">
        <is>
          <t>{"item": "🧊"}</t>
        </is>
      </c>
      <c r="Q486" s="5" t="inlineStr"/>
      <c r="R486" s="5" t="inlineStr"/>
      <c r="S486" s="5" t="inlineStr"/>
      <c r="T486" s="5" t="inlineStr"/>
      <c r="U486" s="5" t="inlineStr"/>
      <c r="V486" s="5" t="inlineStr"/>
      <c r="W486" s="5" t="inlineStr">
        <is>
          <t>depozito-yandi</t>
        </is>
      </c>
      <c r="X486" s="5" t="inlineStr"/>
      <c r="Y486" s="5" t="inlineStr"/>
      <c r="Z486" s="6" t="inlineStr"/>
    </row>
    <row r="487">
      <c r="A487" s="5" t="inlineStr">
        <is>
          <t>b6-tasinma</t>
        </is>
      </c>
      <c r="B487" s="5" t="n">
        <v>3</v>
      </c>
      <c r="C487" s="6" t="inlineStr">
        <is>
          <t>Arkadaşları pizza sözüyle topla</t>
        </is>
      </c>
      <c r="D487" s="5" t="inlineStr">
        <is>
          <t>Çene</t>
        </is>
      </c>
      <c r="E487" s="5" t="inlineStr">
        <is>
          <t>Kolay</t>
        </is>
      </c>
      <c r="F487" s="5" t="inlineStr"/>
      <c r="G487" s="6" t="inlineStr"/>
      <c r="H487" s="6" t="inlineStr">
        <is>
          <t>Beş kişi geldi. Taşınma üç saat, pizza beş dakika sürdü.</t>
        </is>
      </c>
      <c r="I487" s="6" t="inlineStr">
        <is>
          <t>Arkadaşlar kolileri taşıdı, açtı, perdeleri taktı. Pizzayı da onlar ısmarladı.</t>
        </is>
      </c>
      <c r="J487" s="6" t="inlineStr">
        <is>
          <t>Pizza bitince gittiler. Kanepe merdivende kaldı.</t>
        </is>
      </c>
      <c r="K487" s="6" t="inlineStr">
        <is>
          <t>Kanepe kapıdan girmedi. Hâlâ sahanlıkta, apartmanın ortak alanı ilan edildi.</t>
        </is>
      </c>
      <c r="L487" s="6" t="inlineStr"/>
      <c r="M487" s="5" t="inlineStr"/>
      <c r="N487" s="5" t="inlineStr"/>
      <c r="O487" s="6" t="inlineStr"/>
      <c r="P487" s="6" t="inlineStr"/>
      <c r="Q487" s="5" t="inlineStr"/>
      <c r="R487" s="5" t="inlineStr"/>
      <c r="S487" s="5" t="inlineStr"/>
      <c r="T487" s="5" t="inlineStr"/>
      <c r="U487" s="5" t="inlineStr"/>
      <c r="V487" s="5" t="inlineStr"/>
      <c r="W487" s="5" t="inlineStr"/>
      <c r="X487" s="5" t="inlineStr"/>
      <c r="Y487" s="5" t="inlineStr"/>
      <c r="Z487" s="6" t="inlineStr"/>
    </row>
    <row r="488">
      <c r="A488" s="5" t="inlineStr">
        <is>
          <t>b6-ev-arkadasi</t>
        </is>
      </c>
      <c r="B488" s="5" t="n">
        <v>1</v>
      </c>
      <c r="C488" s="6" t="inlineStr">
        <is>
          <t>Bulaşığı sen yap</t>
        </is>
      </c>
      <c r="D488" s="5" t="inlineStr"/>
      <c r="E488" s="5" t="inlineStr"/>
      <c r="F488" s="5" t="inlineStr">
        <is>
          <t>Vicdan +2</t>
        </is>
      </c>
      <c r="G488" s="6" t="inlineStr">
        <is>
          <t>Bulaşığı yine sen yıkadın. Ev arkadaşın 'Bulaşık kendiliğinden yıkanıyor' teorisini doğruladı.</t>
        </is>
      </c>
      <c r="H488" s="6" t="inlineStr"/>
      <c r="I488" s="6" t="inlineStr"/>
      <c r="J488" s="6" t="inlineStr"/>
      <c r="K488" s="6" t="inlineStr"/>
      <c r="L488" s="6" t="inlineStr"/>
      <c r="M488" s="5" t="inlineStr"/>
      <c r="N488" s="5" t="inlineStr"/>
      <c r="O488" s="6" t="inlineStr"/>
      <c r="P488" s="6" t="inlineStr"/>
      <c r="Q488" s="5" t="inlineStr"/>
      <c r="R488" s="5" t="inlineStr"/>
      <c r="S488" s="5" t="inlineStr"/>
      <c r="T488" s="5" t="inlineStr"/>
      <c r="U488" s="5" t="inlineStr"/>
      <c r="V488" s="5" t="inlineStr"/>
      <c r="W488" s="5" t="inlineStr"/>
      <c r="X488" s="5" t="inlineStr"/>
      <c r="Y488" s="5" t="inlineStr"/>
      <c r="Z488" s="6" t="inlineStr"/>
    </row>
    <row r="489">
      <c r="A489" s="5" t="inlineStr">
        <is>
          <t>b6-ev-arkadasi</t>
        </is>
      </c>
      <c r="B489" s="5" t="n">
        <v>2</v>
      </c>
      <c r="C489" s="6" t="inlineStr">
        <is>
          <t>Görev çizelgesi as</t>
        </is>
      </c>
      <c r="D489" s="5" t="inlineStr">
        <is>
          <t>Akıl</t>
        </is>
      </c>
      <c r="E489" s="5" t="inlineStr">
        <is>
          <t>Orta</t>
        </is>
      </c>
      <c r="F489" s="5" t="inlineStr"/>
      <c r="G489" s="6" t="inlineStr"/>
      <c r="H489" s="6" t="inlineStr">
        <is>
          <t>Çizelge ilk hafta işledi. İkinci hafta o da bulaşığın altında kaldı.</t>
        </is>
      </c>
      <c r="I489" s="6" t="inlineStr">
        <is>
          <t>Ev arkadaşın her pazar bulaşık yıkıyor ve bunu bir aile geleneği sanıyor.</t>
        </is>
      </c>
      <c r="J489" s="6" t="inlineStr">
        <is>
          <t>Ev arkadaşın çizelgenin altına gülen bir surat çizdi. Bulaşık aynı yerde.</t>
        </is>
      </c>
      <c r="K489" s="6" t="inlineStr">
        <is>
          <t>Ev arkadaşın seninle konuşmayı bıraktı. Bulaşık yıkamayı zaten bırakmıştı.</t>
        </is>
      </c>
      <c r="L489" s="6" t="inlineStr"/>
      <c r="M489" s="5" t="inlineStr"/>
      <c r="N489" s="5" t="inlineStr"/>
      <c r="O489" s="6" t="inlineStr"/>
      <c r="P489" s="6" t="inlineStr"/>
      <c r="Q489" s="5" t="inlineStr"/>
      <c r="R489" s="5" t="inlineStr"/>
      <c r="S489" s="5" t="inlineStr"/>
      <c r="T489" s="5" t="inlineStr"/>
      <c r="U489" s="5" t="inlineStr"/>
      <c r="V489" s="5" t="inlineStr"/>
      <c r="W489" s="5" t="inlineStr"/>
      <c r="X489" s="5" t="inlineStr"/>
      <c r="Y489" s="5" t="inlineStr"/>
      <c r="Z489" s="6" t="inlineStr"/>
    </row>
    <row r="490">
      <c r="A490" s="5" t="inlineStr">
        <is>
          <t>b6-ev-arkadasi</t>
        </is>
      </c>
      <c r="B490" s="5" t="n">
        <v>3</v>
      </c>
      <c r="C490" s="6" t="inlineStr">
        <is>
          <t>Bütün tabakları sakla</t>
        </is>
      </c>
      <c r="D490" s="5" t="inlineStr">
        <is>
          <t>Kurnazlık</t>
        </is>
      </c>
      <c r="E490" s="5" t="inlineStr">
        <is>
          <t>Kolay</t>
        </is>
      </c>
      <c r="F490" s="5" t="inlineStr"/>
      <c r="G490" s="6" t="inlineStr"/>
      <c r="H490" s="6" t="inlineStr">
        <is>
          <t>İki gün sonra bulaşık yıkandı, çünkü evde tek tabak kalmıştı.</t>
        </is>
      </c>
      <c r="I490" s="6" t="inlineStr">
        <is>
          <t>Ev arkadaşın ilk kez lavabonun dibini gördü: 'Ne güzel lavaboymuş.' Reform başladı.</t>
        </is>
      </c>
      <c r="J490" s="6" t="inlineStr">
        <is>
          <t>Ev arkadaşın tencereden yemeye başladı.</t>
        </is>
      </c>
      <c r="K490" s="6" t="inlineStr">
        <is>
          <t>Ev arkadaşın taşındığını sandı. Odanı kiraya vermek için ilan açtı.</t>
        </is>
      </c>
      <c r="L490" s="6" t="inlineStr"/>
      <c r="M490" s="5" t="inlineStr"/>
      <c r="N490" s="5" t="inlineStr"/>
      <c r="O490" s="6" t="inlineStr"/>
      <c r="P490" s="6" t="inlineStr"/>
      <c r="Q490" s="5" t="inlineStr"/>
      <c r="R490" s="5" t="inlineStr"/>
      <c r="S490" s="5" t="inlineStr">
        <is>
          <t>Sosyal Radar</t>
        </is>
      </c>
      <c r="T490" s="5" t="inlineStr"/>
      <c r="U490" s="5" t="inlineStr"/>
      <c r="V490" s="5" t="inlineStr"/>
      <c r="W490" s="5" t="inlineStr"/>
      <c r="X490" s="5" t="inlineStr"/>
      <c r="Y490" s="5" t="inlineStr"/>
      <c r="Z490" s="6" t="inlineStr"/>
    </row>
    <row r="491">
      <c r="A491" s="5" t="inlineStr">
        <is>
          <t>b6-ev-arkadasi</t>
        </is>
      </c>
      <c r="B491" s="5" t="n">
        <v>4</v>
      </c>
      <c r="C491" s="6" t="inlineStr">
        <is>
          <t>Açık konuş</t>
        </is>
      </c>
      <c r="D491" s="5" t="inlineStr">
        <is>
          <t>Çene</t>
        </is>
      </c>
      <c r="E491" s="5" t="inlineStr">
        <is>
          <t>Orta</t>
        </is>
      </c>
      <c r="F491" s="5" t="inlineStr"/>
      <c r="G491" s="6" t="inlineStr"/>
      <c r="H491" s="6" t="inlineStr">
        <is>
          <t>Özür diledi ve üç hafta boyunca yıkadı. Sonra mevsim değişti.</t>
        </is>
      </c>
      <c r="I491" s="6" t="inlineStr">
        <is>
          <t>Ev arkadaşın bulaşık makinesi aldı. Sorun kalıcı olarak teknolojiye devredildi.</t>
        </is>
      </c>
      <c r="J491" s="6" t="inlineStr">
        <is>
          <t>'Haklısın' dedi. Haklılık bulaşık yıkamıyor.</t>
        </is>
      </c>
      <c r="K491" s="6" t="inlineStr">
        <is>
          <t>Konuştun. O da gece üçte çalıştırdığın mikseri anlattı. Saat on bire kadar sürdü.</t>
        </is>
      </c>
      <c r="L491" s="6" t="inlineStr"/>
      <c r="M491" s="5" t="inlineStr"/>
      <c r="N491" s="5" t="inlineStr"/>
      <c r="O491" s="6" t="inlineStr"/>
      <c r="P491" s="6" t="inlineStr"/>
      <c r="Q491" s="5" t="inlineStr"/>
      <c r="R491" s="5" t="inlineStr"/>
      <c r="S491" s="5" t="inlineStr"/>
      <c r="T491" s="5" t="inlineStr"/>
      <c r="U491" s="5" t="inlineStr"/>
      <c r="V491" s="5" t="inlineStr"/>
      <c r="W491" s="5" t="inlineStr"/>
      <c r="X491" s="5" t="inlineStr"/>
      <c r="Y491" s="5" t="inlineStr"/>
      <c r="Z491" s="6" t="inlineStr"/>
    </row>
    <row r="492">
      <c r="A492" s="5" t="inlineStr">
        <is>
          <t>b6-staj</t>
        </is>
      </c>
      <c r="B492" s="5" t="n">
        <v>1</v>
      </c>
      <c r="C492" s="6" t="inlineStr">
        <is>
          <t>Fotokopi makinesini çöz</t>
        </is>
      </c>
      <c r="D492" s="5" t="inlineStr"/>
      <c r="E492" s="5" t="inlineStr"/>
      <c r="F492" s="5" t="inlineStr">
        <is>
          <t>Dayanıklılık +1, Akıl +1</t>
        </is>
      </c>
      <c r="G492" s="6" t="inlineStr">
        <is>
          <t>Sıkışan kâğıdı sadece sen çıkarabiliyorsun. Kariyerinin ilk uzmanlığı tescillendi.</t>
        </is>
      </c>
      <c r="H492" s="6" t="inlineStr"/>
      <c r="I492" s="6" t="inlineStr"/>
      <c r="J492" s="6" t="inlineStr"/>
      <c r="K492" s="6" t="inlineStr"/>
      <c r="L492" s="6" t="inlineStr"/>
      <c r="M492" s="5" t="inlineStr"/>
      <c r="N492" s="5" t="inlineStr"/>
      <c r="O492" s="6" t="inlineStr"/>
      <c r="P492" s="6" t="inlineStr"/>
      <c r="Q492" s="5" t="inlineStr"/>
      <c r="R492" s="5" t="inlineStr"/>
      <c r="S492" s="5" t="inlineStr"/>
      <c r="T492" s="5" t="inlineStr"/>
      <c r="U492" s="5" t="inlineStr"/>
      <c r="V492" s="5" t="inlineStr"/>
      <c r="W492" s="5" t="inlineStr"/>
      <c r="X492" s="5" t="inlineStr"/>
      <c r="Y492" s="5" t="inlineStr"/>
      <c r="Z492" s="6" t="inlineStr"/>
    </row>
    <row r="493">
      <c r="A493" s="5" t="inlineStr">
        <is>
          <t>b6-staj</t>
        </is>
      </c>
      <c r="B493" s="5" t="n">
        <v>2</v>
      </c>
      <c r="C493" s="6" t="inlineStr">
        <is>
          <t>Kahve makinesindeki adamla sohbet et</t>
        </is>
      </c>
      <c r="D493" s="5" t="inlineStr">
        <is>
          <t>Sosyal Radar</t>
        </is>
      </c>
      <c r="E493" s="5" t="inlineStr">
        <is>
          <t>Zor</t>
        </is>
      </c>
      <c r="F493" s="5" t="inlineStr"/>
      <c r="G493" s="6" t="inlineStr"/>
      <c r="H493" s="6" t="inlineStr">
        <is>
          <t>Sohbetin sonunda seni bir toplantıya çağırdı. Not tutacaksın ama odadasın.</t>
        </is>
      </c>
      <c r="I493" s="6" t="inlineStr">
        <is>
          <t>Staj bitiminde imzalı bir referans mektubu aldın. Adını da doğru yazmışlar.</t>
        </is>
      </c>
      <c r="J493" s="6" t="inlineStr">
        <is>
          <t>Adam emekliliğine dört ay kaldığını anlattı. Dört ay boyunca.</t>
        </is>
      </c>
      <c r="K493" s="6" t="inlineStr">
        <is>
          <t>Adam muhasebeden değil, kargo firmasındanmış. Senin paketini soruyordu.</t>
        </is>
      </c>
      <c r="L493" s="6" t="inlineStr"/>
      <c r="M493" s="5" t="inlineStr"/>
      <c r="N493" s="5" t="inlineStr"/>
      <c r="O493" s="6" t="inlineStr"/>
      <c r="P493" s="6" t="inlineStr"/>
      <c r="Q493" s="5" t="inlineStr"/>
      <c r="R493" s="5" t="inlineStr"/>
      <c r="S493" s="5" t="inlineStr">
        <is>
          <t>Sosyal Radar</t>
        </is>
      </c>
      <c r="T493" s="5" t="inlineStr">
        <is>
          <t>Referans Mektubu</t>
        </is>
      </c>
      <c r="U493" s="5" t="inlineStr"/>
      <c r="V493" s="5" t="inlineStr"/>
      <c r="W493" s="5" t="inlineStr"/>
      <c r="X493" s="5" t="inlineStr"/>
      <c r="Y493" s="5" t="inlineStr"/>
      <c r="Z493" s="6" t="inlineStr"/>
    </row>
    <row r="494">
      <c r="A494" s="5" t="inlineStr">
        <is>
          <t>b6-staj</t>
        </is>
      </c>
      <c r="B494" s="5" t="n">
        <v>3</v>
      </c>
      <c r="C494" s="6" t="inlineStr">
        <is>
          <t>Şirketin dev tablosunu düzelt</t>
        </is>
      </c>
      <c r="D494" s="5" t="inlineStr">
        <is>
          <t>Akıl</t>
        </is>
      </c>
      <c r="E494" s="5" t="inlineStr">
        <is>
          <t>Orta</t>
        </is>
      </c>
      <c r="F494" s="5" t="inlineStr"/>
      <c r="G494" s="6" t="inlineStr"/>
      <c r="H494" s="6" t="inlineStr">
        <is>
          <t>Formül hatasını buldun. Şirket geçen yılı zararla kapatmamış.</t>
        </is>
      </c>
      <c r="I494" s="6" t="inlineStr">
        <is>
          <t>Tabloyu otomatikleştirdin. Bir çalışanın haftalık işi üç dakikaya indi. O çalışan seni hiç affetmedi.</t>
        </is>
      </c>
      <c r="J494" s="6" t="inlineStr">
        <is>
          <t>Düzelttin. Kimse fark etmedi, çünkü kimse açmıyormuş.</t>
        </is>
      </c>
      <c r="K494" s="6" t="inlineStr">
        <is>
          <t>Düzeltirken sildin. Yedek yokmuş. Stajın şirket arşivine 'olay' olarak geçti.</t>
        </is>
      </c>
      <c r="L494" s="6" t="inlineStr"/>
      <c r="M494" s="5" t="inlineStr"/>
      <c r="N494" s="5" t="inlineStr"/>
      <c r="O494" s="6" t="inlineStr"/>
      <c r="P494" s="6" t="inlineStr"/>
      <c r="Q494" s="5" t="inlineStr"/>
      <c r="R494" s="5" t="inlineStr"/>
      <c r="S494" s="5" t="inlineStr"/>
      <c r="T494" s="5" t="inlineStr"/>
      <c r="U494" s="5" t="inlineStr"/>
      <c r="V494" s="5" t="inlineStr"/>
      <c r="W494" s="5" t="inlineStr"/>
      <c r="X494" s="5" t="inlineStr"/>
      <c r="Y494" s="5" t="inlineStr"/>
      <c r="Z494" s="6" t="inlineStr"/>
    </row>
    <row r="495">
      <c r="A495" s="5" t="inlineStr">
        <is>
          <t>b6-staj</t>
        </is>
      </c>
      <c r="B495" s="5" t="n">
        <v>4</v>
      </c>
      <c r="C495" s="6" t="inlineStr">
        <is>
          <t>Toplantıda söz iste</t>
        </is>
      </c>
      <c r="D495" s="5" t="inlineStr">
        <is>
          <t>Pişkinlik</t>
        </is>
      </c>
      <c r="E495" s="5" t="inlineStr">
        <is>
          <t>Zor</t>
        </is>
      </c>
      <c r="F495" s="5" t="inlineStr"/>
      <c r="G495" s="6" t="inlineStr"/>
      <c r="H495" s="6" t="inlineStr">
        <is>
          <t>Bir fikir söyledin. Müdür 'Güzel, not alalım' dedi. Not alan sen oldun.</t>
        </is>
      </c>
      <c r="I495" s="6" t="inlineStr">
        <is>
          <t>Fikrin uygulandı. Sunumda başka birinin adıyla, ama uygulandı.</t>
        </is>
      </c>
      <c r="J495" s="6" t="inlineStr">
        <is>
          <t>Söz istedin, toplantı bitti. Elin havada kaldı.</t>
        </is>
      </c>
      <c r="K495" s="6" t="inlineStr">
        <is>
          <t>Mikrofonun açık kaldı. Sonraki yarım saatlik iç sesin de tutanağa geçti.</t>
        </is>
      </c>
      <c r="L495" s="6" t="inlineStr"/>
      <c r="M495" s="5" t="inlineStr"/>
      <c r="N495" s="5" t="inlineStr"/>
      <c r="O495" s="6" t="inlineStr"/>
      <c r="P495" s="6" t="inlineStr"/>
      <c r="Q495" s="5" t="inlineStr"/>
      <c r="R495" s="5" t="inlineStr"/>
      <c r="S495" s="5" t="inlineStr"/>
      <c r="T495" s="5" t="inlineStr"/>
      <c r="U495" s="5" t="inlineStr"/>
      <c r="V495" s="5" t="inlineStr"/>
      <c r="W495" s="5" t="inlineStr"/>
      <c r="X495" s="5" t="inlineStr"/>
      <c r="Y495" s="5" t="inlineStr"/>
      <c r="Z495" s="6" t="inlineStr"/>
    </row>
    <row r="496">
      <c r="A496" s="5" t="inlineStr">
        <is>
          <t>b6-spor-salonu</t>
        </is>
      </c>
      <c r="B496" s="5" t="n">
        <v>1</v>
      </c>
      <c r="C496" s="6" t="inlineStr">
        <is>
          <t>Yıllık al, ayda bir git</t>
        </is>
      </c>
      <c r="D496" s="5" t="inlineStr"/>
      <c r="E496" s="5" t="inlineStr"/>
      <c r="F496" s="5" t="inlineStr">
        <is>
          <t>Pişkinlik +1</t>
        </is>
      </c>
      <c r="G496" s="6" t="inlineStr">
        <is>
          <t>Salon her ay 'Seni özledik' mesajı atıyor. İlişki mesajlaşma üzerinden yürüyor.</t>
        </is>
      </c>
      <c r="H496" s="6" t="inlineStr"/>
      <c r="I496" s="6" t="inlineStr"/>
      <c r="J496" s="6" t="inlineStr"/>
      <c r="K496" s="6" t="inlineStr"/>
      <c r="L496" s="6" t="inlineStr"/>
      <c r="M496" s="5" t="inlineStr"/>
      <c r="N496" s="5" t="inlineStr"/>
      <c r="O496" s="6" t="inlineStr"/>
      <c r="P496" s="6" t="inlineStr"/>
      <c r="Q496" s="5" t="inlineStr"/>
      <c r="R496" s="5" t="inlineStr"/>
      <c r="S496" s="5" t="inlineStr"/>
      <c r="T496" s="5" t="inlineStr"/>
      <c r="U496" s="5" t="inlineStr"/>
      <c r="V496" s="5" t="inlineStr"/>
      <c r="W496" s="5" t="inlineStr"/>
      <c r="X496" s="5" t="inlineStr"/>
      <c r="Y496" s="5" t="inlineStr"/>
      <c r="Z496" s="6" t="inlineStr"/>
    </row>
    <row r="497">
      <c r="A497" s="5" t="inlineStr">
        <is>
          <t>b6-spor-salonu</t>
        </is>
      </c>
      <c r="B497" s="5" t="n">
        <v>2</v>
      </c>
      <c r="C497" s="6" t="inlineStr">
        <is>
          <t>Düzenli git</t>
        </is>
      </c>
      <c r="D497" s="5" t="inlineStr">
        <is>
          <t>Dayanıklılık</t>
        </is>
      </c>
      <c r="E497" s="5" t="inlineStr">
        <is>
          <t>Zor</t>
        </is>
      </c>
      <c r="F497" s="5" t="inlineStr"/>
      <c r="G497" s="6" t="inlineStr"/>
      <c r="H497" s="6" t="inlineStr">
        <is>
          <t>Üç ay boyunca haftada üç gün gittin. Merdivenler artık seni değil, sen onları yoruyorsun.</t>
        </is>
      </c>
      <c r="I497" s="6" t="inlineStr">
        <is>
          <t>Bir yıl hiç aksatmadın. Görevli seni yeni üyelere örnek gösteriyor. Adını hâlâ bilmiyor.</t>
        </is>
      </c>
      <c r="J497" s="6" t="inlineStr">
        <is>
          <t>İlk hafta beş gün gittin. İkinci hafta kasların basın açıklaması yaptı. Ara verdin.</t>
        </is>
      </c>
      <c r="K497" s="6" t="inlineStr">
        <is>
          <t>İlk gün en ağır ağırlıkla başladın. Üç gün boyunca merdivenleri geri geri indin.</t>
        </is>
      </c>
      <c r="L497" s="6" t="inlineStr"/>
      <c r="M497" s="5" t="inlineStr"/>
      <c r="N497" s="5" t="inlineStr"/>
      <c r="O497" s="6" t="inlineStr"/>
      <c r="P497" s="6" t="inlineStr"/>
      <c r="Q497" s="5" t="inlineStr"/>
      <c r="R497" s="5" t="inlineStr"/>
      <c r="S497" s="5" t="inlineStr"/>
      <c r="T497" s="5" t="inlineStr"/>
      <c r="U497" s="5" t="inlineStr"/>
      <c r="V497" s="5" t="inlineStr">
        <is>
          <t>sporcu</t>
        </is>
      </c>
      <c r="W497" s="5" t="inlineStr"/>
      <c r="X497" s="5" t="inlineStr"/>
      <c r="Y497" s="5" t="inlineStr"/>
      <c r="Z497" s="6" t="inlineStr"/>
    </row>
    <row r="498">
      <c r="A498" s="5" t="inlineStr">
        <is>
          <t>b6-spor-salonu</t>
        </is>
      </c>
      <c r="B498" s="5" t="n">
        <v>3</v>
      </c>
      <c r="C498" s="6" t="inlineStr">
        <is>
          <t>Antrenörle pazarlık et</t>
        </is>
      </c>
      <c r="D498" s="5" t="inlineStr">
        <is>
          <t>Çene</t>
        </is>
      </c>
      <c r="E498" s="5" t="inlineStr">
        <is>
          <t>Orta</t>
        </is>
      </c>
      <c r="F498" s="5" t="inlineStr"/>
      <c r="G498" s="6" t="inlineStr"/>
      <c r="H498" s="6" t="inlineStr">
        <is>
          <t>Antrenör sana ücretsiz bir program yazdı. Üç kelime: 'Sadece gel, lütfen.'</t>
        </is>
      </c>
      <c r="I498" s="6" t="inlineStr">
        <is>
          <t>Ücretsiz özel ders aldın, sonra antrenör seni koşu grubuna kattı. Hafta sonları koşuyorsun.</t>
        </is>
      </c>
      <c r="J498" s="6" t="inlineStr">
        <is>
          <t>Antrenör paket satmaya çalıştı. Almadın. O da seni görmemeye başladı.</t>
        </is>
      </c>
      <c r="K498" s="6" t="inlineStr">
        <is>
          <t>Pazarlığın sonunda maaşının yarısına bir özel ders paketi aldın. Derslere de gitmedin.</t>
        </is>
      </c>
      <c r="L498" s="6" t="inlineStr"/>
      <c r="M498" s="5" t="inlineStr"/>
      <c r="N498" s="5" t="inlineStr"/>
      <c r="O498" s="6" t="inlineStr"/>
      <c r="P498" s="6" t="inlineStr"/>
      <c r="Q498" s="5" t="inlineStr"/>
      <c r="R498" s="5" t="inlineStr"/>
      <c r="S498" s="5" t="inlineStr"/>
      <c r="T498" s="5" t="inlineStr"/>
      <c r="U498" s="5" t="inlineStr"/>
      <c r="V498" s="5" t="inlineStr">
        <is>
          <t>sporcu</t>
        </is>
      </c>
      <c r="W498" s="5" t="inlineStr"/>
      <c r="X498" s="5" t="inlineStr"/>
      <c r="Y498" s="5" t="inlineStr"/>
      <c r="Z498" s="6" t="inlineStr"/>
    </row>
    <row r="499">
      <c r="A499" s="5" t="inlineStr">
        <is>
          <t>b6-spor-salonu</t>
        </is>
      </c>
      <c r="B499" s="5" t="n">
        <v>4</v>
      </c>
      <c r="C499" s="6" t="inlineStr">
        <is>
          <t>Parktaki aletlere geç</t>
        </is>
      </c>
      <c r="D499" s="5" t="inlineStr">
        <is>
          <t>Kurnazlık</t>
        </is>
      </c>
      <c r="E499" s="5" t="inlineStr">
        <is>
          <t>Kolay</t>
        </is>
      </c>
      <c r="F499" s="5" t="inlineStr"/>
      <c r="G499" s="6" t="inlineStr"/>
      <c r="H499" s="6" t="inlineStr">
        <is>
          <t>Ücretsiz, açık hava, rakipler emekli. Formdasın.</t>
        </is>
      </c>
      <c r="I499" s="6" t="inlineStr">
        <is>
          <t>Sabah koşan emekli grubuna katıldın. Senden hızlılar ama sen daha gençsin.</t>
        </is>
      </c>
      <c r="J499" s="6" t="inlineStr">
        <is>
          <t>Bir emekli, aleti yanlış kullandığını yirmi dakika anlattı.</t>
        </is>
      </c>
      <c r="K499" s="6" t="inlineStr">
        <is>
          <t>Dönen alet seni çevirdi ve çevirmeye devam etti. Emekliler indirdi.</t>
        </is>
      </c>
      <c r="L499" s="6" t="inlineStr"/>
      <c r="M499" s="5" t="inlineStr"/>
      <c r="N499" s="5" t="inlineStr"/>
      <c r="O499" s="6" t="inlineStr"/>
      <c r="P499" s="6" t="inlineStr"/>
      <c r="Q499" s="5" t="inlineStr"/>
      <c r="R499" s="5" t="inlineStr"/>
      <c r="S499" s="5" t="inlineStr"/>
      <c r="T499" s="5" t="inlineStr"/>
      <c r="U499" s="5" t="inlineStr"/>
      <c r="V499" s="5" t="inlineStr">
        <is>
          <t>sporcu</t>
        </is>
      </c>
      <c r="W499" s="5" t="inlineStr"/>
      <c r="X499" s="5" t="inlineStr"/>
      <c r="Y499" s="5" t="inlineStr"/>
      <c r="Z499" s="6" t="inlineStr"/>
    </row>
    <row r="500">
      <c r="A500" s="5" t="inlineStr">
        <is>
          <t>b6-degisim-programi</t>
        </is>
      </c>
      <c r="B500" s="5" t="n">
        <v>1</v>
      </c>
      <c r="C500" s="6" t="inlineStr">
        <is>
          <t>Başvurma, burada kal</t>
        </is>
      </c>
      <c r="D500" s="5" t="inlineStr"/>
      <c r="E500" s="5" t="inlineStr"/>
      <c r="F500" s="5" t="inlineStr">
        <is>
          <t>Vicdan +1</t>
        </is>
      </c>
      <c r="G500" s="6" t="inlineStr">
        <is>
          <t>Kaldın. Gidenlerin hikâyelerini bir yıl dinledin. Hepsinin bir 'O akşam' hikâyesi vardı.</t>
        </is>
      </c>
      <c r="H500" s="6" t="inlineStr"/>
      <c r="I500" s="6" t="inlineStr"/>
      <c r="J500" s="6" t="inlineStr"/>
      <c r="K500" s="6" t="inlineStr"/>
      <c r="L500" s="6" t="inlineStr"/>
      <c r="M500" s="5" t="inlineStr"/>
      <c r="N500" s="5" t="inlineStr"/>
      <c r="O500" s="6" t="inlineStr"/>
      <c r="P500" s="6" t="inlineStr"/>
      <c r="Q500" s="5" t="inlineStr"/>
      <c r="R500" s="5" t="inlineStr"/>
      <c r="S500" s="5" t="inlineStr"/>
      <c r="T500" s="5" t="inlineStr"/>
      <c r="U500" s="5" t="inlineStr"/>
      <c r="V500" s="5" t="inlineStr"/>
      <c r="W500" s="5" t="inlineStr"/>
      <c r="X500" s="5" t="inlineStr"/>
      <c r="Y500" s="5" t="inlineStr"/>
      <c r="Z500" s="6" t="inlineStr"/>
    </row>
    <row r="501">
      <c r="A501" s="5" t="inlineStr">
        <is>
          <t>b6-degisim-programi</t>
        </is>
      </c>
      <c r="B501" s="5" t="n">
        <v>2</v>
      </c>
      <c r="C501" s="6" t="inlineStr">
        <is>
          <t>Başvur</t>
        </is>
      </c>
      <c r="D501" s="5" t="inlineStr">
        <is>
          <t>Akıl</t>
        </is>
      </c>
      <c r="E501" s="5" t="inlineStr">
        <is>
          <t>Orta</t>
        </is>
      </c>
      <c r="F501" s="5" t="inlineStr"/>
      <c r="G501" s="6" t="inlineStr"/>
      <c r="H501" s="6" t="inlineStr">
        <is>
          <t>Kabul edildin. Bir dönem boyunca kahvaltıda düzgün peynir aradın. Bulamadın.</t>
        </is>
      </c>
      <c r="I501" s="6" t="inlineStr">
        <is>
          <t>Kabul edildin, dili söktün. Döndüğünde cümlelerine yabancı kelime sıkıştırıyorsun. Aile şikâyetçi.</t>
        </is>
      </c>
      <c r="J501" s="6" t="inlineStr">
        <is>
          <t>Formun dördüncü sayfası eksikti. Dördüncü sayfanın var olduğunu kimse söylememişti.</t>
        </is>
      </c>
      <c r="K501" s="6" t="inlineStr">
        <is>
          <t>Kabul edildin, vize reddedildi. Dönemi arkadaşlarının görüntülü aramalarından izledin.</t>
        </is>
      </c>
      <c r="L501" s="6" t="inlineStr"/>
      <c r="M501" s="5" t="inlineStr"/>
      <c r="N501" s="5" t="inlineStr"/>
      <c r="O501" s="6" t="inlineStr"/>
      <c r="P501" s="6" t="inlineStr"/>
      <c r="Q501" s="5" t="inlineStr"/>
      <c r="R501" s="5" t="inlineStr"/>
      <c r="S501" s="5" t="inlineStr"/>
      <c r="T501" s="5" t="inlineStr"/>
      <c r="U501" s="5" t="inlineStr"/>
      <c r="V501" s="5" t="inlineStr">
        <is>
          <t>yurtdisi-gordu</t>
        </is>
      </c>
      <c r="W501" s="5" t="inlineStr"/>
      <c r="X501" s="5" t="inlineStr"/>
      <c r="Y501" s="5" t="inlineStr"/>
      <c r="Z501" s="6" t="inlineStr"/>
    </row>
    <row r="502">
      <c r="A502" s="5" t="inlineStr">
        <is>
          <t>b6-degisim-programi</t>
        </is>
      </c>
      <c r="B502" s="5" t="n">
        <v>3</v>
      </c>
      <c r="C502" s="6" t="inlineStr">
        <is>
          <t>Bursu beklemeden aileden destek iste</t>
        </is>
      </c>
      <c r="D502" s="5" t="inlineStr">
        <is>
          <t>Çene</t>
        </is>
      </c>
      <c r="E502" s="5" t="inlineStr">
        <is>
          <t>Zor</t>
        </is>
      </c>
      <c r="F502" s="5" t="inlineStr"/>
      <c r="G502" s="6" t="inlineStr"/>
      <c r="H502" s="6" t="inlineStr">
        <is>
          <t>Aile toplantısında sunum yaptın. Onay çıktı, şartı her akşam görüntülü arama.</t>
        </is>
      </c>
      <c r="I502" s="6" t="inlineStr">
        <is>
          <t>Onayla birlikte ek bütçe de açıldı. Ek bütçenin yarısı kuru gıda olarak bavula kondu.</t>
        </is>
      </c>
      <c r="J502" s="6" t="inlineStr">
        <is>
          <t>Karar: 'Bir dahaki sefere.' Bir dahaki sefer mezuniyetten sonraymış.</t>
        </is>
      </c>
      <c r="K502" s="6" t="inlineStr">
        <is>
          <t>Sunumda oradaki kira miktarını söyledin. Toplantı kısa sürdü.</t>
        </is>
      </c>
      <c r="L502" s="6" t="inlineStr"/>
      <c r="M502" s="5" t="inlineStr"/>
      <c r="N502" s="5" t="inlineStr"/>
      <c r="O502" s="6" t="inlineStr"/>
      <c r="P502" s="6" t="inlineStr"/>
      <c r="Q502" s="5" t="inlineStr"/>
      <c r="R502" s="5" t="inlineStr"/>
      <c r="S502" s="5" t="inlineStr"/>
      <c r="T502" s="5" t="inlineStr"/>
      <c r="U502" s="5" t="inlineStr"/>
      <c r="V502" s="5" t="inlineStr">
        <is>
          <t>yurtdisi-gordu</t>
        </is>
      </c>
      <c r="W502" s="5" t="inlineStr"/>
      <c r="X502" s="5" t="inlineStr"/>
      <c r="Y502" s="5" t="inlineStr"/>
      <c r="Z502" s="6" t="inlineStr"/>
    </row>
    <row r="503">
      <c r="A503" s="5" t="inlineStr">
        <is>
          <t>b6-askerlik</t>
        </is>
      </c>
      <c r="B503" s="5" t="n">
        <v>1</v>
      </c>
      <c r="C503" s="6" t="inlineStr">
        <is>
          <t>Nöbetleri tut, mektup yaz</t>
        </is>
      </c>
      <c r="D503" s="5" t="inlineStr"/>
      <c r="E503" s="5" t="inlineStr"/>
      <c r="F503" s="5" t="inlineStr">
        <is>
          <t>Vicdan +2, Dayanıklılık +1</t>
        </is>
      </c>
      <c r="G503" s="6" t="inlineStr">
        <is>
          <t>Her nöbette bir mektup yazdın. Annen hepsini bir kutuda saklıyor. Kutunun üstünde 'Oğlumun romanı' yazıyor.</t>
        </is>
      </c>
      <c r="H503" s="6" t="inlineStr"/>
      <c r="I503" s="6" t="inlineStr"/>
      <c r="J503" s="6" t="inlineStr"/>
      <c r="K503" s="6" t="inlineStr"/>
      <c r="L503" s="6" t="inlineStr"/>
      <c r="M503" s="5" t="inlineStr"/>
      <c r="N503" s="5" t="inlineStr"/>
      <c r="O503" s="6" t="inlineStr"/>
      <c r="P503" s="6" t="inlineStr"/>
      <c r="Q503" s="5" t="inlineStr"/>
      <c r="R503" s="5" t="inlineStr"/>
      <c r="S503" s="5" t="inlineStr"/>
      <c r="T503" s="5" t="inlineStr"/>
      <c r="U503" s="5" t="inlineStr">
        <is>
          <t>askerlik-yapti</t>
        </is>
      </c>
      <c r="V503" s="5" t="inlineStr"/>
      <c r="W503" s="5" t="inlineStr"/>
      <c r="X503" s="5" t="inlineStr"/>
      <c r="Y503" s="5" t="inlineStr"/>
      <c r="Z503" s="6" t="inlineStr"/>
    </row>
    <row r="504">
      <c r="A504" s="5" t="inlineStr">
        <is>
          <t>b6-askerlik</t>
        </is>
      </c>
      <c r="B504" s="5" t="n">
        <v>2</v>
      </c>
      <c r="C504" s="6" t="inlineStr">
        <is>
          <t>Gece nöbetinde uyanık kal</t>
        </is>
      </c>
      <c r="D504" s="5" t="inlineStr">
        <is>
          <t>Dayanıklılık</t>
        </is>
      </c>
      <c r="E504" s="5" t="inlineStr">
        <is>
          <t>Zor</t>
        </is>
      </c>
      <c r="F504" s="5" t="inlineStr"/>
      <c r="G504" s="6" t="inlineStr"/>
      <c r="H504" s="6" t="inlineStr">
        <is>
          <t>Saat üçte uyanıktın. Yıldızları saydın: altmış dört. Rapor istenmedi.</t>
        </is>
      </c>
      <c r="I504" s="6" t="inlineStr">
        <is>
          <t>Tek bir kez esnemedin. Nöbet çizelgesinde adının yanına 'örnek' yazıldı. Ödülün bir nöbet daha.</t>
        </is>
      </c>
      <c r="J504" s="6" t="inlineStr">
        <is>
          <t>Nöbette uyudun. Seni komutanın köpeği uyandırdı ve kimseye söylemedi. Sadakat.</t>
        </is>
      </c>
      <c r="K504" s="6" t="inlineStr">
        <is>
          <t>Uyandığında kulübenin kapısında bir not vardı: 'Kahvaltıya gel.' Komutan imzalı.</t>
        </is>
      </c>
      <c r="L504" s="6" t="inlineStr"/>
      <c r="M504" s="5" t="inlineStr"/>
      <c r="N504" s="5" t="inlineStr"/>
      <c r="O504" s="6" t="inlineStr"/>
      <c r="P504" s="6" t="inlineStr"/>
      <c r="Q504" s="5" t="inlineStr"/>
      <c r="R504" s="5" t="inlineStr"/>
      <c r="S504" s="5" t="inlineStr"/>
      <c r="T504" s="5" t="inlineStr">
        <is>
          <t>Nöbet Disiplini</t>
        </is>
      </c>
      <c r="U504" s="5" t="inlineStr">
        <is>
          <t>askerlik-yapti</t>
        </is>
      </c>
      <c r="V504" s="5" t="inlineStr"/>
      <c r="W504" s="5" t="inlineStr"/>
      <c r="X504" s="5" t="inlineStr"/>
      <c r="Y504" s="5" t="inlineStr"/>
      <c r="Z504" s="6" t="inlineStr"/>
    </row>
    <row r="505">
      <c r="A505" s="5" t="inlineStr">
        <is>
          <t>b6-askerlik</t>
        </is>
      </c>
      <c r="B505" s="5" t="n">
        <v>3</v>
      </c>
      <c r="C505" s="6" t="inlineStr">
        <is>
          <t>Komutanın köpeğini gezdirmeye gönüllü ol</t>
        </is>
      </c>
      <c r="D505" s="5" t="inlineStr">
        <is>
          <t>Sosyal Radar</t>
        </is>
      </c>
      <c r="E505" s="5" t="inlineStr">
        <is>
          <t>Kolay</t>
        </is>
      </c>
      <c r="F505" s="5" t="inlineStr"/>
      <c r="G505" s="6" t="inlineStr"/>
      <c r="H505" s="6" t="inlineStr">
        <is>
          <t>Köpek seni sevdi. Komutan da köpeğin sevdiğini sevdi. Nöbetlerin gündüze kaydı.</t>
        </is>
      </c>
      <c r="I505" s="6" t="inlineStr">
        <is>
          <t>Köpek yalnızca seninle yürüyor. Terhis günü kapıya kadar geldi. Komutan da.</t>
        </is>
      </c>
      <c r="J505" s="6" t="inlineStr">
        <is>
          <t>Köpek seni gezdirdi. Kışlanın çevresini üç kez koşarak turladınız.</t>
        </is>
      </c>
      <c r="K505" s="6" t="inlineStr">
        <is>
          <t>Tasmayı bıraktın. Bütün bölük iki saat köpeği aradı. Köpek komutanın odasında uyuyordu.</t>
        </is>
      </c>
      <c r="L505" s="6" t="inlineStr"/>
      <c r="M505" s="5" t="inlineStr"/>
      <c r="N505" s="5" t="inlineStr"/>
      <c r="O505" s="6" t="inlineStr"/>
      <c r="P505" s="6" t="inlineStr"/>
      <c r="Q505" s="5" t="inlineStr"/>
      <c r="R505" s="5" t="inlineStr"/>
      <c r="S505" s="5" t="inlineStr">
        <is>
          <t>Sosyal Radar</t>
        </is>
      </c>
      <c r="T505" s="5" t="inlineStr"/>
      <c r="U505" s="5" t="inlineStr">
        <is>
          <t>askerlik-yapti</t>
        </is>
      </c>
      <c r="V505" s="5" t="inlineStr"/>
      <c r="W505" s="5" t="inlineStr"/>
      <c r="X505" s="5" t="inlineStr"/>
      <c r="Y505" s="5" t="inlineStr"/>
      <c r="Z505" s="6" t="inlineStr"/>
    </row>
    <row r="506">
      <c r="A506" s="5" t="inlineStr">
        <is>
          <t>b6-askerlik</t>
        </is>
      </c>
      <c r="B506" s="5" t="n">
        <v>4</v>
      </c>
      <c r="C506" s="6" t="inlineStr">
        <is>
          <t>Kantin sırasını düzene sok</t>
        </is>
      </c>
      <c r="D506" s="5" t="inlineStr">
        <is>
          <t>Akıl</t>
        </is>
      </c>
      <c r="E506" s="5" t="inlineStr">
        <is>
          <t>Orta</t>
        </is>
      </c>
      <c r="F506" s="5" t="inlineStr"/>
      <c r="G506" s="6" t="inlineStr"/>
      <c r="H506" s="6" t="inlineStr">
        <is>
          <t>Numaratör sistemi kurdun. Bekleme yarıya indi. Kantinci sana bedava tost verdi.</t>
        </is>
      </c>
      <c r="I506" s="6" t="inlineStr">
        <is>
          <t>Sistem bütün kışlada uygulandı. Adın bir yönergenin dipnotunda geçiyor.</t>
        </is>
      </c>
      <c r="J506" s="6" t="inlineStr">
        <is>
          <t>İlk gün numaralar karıştı. İki kişi aynı tostu istedi, ikisi de sana baktı.</t>
        </is>
      </c>
      <c r="K506" s="6" t="inlineStr">
        <is>
          <t>Numara kâğıtları rüzgârda uçtu. Kantin kaosa, sen ek nöbete.</t>
        </is>
      </c>
      <c r="L506" s="6" t="inlineStr"/>
      <c r="M506" s="5" t="inlineStr"/>
      <c r="N506" s="5" t="inlineStr"/>
      <c r="O506" s="6" t="inlineStr"/>
      <c r="P506" s="6" t="inlineStr"/>
      <c r="Q506" s="5" t="inlineStr">
        <is>
          <t>Organizatör</t>
        </is>
      </c>
      <c r="R506" s="5" t="inlineStr"/>
      <c r="S506" s="5" t="inlineStr"/>
      <c r="T506" s="5" t="inlineStr"/>
      <c r="U506" s="5" t="inlineStr">
        <is>
          <t>askerlik-yapti</t>
        </is>
      </c>
      <c r="V506" s="5" t="inlineStr"/>
      <c r="W506" s="5" t="inlineStr"/>
      <c r="X506" s="5" t="inlineStr"/>
      <c r="Y506" s="5" t="inlineStr"/>
      <c r="Z506" s="6" t="inlineStr"/>
    </row>
    <row r="507">
      <c r="A507" s="5" t="inlineStr">
        <is>
          <t>b6-askerlik</t>
        </is>
      </c>
      <c r="B507" s="5" t="n">
        <v>5</v>
      </c>
      <c r="C507" s="6" t="inlineStr">
        <is>
          <t>Yazıcılığa gönüllü ol</t>
        </is>
      </c>
      <c r="D507" s="5" t="inlineStr">
        <is>
          <t>Kurnazlık</t>
        </is>
      </c>
      <c r="E507" s="5" t="inlineStr">
        <is>
          <t>Orta</t>
        </is>
      </c>
      <c r="F507" s="5" t="inlineStr"/>
      <c r="G507" s="6" t="inlineStr"/>
      <c r="H507" s="6" t="inlineStr">
        <is>
          <t>İzin kâğıtlarının hepsi artık senin masandan geçiyor. Güç bir mühürdedir.</t>
        </is>
      </c>
      <c r="I507" s="6" t="inlineStr">
        <is>
          <t>Bütün bölük sana hediye getirmeye başladı. Kantinden. Tost.</t>
        </is>
      </c>
      <c r="J507" s="6" t="inlineStr">
        <is>
          <t>Mühürü ters bastın. Yüz izin belgesi yeniden basıldı.</t>
        </is>
      </c>
      <c r="K507" s="6" t="inlineStr">
        <is>
          <t>Kendi izin belgeni yanlış tarihe bastın. Kapıdan çıktın, kapıdan geri döndün.</t>
        </is>
      </c>
      <c r="L507" s="6" t="inlineStr"/>
      <c r="M507" s="5" t="inlineStr"/>
      <c r="N507" s="5" t="inlineStr"/>
      <c r="O507" s="6" t="inlineStr"/>
      <c r="P507" s="6" t="inlineStr"/>
      <c r="Q507" s="5" t="inlineStr"/>
      <c r="R507" s="5" t="inlineStr"/>
      <c r="S507" s="5" t="inlineStr"/>
      <c r="T507" s="5" t="inlineStr"/>
      <c r="U507" s="5" t="inlineStr">
        <is>
          <t>askerlik-yapti</t>
        </is>
      </c>
      <c r="V507" s="5" t="inlineStr"/>
      <c r="W507" s="5" t="inlineStr"/>
      <c r="X507" s="5" t="inlineStr"/>
      <c r="Y507" s="5" t="inlineStr"/>
      <c r="Z507" s="6" t="inlineStr"/>
    </row>
    <row r="508">
      <c r="A508" s="5" t="inlineStr">
        <is>
          <t>b6-okusaydin</t>
        </is>
      </c>
      <c r="B508" s="5" t="n">
        <v>1</v>
      </c>
      <c r="C508" s="6" t="inlineStr">
        <is>
          <t>Gülümse ve tatlı ye</t>
        </is>
      </c>
      <c r="D508" s="5" t="inlineStr"/>
      <c r="E508" s="5" t="inlineStr"/>
      <c r="F508" s="5" t="inlineStr">
        <is>
          <t>Dayanıklılık +2</t>
        </is>
      </c>
      <c r="G508" s="6" t="inlineStr">
        <is>
          <t>Dördüne de gülümsedin. Dört dilim yedin. Bu masada kimse kazanamadı.</t>
        </is>
      </c>
      <c r="H508" s="6" t="inlineStr"/>
      <c r="I508" s="6" t="inlineStr"/>
      <c r="J508" s="6" t="inlineStr"/>
      <c r="K508" s="6" t="inlineStr"/>
      <c r="L508" s="6" t="inlineStr"/>
      <c r="M508" s="5" t="inlineStr"/>
      <c r="N508" s="5" t="inlineStr"/>
      <c r="O508" s="6" t="inlineStr"/>
      <c r="P508" s="6" t="inlineStr"/>
      <c r="Q508" s="5" t="inlineStr"/>
      <c r="R508" s="5" t="inlineStr"/>
      <c r="S508" s="5" t="inlineStr"/>
      <c r="T508" s="5" t="inlineStr"/>
      <c r="U508" s="5" t="inlineStr"/>
      <c r="V508" s="5" t="inlineStr"/>
      <c r="W508" s="5" t="inlineStr"/>
      <c r="X508" s="5" t="inlineStr"/>
      <c r="Y508" s="5" t="inlineStr"/>
      <c r="Z508" s="6" t="inlineStr"/>
    </row>
    <row r="509">
      <c r="A509" s="5" t="inlineStr">
        <is>
          <t>b6-okusaydin</t>
        </is>
      </c>
      <c r="B509" s="5" t="n">
        <v>2</v>
      </c>
      <c r="C509" s="6" t="inlineStr">
        <is>
          <t>Maaşını açıkla</t>
        </is>
      </c>
      <c r="D509" s="5" t="inlineStr">
        <is>
          <t>Pişkinlik</t>
        </is>
      </c>
      <c r="E509" s="5" t="inlineStr">
        <is>
          <t>Orta</t>
        </is>
      </c>
      <c r="F509" s="5" t="inlineStr"/>
      <c r="G509" s="6" t="inlineStr"/>
      <c r="H509" s="6" t="inlineStr">
        <is>
          <t>Kısa bir sessizlik oldu. Konu hava durumuna geçti.</t>
        </is>
      </c>
      <c r="I509" s="6" t="inlineStr">
        <is>
          <t>Teyze, üniversitedeki oğluna senin gibi çalışmasını önerdi. Oğlu duydu.</t>
        </is>
      </c>
      <c r="J509" s="6" t="inlineStr">
        <is>
          <t>'Olsun, okusaydın daha iyisi olurdu' dendi. Matematik kimseyi ikna etmedi.</t>
        </is>
      </c>
      <c r="K509" s="6" t="inlineStr">
        <is>
          <t>Maaşını söyledin. O gece iki akraba senden borç istedi.</t>
        </is>
      </c>
      <c r="L509" s="6" t="inlineStr"/>
      <c r="M509" s="5" t="inlineStr"/>
      <c r="N509" s="5" t="inlineStr"/>
      <c r="O509" s="6" t="inlineStr"/>
      <c r="P509" s="6" t="inlineStr"/>
      <c r="Q509" s="5" t="inlineStr"/>
      <c r="R509" s="5" t="inlineStr"/>
      <c r="S509" s="5" t="inlineStr"/>
      <c r="T509" s="5" t="inlineStr"/>
      <c r="U509" s="5" t="inlineStr"/>
      <c r="V509" s="5" t="inlineStr"/>
      <c r="W509" s="5" t="inlineStr"/>
      <c r="X509" s="5" t="inlineStr"/>
      <c r="Y509" s="5" t="inlineStr"/>
      <c r="Z509" s="6" t="inlineStr"/>
    </row>
    <row r="510">
      <c r="A510" s="5" t="inlineStr">
        <is>
          <t>b6-okusaydin</t>
        </is>
      </c>
      <c r="B510" s="5" t="n">
        <v>3</v>
      </c>
      <c r="C510" s="6" t="inlineStr">
        <is>
          <t>Teyzenin oğlunu sor</t>
        </is>
      </c>
      <c r="D510" s="5" t="inlineStr">
        <is>
          <t>Sosyal Radar</t>
        </is>
      </c>
      <c r="E510" s="5" t="inlineStr">
        <is>
          <t>Kolay</t>
        </is>
      </c>
      <c r="F510" s="5" t="inlineStr"/>
      <c r="G510" s="6" t="inlineStr"/>
      <c r="H510" s="6" t="inlineStr">
        <is>
          <t>'Oğlunuz ne durumda?' dedin. Teyze konuyu hemen gelinliğe çevirdi.</t>
        </is>
      </c>
      <c r="I510" s="6" t="inlineStr">
        <is>
          <t>Bütün masa teyzeye döndü. Sen sessizce ikinci tatlıyı aldın.</t>
        </is>
      </c>
      <c r="J510" s="6" t="inlineStr">
        <is>
          <t>Oğlu yüksek lisansa başlamış. Yenildin.</t>
        </is>
      </c>
      <c r="K510" s="6" t="inlineStr">
        <is>
          <t>Oğlu yan masadaymış. Duydu, geldi, kendi hikâyesini anlattı. Kırk dakika.</t>
        </is>
      </c>
      <c r="L510" s="6" t="inlineStr"/>
      <c r="M510" s="5" t="inlineStr"/>
      <c r="N510" s="5" t="inlineStr"/>
      <c r="O510" s="6" t="inlineStr"/>
      <c r="P510" s="6" t="inlineStr"/>
      <c r="Q510" s="5" t="inlineStr"/>
      <c r="R510" s="5" t="inlineStr"/>
      <c r="S510" s="5" t="inlineStr">
        <is>
          <t>Sosyal Radar</t>
        </is>
      </c>
      <c r="T510" s="5" t="inlineStr"/>
      <c r="U510" s="5" t="inlineStr"/>
      <c r="V510" s="5" t="inlineStr"/>
      <c r="W510" s="5" t="inlineStr"/>
      <c r="X510" s="5" t="inlineStr"/>
      <c r="Y510" s="5" t="inlineStr"/>
      <c r="Z510" s="6" t="inlineStr"/>
    </row>
    <row r="511">
      <c r="A511" s="5" t="inlineStr">
        <is>
          <t>b6-okusaydin</t>
        </is>
      </c>
      <c r="B511" s="5" t="n">
        <v>4</v>
      </c>
      <c r="C511" s="6" t="inlineStr">
        <is>
          <t>Kendinle dalga geç</t>
        </is>
      </c>
      <c r="D511" s="5" t="inlineStr">
        <is>
          <t>Pişkinlik</t>
        </is>
      </c>
      <c r="E511" s="5" t="inlineStr">
        <is>
          <t>Kolay</t>
        </is>
      </c>
      <c r="F511" s="5" t="inlineStr"/>
      <c r="G511" s="6" t="inlineStr"/>
      <c r="H511" s="6" t="inlineStr">
        <is>
          <t>'Ben okusaydım kim çalışacaktı?' dedin. Masa güldü, konu kapandı.</t>
        </is>
      </c>
      <c r="I511" s="6" t="inlineStr">
        <is>
          <t>Espri bütün düğün boyunca masadan masaya dolaştı. Gelin bile tekrarladı.</t>
        </is>
      </c>
      <c r="J511" s="6" t="inlineStr">
        <is>
          <t>Kimse gülmedi. Teyze başını salladı: 'Okusaydın espri de öğrenirdin.'</t>
        </is>
      </c>
      <c r="K511" s="6" t="inlineStr">
        <is>
          <t>Kendinle dalga geçtin. Akrabalar da katıldı. Hepsi katıldı.</t>
        </is>
      </c>
      <c r="L511" s="6" t="inlineStr"/>
      <c r="M511" s="5" t="inlineStr"/>
      <c r="N511" s="5" t="inlineStr"/>
      <c r="O511" s="6" t="inlineStr"/>
      <c r="P511" s="6" t="inlineStr"/>
      <c r="Q511" s="5" t="inlineStr">
        <is>
          <t>Kendine Gülebilir</t>
        </is>
      </c>
      <c r="R511" s="5" t="inlineStr"/>
      <c r="S511" s="5" t="inlineStr"/>
      <c r="T511" s="5" t="inlineStr"/>
      <c r="U511" s="5" t="inlineStr"/>
      <c r="V511" s="5" t="inlineStr"/>
      <c r="W511" s="5" t="inlineStr"/>
      <c r="X511" s="5" t="inlineStr"/>
      <c r="Y511" s="5" t="inlineStr"/>
      <c r="Z511" s="6" t="inlineStr"/>
    </row>
    <row r="512">
      <c r="A512" s="5" t="inlineStr">
        <is>
          <t>b6-mezuniyet</t>
        </is>
      </c>
      <c r="B512" s="5" t="n">
        <v>1</v>
      </c>
      <c r="C512" s="6" t="inlineStr">
        <is>
          <t>Kepi at, fotoğraf çek</t>
        </is>
      </c>
      <c r="D512" s="5" t="inlineStr"/>
      <c r="E512" s="5" t="inlineStr"/>
      <c r="F512" s="5" t="inlineStr">
        <is>
          <t>Sosyal Radar +1</t>
        </is>
      </c>
      <c r="G512" s="6" t="inlineStr">
        <is>
          <t>Kep havaya uçtu. Geri başkasının kepi geldi. Hayat da biraz buna benziyor.</t>
        </is>
      </c>
      <c r="H512" s="6" t="inlineStr"/>
      <c r="I512" s="6" t="inlineStr"/>
      <c r="J512" s="6" t="inlineStr"/>
      <c r="K512" s="6" t="inlineStr"/>
      <c r="L512" s="6" t="inlineStr"/>
      <c r="M512" s="5" t="inlineStr"/>
      <c r="N512" s="5" t="inlineStr"/>
      <c r="O512" s="6" t="inlineStr"/>
      <c r="P512" s="6" t="inlineStr"/>
      <c r="Q512" s="5" t="inlineStr"/>
      <c r="R512" s="5" t="inlineStr"/>
      <c r="S512" s="5" t="inlineStr"/>
      <c r="T512" s="5" t="inlineStr"/>
      <c r="U512" s="5" t="inlineStr"/>
      <c r="V512" s="5" t="inlineStr"/>
      <c r="W512" s="5" t="inlineStr"/>
      <c r="X512" s="5" t="inlineStr"/>
      <c r="Y512" s="5" t="inlineStr"/>
      <c r="Z512" s="6" t="inlineStr"/>
    </row>
    <row r="513">
      <c r="A513" s="5" t="inlineStr">
        <is>
          <t>b6-mezuniyet</t>
        </is>
      </c>
      <c r="B513" s="5" t="n">
        <v>2</v>
      </c>
      <c r="C513" s="6" t="inlineStr">
        <is>
          <t>Konuşmayı sen yap</t>
        </is>
      </c>
      <c r="D513" s="5" t="inlineStr">
        <is>
          <t>Çene</t>
        </is>
      </c>
      <c r="E513" s="5" t="inlineStr">
        <is>
          <t>Zor</t>
        </is>
      </c>
      <c r="F513" s="5" t="inlineStr"/>
      <c r="G513" s="6" t="inlineStr"/>
      <c r="H513" s="6" t="inlineStr">
        <is>
          <t>Hocalar gülümsedi, dekan saatine baktı. Başarılı sayılır.</t>
        </is>
      </c>
      <c r="I513" s="6" t="inlineStr">
        <is>
          <t>Kısa, esprili, samimi. Video aile grubunda yüz kez paylaşıldı.</t>
        </is>
      </c>
      <c r="J513" s="6" t="inlineStr">
        <is>
          <t>Mikrofon kapalıydı. Dudak okuyanlar beğendi.</t>
        </is>
      </c>
      <c r="K513" s="6" t="inlineStr">
        <is>
          <t>Teşekkür ettiğin hoca, seni üç kez bırakan hocaydı. Salon anladı.</t>
        </is>
      </c>
      <c r="L513" s="6" t="inlineStr"/>
      <c r="M513" s="5" t="inlineStr"/>
      <c r="N513" s="5" t="inlineStr"/>
      <c r="O513" s="6" t="inlineStr"/>
      <c r="P513" s="6" t="inlineStr"/>
      <c r="Q513" s="5" t="inlineStr"/>
      <c r="R513" s="5" t="inlineStr"/>
      <c r="S513" s="5" t="inlineStr"/>
      <c r="T513" s="5" t="inlineStr"/>
      <c r="U513" s="5" t="inlineStr"/>
      <c r="V513" s="5" t="inlineStr"/>
      <c r="W513" s="5" t="inlineStr"/>
      <c r="X513" s="5" t="inlineStr"/>
      <c r="Y513" s="5" t="inlineStr"/>
      <c r="Z513" s="6" t="inlineStr"/>
    </row>
    <row r="514">
      <c r="A514" s="5" t="inlineStr">
        <is>
          <t>b6-mezuniyet</t>
        </is>
      </c>
      <c r="B514" s="5" t="n">
        <v>3</v>
      </c>
      <c r="C514" s="6" t="inlineStr">
        <is>
          <t>Diplomayı aynı gün almaya çalış</t>
        </is>
      </c>
      <c r="D514" s="5" t="inlineStr">
        <is>
          <t>Kurnazlık</t>
        </is>
      </c>
      <c r="E514" s="5" t="inlineStr">
        <is>
          <t>Orta</t>
        </is>
      </c>
      <c r="F514" s="5" t="inlineStr"/>
      <c r="G514" s="6" t="inlineStr"/>
      <c r="H514" s="6" t="inlineStr">
        <is>
          <t>Öğrenci işlerindeki memurla göz teması kurdun. Diploma aynı gün elinde.</t>
        </is>
      </c>
      <c r="I514" s="6" t="inlineStr">
        <is>
          <t>Diplomayı aldın, üstelik ikinci nüsha da çıktı. Biri çerçeveye, biri zarfa.</t>
        </is>
      </c>
      <c r="J514" s="6" t="inlineStr">
        <is>
          <t>Önünde bütün mezunlar vardı. Arkanda da.</t>
        </is>
      </c>
      <c r="K514" s="6" t="inlineStr">
        <is>
          <t>Adın yanlış yazılmış. Düzeltme için dilekçe, dilekçe için harç, harç için sıra.</t>
        </is>
      </c>
      <c r="L514" s="6" t="inlineStr"/>
      <c r="M514" s="5" t="inlineStr"/>
      <c r="N514" s="5" t="inlineStr"/>
      <c r="O514" s="6" t="inlineStr"/>
      <c r="P514" s="6" t="inlineStr"/>
      <c r="Q514" s="5" t="inlineStr"/>
      <c r="R514" s="5" t="inlineStr"/>
      <c r="S514" s="5" t="inlineStr"/>
      <c r="T514" s="5" t="inlineStr"/>
      <c r="U514" s="5" t="inlineStr"/>
      <c r="V514" s="5" t="inlineStr"/>
      <c r="W514" s="5" t="inlineStr"/>
      <c r="X514" s="5" t="inlineStr"/>
      <c r="Y514" s="5" t="inlineStr"/>
      <c r="Z514" s="6" t="inlineStr"/>
    </row>
    <row r="515">
      <c r="A515" s="5" t="inlineStr">
        <is>
          <t>b6-mezuniyet</t>
        </is>
      </c>
      <c r="B515" s="5" t="n">
        <v>4</v>
      </c>
      <c r="C515" s="6" t="inlineStr">
        <is>
          <t>Ailenle poz ver</t>
        </is>
      </c>
      <c r="D515" s="5" t="inlineStr"/>
      <c r="E515" s="5" t="inlineStr"/>
      <c r="F515" s="5" t="inlineStr">
        <is>
          <t>Vicdan +2</t>
        </is>
      </c>
      <c r="G515" s="6" t="inlineStr">
        <is>
          <t>On yedi açıdan aynı fotoğraf çekildi. Hepsinde birinin gözü kapalı.</t>
        </is>
      </c>
      <c r="H515" s="6" t="inlineStr"/>
      <c r="I515" s="6" t="inlineStr"/>
      <c r="J515" s="6" t="inlineStr"/>
      <c r="K515" s="6" t="inlineStr"/>
      <c r="L515" s="6" t="inlineStr"/>
      <c r="M515" s="5" t="inlineStr"/>
      <c r="N515" s="5" t="inlineStr"/>
      <c r="O515" s="6" t="inlineStr"/>
      <c r="P515" s="6" t="inlineStr"/>
      <c r="Q515" s="5" t="inlineStr"/>
      <c r="R515" s="5" t="inlineStr"/>
      <c r="S515" s="5" t="inlineStr"/>
      <c r="T515" s="5" t="inlineStr"/>
      <c r="U515" s="5" t="inlineStr"/>
      <c r="V515" s="5" t="inlineStr"/>
      <c r="W515" s="5" t="inlineStr"/>
      <c r="X515" s="5" t="inlineStr"/>
      <c r="Y515" s="5" t="inlineStr"/>
      <c r="Z515" s="6" t="inlineStr"/>
    </row>
    <row r="516">
      <c r="A516" s="5" t="inlineStr">
        <is>
          <t>b6-meslek-secimi</t>
        </is>
      </c>
      <c r="B516" s="5" t="n">
        <v>1</v>
      </c>
      <c r="C516" s="6" t="inlineStr">
        <is>
          <t>Esnaf ol: kendi tezgâhını aç</t>
        </is>
      </c>
      <c r="D516" s="5" t="inlineStr"/>
      <c r="E516" s="5" t="inlineStr"/>
      <c r="F516" s="5" t="inlineStr">
        <is>
          <t>Kurnazlık +2, Çene +1</t>
        </is>
      </c>
      <c r="G516" s="6" t="inlineStr">
        <is>
          <t>Küçük bir dükkan tuttun. İlk müşteri 'Burada eskiden terzi vardı' dedi ve çıktı. Siftah yarına kaldı.</t>
        </is>
      </c>
      <c r="H516" s="6" t="inlineStr"/>
      <c r="I516" s="6" t="inlineStr"/>
      <c r="J516" s="6" t="inlineStr"/>
      <c r="K516" s="6" t="inlineStr"/>
      <c r="L516" s="6" t="inlineStr"/>
      <c r="M516" s="5" t="inlineStr"/>
      <c r="N516" s="5" t="inlineStr"/>
      <c r="O516" s="6" t="inlineStr"/>
      <c r="P516" s="6" t="inlineStr"/>
      <c r="Q516" s="5" t="inlineStr"/>
      <c r="R516" s="5" t="inlineStr"/>
      <c r="S516" s="5" t="inlineStr"/>
      <c r="T516" s="5" t="inlineStr"/>
      <c r="U516" s="5" t="inlineStr">
        <is>
          <t>meslek-esnaf</t>
        </is>
      </c>
      <c r="V516" s="5" t="inlineStr"/>
      <c r="W516" s="5" t="inlineStr"/>
      <c r="X516" s="5" t="inlineStr"/>
      <c r="Y516" s="5" t="inlineStr"/>
      <c r="Z516" s="6" t="inlineStr"/>
    </row>
    <row r="517">
      <c r="A517" s="5" t="inlineStr">
        <is>
          <t>b6-meslek-secimi</t>
        </is>
      </c>
      <c r="B517" s="5" t="n">
        <v>2</v>
      </c>
      <c r="C517" s="6" t="inlineStr">
        <is>
          <t>Memur ol: devlet sınavına çalış</t>
        </is>
      </c>
      <c r="D517" s="5" t="inlineStr">
        <is>
          <t>Akıl</t>
        </is>
      </c>
      <c r="E517" s="5" t="inlineStr">
        <is>
          <t>Orta</t>
        </is>
      </c>
      <c r="F517" s="5" t="inlineStr"/>
      <c r="G517" s="6" t="inlineStr"/>
      <c r="H517" s="6" t="inlineStr">
        <is>
          <t>Sınavı geçtin. İlk gün sana bir masa, bir mühür ve 'Sistem yavaş' cümlesi zimmetlendi.</t>
        </is>
      </c>
      <c r="I517" s="6" t="inlineStr">
        <is>
          <t>Sınavda derece yaptın. Kadronu seçme hakkın doğdu. Pencere kenarını seçtin.</t>
        </is>
      </c>
      <c r="J517" s="6" t="inlineStr">
        <is>
          <t>Sınavı birkaç puanla kaçırdın, belediyeye sözleşmeli girdin. Masa aynı, mühür aynı, güvence yarım.</t>
        </is>
      </c>
      <c r="K517" s="6" t="inlineStr">
        <is>
          <t>Sınav sabahı uyuyakaldın. Geçici kadroya yazıldın. Geçici kadro otuz yıldır geçici.</t>
        </is>
      </c>
      <c r="L517" s="6" t="inlineStr"/>
      <c r="M517" s="5" t="inlineStr"/>
      <c r="N517" s="5" t="inlineStr"/>
      <c r="O517" s="6" t="inlineStr"/>
      <c r="P517" s="6" t="inlineStr"/>
      <c r="Q517" s="5" t="inlineStr"/>
      <c r="R517" s="5" t="inlineStr"/>
      <c r="S517" s="5" t="inlineStr"/>
      <c r="T517" s="5" t="inlineStr"/>
      <c r="U517" s="5" t="inlineStr">
        <is>
          <t>meslek-memur</t>
        </is>
      </c>
      <c r="V517" s="5" t="inlineStr"/>
      <c r="W517" s="5" t="inlineStr"/>
      <c r="X517" s="5" t="inlineStr"/>
      <c r="Y517" s="5" t="inlineStr"/>
      <c r="Z517" s="6" t="inlineStr"/>
    </row>
    <row r="518">
      <c r="A518" s="5" t="inlineStr">
        <is>
          <t>b6-meslek-secimi</t>
        </is>
      </c>
      <c r="B518" s="5" t="n">
        <v>3</v>
      </c>
      <c r="C518" s="6" t="inlineStr">
        <is>
          <t>Beyaz yaka ol: özgeçmişini her yere gönder</t>
        </is>
      </c>
      <c r="D518" s="5" t="inlineStr">
        <is>
          <t>Çene</t>
        </is>
      </c>
      <c r="E518" s="5" t="inlineStr">
        <is>
          <t>Orta</t>
        </is>
      </c>
      <c r="F518" s="5" t="inlineStr"/>
      <c r="G518" s="6" t="inlineStr"/>
      <c r="H518" s="6" t="inlineStr">
        <is>
          <t>Bir şirkete girdin. Unvanın yabancı dilde, maaşın yerli.</t>
        </is>
      </c>
      <c r="I518" s="6" t="inlineStr">
        <is>
          <t>İki teklif aldın, pazarlık yaptın. Unvanında 'Kıdemli' var. Kimse nedenini bilmiyor.</t>
        </is>
      </c>
      <c r="J518" s="6" t="inlineStr">
        <is>
          <t>Yüz başvurudan bir dönüş. Stajyer maaşına 'Uzman Yardımcısı' oldun. Açık ofiste sana köşe düştü.</t>
        </is>
      </c>
      <c r="K518" s="6" t="inlineStr">
        <is>
          <t>Şirket sana bilgisayar verdi, masa vermedi. Mutfakta, kahve makinesinin yanında çalışıyorsun.</t>
        </is>
      </c>
      <c r="L518" s="6" t="inlineStr"/>
      <c r="M518" s="5" t="inlineStr"/>
      <c r="N518" s="5" t="inlineStr"/>
      <c r="O518" s="6" t="inlineStr"/>
      <c r="P518" s="6" t="inlineStr"/>
      <c r="Q518" s="5" t="inlineStr"/>
      <c r="R518" s="5" t="inlineStr"/>
      <c r="S518" s="5" t="inlineStr"/>
      <c r="T518" s="5" t="inlineStr"/>
      <c r="U518" s="5" t="inlineStr">
        <is>
          <t>meslek-beyazyaka</t>
        </is>
      </c>
      <c r="V518" s="5" t="inlineStr"/>
      <c r="W518" s="5" t="inlineStr"/>
      <c r="X518" s="5" t="inlineStr"/>
      <c r="Y518" s="5" t="inlineStr"/>
      <c r="Z518" s="6" t="inlineStr"/>
    </row>
    <row r="519">
      <c r="A519" s="5" t="inlineStr">
        <is>
          <t>b6-meslek-secimi</t>
        </is>
      </c>
      <c r="B519" s="5" t="n">
        <v>4</v>
      </c>
      <c r="C519" s="6" t="inlineStr">
        <is>
          <t>Serbest çalış: yeteneğini sat</t>
        </is>
      </c>
      <c r="D519" s="5" t="inlineStr">
        <is>
          <t>Pişkinlik</t>
        </is>
      </c>
      <c r="E519" s="5" t="inlineStr">
        <is>
          <t>Zor</t>
        </is>
      </c>
      <c r="F519" s="5" t="inlineStr"/>
      <c r="G519" s="6" t="inlineStr"/>
      <c r="H519" s="6" t="inlineStr">
        <is>
          <t>İlk işin geldi. Ödemesi 'bu ay içinde'. Hangi ay olduğu belirtilmedi.</t>
        </is>
      </c>
      <c r="I519" s="6" t="inlineStr">
        <is>
          <t>Müşterin seni üç kişiye önerdi. Kendi saatlerin var. Hepsi gece.</t>
        </is>
      </c>
      <c r="J519" s="6" t="inlineStr">
        <is>
          <t>Ailen komşulara 'Evden çalışıyor' diyor. Tırnak işaretleriyle.</t>
        </is>
      </c>
      <c r="K519" s="6" t="inlineStr">
        <is>
          <t>İlk müşteri 'görünürlük' ile ödedi. Ev sahibine görünürlük teklif ettin. Kabul etmedi.</t>
        </is>
      </c>
      <c r="L519" s="6" t="inlineStr"/>
      <c r="M519" s="5" t="inlineStr"/>
      <c r="N519" s="5" t="inlineStr"/>
      <c r="O519" s="6" t="inlineStr"/>
      <c r="P519" s="6" t="inlineStr"/>
      <c r="Q519" s="5" t="inlineStr"/>
      <c r="R519" s="5" t="inlineStr"/>
      <c r="S519" s="5" t="inlineStr"/>
      <c r="T519" s="5" t="inlineStr"/>
      <c r="U519" s="5" t="inlineStr">
        <is>
          <t>meslek-serbest</t>
        </is>
      </c>
      <c r="V519" s="5" t="inlineStr"/>
      <c r="W519" s="5" t="inlineStr"/>
      <c r="X519" s="5" t="inlineStr"/>
      <c r="Y519" s="5" t="inlineStr"/>
      <c r="Z519" s="6" t="inlineStr"/>
    </row>
    <row r="520">
      <c r="A520" s="5" t="inlineStr">
        <is>
          <t>b6-meslek-secimi</t>
        </is>
      </c>
      <c r="B520" s="5" t="n">
        <v>5</v>
      </c>
      <c r="C520" s="6" t="inlineStr">
        <is>
          <t>Diplomanla mezunlar ağına gir</t>
        </is>
      </c>
      <c r="D520" s="5" t="inlineStr">
        <is>
          <t>Akıl</t>
        </is>
      </c>
      <c r="E520" s="5" t="inlineStr">
        <is>
          <t>Zor</t>
        </is>
      </c>
      <c r="F520" s="5" t="inlineStr"/>
      <c r="G520" s="6" t="inlineStr"/>
      <c r="H520" s="6" t="inlineStr">
        <is>
          <t>Bir mezun seni önerdi. Unvan, maaş ve pencere: üçü bir arada.</t>
        </is>
      </c>
      <c r="I520" s="6" t="inlineStr">
        <is>
          <t>Hocanın referansıyla girdin. İlk hafta 'Hocanın öğrencisi' diye tanıtıldın. Terfi planın bile hazır.</t>
        </is>
      </c>
      <c r="J520" s="6" t="inlineStr">
        <is>
          <t>Mezunlar ağından iş buldun. Giriş seviyesi, ama kartvizitin kalın kâğıttan.</t>
        </is>
      </c>
      <c r="K520" s="6" t="inlineStr">
        <is>
          <t>Seni öneren kişi seni başkasıyla karıştırmış. İşe girdin, ama başkasının projesinde.</t>
        </is>
      </c>
      <c r="L520" s="6" t="inlineStr"/>
      <c r="M520" s="5" t="inlineStr"/>
      <c r="N520" s="5" t="inlineStr"/>
      <c r="O520" s="6" t="inlineStr"/>
      <c r="P520" s="6" t="inlineStr"/>
      <c r="Q520" s="5" t="inlineStr"/>
      <c r="R520" s="5" t="inlineStr">
        <is>
          <t>universiteli</t>
        </is>
      </c>
      <c r="S520" s="5" t="inlineStr"/>
      <c r="T520" s="5" t="inlineStr">
        <is>
          <t>Referans Mektubu</t>
        </is>
      </c>
      <c r="U520" s="5" t="inlineStr">
        <is>
          <t>meslek-beyazyaka</t>
        </is>
      </c>
      <c r="V520" s="5" t="inlineStr"/>
      <c r="W520" s="5" t="inlineStr"/>
      <c r="X520" s="5" t="inlineStr"/>
      <c r="Y520" s="5" t="inlineStr"/>
      <c r="Z520" s="6" t="inlineStr"/>
    </row>
    <row r="521">
      <c r="A521" s="5" t="inlineStr">
        <is>
          <t>b6-flort-uygulamasi</t>
        </is>
      </c>
      <c r="B521" s="5" t="n">
        <v>1</v>
      </c>
      <c r="C521" s="6" t="inlineStr">
        <is>
          <t>Kuzenli fotoğrafı koy</t>
        </is>
      </c>
      <c r="D521" s="5" t="inlineStr"/>
      <c r="E521" s="5" t="inlineStr"/>
      <c r="F521" s="5" t="inlineStr">
        <is>
          <t>Sosyal Radar +1</t>
        </is>
      </c>
      <c r="G521" s="6" t="inlineStr">
        <is>
          <t>Bütün eşleşmeler kuzenine yazdı. Kuzen artık bir ilişkide.</t>
        </is>
      </c>
      <c r="H521" s="6" t="inlineStr"/>
      <c r="I521" s="6" t="inlineStr"/>
      <c r="J521" s="6" t="inlineStr"/>
      <c r="K521" s="6" t="inlineStr"/>
      <c r="L521" s="6" t="inlineStr"/>
      <c r="M521" s="5" t="inlineStr"/>
      <c r="N521" s="5" t="inlineStr"/>
      <c r="O521" s="6" t="inlineStr"/>
      <c r="P521" s="6" t="inlineStr"/>
      <c r="Q521" s="5" t="inlineStr"/>
      <c r="R521" s="5" t="inlineStr"/>
      <c r="S521" s="5" t="inlineStr"/>
      <c r="T521" s="5" t="inlineStr"/>
      <c r="U521" s="5" t="inlineStr"/>
      <c r="V521" s="5" t="inlineStr"/>
      <c r="W521" s="5" t="inlineStr"/>
      <c r="X521" s="5" t="inlineStr"/>
      <c r="Y521" s="5" t="inlineStr"/>
      <c r="Z521" s="6" t="inlineStr"/>
    </row>
    <row r="522">
      <c r="A522" s="5" t="inlineStr">
        <is>
          <t>b6-flort-uygulamasi</t>
        </is>
      </c>
      <c r="B522" s="5" t="n">
        <v>2</v>
      </c>
      <c r="C522" s="6" t="inlineStr">
        <is>
          <t>Çatıda gün batımı fotoğrafı çek</t>
        </is>
      </c>
      <c r="D522" s="5" t="inlineStr">
        <is>
          <t>Cesaret</t>
        </is>
      </c>
      <c r="E522" s="5" t="inlineStr">
        <is>
          <t>Orta</t>
        </is>
      </c>
      <c r="F522" s="5" t="inlineStr"/>
      <c r="G522" s="6" t="inlineStr"/>
      <c r="H522" s="6" t="inlineStr">
        <is>
          <t>Fotoğraf muhteşem. Eşleşmeler geldi. Hepsi 'Bu hangi çatı?' diye soruyor.</t>
        </is>
      </c>
      <c r="I522" s="6" t="inlineStr">
        <is>
          <t>Öyle güzel çıktı ki uygulama reklamda kullandı. Seni kimse tanımadı ama gün batımını herkes tanıdı.</t>
        </is>
      </c>
      <c r="J522" s="6" t="inlineStr">
        <is>
          <t>Güneş çoktan batmıştı. Fotoğrafta karanlıkta parlayan bir yüz var.</t>
        </is>
      </c>
      <c r="K522" s="6" t="inlineStr">
        <is>
          <t>Çatı kapısı arkandan kapandı. Gün batımını, gün doğumunu ve apartman yöneticisini aynı karede gördün.</t>
        </is>
      </c>
      <c r="L522" s="6" t="inlineStr"/>
      <c r="M522" s="5" t="inlineStr"/>
      <c r="N522" s="5" t="inlineStr"/>
      <c r="O522" s="6" t="inlineStr"/>
      <c r="P522" s="6" t="inlineStr"/>
      <c r="Q522" s="5" t="inlineStr"/>
      <c r="R522" s="5" t="inlineStr"/>
      <c r="S522" s="5" t="inlineStr"/>
      <c r="T522" s="5" t="inlineStr"/>
      <c r="U522" s="5" t="inlineStr"/>
      <c r="V522" s="5" t="inlineStr"/>
      <c r="W522" s="5" t="inlineStr"/>
      <c r="X522" s="5" t="inlineStr"/>
      <c r="Y522" s="5" t="n">
        <v>3</v>
      </c>
      <c r="Z522" s="6" t="inlineStr">
        <is>
          <t>Profil fotoğrafı için çatının kenarında, 'Son bir kare daha' derken.</t>
        </is>
      </c>
    </row>
    <row r="523">
      <c r="A523" s="5" t="inlineStr">
        <is>
          <t>b6-flort-uygulamasi</t>
        </is>
      </c>
      <c r="B523" s="5" t="n">
        <v>3</v>
      </c>
      <c r="C523" s="6" t="inlineStr">
        <is>
          <t>İlk mesajı yaz</t>
        </is>
      </c>
      <c r="D523" s="5" t="inlineStr">
        <is>
          <t>Çene</t>
        </is>
      </c>
      <c r="E523" s="5" t="inlineStr">
        <is>
          <t>Orta</t>
        </is>
      </c>
      <c r="F523" s="5" t="inlineStr"/>
      <c r="G523" s="6" t="inlineStr"/>
      <c r="H523" s="6" t="inlineStr">
        <is>
          <t>'Merhaba' yazdın. 'Merhaba' geldi. Sohbet üç gün sürdü, konusu hâlâ belirsiz.</t>
        </is>
      </c>
      <c r="I523" s="6" t="inlineStr">
        <is>
          <t>Buluşma ayarlandı. Kafede iki saat konuştunuz, kimse telefonuna bakmadı.</t>
        </is>
      </c>
      <c r="J523" s="6" t="inlineStr">
        <is>
          <t>Uzun, düşünülmüş bir mesaj yazdın. Cevap: 'hahaha'.</t>
        </is>
      </c>
      <c r="K523" s="6" t="inlineStr">
        <is>
          <t>Mesajı eşleşmene değil, aile grubuna attın. Teyze 'Kim bu?' diye sordu. Sonra herkes sordu.</t>
        </is>
      </c>
      <c r="L523" s="6" t="inlineStr"/>
      <c r="M523" s="5" t="inlineStr"/>
      <c r="N523" s="5" t="inlineStr"/>
      <c r="O523" s="6" t="inlineStr"/>
      <c r="P523" s="6" t="inlineStr"/>
      <c r="Q523" s="5" t="inlineStr"/>
      <c r="R523" s="5" t="inlineStr"/>
      <c r="S523" s="5" t="inlineStr"/>
      <c r="T523" s="5" t="inlineStr"/>
      <c r="U523" s="5" t="inlineStr"/>
      <c r="V523" s="5" t="inlineStr"/>
      <c r="W523" s="5" t="inlineStr"/>
      <c r="X523" s="5" t="inlineStr"/>
      <c r="Y523" s="5" t="inlineStr"/>
      <c r="Z523" s="6" t="inlineStr"/>
    </row>
    <row r="524">
      <c r="A524" s="5" t="inlineStr">
        <is>
          <t>b6-flort-uygulamasi</t>
        </is>
      </c>
      <c r="B524" s="5" t="n">
        <v>4</v>
      </c>
      <c r="C524" s="6" t="inlineStr">
        <is>
          <t>Videolarını profile koy</t>
        </is>
      </c>
      <c r="D524" s="5" t="inlineStr">
        <is>
          <t>Pişkinlik</t>
        </is>
      </c>
      <c r="E524" s="5" t="inlineStr">
        <is>
          <t>Kolay</t>
        </is>
      </c>
      <c r="F524" s="5" t="inlineStr"/>
      <c r="G524" s="6" t="inlineStr"/>
      <c r="H524" s="6" t="inlineStr">
        <is>
          <t>Eşleşmeler yağdı. Hepsi zaten takipçinmiş.</t>
        </is>
      </c>
      <c r="I524" s="6" t="inlineStr">
        <is>
          <t>Bir takipçin seni kafeye çağırdı. Kamerasız, kendin olarak gittin. Buna şaşırdı, hoşuna gitti.</t>
        </is>
      </c>
      <c r="J524" s="6" t="inlineStr">
        <is>
          <t>Videolarını gören eşleşmen seni takipten çıktı.</t>
        </is>
      </c>
      <c r="K524" s="6" t="inlineStr">
        <is>
          <t>Eşleşmen seni tanıdı: eski bir videonun arka planındaki komşuymuş. Şikâyetçiymiş.</t>
        </is>
      </c>
      <c r="L524" s="6" t="inlineStr"/>
      <c r="M524" s="5" t="inlineStr"/>
      <c r="N524" s="5" t="inlineStr"/>
      <c r="O524" s="6" t="inlineStr"/>
      <c r="P524" s="6" t="inlineStr"/>
      <c r="Q524" s="5" t="inlineStr"/>
      <c r="R524" s="5" t="inlineStr">
        <is>
          <t>fenomen</t>
        </is>
      </c>
      <c r="S524" s="5" t="inlineStr"/>
      <c r="T524" s="5" t="inlineStr"/>
      <c r="U524" s="5" t="inlineStr"/>
      <c r="V524" s="5" t="inlineStr"/>
      <c r="W524" s="5" t="inlineStr"/>
      <c r="X524" s="5" t="inlineStr"/>
      <c r="Y524" s="5" t="inlineStr"/>
      <c r="Z524" s="6" t="inlineStr"/>
    </row>
    <row r="525">
      <c r="A525" s="5" t="inlineStr">
        <is>
          <t>b6-kamp-atesi</t>
        </is>
      </c>
      <c r="B525" s="5" t="n">
        <v>1</v>
      </c>
      <c r="C525" s="6" t="inlineStr">
        <is>
          <t>Kovayı doldur, yanında bekle</t>
        </is>
      </c>
      <c r="D525" s="5" t="inlineStr"/>
      <c r="E525" s="5" t="inlineStr"/>
      <c r="F525" s="5" t="inlineStr">
        <is>
          <t>Vicdan +1, Akıl +1</t>
        </is>
      </c>
      <c r="G525" s="6" t="inlineStr">
        <is>
          <t>Dolu kovayı ateşin yanına koydun. Kimse fark etmedi. Kova gece boyu nöbet tuttu.</t>
        </is>
      </c>
      <c r="H525" s="6" t="inlineStr"/>
      <c r="I525" s="6" t="inlineStr"/>
      <c r="J525" s="6" t="inlineStr"/>
      <c r="K525" s="6" t="inlineStr"/>
      <c r="L525" s="6" t="inlineStr"/>
      <c r="M525" s="5" t="inlineStr"/>
      <c r="N525" s="5" t="inlineStr"/>
      <c r="O525" s="6" t="inlineStr"/>
      <c r="P525" s="6" t="inlineStr"/>
      <c r="Q525" s="5" t="inlineStr"/>
      <c r="R525" s="5" t="inlineStr"/>
      <c r="S525" s="5" t="inlineStr"/>
      <c r="T525" s="5" t="inlineStr"/>
      <c r="U525" s="5" t="inlineStr"/>
      <c r="V525" s="5" t="inlineStr"/>
      <c r="W525" s="5" t="inlineStr"/>
      <c r="X525" s="5" t="inlineStr"/>
      <c r="Y525" s="5" t="inlineStr"/>
      <c r="Z525" s="6" t="inlineStr"/>
    </row>
    <row r="526">
      <c r="A526" s="5" t="inlineStr">
        <is>
          <t>b6-kamp-atesi</t>
        </is>
      </c>
      <c r="B526" s="5" t="n">
        <v>2</v>
      </c>
      <c r="C526" s="6" t="inlineStr">
        <is>
          <t>Ateşi 'kesin güvenli' arkadaşa bırak</t>
        </is>
      </c>
      <c r="D526" s="5" t="inlineStr">
        <is>
          <t>Sosyal Radar</t>
        </is>
      </c>
      <c r="E526" s="5" t="inlineStr">
        <is>
          <t>Orta</t>
        </is>
      </c>
      <c r="F526" s="5" t="inlineStr"/>
      <c r="G526" s="6" t="inlineStr"/>
      <c r="H526" s="6" t="inlineStr">
        <is>
          <t>Ateş yandı, sadece bir kamp sandalyesi biraz eridi. Gece güzel geçti.</t>
        </is>
      </c>
      <c r="I526" s="6" t="inlineStr">
        <is>
          <t>Arkadaş gerçekten biliyormuş. Harika bir ateş, harika sohbet, tek bir yanık mısır.</t>
        </is>
      </c>
      <c r="J526" s="6" t="inlineStr">
        <is>
          <t>Ateş bir türlü yanmadı. Arkadaş gece boyunca rüzgârı suçladı.</t>
        </is>
      </c>
      <c r="K526" s="6" t="inlineStr">
        <is>
          <t>Ateş biraz fazla yandı. Çadırın yarısı gökyüzüne karıştı. Kalan yarısında dört kişi uyudunuz.</t>
        </is>
      </c>
      <c r="L526" s="6" t="inlineStr"/>
      <c r="M526" s="5" t="inlineStr"/>
      <c r="N526" s="5" t="inlineStr"/>
      <c r="O526" s="6" t="inlineStr"/>
      <c r="P526" s="6" t="inlineStr"/>
      <c r="Q526" s="5" t="inlineStr"/>
      <c r="R526" s="5" t="inlineStr"/>
      <c r="S526" s="5" t="inlineStr"/>
      <c r="T526" s="5" t="inlineStr"/>
      <c r="U526" s="5" t="inlineStr"/>
      <c r="V526" s="5" t="inlineStr"/>
      <c r="W526" s="5" t="inlineStr"/>
      <c r="X526" s="5" t="inlineStr"/>
      <c r="Y526" s="5" t="n">
        <v>4</v>
      </c>
      <c r="Z526" s="6" t="inlineStr">
        <is>
          <t>Arkadaşının 'Kesin güvenli' dediği kamp ateşinin başında. Arkadaş fikrini değiştirmedi.</t>
        </is>
      </c>
    </row>
    <row r="527">
      <c r="A527" s="5" t="inlineStr">
        <is>
          <t>b6-kamp-atesi</t>
        </is>
      </c>
      <c r="B527" s="5" t="n">
        <v>3</v>
      </c>
      <c r="C527" s="6" t="inlineStr">
        <is>
          <t>Ateşi sen yak</t>
        </is>
      </c>
      <c r="D527" s="5" t="inlineStr">
        <is>
          <t>Dayanıklılık</t>
        </is>
      </c>
      <c r="E527" s="5" t="inlineStr">
        <is>
          <t>Orta</t>
        </is>
      </c>
      <c r="F527" s="5" t="inlineStr"/>
      <c r="G527" s="6" t="inlineStr"/>
      <c r="H527" s="6" t="inlineStr">
        <is>
          <t>Tek kibritle yaktın. Gecenin kalanı senin hikâyelerinle geçti.</t>
        </is>
      </c>
      <c r="I527" s="6" t="inlineStr">
        <is>
          <t>Yaktın, kontrol ettin, üstünde çay demledin. Grubun resmî ateş sorumlusu ilan edildin.</t>
        </is>
      </c>
      <c r="J527" s="6" t="inlineStr">
        <is>
          <t>On yedi kibrit yaktın. On sekizincisi kutunun kendisiydi.</t>
        </is>
      </c>
      <c r="K527" s="6" t="inlineStr">
        <is>
          <t>Yakamadın. O geceden beri adın 'Ateş Bakanı'. Hâlâ öyle çağırıyorlar.</t>
        </is>
      </c>
      <c r="L527" s="6" t="inlineStr"/>
      <c r="M527" s="5" t="inlineStr"/>
      <c r="N527" s="5" t="inlineStr"/>
      <c r="O527" s="6" t="inlineStr"/>
      <c r="P527" s="6" t="inlineStr"/>
      <c r="Q527" s="5" t="inlineStr"/>
      <c r="R527" s="5" t="inlineStr"/>
      <c r="S527" s="5" t="inlineStr"/>
      <c r="T527" s="5" t="inlineStr"/>
      <c r="U527" s="5" t="inlineStr"/>
      <c r="V527" s="5" t="inlineStr"/>
      <c r="W527" s="5" t="inlineStr"/>
      <c r="X527" s="5" t="inlineStr"/>
      <c r="Y527" s="5" t="inlineStr"/>
      <c r="Z527" s="6" t="inlineStr"/>
    </row>
    <row r="528">
      <c r="A528" s="5" t="inlineStr">
        <is>
          <t>mb-ilk-gun-karti</t>
        </is>
      </c>
      <c r="B528" s="5" t="n">
        <v>1</v>
      </c>
      <c r="C528" s="6" t="inlineStr">
        <is>
          <t>Lobide bekle</t>
        </is>
      </c>
      <c r="D528" s="5" t="inlineStr"/>
      <c r="E528" s="5" t="inlineStr"/>
      <c r="F528" s="5" t="inlineStr">
        <is>
          <t>Dayanıklılık +1</t>
        </is>
      </c>
      <c r="G528" s="6" t="inlineStr">
        <is>
          <t>İlk günün lobide geçti. Yakana 'ZİYARETÇİ' kartı takıldı. Sonraki üç ay kendini de öyle hissettin.</t>
        </is>
      </c>
      <c r="H528" s="6" t="inlineStr"/>
      <c r="I528" s="6" t="inlineStr"/>
      <c r="J528" s="6" t="inlineStr"/>
      <c r="K528" s="6" t="inlineStr"/>
      <c r="L528" s="6" t="inlineStr"/>
      <c r="M528" s="5" t="inlineStr"/>
      <c r="N528" s="5" t="inlineStr"/>
      <c r="O528" s="6" t="inlineStr"/>
      <c r="P528" s="6" t="inlineStr"/>
      <c r="Q528" s="5" t="inlineStr"/>
      <c r="R528" s="5" t="inlineStr"/>
      <c r="S528" s="5" t="inlineStr"/>
      <c r="T528" s="5" t="inlineStr"/>
      <c r="U528" s="5" t="inlineStr"/>
      <c r="V528" s="5" t="inlineStr"/>
      <c r="W528" s="5" t="inlineStr"/>
      <c r="X528" s="5" t="inlineStr"/>
      <c r="Y528" s="5" t="inlineStr"/>
      <c r="Z528" s="6" t="inlineStr"/>
    </row>
    <row r="529">
      <c r="A529" s="5" t="inlineStr">
        <is>
          <t>mb-ilk-gun-karti</t>
        </is>
      </c>
      <c r="B529" s="5" t="n">
        <v>2</v>
      </c>
      <c r="C529" s="6" t="inlineStr">
        <is>
          <t>İnsan kaynaklarını ara</t>
        </is>
      </c>
      <c r="D529" s="5" t="inlineStr">
        <is>
          <t>Çene</t>
        </is>
      </c>
      <c r="E529" s="5" t="inlineStr">
        <is>
          <t>Kolay</t>
        </is>
      </c>
      <c r="F529" s="5" t="inlineStr"/>
      <c r="G529" s="6" t="inlineStr"/>
      <c r="H529" s="6" t="inlineStr">
        <is>
          <t>Kartın on dakikada tanımlandı. Kurumsal bir mucize, tutanakla kayda geçti.</t>
        </is>
      </c>
      <c r="I529" s="6" t="inlineStr">
        <is>
          <t>Kartın tanımlandı; yanlışlıkla yönetim katına da yetki verildi. Kimseye söylemedin.</t>
        </is>
      </c>
      <c r="J529" s="6" t="inlineStr">
        <is>
          <t>İnsan kaynakları 'Sistemde görünmüyorsunuz' dedi. Varoluşsal olarak da haklıydı.</t>
        </is>
      </c>
      <c r="K529" s="6" t="inlineStr">
        <is>
          <t>Seni işe alan kişinin dün ayrıldığını öğrendin. Kaydın da onunla birlikte ayrılmış.</t>
        </is>
      </c>
      <c r="L529" s="6" t="inlineStr"/>
      <c r="M529" s="5" t="inlineStr"/>
      <c r="N529" s="5" t="inlineStr"/>
      <c r="O529" s="6" t="inlineStr"/>
      <c r="P529" s="6" t="inlineStr"/>
      <c r="Q529" s="5" t="inlineStr"/>
      <c r="R529" s="5" t="inlineStr"/>
      <c r="S529" s="5" t="inlineStr"/>
      <c r="T529" s="5" t="inlineStr"/>
      <c r="U529" s="5" t="inlineStr"/>
      <c r="V529" s="5" t="inlineStr"/>
      <c r="W529" s="5" t="inlineStr"/>
      <c r="X529" s="5" t="inlineStr"/>
      <c r="Y529" s="5" t="inlineStr"/>
      <c r="Z529" s="6" t="inlineStr"/>
    </row>
    <row r="530">
      <c r="A530" s="5" t="inlineStr">
        <is>
          <t>mb-ilk-gun-karti</t>
        </is>
      </c>
      <c r="B530" s="5" t="n">
        <v>3</v>
      </c>
      <c r="C530" s="6" t="inlineStr">
        <is>
          <t>Kuryenin arkasından geç</t>
        </is>
      </c>
      <c r="D530" s="5" t="inlineStr">
        <is>
          <t>Kurnazlık</t>
        </is>
      </c>
      <c r="E530" s="5" t="inlineStr">
        <is>
          <t>Orta</t>
        </is>
      </c>
      <c r="F530" s="5" t="inlineStr"/>
      <c r="G530" s="6" t="inlineStr"/>
      <c r="H530" s="6" t="inlineStr">
        <is>
          <t>Turnikeden ikişer geçtiniz. Kurumsal hayata arka kapıdan, ama zamanında girdin.</t>
        </is>
      </c>
      <c r="I530" s="6" t="inlineStr">
        <is>
          <t>Kuryeyle geçtin, kurye de sana bir yemek siparişi teslim etti. İlk gün öğle yemeği çözüldü.</t>
        </is>
      </c>
      <c r="J530" s="6" t="inlineStr">
        <is>
          <t>Turnike ikinizi birden sıkıştırdı. Güvenlik kamerası ilk gününü arşivledi.</t>
        </is>
      </c>
      <c r="K530" s="6" t="inlineStr">
        <is>
          <t>Alarm çaldı. Oryantasyon eğitimin güvenlik odasında, ifade vererek başladı.</t>
        </is>
      </c>
      <c r="L530" s="6" t="inlineStr"/>
      <c r="M530" s="5" t="inlineStr"/>
      <c r="N530" s="5" t="inlineStr"/>
      <c r="O530" s="6" t="inlineStr"/>
      <c r="P530" s="6" t="inlineStr"/>
      <c r="Q530" s="5" t="inlineStr"/>
      <c r="R530" s="5" t="inlineStr"/>
      <c r="S530" s="5" t="inlineStr">
        <is>
          <t>Kurnazlık</t>
        </is>
      </c>
      <c r="T530" s="5" t="inlineStr"/>
      <c r="U530" s="5" t="inlineStr"/>
      <c r="V530" s="5" t="inlineStr"/>
      <c r="W530" s="5" t="inlineStr"/>
      <c r="X530" s="5" t="inlineStr"/>
      <c r="Y530" s="5" t="inlineStr"/>
      <c r="Z530" s="6" t="inlineStr"/>
    </row>
    <row r="531">
      <c r="A531" s="5" t="inlineStr">
        <is>
          <t>me-dukkan-acilisi</t>
        </is>
      </c>
      <c r="B531" s="5" t="n">
        <v>1</v>
      </c>
      <c r="C531" s="6" t="inlineStr">
        <is>
          <t>Cama 'Açılışa özel' yaz</t>
        </is>
      </c>
      <c r="D531" s="5" t="inlineStr"/>
      <c r="E531" s="5" t="inlineStr"/>
      <c r="F531" s="5" t="inlineStr">
        <is>
          <t>Çene +1, Kurnazlık +1</t>
        </is>
      </c>
      <c r="G531" s="6" t="inlineStr">
        <is>
          <t>Camına 'Açılışa özel' yazdın. Yazı on yedi yıl orada kalacak.</t>
        </is>
      </c>
      <c r="H531" s="6" t="inlineStr"/>
      <c r="I531" s="6" t="inlineStr"/>
      <c r="J531" s="6" t="inlineStr"/>
      <c r="K531" s="6" t="inlineStr"/>
      <c r="L531" s="6" t="inlineStr"/>
      <c r="M531" s="5" t="inlineStr"/>
      <c r="N531" s="5" t="inlineStr"/>
      <c r="O531" s="6" t="inlineStr"/>
      <c r="P531" s="6" t="inlineStr"/>
      <c r="Q531" s="5" t="inlineStr"/>
      <c r="R531" s="5" t="inlineStr"/>
      <c r="S531" s="5" t="inlineStr"/>
      <c r="T531" s="5" t="inlineStr"/>
      <c r="U531" s="5" t="inlineStr"/>
      <c r="V531" s="5" t="inlineStr"/>
      <c r="W531" s="5" t="inlineStr"/>
      <c r="X531" s="5" t="inlineStr"/>
      <c r="Y531" s="5" t="inlineStr"/>
      <c r="Z531" s="6" t="inlineStr"/>
    </row>
    <row r="532">
      <c r="A532" s="5" t="inlineStr">
        <is>
          <t>me-dukkan-acilisi</t>
        </is>
      </c>
      <c r="B532" s="5" t="n">
        <v>2</v>
      </c>
      <c r="C532" s="6" t="inlineStr">
        <is>
          <t>Vitrini düzenle</t>
        </is>
      </c>
      <c r="D532" s="5" t="inlineStr">
        <is>
          <t>Akıl</t>
        </is>
      </c>
      <c r="E532" s="5" t="inlineStr">
        <is>
          <t>Orta</t>
        </is>
      </c>
      <c r="F532" s="5" t="inlineStr"/>
      <c r="G532" s="6" t="inlineStr"/>
      <c r="H532" s="6" t="inlineStr">
        <is>
          <t>Vitrin kusursuz. Yoldan geçenler durup baktı, sonra yürümeye devam etti. Ama durdular.</t>
        </is>
      </c>
      <c r="I532" s="6" t="inlineStr">
        <is>
          <t>Vitrin o kadar güzel oldu ki karşı dükkân gizlice fotoğrafını çekti. Taklit, en samimi iltifattır.</t>
        </is>
      </c>
      <c r="J532" s="6" t="inlineStr">
        <is>
          <t>Kutular yamuk durdu. Müşteriler bunu 'samimi bir işletme' olarak yorumladı.</t>
        </is>
      </c>
      <c r="K532" s="6" t="inlineStr">
        <is>
          <t>Vitrin açılıştan on dakika önce çöktü. İlk satış, 'hasarlı ürün' rafından yapıldı.</t>
        </is>
      </c>
      <c r="L532" s="6" t="inlineStr">
        <is>
          <t>Vitrin ayakta ama bir kutu hafif eğik. Her sabah düzelteceksin; her akşam yine eğilecek.</t>
        </is>
      </c>
      <c r="M532" s="5" t="inlineStr">
        <is>
          <t>balance</t>
        </is>
      </c>
      <c r="N532" s="5" t="inlineStr">
        <is>
          <t>Vitrin Düzeni</t>
        </is>
      </c>
      <c r="O532" s="6" t="inlineStr">
        <is>
          <t>Üst üste dizilmiş kutuları devirmeden dengede tut. Vitrin dükkânın yüzüdür; yüzün şu an titriyor.</t>
        </is>
      </c>
      <c r="P532" s="6" t="inlineStr">
        <is>
          <t>{"item": "📦"}</t>
        </is>
      </c>
      <c r="Q532" s="5" t="inlineStr"/>
      <c r="R532" s="5" t="inlineStr"/>
      <c r="S532" s="5" t="inlineStr"/>
      <c r="T532" s="5" t="inlineStr"/>
      <c r="U532" s="5" t="inlineStr"/>
      <c r="V532" s="5" t="inlineStr"/>
      <c r="W532" s="5" t="inlineStr"/>
      <c r="X532" s="5" t="inlineStr"/>
      <c r="Y532" s="5" t="inlineStr"/>
      <c r="Z532" s="6" t="inlineStr"/>
    </row>
    <row r="533">
      <c r="A533" s="5" t="inlineStr">
        <is>
          <t>me-dukkan-acilisi</t>
        </is>
      </c>
      <c r="B533" s="5" t="n">
        <v>3</v>
      </c>
      <c r="C533" s="6" t="inlineStr">
        <is>
          <t>Kapıda müşteri çevir</t>
        </is>
      </c>
      <c r="D533" s="5" t="inlineStr">
        <is>
          <t>Çene</t>
        </is>
      </c>
      <c r="E533" s="5" t="inlineStr">
        <is>
          <t>Kolay</t>
        </is>
      </c>
      <c r="F533" s="5" t="inlineStr"/>
      <c r="G533" s="6" t="inlineStr"/>
      <c r="H533" s="6" t="inlineStr">
        <is>
          <t>Geçen üç kişiden ikisini içeri aldın. Biri gerçekten bir şey aldı.</t>
        </is>
      </c>
      <c r="I533" s="6" t="inlineStr">
        <is>
          <t>Sokaktan geçen herkesi içeri aldın. Kira toplamaya gelen dükkân sahibi bile bir şey aldı.</t>
        </is>
      </c>
      <c r="J533" s="6" t="inlineStr">
        <is>
          <t>Seslendin, çağırdın. Sokak seni bir süre izledi, sonra karşı kaldırıma geçti.</t>
        </is>
      </c>
      <c r="K533" s="6" t="inlineStr">
        <is>
          <t>O kadar ısrarcı oldun ki mahallenin mesaj grubunda 'Dikkat, kapıda çeviren dükkân' uyarısı dolaşıma girdi.</t>
        </is>
      </c>
      <c r="L533" s="6" t="inlineStr"/>
      <c r="M533" s="5" t="inlineStr"/>
      <c r="N533" s="5" t="inlineStr"/>
      <c r="O533" s="6" t="inlineStr"/>
      <c r="P533" s="6" t="inlineStr"/>
      <c r="Q533" s="5" t="inlineStr"/>
      <c r="R533" s="5" t="inlineStr"/>
      <c r="S533" s="5" t="inlineStr"/>
      <c r="T533" s="5" t="inlineStr"/>
      <c r="U533" s="5" t="inlineStr"/>
      <c r="V533" s="5" t="inlineStr"/>
      <c r="W533" s="5" t="inlineStr"/>
      <c r="X533" s="5" t="inlineStr"/>
      <c r="Y533" s="5" t="inlineStr"/>
      <c r="Z533" s="6" t="inlineStr"/>
    </row>
    <row r="534">
      <c r="A534" s="5" t="inlineStr">
        <is>
          <t>me-dukkan-acilisi</t>
        </is>
      </c>
      <c r="B534" s="5" t="n">
        <v>4</v>
      </c>
      <c r="C534" s="6" t="inlineStr">
        <is>
          <t>Siftahı törenle yap</t>
        </is>
      </c>
      <c r="D534" s="5" t="inlineStr">
        <is>
          <t>Çene</t>
        </is>
      </c>
      <c r="E534" s="5" t="inlineStr">
        <is>
          <t>Kolay</t>
        </is>
      </c>
      <c r="F534" s="5" t="inlineStr"/>
      <c r="G534" s="6" t="inlineStr"/>
      <c r="H534" s="6" t="inlineStr">
        <is>
          <t>İlk müşteriye bereket indirimi yaptın, parayı vitrine yapıştırdın. Siftah resmen tescillendi.</t>
        </is>
      </c>
      <c r="I534" s="6" t="inlineStr">
        <is>
          <t>Siftah parasını çerçeveletip duvara astın. Çocukluktaki tezgâh tecrübesi sonunda kurumsallaştı.</t>
        </is>
      </c>
      <c r="J534" s="6" t="inlineStr">
        <is>
          <t>Siftah parasını çerçevelemek istedin; o parayla para üstü vermen gerekti. Çerçeve boş kaldı.</t>
        </is>
      </c>
      <c r="K534" s="6" t="inlineStr">
        <is>
          <t>İlk müşteriye bereket indirimi yaptın. Müşteri hesabı kendi yaptı. Siftah zararla açıldı.</t>
        </is>
      </c>
      <c r="L534" s="6" t="inlineStr"/>
      <c r="M534" s="5" t="inlineStr"/>
      <c r="N534" s="5" t="inlineStr"/>
      <c r="O534" s="6" t="inlineStr"/>
      <c r="P534" s="6" t="inlineStr"/>
      <c r="Q534" s="5" t="inlineStr">
        <is>
          <t>Küçük Tüccar</t>
        </is>
      </c>
      <c r="R534" s="5" t="inlineStr"/>
      <c r="S534" s="5" t="inlineStr"/>
      <c r="T534" s="5" t="inlineStr"/>
      <c r="U534" s="5" t="inlineStr"/>
      <c r="V534" s="5" t="inlineStr"/>
      <c r="W534" s="5" t="inlineStr"/>
      <c r="X534" s="5" t="inlineStr"/>
      <c r="Y534" s="5" t="inlineStr"/>
      <c r="Z534" s="6" t="inlineStr"/>
    </row>
    <row r="535">
      <c r="A535" s="5" t="inlineStr">
        <is>
          <t>mm-ilk-atama</t>
        </is>
      </c>
      <c r="B535" s="5" t="n">
        <v>1</v>
      </c>
      <c r="C535" s="6" t="inlineStr">
        <is>
          <t>Göreve başlama belgesini imzala</t>
        </is>
      </c>
      <c r="D535" s="5" t="inlineStr">
        <is>
          <t>Dayanıklılık</t>
        </is>
      </c>
      <c r="E535" s="5" t="inlineStr">
        <is>
          <t>Kolay</t>
        </is>
      </c>
      <c r="F535" s="5" t="inlineStr"/>
      <c r="G535" s="6" t="inlineStr"/>
      <c r="H535" s="6" t="inlineStr">
        <is>
          <t>Göreve başlama belgesini imzaladın. İmzan artık bir devlet evrakının resmî parçası.</t>
        </is>
      </c>
      <c r="I535" s="6" t="inlineStr">
        <is>
          <t>İmzan o kadar düzgün çıktı ki şube şefi fotokopisini 'örnek imza' klasörüne koydu.</t>
        </is>
      </c>
      <c r="J535" s="6" t="inlineStr">
        <is>
          <t>İmzan yamuk çıktı. Otuz yıl boyunca her imzayı bu yamuğa sadık atman gerekecek.</t>
        </is>
      </c>
      <c r="K535" s="6" t="inlineStr">
        <is>
          <t>İmzayı yanlış satıra attın. Kayıtlara göre kasabanın yeni temizlik malzemesi sorumlususun.</t>
        </is>
      </c>
      <c r="L535" s="6" t="inlineStr">
        <is>
          <t>İmza tuttu ama biraz titrek. Kurum bunu 'heyecan' olarak dosyaladı.</t>
        </is>
      </c>
      <c r="M535" s="5" t="inlineStr">
        <is>
          <t>trace</t>
        </is>
      </c>
      <c r="N535" s="5" t="inlineStr">
        <is>
          <t>İlk Resmî İmza</t>
        </is>
      </c>
      <c r="O535" s="6" t="inlineStr">
        <is>
          <t>İmzanı çizgiden taşmadan tek hamlede at. Bu imza otuz yıl boyunca her şeyin altında olacak.</t>
        </is>
      </c>
      <c r="P535" s="6" t="inlineStr">
        <is>
          <t>{"shape": "imza"}</t>
        </is>
      </c>
      <c r="Q535" s="5" t="inlineStr"/>
      <c r="R535" s="5" t="inlineStr"/>
      <c r="S535" s="5" t="inlineStr"/>
      <c r="T535" s="5" t="inlineStr"/>
      <c r="U535" s="5" t="inlineStr"/>
      <c r="V535" s="5" t="inlineStr"/>
      <c r="W535" s="5" t="inlineStr"/>
      <c r="X535" s="5" t="inlineStr"/>
      <c r="Y535" s="5" t="inlineStr"/>
      <c r="Z535" s="6" t="inlineStr"/>
    </row>
    <row r="536">
      <c r="A536" s="5" t="inlineStr">
        <is>
          <t>mm-ilk-atama</t>
        </is>
      </c>
      <c r="B536" s="5" t="n">
        <v>2</v>
      </c>
      <c r="C536" s="6" t="inlineStr">
        <is>
          <t>İlk gün tayin dilekçesi ver</t>
        </is>
      </c>
      <c r="D536" s="5" t="inlineStr">
        <is>
          <t>Akıl</t>
        </is>
      </c>
      <c r="E536" s="5" t="inlineStr">
        <is>
          <t>Orta</t>
        </is>
      </c>
      <c r="F536" s="5" t="inlineStr"/>
      <c r="G536" s="6" t="inlineStr"/>
      <c r="H536" s="6" t="inlineStr">
        <is>
          <t>Dilekçen kayda girdi, sıra numarası aldı. İki yıl sonra değerlendirilecek. Sen de öyle.</t>
        </is>
      </c>
      <c r="I536" s="6" t="inlineStr">
        <is>
          <t>Dilekçen o kadar iyi yazılmıştı ki müdürlük onu örnek dilekçe olarak arşivledi. Tayinini de iki yıl sonraya.</t>
        </is>
      </c>
      <c r="J536" s="6" t="inlineStr">
        <is>
          <t>Şef 'Yeni gelen herkes verir' dedi ve dilekçeni, yeni gelen herkesin dilekçesinin üstüne koydu.</t>
        </is>
      </c>
      <c r="K536" s="6" t="inlineStr">
        <is>
          <t>Dilekçeyi yanlış birime verdin. Kasabanın içinde, daha da uzak bir mahalleye tayin edildin.</t>
        </is>
      </c>
      <c r="L536" s="6" t="inlineStr"/>
      <c r="M536" s="5" t="inlineStr"/>
      <c r="N536" s="5" t="inlineStr"/>
      <c r="O536" s="6" t="inlineStr"/>
      <c r="P536" s="6" t="inlineStr"/>
      <c r="Q536" s="5" t="inlineStr"/>
      <c r="R536" s="5" t="inlineStr"/>
      <c r="S536" s="5" t="inlineStr"/>
      <c r="T536" s="5" t="inlineStr"/>
      <c r="U536" s="5" t="inlineStr"/>
      <c r="V536" s="5" t="inlineStr"/>
      <c r="W536" s="5" t="inlineStr"/>
      <c r="X536" s="5" t="inlineStr"/>
      <c r="Y536" s="5" t="inlineStr"/>
      <c r="Z536" s="6" t="inlineStr"/>
    </row>
    <row r="537">
      <c r="A537" s="5" t="inlineStr">
        <is>
          <t>mm-ilk-atama</t>
        </is>
      </c>
      <c r="B537" s="5" t="n">
        <v>3</v>
      </c>
      <c r="C537" s="6" t="inlineStr">
        <is>
          <t>Fırıncıyla tanış</t>
        </is>
      </c>
      <c r="D537" s="5" t="inlineStr">
        <is>
          <t>Sosyal Radar</t>
        </is>
      </c>
      <c r="E537" s="5" t="inlineStr">
        <is>
          <t>Kolay</t>
        </is>
      </c>
      <c r="F537" s="5" t="inlineStr"/>
      <c r="G537" s="6" t="inlineStr"/>
      <c r="H537" s="6" t="inlineStr">
        <is>
          <t>Fırıncıyla dost oldun. Ekmeğin sıcak, dosyaların hızlı.</t>
        </is>
      </c>
      <c r="I537" s="6" t="inlineStr">
        <is>
          <t>Fırıncı müdürün kayınbiraderi çıktı. Kasabadaki ilk yılın emekliler gibi geçti.</t>
        </is>
      </c>
      <c r="J537" s="6" t="inlineStr">
        <is>
          <t>Fırıncı yeni gelen memurlara ekmeği biraz daha pahalı veriyormuş. Tanışmak da dahil.</t>
        </is>
      </c>
      <c r="K537" s="6" t="inlineStr">
        <is>
          <t>Fırıncıya müdürü çekiştirdin. Fırıncı müdürün kardeşiymiş. İlk gün, ilk kara liste.</t>
        </is>
      </c>
      <c r="L537" s="6" t="inlineStr"/>
      <c r="M537" s="5" t="inlineStr"/>
      <c r="N537" s="5" t="inlineStr"/>
      <c r="O537" s="6" t="inlineStr"/>
      <c r="P537" s="6" t="inlineStr"/>
      <c r="Q537" s="5" t="inlineStr"/>
      <c r="R537" s="5" t="inlineStr"/>
      <c r="S537" s="5" t="inlineStr">
        <is>
          <t>Kurnazlık</t>
        </is>
      </c>
      <c r="T537" s="5" t="inlineStr"/>
      <c r="U537" s="5" t="inlineStr"/>
      <c r="V537" s="5" t="inlineStr"/>
      <c r="W537" s="5" t="inlineStr">
        <is>
          <t>memur-mudur-dusmani</t>
        </is>
      </c>
      <c r="X537" s="5" t="inlineStr"/>
      <c r="Y537" s="5" t="inlineStr"/>
      <c r="Z537" s="6" t="inlineStr"/>
    </row>
    <row r="538">
      <c r="A538" s="5" t="inlineStr">
        <is>
          <t>mm-ilk-atama</t>
        </is>
      </c>
      <c r="B538" s="5" t="n">
        <v>4</v>
      </c>
      <c r="C538" s="6" t="inlineStr">
        <is>
          <t>Lojmana yerleş</t>
        </is>
      </c>
      <c r="D538" s="5" t="inlineStr"/>
      <c r="E538" s="5" t="inlineStr"/>
      <c r="F538" s="5" t="inlineStr">
        <is>
          <t>Dayanıklılık +1, Vicdan +1</t>
        </is>
      </c>
      <c r="G538" s="6" t="inlineStr">
        <is>
          <t>Musluktan ilk gün sadece ses geldi. Kurum bunu 'su tesisatı mevcut' olarak kaydetti.</t>
        </is>
      </c>
      <c r="H538" s="6" t="inlineStr"/>
      <c r="I538" s="6" t="inlineStr"/>
      <c r="J538" s="6" t="inlineStr"/>
      <c r="K538" s="6" t="inlineStr"/>
      <c r="L538" s="6" t="inlineStr"/>
      <c r="M538" s="5" t="inlineStr"/>
      <c r="N538" s="5" t="inlineStr"/>
      <c r="O538" s="6" t="inlineStr"/>
      <c r="P538" s="6" t="inlineStr"/>
      <c r="Q538" s="5" t="inlineStr"/>
      <c r="R538" s="5" t="inlineStr"/>
      <c r="S538" s="5" t="inlineStr"/>
      <c r="T538" s="5" t="inlineStr"/>
      <c r="U538" s="5" t="inlineStr"/>
      <c r="V538" s="5" t="inlineStr"/>
      <c r="W538" s="5" t="inlineStr"/>
      <c r="X538" s="5" t="inlineStr"/>
      <c r="Y538" s="5" t="inlineStr"/>
      <c r="Z538" s="6" t="inlineStr"/>
    </row>
    <row r="539">
      <c r="A539" s="5" t="inlineStr">
        <is>
          <t>ms-ilk-musteri</t>
        </is>
      </c>
      <c r="B539" s="5" t="n">
        <v>1</v>
      </c>
      <c r="C539" s="6" t="inlineStr">
        <is>
          <t>Fiyat ver</t>
        </is>
      </c>
      <c r="D539" s="5" t="inlineStr">
        <is>
          <t>Çene</t>
        </is>
      </c>
      <c r="E539" s="5" t="inlineStr">
        <is>
          <t>Orta</t>
        </is>
      </c>
      <c r="F539" s="5" t="inlineStr"/>
      <c r="G539" s="6" t="inlineStr"/>
      <c r="H539" s="6" t="inlineStr">
        <is>
          <t>Makul bir rakamda anlaştınız. Serbest hayatının ilk faturası kesildi.</t>
        </is>
      </c>
      <c r="I539" s="6" t="inlineStr">
        <is>
          <t>Rakamını hiç düşünmeden kabul ettiler, üstüne iki iş daha verdiler. Portfolyon doğdu.</t>
        </is>
      </c>
      <c r="J539" s="6" t="inlineStr">
        <is>
          <t>Anlaştınız. Ücret, kafede içtiğiniz iki kahveyi karşılamadı.</t>
        </is>
      </c>
      <c r="K539" s="6" t="inlineStr">
        <is>
          <t>Pazarlık bittiğinde müşteriye para ödemeyi kabul etmiştin. Kahveleri de sen ödedin.</t>
        </is>
      </c>
      <c r="L539" s="6" t="inlineStr">
        <is>
          <t>Ortada buluştunuz. Senin ortan biraz daha aşağıdaydı.</t>
        </is>
      </c>
      <c r="M539" s="5" t="inlineStr">
        <is>
          <t>bargain</t>
        </is>
      </c>
      <c r="N539" s="5" t="inlineStr">
        <is>
          <t>İlk Teklif</t>
        </is>
      </c>
      <c r="O539" s="6" t="inlineStr">
        <is>
          <t>Müşterinin sabrı tükenmeden ücreti olabildiğince yukarıda tut.</t>
        </is>
      </c>
      <c r="P539" s="6" t="inlineStr">
        <is>
          <t>{"item": "ilk iş", "mode": "sell"}</t>
        </is>
      </c>
      <c r="Q539" s="5" t="inlineStr"/>
      <c r="R539" s="5" t="inlineStr"/>
      <c r="S539" s="5" t="inlineStr"/>
      <c r="T539" s="5" t="inlineStr"/>
      <c r="U539" s="5" t="inlineStr"/>
      <c r="V539" s="5" t="inlineStr"/>
      <c r="W539" s="5" t="inlineStr"/>
      <c r="X539" s="5" t="inlineStr"/>
      <c r="Y539" s="5" t="inlineStr"/>
      <c r="Z539" s="6" t="inlineStr"/>
    </row>
    <row r="540">
      <c r="A540" s="5" t="inlineStr">
        <is>
          <t>ms-ilk-musteri</t>
        </is>
      </c>
      <c r="B540" s="5" t="n">
        <v>2</v>
      </c>
      <c r="C540" s="6" t="inlineStr">
        <is>
          <t>Arkadaş fiyatı yap</t>
        </is>
      </c>
      <c r="D540" s="5" t="inlineStr"/>
      <c r="E540" s="5" t="inlineStr"/>
      <c r="F540" s="5" t="inlineStr">
        <is>
          <t>Vicdan +1</t>
        </is>
      </c>
      <c r="G540" s="6" t="inlineStr">
        <is>
          <t>Arkadaş fiyatı verdin. Müşteri arkadaşın değildi. Artık onun bütün arkadaşlarına da arkadaş fiyatın var.</t>
        </is>
      </c>
      <c r="H540" s="6" t="inlineStr"/>
      <c r="I540" s="6" t="inlineStr"/>
      <c r="J540" s="6" t="inlineStr"/>
      <c r="K540" s="6" t="inlineStr"/>
      <c r="L540" s="6" t="inlineStr"/>
      <c r="M540" s="5" t="inlineStr"/>
      <c r="N540" s="5" t="inlineStr"/>
      <c r="O540" s="6" t="inlineStr"/>
      <c r="P540" s="6" t="inlineStr"/>
      <c r="Q540" s="5" t="inlineStr"/>
      <c r="R540" s="5" t="inlineStr"/>
      <c r="S540" s="5" t="inlineStr"/>
      <c r="T540" s="5" t="inlineStr"/>
      <c r="U540" s="5" t="inlineStr"/>
      <c r="V540" s="5" t="inlineStr"/>
      <c r="W540" s="5" t="inlineStr"/>
      <c r="X540" s="5" t="inlineStr"/>
      <c r="Y540" s="5" t="inlineStr"/>
      <c r="Z540" s="6" t="inlineStr"/>
    </row>
    <row r="541">
      <c r="A541" s="5" t="inlineStr">
        <is>
          <t>ms-ilk-musteri</t>
        </is>
      </c>
      <c r="B541" s="5" t="n">
        <v>3</v>
      </c>
      <c r="C541" s="6" t="inlineStr">
        <is>
          <t>Rakibin rakamının biraz altını söyle</t>
        </is>
      </c>
      <c r="D541" s="5" t="inlineStr">
        <is>
          <t>Kurnazlık</t>
        </is>
      </c>
      <c r="E541" s="5" t="inlineStr">
        <is>
          <t>Kolay</t>
        </is>
      </c>
      <c r="F541" s="5" t="inlineStr"/>
      <c r="G541" s="6" t="inlineStr"/>
      <c r="H541" s="6" t="inlineStr">
        <is>
          <t>Rakibin teklifinin bir tık altına girdin. İş senin, rakip şaşkın.</t>
        </is>
      </c>
      <c r="I541" s="6" t="inlineStr">
        <is>
          <t>Bir tık altına girdin ve daha hızlı teslim sözü verdin. Müşteri seni kalıcı ajansı yaptı.</t>
        </is>
      </c>
      <c r="J541" s="6" t="inlineStr">
        <is>
          <t>Rakibin teklifinin altına girdin; müşteri ikinizi birden bir tık daha aşağıya çekti.</t>
        </is>
      </c>
      <c r="K541" s="6" t="inlineStr">
        <is>
          <t>Ekranda gördüğün rakam aylık değil, saatlikmiş. Kendini aylığa sattın.</t>
        </is>
      </c>
      <c r="L541" s="6" t="inlineStr"/>
      <c r="M541" s="5" t="inlineStr"/>
      <c r="N541" s="5" t="inlineStr"/>
      <c r="O541" s="6" t="inlineStr"/>
      <c r="P541" s="6" t="inlineStr"/>
      <c r="Q541" s="5" t="inlineStr"/>
      <c r="R541" s="5" t="inlineStr"/>
      <c r="S541" s="5" t="inlineStr">
        <is>
          <t>Kurnazlık</t>
        </is>
      </c>
      <c r="T541" s="5" t="inlineStr"/>
      <c r="U541" s="5" t="inlineStr"/>
      <c r="V541" s="5" t="inlineStr"/>
      <c r="W541" s="5" t="inlineStr"/>
      <c r="X541" s="5" t="inlineStr"/>
      <c r="Y541" s="5" t="inlineStr"/>
      <c r="Z541" s="6" t="inlineStr"/>
    </row>
    <row r="542">
      <c r="A542" s="5" t="inlineStr">
        <is>
          <t>b6-is-gorusmesi</t>
        </is>
      </c>
      <c r="B542" s="5" t="n">
        <v>1</v>
      </c>
      <c r="C542" s="6" t="inlineStr">
        <is>
          <t>Dürüst cevap ver</t>
        </is>
      </c>
      <c r="D542" s="5" t="inlineStr"/>
      <c r="E542" s="5" t="inlineStr"/>
      <c r="F542" s="5" t="inlineStr">
        <is>
          <t>Vicdan +2</t>
        </is>
      </c>
      <c r="G542" s="6" t="inlineStr">
        <is>
          <t>'Emekliliği planlarken' dedin. Gülüştüler. Başka adayı aldılar ama seni sevdiler.</t>
        </is>
      </c>
      <c r="H542" s="6" t="inlineStr"/>
      <c r="I542" s="6" t="inlineStr"/>
      <c r="J542" s="6" t="inlineStr"/>
      <c r="K542" s="6" t="inlineStr"/>
      <c r="L542" s="6" t="inlineStr"/>
      <c r="M542" s="5" t="inlineStr"/>
      <c r="N542" s="5" t="inlineStr"/>
      <c r="O542" s="6" t="inlineStr"/>
      <c r="P542" s="6" t="inlineStr"/>
      <c r="Q542" s="5" t="inlineStr"/>
      <c r="R542" s="5" t="inlineStr"/>
      <c r="S542" s="5" t="inlineStr"/>
      <c r="T542" s="5" t="inlineStr"/>
      <c r="U542" s="5" t="inlineStr"/>
      <c r="V542" s="5" t="inlineStr"/>
      <c r="W542" s="5" t="inlineStr"/>
      <c r="X542" s="5" t="inlineStr"/>
      <c r="Y542" s="5" t="inlineStr"/>
      <c r="Z542" s="6" t="inlineStr"/>
    </row>
    <row r="543">
      <c r="A543" s="5" t="inlineStr">
        <is>
          <t>b6-is-gorusmesi</t>
        </is>
      </c>
      <c r="B543" s="5" t="n">
        <v>2</v>
      </c>
      <c r="C543" s="6" t="inlineStr">
        <is>
          <t>Soğukkanlılığını koru</t>
        </is>
      </c>
      <c r="D543" s="5" t="inlineStr">
        <is>
          <t>Pişkinlik</t>
        </is>
      </c>
      <c r="E543" s="5" t="inlineStr">
        <is>
          <t>Orta</t>
        </is>
      </c>
      <c r="F543" s="5" t="inlineStr"/>
      <c r="G543" s="6" t="inlineStr"/>
      <c r="H543" s="6" t="inlineStr">
        <is>
          <t>Her soruyu sakin karşıladın. 'Size döneceğiz' dediler. Döndüler de.</t>
        </is>
      </c>
      <c r="I543" s="6" t="inlineStr">
        <is>
          <t>Görüşmenin sonunda seni onlar ikna etmeye çalıştı. Beklediğinden fazlasını teklif ettiler.</t>
        </is>
      </c>
      <c r="J543" s="6" t="inlineStr">
        <is>
          <t>Dördüncü soruda 'Neden bu şirket?' dediler. Şirketin adını unuttun.</t>
        </is>
      </c>
      <c r="K543" s="6" t="inlineStr">
        <is>
          <t>Zayıf yönünü sordular. 'Gerilince terlerim' dedin. Kanıt masadaydı.</t>
        </is>
      </c>
      <c r="L543" s="6" t="inlineStr">
        <is>
          <t>Bir soruda takıldın, sonra toparlandın. 'İkinci görüşmeye çağıracağız' dediler. Takvim belirsiz.</t>
        </is>
      </c>
      <c r="M543" s="5" t="inlineStr">
        <is>
          <t>poker</t>
        </is>
      </c>
      <c r="N543" s="5" t="inlineStr">
        <is>
          <t>Poker Suratı</t>
        </is>
      </c>
      <c r="O543" s="6" t="inlineStr">
        <is>
          <t>Parmağını kaçan dairenin içinde tut. Sorular üstüne geldikçe bırakma.</t>
        </is>
      </c>
      <c r="P543" s="6" t="inlineStr">
        <is>
          <t>{"questions": ["Beş yıl sonra neredesiniz?", "En büyük zayıflığınız?", "Neden ayrıldınız?", "Maaş beklentiniz?", "Neden sizi seçelim?"]}</t>
        </is>
      </c>
      <c r="Q543" s="5" t="inlineStr"/>
      <c r="R543" s="5" t="inlineStr"/>
      <c r="S543" s="5" t="inlineStr"/>
      <c r="T543" s="5" t="inlineStr"/>
      <c r="U543" s="5" t="inlineStr"/>
      <c r="V543" s="5" t="inlineStr"/>
      <c r="W543" s="5" t="inlineStr"/>
      <c r="X543" s="5" t="inlineStr"/>
      <c r="Y543" s="5" t="inlineStr"/>
      <c r="Z543" s="6" t="inlineStr"/>
    </row>
    <row r="544">
      <c r="A544" s="5" t="inlineStr">
        <is>
          <t>b6-is-gorusmesi</t>
        </is>
      </c>
      <c r="B544" s="5" t="n">
        <v>3</v>
      </c>
      <c r="C544" s="6" t="inlineStr">
        <is>
          <t>Sessiz olana oyna</t>
        </is>
      </c>
      <c r="D544" s="5" t="inlineStr">
        <is>
          <t>Sosyal Radar</t>
        </is>
      </c>
      <c r="E544" s="5" t="inlineStr">
        <is>
          <t>Kolay</t>
        </is>
      </c>
      <c r="F544" s="5" t="inlineStr"/>
      <c r="G544" s="6" t="inlineStr"/>
      <c r="H544" s="6" t="inlineStr">
        <is>
          <t>Cevaplarını ortadaki sessiz kişiye yönelttin. Görüşme bittiğinde sadece o gülümsüyordu. Yetti.</t>
        </is>
      </c>
      <c r="I544" s="6" t="inlineStr">
        <is>
          <t>Sessiz olan şirketin kurucusuymuş. Ertesi gün aradı: 'Ne zaman başlarsın?'</t>
        </is>
      </c>
      <c r="J544" s="6" t="inlineStr">
        <is>
          <t>Ortadakine baktın, o da sana. Kimse konuşmadı. Görüşme erken bitti.</t>
        </is>
      </c>
      <c r="K544" s="6" t="inlineStr">
        <is>
          <t>Ona öyle dikkatle baktın ki diğer ikisi seni 'rahatsız edici' diye not etti.</t>
        </is>
      </c>
      <c r="L544" s="6" t="inlineStr"/>
      <c r="M544" s="5" t="inlineStr"/>
      <c r="N544" s="5" t="inlineStr"/>
      <c r="O544" s="6" t="inlineStr"/>
      <c r="P544" s="6" t="inlineStr"/>
      <c r="Q544" s="5" t="inlineStr"/>
      <c r="R544" s="5" t="inlineStr"/>
      <c r="S544" s="5" t="inlineStr">
        <is>
          <t>Sosyal Radar</t>
        </is>
      </c>
      <c r="T544" s="5" t="inlineStr"/>
      <c r="U544" s="5" t="inlineStr"/>
      <c r="V544" s="5" t="inlineStr"/>
      <c r="W544" s="5" t="inlineStr"/>
      <c r="X544" s="5" t="inlineStr"/>
      <c r="Y544" s="5" t="inlineStr"/>
      <c r="Z544" s="6" t="inlineStr"/>
    </row>
    <row r="545">
      <c r="A545" s="5" t="inlineStr">
        <is>
          <t>b6-is-gorusmesi</t>
        </is>
      </c>
      <c r="B545" s="5" t="n">
        <v>4</v>
      </c>
      <c r="C545" s="6" t="inlineStr">
        <is>
          <t>Yurt dışı deneyimini anlat</t>
        </is>
      </c>
      <c r="D545" s="5" t="inlineStr">
        <is>
          <t>Çene</t>
        </is>
      </c>
      <c r="E545" s="5" t="inlineStr">
        <is>
          <t>Kolay</t>
        </is>
      </c>
      <c r="F545" s="5" t="inlineStr"/>
      <c r="G545" s="6" t="inlineStr"/>
      <c r="H545" s="6" t="inlineStr">
        <is>
          <t>Bir dönemlik değişim programı, anlattıkça bir yıla uzadı. Etkilendiler.</t>
        </is>
      </c>
      <c r="I545" s="6" t="inlineStr">
        <is>
          <t>Seni yurt dışı projelerine önerdiler. Oradaki peynir hâlâ kötü, ama maaş iyi.</t>
        </is>
      </c>
      <c r="J545" s="6" t="inlineStr">
        <is>
          <t>Görüşmeci aynı şehirde iki yıl yaşamış. Anlattığın yerlerin hiçbirini tanımadı.</t>
        </is>
      </c>
      <c r="K545" s="6" t="inlineStr">
        <is>
          <t>Görüşmeci senin orada mikrodalgada yumurta patlattığın hikâyeyi zaten duymuş. Dünya küçük.</t>
        </is>
      </c>
      <c r="L545" s="6" t="inlineStr"/>
      <c r="M545" s="5" t="inlineStr"/>
      <c r="N545" s="5" t="inlineStr"/>
      <c r="O545" s="6" t="inlineStr"/>
      <c r="P545" s="6" t="inlineStr"/>
      <c r="Q545" s="5" t="inlineStr"/>
      <c r="R545" s="5" t="inlineStr">
        <is>
          <t>yurtdisi-gordu</t>
        </is>
      </c>
      <c r="S545" s="5" t="inlineStr"/>
      <c r="T545" s="5" t="inlineStr"/>
      <c r="U545" s="5" t="inlineStr"/>
      <c r="V545" s="5" t="inlineStr"/>
      <c r="W545" s="5" t="inlineStr"/>
      <c r="X545" s="5" t="inlineStr"/>
      <c r="Y545" s="5" t="inlineStr"/>
      <c r="Z545" s="6" t="inlineStr"/>
    </row>
    <row r="546">
      <c r="A546" s="5" t="inlineStr">
        <is>
          <t>mb-acik-ofis</t>
        </is>
      </c>
      <c r="B546" s="5" t="n">
        <v>1</v>
      </c>
      <c r="C546" s="6" t="inlineStr">
        <is>
          <t>Kulaklığı tak</t>
        </is>
      </c>
      <c r="D546" s="5" t="inlineStr"/>
      <c r="E546" s="5" t="inlineStr"/>
      <c r="F546" s="5" t="inlineStr">
        <is>
          <t>Dayanıklılık +1</t>
        </is>
      </c>
      <c r="G546" s="6" t="inlineStr">
        <is>
          <t>Kulaklığı taktın; içinde hiçbir şey çalmıyor. Kurumsal sessizliğin en saf hâli.</t>
        </is>
      </c>
      <c r="H546" s="6" t="inlineStr"/>
      <c r="I546" s="6" t="inlineStr"/>
      <c r="J546" s="6" t="inlineStr"/>
      <c r="K546" s="6" t="inlineStr"/>
      <c r="L546" s="6" t="inlineStr"/>
      <c r="M546" s="5" t="inlineStr"/>
      <c r="N546" s="5" t="inlineStr"/>
      <c r="O546" s="6" t="inlineStr"/>
      <c r="P546" s="6" t="inlineStr"/>
      <c r="Q546" s="5" t="inlineStr"/>
      <c r="R546" s="5" t="inlineStr"/>
      <c r="S546" s="5" t="inlineStr"/>
      <c r="T546" s="5" t="inlineStr"/>
      <c r="U546" s="5" t="inlineStr"/>
      <c r="V546" s="5" t="inlineStr"/>
      <c r="W546" s="5" t="inlineStr"/>
      <c r="X546" s="5" t="inlineStr"/>
      <c r="Y546" s="5" t="inlineStr"/>
      <c r="Z546" s="6" t="inlineStr"/>
    </row>
    <row r="547">
      <c r="A547" s="5" t="inlineStr">
        <is>
          <t>mb-acik-ofis</t>
        </is>
      </c>
      <c r="B547" s="5" t="n">
        <v>2</v>
      </c>
      <c r="C547" s="6" t="inlineStr">
        <is>
          <t>Masaya bitki koy, alan kazan</t>
        </is>
      </c>
      <c r="D547" s="5" t="inlineStr">
        <is>
          <t>Kurnazlık</t>
        </is>
      </c>
      <c r="E547" s="5" t="inlineStr">
        <is>
          <t>Kolay</t>
        </is>
      </c>
      <c r="F547" s="5" t="inlineStr"/>
      <c r="G547" s="6" t="inlineStr"/>
      <c r="H547" s="6" t="inlineStr">
        <is>
          <t>Bitkiyle başladın, dosya dolabıyla devam ettin. Açık ofiste kendi duvarını ördün.</t>
        </is>
      </c>
      <c r="I547" s="6" t="inlineStr">
        <is>
          <t>Masan öyle yeşillendi ki tesis yönetimi orayı 'dinlenme alanı' ilan etti. Tek kişilik.</t>
        </is>
      </c>
      <c r="J547" s="6" t="inlineStr">
        <is>
          <t>Bitki bir haftada kurudu. Klimanın tam altındaymışsın.</t>
        </is>
      </c>
      <c r="K547" s="6" t="inlineStr">
        <is>
          <t>Bitkiyi sularken klavyeye döktün. Katın geri kalanı için artık 'sulu masa' sensin.</t>
        </is>
      </c>
      <c r="L547" s="6" t="inlineStr"/>
      <c r="M547" s="5" t="inlineStr"/>
      <c r="N547" s="5" t="inlineStr"/>
      <c r="O547" s="6" t="inlineStr"/>
      <c r="P547" s="6" t="inlineStr"/>
      <c r="Q547" s="5" t="inlineStr"/>
      <c r="R547" s="5" t="inlineStr"/>
      <c r="S547" s="5" t="inlineStr"/>
      <c r="T547" s="5" t="inlineStr"/>
      <c r="U547" s="5" t="inlineStr"/>
      <c r="V547" s="5" t="inlineStr"/>
      <c r="W547" s="5" t="inlineStr"/>
      <c r="X547" s="5" t="inlineStr"/>
      <c r="Y547" s="5" t="inlineStr"/>
      <c r="Z547" s="6" t="inlineStr"/>
    </row>
    <row r="548">
      <c r="A548" s="5" t="inlineStr">
        <is>
          <t>mb-acik-ofis</t>
        </is>
      </c>
      <c r="B548" s="5" t="n">
        <v>3</v>
      </c>
      <c r="C548" s="6" t="inlineStr">
        <is>
          <t>Herkesle kaynaş</t>
        </is>
      </c>
      <c r="D548" s="5" t="inlineStr">
        <is>
          <t>Sosyal Radar</t>
        </is>
      </c>
      <c r="E548" s="5" t="inlineStr">
        <is>
          <t>Zor</t>
        </is>
      </c>
      <c r="F548" s="5" t="inlineStr"/>
      <c r="G548" s="6" t="inlineStr"/>
      <c r="H548" s="6" t="inlineStr">
        <is>
          <t>Üç günde katın bütün dedikodu ağına bağlandın. Bilgi artık sende toplanıyor.</t>
        </is>
      </c>
      <c r="I548" s="6" t="inlineStr">
        <is>
          <t>Kimin kime küs olduğunu çözdün. Gerçek organizasyon şeması artık senin kafanda.</t>
        </is>
      </c>
      <c r="J548" s="6" t="inlineStr">
        <is>
          <t>Kaynaşmaya çalıştın; herkes kulaklığını işaret etti.</t>
        </is>
      </c>
      <c r="K548" s="6" t="inlineStr">
        <is>
          <t>Kaynaşırken birini dedikodu yaparken yakaladın. O da seni. Aynı dedikoduyu yapıyordunuz.</t>
        </is>
      </c>
      <c r="L548" s="6" t="inlineStr"/>
      <c r="M548" s="5" t="inlineStr"/>
      <c r="N548" s="5" t="inlineStr"/>
      <c r="O548" s="6" t="inlineStr"/>
      <c r="P548" s="6" t="inlineStr"/>
      <c r="Q548" s="5" t="inlineStr"/>
      <c r="R548" s="5" t="inlineStr"/>
      <c r="S548" s="5" t="inlineStr"/>
      <c r="T548" s="5" t="inlineStr">
        <is>
          <t>Plaza Diplomatı</t>
        </is>
      </c>
      <c r="U548" s="5" t="inlineStr"/>
      <c r="V548" s="5" t="inlineStr"/>
      <c r="W548" s="5" t="inlineStr"/>
      <c r="X548" s="5" t="inlineStr"/>
      <c r="Y548" s="5" t="inlineStr"/>
      <c r="Z548" s="6" t="inlineStr"/>
    </row>
    <row r="549">
      <c r="A549" s="5" t="inlineStr">
        <is>
          <t>b6-dugun-yagmuru</t>
        </is>
      </c>
      <c r="B549" s="5" t="n">
        <v>1</v>
      </c>
      <c r="C549" s="6" t="inlineStr">
        <is>
          <t>'Yakında' de ve gülümse</t>
        </is>
      </c>
      <c r="D549" s="5" t="inlineStr"/>
      <c r="E549" s="5" t="inlineStr"/>
      <c r="F549" s="5" t="inlineStr">
        <is>
          <t>Pişkinlik +1</t>
        </is>
      </c>
      <c r="G549" s="6" t="inlineStr">
        <is>
          <t>Teyze 'Yakında'yı bir tarih olarak kaydetti. Takvimde kırmızıyla işaretli.</t>
        </is>
      </c>
      <c r="H549" s="6" t="inlineStr"/>
      <c r="I549" s="6" t="inlineStr"/>
      <c r="J549" s="6" t="inlineStr"/>
      <c r="K549" s="6" t="inlineStr"/>
      <c r="L549" s="6" t="inlineStr"/>
      <c r="M549" s="5" t="inlineStr"/>
      <c r="N549" s="5" t="inlineStr"/>
      <c r="O549" s="6" t="inlineStr"/>
      <c r="P549" s="6" t="inlineStr"/>
      <c r="Q549" s="5" t="inlineStr"/>
      <c r="R549" s="5" t="inlineStr"/>
      <c r="S549" s="5" t="inlineStr"/>
      <c r="T549" s="5" t="inlineStr"/>
      <c r="U549" s="5" t="inlineStr"/>
      <c r="V549" s="5" t="inlineStr"/>
      <c r="W549" s="5" t="inlineStr"/>
      <c r="X549" s="5" t="inlineStr"/>
      <c r="Y549" s="5" t="inlineStr"/>
      <c r="Z549" s="6" t="inlineStr"/>
    </row>
    <row r="550">
      <c r="A550" s="5" t="inlineStr">
        <is>
          <t>b6-dugun-yagmuru</t>
        </is>
      </c>
      <c r="B550" s="5" t="n">
        <v>2</v>
      </c>
      <c r="C550" s="6" t="inlineStr">
        <is>
          <t>Halayın başına geç</t>
        </is>
      </c>
      <c r="D550" s="5" t="inlineStr">
        <is>
          <t>Cesaret</t>
        </is>
      </c>
      <c r="E550" s="5" t="inlineStr">
        <is>
          <t>Orta</t>
        </is>
      </c>
      <c r="F550" s="5" t="inlineStr"/>
      <c r="G550" s="6" t="inlineStr"/>
      <c r="H550" s="6" t="inlineStr">
        <is>
          <t>Mendili aldın, halayı yönettin. Düğünün en unutulmaz dakikaları senin adına kaydedildi.</t>
        </is>
      </c>
      <c r="I550" s="6" t="inlineStr">
        <is>
          <t>Halay o kadar iyi gitti ki gelin damadı bırakıp arkana geçti. Video yayıldı.</t>
        </is>
      </c>
      <c r="J550" s="6" t="inlineStr">
        <is>
          <t>Mendili aldın, adımları unuttun. Halay bir süre yerinde saydı.</t>
        </is>
      </c>
      <c r="K550" s="6" t="inlineStr">
        <is>
          <t>Mendili sallarken orkestranın mikrofonunu devirdin. Düğünün kalanı akustik devam etti.</t>
        </is>
      </c>
      <c r="L550" s="6" t="inlineStr"/>
      <c r="M550" s="5" t="inlineStr"/>
      <c r="N550" s="5" t="inlineStr"/>
      <c r="O550" s="6" t="inlineStr"/>
      <c r="P550" s="6" t="inlineStr"/>
      <c r="Q550" s="5" t="inlineStr"/>
      <c r="R550" s="5" t="inlineStr"/>
      <c r="S550" s="5" t="inlineStr"/>
      <c r="T550" s="5" t="inlineStr"/>
      <c r="U550" s="5" t="inlineStr"/>
      <c r="V550" s="5" t="inlineStr"/>
      <c r="W550" s="5" t="inlineStr"/>
      <c r="X550" s="5" t="inlineStr"/>
      <c r="Y550" s="5" t="inlineStr"/>
      <c r="Z550" s="6" t="inlineStr"/>
    </row>
    <row r="551">
      <c r="A551" s="5" t="inlineStr">
        <is>
          <t>b6-dugun-yagmuru</t>
        </is>
      </c>
      <c r="B551" s="5" t="n">
        <v>3</v>
      </c>
      <c r="C551" s="6" t="inlineStr">
        <is>
          <t>Teyze komitesinden kaç</t>
        </is>
      </c>
      <c r="D551" s="5" t="inlineStr">
        <is>
          <t>Kurnazlık</t>
        </is>
      </c>
      <c r="E551" s="5" t="inlineStr">
        <is>
          <t>Orta</t>
        </is>
      </c>
      <c r="F551" s="5" t="inlineStr"/>
      <c r="G551" s="6" t="inlineStr"/>
      <c r="H551" s="6" t="inlineStr">
        <is>
          <t>Tatlı servisinde kayboldun. Döndüğünde komite başka birini seçmişti.</t>
        </is>
      </c>
      <c r="I551" s="6" t="inlineStr">
        <is>
          <t>Kaçarken komiteyi bekâr kuzenine yönlendirdin. Kuzen bu yıl evleniyor. Sana teşekkür etmedi.</t>
        </is>
      </c>
      <c r="J551" s="6" t="inlineStr">
        <is>
          <t>Komite seni otoparkta buldu. Yanlarında bir aday vardı.</t>
        </is>
      </c>
      <c r="K551" s="6" t="inlineStr">
        <is>
          <t>Yanlış kapıdan çıktın, damadın odasına girdin. Aile fotoğrafına dahil edildin.</t>
        </is>
      </c>
      <c r="L551" s="6" t="inlineStr"/>
      <c r="M551" s="5" t="inlineStr"/>
      <c r="N551" s="5" t="inlineStr"/>
      <c r="O551" s="6" t="inlineStr"/>
      <c r="P551" s="6" t="inlineStr"/>
      <c r="Q551" s="5" t="inlineStr"/>
      <c r="R551" s="5" t="inlineStr"/>
      <c r="S551" s="5" t="inlineStr"/>
      <c r="T551" s="5" t="inlineStr"/>
      <c r="U551" s="5" t="inlineStr"/>
      <c r="V551" s="5" t="inlineStr"/>
      <c r="W551" s="5" t="inlineStr"/>
      <c r="X551" s="5" t="inlineStr"/>
      <c r="Y551" s="5" t="inlineStr"/>
      <c r="Z551" s="6" t="inlineStr"/>
    </row>
    <row r="552">
      <c r="A552" s="5" t="inlineStr">
        <is>
          <t>b6-dugun-yagmuru</t>
        </is>
      </c>
      <c r="B552" s="5" t="n">
        <v>4</v>
      </c>
      <c r="C552" s="6" t="inlineStr">
        <is>
          <t>Mikrofonu al, şarkı söyle</t>
        </is>
      </c>
      <c r="D552" s="5" t="inlineStr">
        <is>
          <t>Pişkinlik</t>
        </is>
      </c>
      <c r="E552" s="5" t="inlineStr">
        <is>
          <t>Kolay</t>
        </is>
      </c>
      <c r="F552" s="5" t="inlineStr"/>
      <c r="G552" s="6" t="inlineStr"/>
      <c r="H552" s="6" t="inlineStr">
        <is>
          <t>Orkestra sana eşlik etti. Sonra etmemeye karar verdi.</t>
        </is>
      </c>
      <c r="I552" s="6" t="inlineStr">
        <is>
          <t>Üç ayrı düğüne davet edildin. Misafir olarak değil, sanatçı olarak.</t>
        </is>
      </c>
      <c r="J552" s="6" t="inlineStr">
        <is>
          <t>Sözleri unuttun, 'nanana' ile bitirdin. Alkış aldın, merhametten.</t>
        </is>
      </c>
      <c r="K552" s="6" t="inlineStr">
        <is>
          <t>Mikrofonu alıp gelinle damada konuşma yaptın. Yanlış isim kullandın. Salon soğudu.</t>
        </is>
      </c>
      <c r="L552" s="6" t="inlineStr"/>
      <c r="M552" s="5" t="inlineStr"/>
      <c r="N552" s="5" t="inlineStr"/>
      <c r="O552" s="6" t="inlineStr"/>
      <c r="P552" s="6" t="inlineStr"/>
      <c r="Q552" s="5" t="inlineStr">
        <is>
          <t>Sahne Sever</t>
        </is>
      </c>
      <c r="R552" s="5" t="inlineStr"/>
      <c r="S552" s="5" t="inlineStr"/>
      <c r="T552" s="5" t="inlineStr"/>
      <c r="U552" s="5" t="inlineStr"/>
      <c r="V552" s="5" t="inlineStr"/>
      <c r="W552" s="5" t="inlineStr"/>
      <c r="X552" s="5" t="inlineStr"/>
      <c r="Y552" s="5" t="inlineStr"/>
      <c r="Z552" s="6" t="inlineStr"/>
    </row>
    <row r="553">
      <c r="A553" s="5" t="inlineStr">
        <is>
          <t>b6-dukkan-anahtari</t>
        </is>
      </c>
      <c r="B553" s="5" t="n">
        <v>1</v>
      </c>
      <c r="C553" s="6" t="inlineStr">
        <is>
          <t>Olduğu gibi işlet</t>
        </is>
      </c>
      <c r="D553" s="5" t="inlineStr"/>
      <c r="E553" s="5" t="inlineStr"/>
      <c r="F553" s="5" t="inlineStr">
        <is>
          <t>Vicdan +2</t>
        </is>
      </c>
      <c r="G553" s="6" t="inlineStr">
        <is>
          <t>Bir hafta her şey yolunda gitti. Usta döndü: 'Hiç aramadın.' Hem övgü hem sitem.</t>
        </is>
      </c>
      <c r="H553" s="6" t="inlineStr"/>
      <c r="I553" s="6" t="inlineStr"/>
      <c r="J553" s="6" t="inlineStr"/>
      <c r="K553" s="6" t="inlineStr"/>
      <c r="L553" s="6" t="inlineStr"/>
      <c r="M553" s="5" t="inlineStr"/>
      <c r="N553" s="5" t="inlineStr"/>
      <c r="O553" s="6" t="inlineStr"/>
      <c r="P553" s="6" t="inlineStr"/>
      <c r="Q553" s="5" t="inlineStr"/>
      <c r="R553" s="5" t="inlineStr"/>
      <c r="S553" s="5" t="inlineStr"/>
      <c r="T553" s="5" t="inlineStr"/>
      <c r="U553" s="5" t="inlineStr"/>
      <c r="V553" s="5" t="inlineStr"/>
      <c r="W553" s="5" t="inlineStr"/>
      <c r="X553" s="5" t="inlineStr"/>
      <c r="Y553" s="5" t="inlineStr"/>
      <c r="Z553" s="6" t="inlineStr"/>
    </row>
    <row r="554">
      <c r="A554" s="5" t="inlineStr">
        <is>
          <t>b6-dukkan-anahtari</t>
        </is>
      </c>
      <c r="B554" s="5" t="n">
        <v>2</v>
      </c>
      <c r="C554" s="6" t="inlineStr">
        <is>
          <t>Vitrini yeniden düzenle</t>
        </is>
      </c>
      <c r="D554" s="5" t="inlineStr">
        <is>
          <t>Kurnazlık</t>
        </is>
      </c>
      <c r="E554" s="5" t="inlineStr">
        <is>
          <t>Orta</t>
        </is>
      </c>
      <c r="F554" s="5" t="inlineStr"/>
      <c r="G554" s="6" t="inlineStr"/>
      <c r="H554" s="6" t="inlineStr">
        <is>
          <t>Satışlar arttı. Usta döndüğünde vitrine bakıp uzun uzun sustu.</t>
        </is>
      </c>
      <c r="I554" s="6" t="inlineStr">
        <is>
          <t>Vitrin mahallede konuşuldu. Usta 'Bunu kim yaptı?' diye sordu. Sesinde gurur vardı.</t>
        </is>
      </c>
      <c r="J554" s="6" t="inlineStr">
        <is>
          <t>Müşteriler aradıklarını bulamadı. Satış durdu.</t>
        </is>
      </c>
      <c r="K554" s="6" t="inlineStr">
        <is>
          <t>Ustanın otuz yıllık tabelasını düşürdün. Eskiden 'USTA' yazıyordu. Şimdi 'UST'.</t>
        </is>
      </c>
      <c r="L554" s="6" t="inlineStr"/>
      <c r="M554" s="5" t="inlineStr"/>
      <c r="N554" s="5" t="inlineStr"/>
      <c r="O554" s="6" t="inlineStr"/>
      <c r="P554" s="6" t="inlineStr"/>
      <c r="Q554" s="5" t="inlineStr"/>
      <c r="R554" s="5" t="inlineStr"/>
      <c r="S554" s="5" t="inlineStr"/>
      <c r="T554" s="5" t="inlineStr"/>
      <c r="U554" s="5" t="inlineStr"/>
      <c r="V554" s="5" t="inlineStr"/>
      <c r="W554" s="5" t="inlineStr"/>
      <c r="X554" s="5" t="inlineStr"/>
      <c r="Y554" s="5" t="inlineStr"/>
      <c r="Z554" s="6" t="inlineStr"/>
    </row>
    <row r="555">
      <c r="A555" s="5" t="inlineStr">
        <is>
          <t>b6-dukkan-anahtari</t>
        </is>
      </c>
      <c r="B555" s="5" t="n">
        <v>3</v>
      </c>
      <c r="C555" s="6" t="inlineStr">
        <is>
          <t>Büyük işi tek başına al</t>
        </is>
      </c>
      <c r="D555" s="5" t="inlineStr">
        <is>
          <t>Cesaret</t>
        </is>
      </c>
      <c r="E555" s="5" t="inlineStr">
        <is>
          <t>Zor</t>
        </is>
      </c>
      <c r="F555" s="5" t="inlineStr"/>
      <c r="G555" s="6" t="inlineStr"/>
      <c r="H555" s="6" t="inlineStr">
        <is>
          <t>İşi bitirdin. Usta döndüğünde müşteri seni sordu. Onu değil.</t>
        </is>
      </c>
      <c r="I555" s="6" t="inlineStr">
        <is>
          <t>Zamanından önce bitirdin. Usta tabelanın altına küçük bir tahta ekledi: senin adın.</t>
        </is>
      </c>
      <c r="J555" s="6" t="inlineStr">
        <is>
          <t>İşin yarısında ustayı aradın. Memlekette telefon çekmiyormuş.</t>
        </is>
      </c>
      <c r="K555" s="6" t="inlineStr">
        <is>
          <t>Usta tatilini kısaltıp döndü. Memlekette kısa bir tatil, dükkanda uzun bir konuşma.</t>
        </is>
      </c>
      <c r="L555" s="6" t="inlineStr"/>
      <c r="M555" s="5" t="inlineStr"/>
      <c r="N555" s="5" t="inlineStr"/>
      <c r="O555" s="6" t="inlineStr"/>
      <c r="P555" s="6" t="inlineStr"/>
      <c r="Q555" s="5" t="inlineStr"/>
      <c r="R555" s="5" t="inlineStr">
        <is>
          <t>usta-eli</t>
        </is>
      </c>
      <c r="S555" s="5" t="inlineStr"/>
      <c r="T555" s="5" t="inlineStr"/>
      <c r="U555" s="5" t="inlineStr"/>
      <c r="V555" s="5" t="inlineStr"/>
      <c r="W555" s="5" t="inlineStr"/>
      <c r="X555" s="5" t="inlineStr"/>
      <c r="Y555" s="5" t="inlineStr"/>
      <c r="Z555" s="6" t="inlineStr"/>
    </row>
    <row r="556">
      <c r="A556" s="5" t="inlineStr">
        <is>
          <t>b6-dukkan-anahtari</t>
        </is>
      </c>
      <c r="B556" s="5" t="n">
        <v>4</v>
      </c>
      <c r="C556" s="6" t="inlineStr">
        <is>
          <t>Kendi müşterini bul</t>
        </is>
      </c>
      <c r="D556" s="5" t="inlineStr">
        <is>
          <t>Çene</t>
        </is>
      </c>
      <c r="E556" s="5" t="inlineStr">
        <is>
          <t>Orta</t>
        </is>
      </c>
      <c r="F556" s="5" t="inlineStr"/>
      <c r="G556" s="6" t="inlineStr"/>
      <c r="H556" s="6" t="inlineStr">
        <is>
          <t>Arkadaşlarını müşteri yaptın. Hepsi indirim bekledi, hepsine yaptın.</t>
        </is>
      </c>
      <c r="I556" s="6" t="inlineStr">
        <is>
          <t>Üç yeni müşteri getirdin. Usta seni çıraklıktan kalfalığa terfi ettirdi. Maaş aynı.</t>
        </is>
      </c>
      <c r="J556" s="6" t="inlineStr">
        <is>
          <t>Getirdiğin müşteri ustayı istedi.</t>
        </is>
      </c>
      <c r="K556" s="6" t="inlineStr">
        <is>
          <t>Arkadaşına veresiye yaptın. Defterde yeni bir sayfa açıldı: senin adınla.</t>
        </is>
      </c>
      <c r="L556" s="6" t="inlineStr"/>
      <c r="M556" s="5" t="inlineStr"/>
      <c r="N556" s="5" t="inlineStr"/>
      <c r="O556" s="6" t="inlineStr"/>
      <c r="P556" s="6" t="inlineStr"/>
      <c r="Q556" s="5" t="inlineStr"/>
      <c r="R556" s="5" t="inlineStr"/>
      <c r="S556" s="5" t="inlineStr"/>
      <c r="T556" s="5" t="inlineStr"/>
      <c r="U556" s="5" t="inlineStr"/>
      <c r="V556" s="5" t="inlineStr"/>
      <c r="W556" s="5" t="inlineStr"/>
      <c r="X556" s="5" t="inlineStr"/>
      <c r="Y556" s="5" t="inlineStr"/>
      <c r="Z556" s="6" t="inlineStr"/>
    </row>
    <row r="557">
      <c r="A557" s="5" t="inlineStr">
        <is>
          <t>me-veresiye-defteri</t>
        </is>
      </c>
      <c r="B557" s="5" t="n">
        <v>1</v>
      </c>
      <c r="C557" s="6" t="inlineStr">
        <is>
          <t>Deftere yaz</t>
        </is>
      </c>
      <c r="D557" s="5" t="inlineStr"/>
      <c r="E557" s="5" t="inlineStr"/>
      <c r="F557" s="5" t="inlineStr">
        <is>
          <t>Vicdan +2</t>
        </is>
      </c>
      <c r="G557" s="6" t="inlineStr">
        <is>
          <t>Bir defter aldın, ilk satırı yazdın. Defter o gün bir sayfa değil, bir karakter kazandı.</t>
        </is>
      </c>
      <c r="H557" s="6" t="inlineStr"/>
      <c r="I557" s="6" t="inlineStr"/>
      <c r="J557" s="6" t="inlineStr"/>
      <c r="K557" s="6" t="inlineStr"/>
      <c r="L557" s="6" t="inlineStr"/>
      <c r="M557" s="5" t="inlineStr"/>
      <c r="N557" s="5" t="inlineStr"/>
      <c r="O557" s="6" t="inlineStr"/>
      <c r="P557" s="6" t="inlineStr"/>
      <c r="Q557" s="5" t="inlineStr"/>
      <c r="R557" s="5" t="inlineStr"/>
      <c r="S557" s="5" t="inlineStr"/>
      <c r="T557" s="5" t="inlineStr"/>
      <c r="U557" s="5" t="inlineStr">
        <is>
          <t>esnaf-veresiye-batagi</t>
        </is>
      </c>
      <c r="V557" s="5" t="inlineStr"/>
      <c r="W557" s="5" t="inlineStr"/>
      <c r="X557" s="5" t="inlineStr"/>
      <c r="Y557" s="5" t="inlineStr"/>
      <c r="Z557" s="6" t="inlineStr"/>
    </row>
    <row r="558">
      <c r="A558" s="5" t="inlineStr">
        <is>
          <t>me-veresiye-defteri</t>
        </is>
      </c>
      <c r="B558" s="5" t="n">
        <v>2</v>
      </c>
      <c r="C558" s="6" t="inlineStr">
        <is>
          <t>Kibarca reddet</t>
        </is>
      </c>
      <c r="D558" s="5" t="inlineStr">
        <is>
          <t>Çene</t>
        </is>
      </c>
      <c r="E558" s="5" t="inlineStr">
        <is>
          <t>Orta</t>
        </is>
      </c>
      <c r="F558" s="5" t="inlineStr"/>
      <c r="G558" s="6" t="inlineStr"/>
      <c r="H558" s="6" t="inlineStr">
        <is>
          <t>'Veresiye yok ama indirim var' dedin. Nakit ödedi, indirimi de bütün mahalleye anlattı.</t>
        </is>
      </c>
      <c r="I558" s="6" t="inlineStr">
        <is>
          <t>Öyle kibar reddettin ki müşteri teşekkür edip peşin ödedi, bir de 'Kalsın' dedi.</t>
        </is>
      </c>
      <c r="J558" s="6" t="inlineStr">
        <is>
          <t>Reddettin. Müşteri karşı dükkâna gidip oraya borçlandı. Borç senden gitti, dedikodusu kaldı.</t>
        </is>
      </c>
      <c r="K558" s="6" t="inlineStr">
        <is>
          <t>Reddettin; müşteri mahalle grubuna 'Eskiden esnaf başkaydı' yazdı. Mesaj kırk üç beğeni aldı.</t>
        </is>
      </c>
      <c r="L558" s="6" t="inlineStr"/>
      <c r="M558" s="5" t="inlineStr"/>
      <c r="N558" s="5" t="inlineStr"/>
      <c r="O558" s="6" t="inlineStr"/>
      <c r="P558" s="6" t="inlineStr"/>
      <c r="Q558" s="5" t="inlineStr"/>
      <c r="R558" s="5" t="inlineStr"/>
      <c r="S558" s="5" t="inlineStr"/>
      <c r="T558" s="5" t="inlineStr"/>
      <c r="U558" s="5" t="inlineStr"/>
      <c r="V558" s="5" t="inlineStr"/>
      <c r="W558" s="5" t="inlineStr"/>
      <c r="X558" s="5" t="inlineStr"/>
      <c r="Y558" s="5" t="inlineStr"/>
      <c r="Z558" s="6" t="inlineStr"/>
    </row>
    <row r="559">
      <c r="A559" s="5" t="inlineStr">
        <is>
          <t>me-veresiye-defteri</t>
        </is>
      </c>
      <c r="B559" s="5" t="n">
        <v>3</v>
      </c>
      <c r="C559" s="6" t="inlineStr">
        <is>
          <t>'Öbür defterler nasıl gidiyor?' diye sor</t>
        </is>
      </c>
      <c r="D559" s="5" t="inlineStr">
        <is>
          <t>Sosyal Radar</t>
        </is>
      </c>
      <c r="E559" s="5" t="inlineStr">
        <is>
          <t>Kolay</t>
        </is>
      </c>
      <c r="F559" s="5" t="inlineStr"/>
      <c r="G559" s="6" t="inlineStr"/>
      <c r="H559" s="6" t="inlineStr">
        <is>
          <t>Sordun. Müşteri cüzdanı çıkardı, peşin ödedi ve bir daha deftere yazdırmayı teklif etmedi.</t>
        </is>
      </c>
      <c r="I559" s="6" t="inlineStr">
        <is>
          <t>Müşteri öyle utandı ki öbür iki dükkânın borcunu da senin kasandan ödemeye başladı. Artık bir takas merkezisin.</t>
        </is>
      </c>
      <c r="J559" s="6" t="inlineStr">
        <is>
          <t>İma anlaşılmadı. Müşteri 'Evet, herkes bana güvenir' dedi ve deftere adını kendi yazdı.</t>
        </is>
      </c>
      <c r="K559" s="6" t="inlineStr">
        <is>
          <t>Soruyu yüksek sesle sordun. Kasadaki sırada bekleyen iki kişi de aynı defterlerdeydi.</t>
        </is>
      </c>
      <c r="L559" s="6" t="inlineStr"/>
      <c r="M559" s="5" t="inlineStr"/>
      <c r="N559" s="5" t="inlineStr"/>
      <c r="O559" s="6" t="inlineStr"/>
      <c r="P559" s="6" t="inlineStr"/>
      <c r="Q559" s="5" t="inlineStr"/>
      <c r="R559" s="5" t="inlineStr"/>
      <c r="S559" s="5" t="inlineStr">
        <is>
          <t>Sosyal Radar</t>
        </is>
      </c>
      <c r="T559" s="5" t="inlineStr"/>
      <c r="U559" s="5" t="inlineStr"/>
      <c r="V559" s="5" t="inlineStr"/>
      <c r="W559" s="5" t="inlineStr"/>
      <c r="X559" s="5" t="inlineStr"/>
      <c r="Y559" s="5" t="inlineStr"/>
      <c r="Z559" s="6" t="inlineStr"/>
    </row>
    <row r="560">
      <c r="A560" s="5" t="inlineStr">
        <is>
          <t>me-veresiye-defteri</t>
        </is>
      </c>
      <c r="B560" s="5" t="n">
        <v>4</v>
      </c>
      <c r="C560" s="6" t="inlineStr">
        <is>
          <t>Ödeme planı çıkar</t>
        </is>
      </c>
      <c r="D560" s="5" t="inlineStr">
        <is>
          <t>Akıl</t>
        </is>
      </c>
      <c r="E560" s="5" t="inlineStr">
        <is>
          <t>Kolay</t>
        </is>
      </c>
      <c r="F560" s="5" t="inlineStr"/>
      <c r="G560" s="6" t="inlineStr"/>
      <c r="H560" s="6" t="inlineStr">
        <is>
          <t>Borcu üç taksite böldün, tarihleri müşterinin telefonuna kaydettin. Sistem çalıştı.</t>
        </is>
      </c>
      <c r="I560" s="6" t="inlineStr">
        <is>
          <t>Plan o kadar net çıktı ki müşteri ilk taksiti erken getirdi. Kuruşu kuruşuna, çocukluktan beri.</t>
        </is>
      </c>
      <c r="J560" s="6" t="inlineStr">
        <is>
          <t>Plan mükemmeldi. Müşteri planı sonuna kadar dinledi ve 'Sen yine deftere yaz' dedi.</t>
        </is>
      </c>
      <c r="K560" s="6" t="inlineStr">
        <is>
          <t>Hesabı yaparken kendi aleyhine yuvarladın. Kâğıt üstünde müşteri sana borçlu değil, alacaklı çıktı.</t>
        </is>
      </c>
      <c r="L560" s="6" t="inlineStr"/>
      <c r="M560" s="5" t="inlineStr"/>
      <c r="N560" s="5" t="inlineStr"/>
      <c r="O560" s="6" t="inlineStr"/>
      <c r="P560" s="6" t="inlineStr"/>
      <c r="Q560" s="5" t="inlineStr">
        <is>
          <t>Para Üstü Radarı</t>
        </is>
      </c>
      <c r="R560" s="5" t="inlineStr"/>
      <c r="S560" s="5" t="inlineStr"/>
      <c r="T560" s="5" t="inlineStr"/>
      <c r="U560" s="5" t="inlineStr"/>
      <c r="V560" s="5" t="inlineStr"/>
      <c r="W560" s="5" t="inlineStr">
        <is>
          <t>esnaf-veresiye-batagi</t>
        </is>
      </c>
      <c r="X560" s="5" t="inlineStr"/>
      <c r="Y560" s="5" t="inlineStr"/>
      <c r="Z560" s="6" t="inlineStr"/>
    </row>
    <row r="561">
      <c r="A561" s="5" t="inlineStr">
        <is>
          <t>mm-islak-imza</t>
        </is>
      </c>
      <c r="B561" s="5" t="n">
        <v>1</v>
      </c>
      <c r="C561" s="6" t="inlineStr">
        <is>
          <t>Evrakları ayıkla</t>
        </is>
      </c>
      <c r="D561" s="5" t="inlineStr">
        <is>
          <t>Akıl</t>
        </is>
      </c>
      <c r="E561" s="5" t="inlineStr">
        <is>
          <t>Zor</t>
        </is>
      </c>
      <c r="F561" s="5" t="inlineStr"/>
      <c r="G561" s="6" t="inlineStr"/>
      <c r="H561" s="6" t="inlineStr">
        <is>
          <t>Evrakları ayırdın. Masan boşaldı, koridor doldu. Sistem çalışıyor.</t>
        </is>
      </c>
      <c r="I561" s="6" t="inlineStr">
        <is>
          <t>Hepsi doğru. Şef masana gelip 'Sen bu işi biliyorsun' dedi. Bu cümle otuz yıllık iş yükü demekti.</t>
        </is>
      </c>
      <c r="J561" s="6" t="inlineStr">
        <is>
          <t>Eksik bir dilekçeyi imzaladın. Üst makama gitti, sana geri döndü; üstünde senin adınla.</t>
        </is>
      </c>
      <c r="K561" s="6" t="inlineStr">
        <is>
          <t>Hepsini ters ayırdın. Gün sonunda iade ettiğin tek eksiksiz evrak, kendi izin dilekçendi.</t>
        </is>
      </c>
      <c r="L561" s="6" t="inlineStr">
        <is>
          <t>Çoğu doğru. Yanlışları kimse fark etmez; ta ki denetime kadar.</t>
        </is>
      </c>
      <c r="M561" s="5" t="inlineStr">
        <is>
          <t>swipe</t>
        </is>
      </c>
      <c r="N561" s="5" t="inlineStr">
        <is>
          <t>İmzala ya da İade Et</t>
        </is>
      </c>
      <c r="O561" s="6" t="inlineStr">
        <is>
          <t>Eksiksiz evrakı imzaya, eksik olanı iadeye kaydır. Kararsız kalırsan ikisi de seni bekler.</t>
        </is>
      </c>
      <c r="P561" s="6" t="inlineStr">
        <is>
          <t>{"left": "İade et", "right": "İmzala", "items": [{"t": "Eksik fotokopili dilekçe", "right": false}, {"t": "Mühürlü, tarihli, imzalı başvuru", "right": true}, {"t": "Kurşun kalemle doldurulmuş form", "right": false}, {"t": "Arkası da eksiksiz doldurulmuş form", "right": true}, {"t": "Tarihi gelecek yıl olan dilekçe", "right": false}, {"t": "Üç nüsha, üçü de 'aslı gibidir'", "right": true}, {"t": "Çay lekeli ama eksiksiz form", "right": true}, {"t": "İmza yerine gülen surat", "right": false}, {"t": "Vesikalığın telefondan çekilmiş fotoğrafı", "right": false}, {"t": "Fotoğraflı, onaylı başvuru", "right": true}]}</t>
        </is>
      </c>
      <c r="Q561" s="5" t="inlineStr"/>
      <c r="R561" s="5" t="inlineStr"/>
      <c r="S561" s="5" t="inlineStr"/>
      <c r="T561" s="5" t="inlineStr">
        <is>
          <t>Islak İmza Ustası</t>
        </is>
      </c>
      <c r="U561" s="5" t="inlineStr"/>
      <c r="V561" s="5" t="inlineStr"/>
      <c r="W561" s="5" t="inlineStr"/>
      <c r="X561" s="5" t="inlineStr"/>
      <c r="Y561" s="5" t="inlineStr"/>
      <c r="Z561" s="6" t="inlineStr"/>
    </row>
    <row r="562">
      <c r="A562" s="5" t="inlineStr">
        <is>
          <t>mm-islak-imza</t>
        </is>
      </c>
      <c r="B562" s="5" t="n">
        <v>2</v>
      </c>
      <c r="C562" s="6" t="inlineStr">
        <is>
          <t>Hepsini imzala</t>
        </is>
      </c>
      <c r="D562" s="5" t="inlineStr">
        <is>
          <t>Pişkinlik</t>
        </is>
      </c>
      <c r="E562" s="5" t="inlineStr">
        <is>
          <t>Kolay</t>
        </is>
      </c>
      <c r="F562" s="5" t="inlineStr"/>
      <c r="G562" s="6" t="inlineStr"/>
      <c r="H562" s="6" t="inlineStr">
        <is>
          <t>Hepsini imzaladın. Hiçbiri geri dönmedi. Henüz.</t>
        </is>
      </c>
      <c r="I562" s="6" t="inlineStr">
        <is>
          <t>Hepsini imzaladın ve bir tanesi bile sorun çıkarmadı. Bürokrasinin nadir mucizelerinden biri.</t>
        </is>
      </c>
      <c r="J562" s="6" t="inlineStr">
        <is>
          <t>İçlerinden biri, kendi tayin dilekçene yapılmış bir itirazmış.</t>
        </is>
      </c>
      <c r="K562" s="6" t="inlineStr">
        <is>
          <t>Birinin altında 'Masanın koridora taşınmasına onay veriyorum' yazıyordu. Masan koridorda.</t>
        </is>
      </c>
      <c r="L562" s="6" t="inlineStr"/>
      <c r="M562" s="5" t="inlineStr"/>
      <c r="N562" s="5" t="inlineStr"/>
      <c r="O562" s="6" t="inlineStr"/>
      <c r="P562" s="6" t="inlineStr"/>
      <c r="Q562" s="5" t="inlineStr"/>
      <c r="R562" s="5" t="inlineStr"/>
      <c r="S562" s="5" t="inlineStr"/>
      <c r="T562" s="5" t="inlineStr"/>
      <c r="U562" s="5" t="inlineStr"/>
      <c r="V562" s="5" t="inlineStr"/>
      <c r="W562" s="5" t="inlineStr"/>
      <c r="X562" s="5" t="inlineStr"/>
      <c r="Y562" s="5" t="inlineStr"/>
      <c r="Z562" s="6" t="inlineStr"/>
    </row>
    <row r="563">
      <c r="A563" s="5" t="inlineStr">
        <is>
          <t>mm-islak-imza</t>
        </is>
      </c>
      <c r="B563" s="5" t="n">
        <v>3</v>
      </c>
      <c r="C563" s="6" t="inlineStr">
        <is>
          <t>Evrakı yarına bırak</t>
        </is>
      </c>
      <c r="D563" s="5" t="inlineStr"/>
      <c r="E563" s="5" t="inlineStr"/>
      <c r="F563" s="5" t="inlineStr">
        <is>
          <t>Dayanıklılık +1</t>
        </is>
      </c>
      <c r="G563" s="6" t="inlineStr">
        <is>
          <t>Evrakı yarına bıraktın. Yarın da onları yarına bırakacak. Bu, dairenin en köklü geleneği.</t>
        </is>
      </c>
      <c r="H563" s="6" t="inlineStr"/>
      <c r="I563" s="6" t="inlineStr"/>
      <c r="J563" s="6" t="inlineStr"/>
      <c r="K563" s="6" t="inlineStr"/>
      <c r="L563" s="6" t="inlineStr"/>
      <c r="M563" s="5" t="inlineStr"/>
      <c r="N563" s="5" t="inlineStr"/>
      <c r="O563" s="6" t="inlineStr"/>
      <c r="P563" s="6" t="inlineStr"/>
      <c r="Q563" s="5" t="inlineStr"/>
      <c r="R563" s="5" t="inlineStr"/>
      <c r="S563" s="5" t="inlineStr"/>
      <c r="T563" s="5" t="inlineStr"/>
      <c r="U563" s="5" t="inlineStr"/>
      <c r="V563" s="5" t="inlineStr"/>
      <c r="W563" s="5" t="inlineStr"/>
      <c r="X563" s="5" t="inlineStr"/>
      <c r="Y563" s="5" t="inlineStr"/>
      <c r="Z563" s="6" t="inlineStr"/>
    </row>
    <row r="564">
      <c r="A564" s="5" t="inlineStr">
        <is>
          <t>ms-gorunurluk-teklifi</t>
        </is>
      </c>
      <c r="B564" s="5" t="n">
        <v>1</v>
      </c>
      <c r="C564" s="6" t="inlineStr">
        <is>
          <t>Kabul et</t>
        </is>
      </c>
      <c r="D564" s="5" t="inlineStr"/>
      <c r="E564" s="5" t="inlineStr"/>
      <c r="F564" s="5" t="inlineStr">
        <is>
          <t>Dayanıklılık +1</t>
        </is>
      </c>
      <c r="G564" s="6" t="inlineStr">
        <is>
          <t>İşi teslim ettin. Adın afişte en alta, tuvaleti gösteren okun hemen üstüne yazıldı.</t>
        </is>
      </c>
      <c r="H564" s="6" t="inlineStr"/>
      <c r="I564" s="6" t="inlineStr"/>
      <c r="J564" s="6" t="inlineStr"/>
      <c r="K564" s="6" t="inlineStr"/>
      <c r="L564" s="6" t="inlineStr"/>
      <c r="M564" s="5" t="inlineStr"/>
      <c r="N564" s="5" t="inlineStr"/>
      <c r="O564" s="6" t="inlineStr"/>
      <c r="P564" s="6" t="inlineStr"/>
      <c r="Q564" s="5" t="inlineStr"/>
      <c r="R564" s="5" t="inlineStr"/>
      <c r="S564" s="5" t="inlineStr"/>
      <c r="T564" s="5" t="inlineStr"/>
      <c r="U564" s="5" t="inlineStr"/>
      <c r="V564" s="5" t="inlineStr"/>
      <c r="W564" s="5" t="inlineStr"/>
      <c r="X564" s="5" t="inlineStr"/>
      <c r="Y564" s="5" t="inlineStr"/>
      <c r="Z564" s="6" t="inlineStr"/>
    </row>
    <row r="565">
      <c r="A565" s="5" t="inlineStr">
        <is>
          <t>ms-gorunurluk-teklifi</t>
        </is>
      </c>
      <c r="B565" s="5" t="n">
        <v>2</v>
      </c>
      <c r="C565" s="6" t="inlineStr">
        <is>
          <t>Görünürlük karşılığı fatura kes</t>
        </is>
      </c>
      <c r="D565" s="5" t="inlineStr">
        <is>
          <t>Pişkinlik</t>
        </is>
      </c>
      <c r="E565" s="5" t="inlineStr">
        <is>
          <t>Orta</t>
        </is>
      </c>
      <c r="F565" s="5" t="inlineStr"/>
      <c r="G565" s="6" t="inlineStr"/>
      <c r="H565" s="6" t="inlineStr">
        <is>
          <t>Faturaya 'görünürlük bedeli' yazdın. Utandılar ve küçük bir ücret ödediler.</t>
        </is>
      </c>
      <c r="I565" s="6" t="inlineStr">
        <is>
          <t>Faturanı paylaştın; üç şirket gerçek ücretle iş teklif etti.</t>
        </is>
      </c>
      <c r="J565" s="6" t="inlineStr">
        <is>
          <t>Faturanı görmediler. Görünürlük sorunu yaşandı.</t>
        </is>
      </c>
      <c r="K565" s="6" t="inlineStr">
        <is>
          <t>Yazışmanın ekran görüntüsü yayıldı. 'Zor çalışılan kişi' olarak nihayet görünür oldun.</t>
        </is>
      </c>
      <c r="L565" s="6" t="inlineStr"/>
      <c r="M565" s="5" t="inlineStr"/>
      <c r="N565" s="5" t="inlineStr"/>
      <c r="O565" s="6" t="inlineStr"/>
      <c r="P565" s="6" t="inlineStr"/>
      <c r="Q565" s="5" t="inlineStr"/>
      <c r="R565" s="5" t="inlineStr"/>
      <c r="S565" s="5" t="inlineStr"/>
      <c r="T565" s="5" t="inlineStr"/>
      <c r="U565" s="5" t="inlineStr"/>
      <c r="V565" s="5" t="inlineStr"/>
      <c r="W565" s="5" t="inlineStr"/>
      <c r="X565" s="5" t="inlineStr"/>
      <c r="Y565" s="5" t="inlineStr"/>
      <c r="Z565" s="6" t="inlineStr"/>
    </row>
    <row r="566">
      <c r="A566" s="5" t="inlineStr">
        <is>
          <t>ms-gorunurluk-teklifi</t>
        </is>
      </c>
      <c r="B566" s="5" t="n">
        <v>3</v>
      </c>
      <c r="C566" s="6" t="inlineStr">
        <is>
          <t>Nazikçe ama net reddet</t>
        </is>
      </c>
      <c r="D566" s="5" t="inlineStr">
        <is>
          <t>Cesaret</t>
        </is>
      </c>
      <c r="E566" s="5" t="inlineStr">
        <is>
          <t>Zor</t>
        </is>
      </c>
      <c r="F566" s="5" t="inlineStr"/>
      <c r="G566" s="6" t="inlineStr"/>
      <c r="H566" s="6" t="inlineStr">
        <is>
          <t>'Ücretli işlerde görüşelim' dedin. Bir ay sonra ücretli bir teklifle döndüler.</t>
        </is>
      </c>
      <c r="I566" s="6" t="inlineStr">
        <is>
          <t>Reddedişin öyle netti ki bütçe bulundu. Bütçe hep varmış.</t>
        </is>
      </c>
      <c r="J566" s="6" t="inlineStr">
        <is>
          <t>Reddettin; işi ücretsiz yapacak başka birini buldular. Kuyruk uzun.</t>
        </is>
      </c>
      <c r="K566" s="6" t="inlineStr">
        <is>
          <t>Reddettin; ertesi gün aynı şirket seni 'kötü örnek' diye bir panelde andı. Ücretsiz görünürlük.</t>
        </is>
      </c>
      <c r="L566" s="6" t="inlineStr"/>
      <c r="M566" s="5" t="inlineStr"/>
      <c r="N566" s="5" t="inlineStr"/>
      <c r="O566" s="6" t="inlineStr"/>
      <c r="P566" s="6" t="inlineStr"/>
      <c r="Q566" s="5" t="inlineStr"/>
      <c r="R566" s="5" t="inlineStr"/>
      <c r="S566" s="5" t="inlineStr"/>
      <c r="T566" s="5" t="inlineStr">
        <is>
          <t>Kendi Patronu</t>
        </is>
      </c>
      <c r="U566" s="5" t="inlineStr"/>
      <c r="V566" s="5" t="inlineStr"/>
      <c r="W566" s="5" t="inlineStr"/>
      <c r="X566" s="5" t="inlineStr"/>
      <c r="Y566" s="5" t="inlineStr"/>
      <c r="Z566" s="6" t="inlineStr"/>
    </row>
    <row r="567">
      <c r="A567" s="5" t="inlineStr">
        <is>
          <t>ms-gorunurluk-teklifi</t>
        </is>
      </c>
      <c r="B567" s="5" t="n">
        <v>4</v>
      </c>
      <c r="C567" s="6" t="inlineStr">
        <is>
          <t>Takipçilerine sor: 'Ücretsiz çalışmalı mıyım?'</t>
        </is>
      </c>
      <c r="D567" s="5" t="inlineStr">
        <is>
          <t>Sosyal Radar</t>
        </is>
      </c>
      <c r="E567" s="5" t="inlineStr">
        <is>
          <t>Kolay</t>
        </is>
      </c>
      <c r="F567" s="5" t="inlineStr"/>
      <c r="G567" s="6" t="inlineStr"/>
      <c r="H567" s="6" t="inlineStr">
        <is>
          <t>Takipçilerin şirkete yorum yağdırdı. Bütçe mucizevi biçimde bulundu.</t>
        </is>
      </c>
      <c r="I567" s="6" t="inlineStr">
        <is>
          <t>Anket o kadar yayıldı ki şirket özür diledi ve ücretini iki katıyla ödedi.</t>
        </is>
      </c>
      <c r="J567" s="6" t="inlineStr">
        <is>
          <t>Takipçilerinin yüzde altmışı 'Evet, görünürlük önemli' dedi. Hepsi de serbest çalışan.</t>
        </is>
      </c>
      <c r="K567" s="6" t="inlineStr">
        <is>
          <t>Şirket anketini görüp seni etiketledi: 'Tabii ki gelin, görünürlük sağlarız.' Daha fazla görünürlük.</t>
        </is>
      </c>
      <c r="L567" s="6" t="inlineStr"/>
      <c r="M567" s="5" t="inlineStr"/>
      <c r="N567" s="5" t="inlineStr"/>
      <c r="O567" s="6" t="inlineStr"/>
      <c r="P567" s="6" t="inlineStr"/>
      <c r="Q567" s="5" t="inlineStr"/>
      <c r="R567" s="5" t="inlineStr">
        <is>
          <t>fenomen</t>
        </is>
      </c>
      <c r="S567" s="5" t="inlineStr"/>
      <c r="T567" s="5" t="inlineStr"/>
      <c r="U567" s="5" t="inlineStr"/>
      <c r="V567" s="5" t="inlineStr"/>
      <c r="W567" s="5" t="inlineStr"/>
      <c r="X567" s="5" t="inlineStr"/>
      <c r="Y567" s="5" t="inlineStr"/>
      <c r="Z567" s="6" t="inlineStr"/>
    </row>
    <row r="568">
      <c r="A568" s="5" t="inlineStr">
        <is>
          <t>b6-taki-butcesi</t>
        </is>
      </c>
      <c r="B568" s="5" t="n">
        <v>1</v>
      </c>
      <c r="C568" s="6" t="inlineStr">
        <is>
          <t>Her düğüne çeyrek tak</t>
        </is>
      </c>
      <c r="D568" s="5" t="inlineStr"/>
      <c r="E568" s="5" t="inlineStr"/>
      <c r="F568" s="5" t="inlineStr">
        <is>
          <t>Vicdan +2</t>
        </is>
      </c>
      <c r="G568" s="6" t="inlineStr">
        <is>
          <t>Üç çeyrek taktın. Kuyumcu seni tanıyıp gülümsüyor. Hesabın gülümsemiyor.</t>
        </is>
      </c>
      <c r="H568" s="6" t="inlineStr"/>
      <c r="I568" s="6" t="inlineStr"/>
      <c r="J568" s="6" t="inlineStr"/>
      <c r="K568" s="6" t="inlineStr"/>
      <c r="L568" s="6" t="inlineStr"/>
      <c r="M568" s="5" t="inlineStr"/>
      <c r="N568" s="5" t="inlineStr"/>
      <c r="O568" s="6" t="inlineStr"/>
      <c r="P568" s="6" t="inlineStr"/>
      <c r="Q568" s="5" t="inlineStr"/>
      <c r="R568" s="5" t="inlineStr"/>
      <c r="S568" s="5" t="inlineStr"/>
      <c r="T568" s="5" t="inlineStr"/>
      <c r="U568" s="5" t="inlineStr"/>
      <c r="V568" s="5" t="inlineStr"/>
      <c r="W568" s="5" t="inlineStr"/>
      <c r="X568" s="5" t="inlineStr"/>
      <c r="Y568" s="5" t="inlineStr"/>
      <c r="Z568" s="6" t="inlineStr"/>
    </row>
    <row r="569">
      <c r="A569" s="5" t="inlineStr">
        <is>
          <t>b6-taki-butcesi</t>
        </is>
      </c>
      <c r="B569" s="5" t="n">
        <v>2</v>
      </c>
      <c r="C569" s="6" t="inlineStr">
        <is>
          <t>Zarfa para koy, kalın kâğıt seç</t>
        </is>
      </c>
      <c r="D569" s="5" t="inlineStr">
        <is>
          <t>Kurnazlık</t>
        </is>
      </c>
      <c r="E569" s="5" t="inlineStr">
        <is>
          <t>Orta</t>
        </is>
      </c>
      <c r="F569" s="5" t="inlineStr"/>
      <c r="G569" s="6" t="inlineStr"/>
      <c r="H569" s="6" t="inlineStr">
        <is>
          <t>Zarf kalın, içerik makul. Kimse saymadı, çünkü herkes zarfları sayıyordu.</t>
        </is>
      </c>
      <c r="I569" s="6" t="inlineStr">
        <is>
          <t>Zarf o kadar şıktı ki gelin çerçeveletti. İçine hiç bakmadı.</t>
        </is>
      </c>
      <c r="J569" s="6" t="inlineStr">
        <is>
          <t>Zarfı gelinin annesi açtı. Önünde. Anlamlı bir sessizlik oldu.</t>
        </is>
      </c>
      <c r="K569" s="6" t="inlineStr">
        <is>
          <t>Zarfa adını yazmayı unuttun. Anonim bağışçı oldun; herkes o cimrinin kim olduğunu tartıştı.</t>
        </is>
      </c>
      <c r="L569" s="6" t="inlineStr"/>
      <c r="M569" s="5" t="inlineStr"/>
      <c r="N569" s="5" t="inlineStr"/>
      <c r="O569" s="6" t="inlineStr"/>
      <c r="P569" s="6" t="inlineStr"/>
      <c r="Q569" s="5" t="inlineStr"/>
      <c r="R569" s="5" t="inlineStr"/>
      <c r="S569" s="5" t="inlineStr"/>
      <c r="T569" s="5" t="inlineStr"/>
      <c r="U569" s="5" t="inlineStr"/>
      <c r="V569" s="5" t="inlineStr"/>
      <c r="W569" s="5" t="inlineStr"/>
      <c r="X569" s="5" t="inlineStr"/>
      <c r="Y569" s="5" t="inlineStr"/>
      <c r="Z569" s="6" t="inlineStr"/>
    </row>
    <row r="570">
      <c r="A570" s="5" t="inlineStr">
        <is>
          <t>b6-taki-butcesi</t>
        </is>
      </c>
      <c r="B570" s="5" t="n">
        <v>3</v>
      </c>
      <c r="C570" s="6" t="inlineStr">
        <is>
          <t>Arkadaşlarla toplu hediye organize et</t>
        </is>
      </c>
      <c r="D570" s="5" t="inlineStr">
        <is>
          <t>Çene</t>
        </is>
      </c>
      <c r="E570" s="5" t="inlineStr">
        <is>
          <t>Kolay</t>
        </is>
      </c>
      <c r="F570" s="5" t="inlineStr"/>
      <c r="G570" s="6" t="inlineStr"/>
      <c r="H570" s="6" t="inlineStr">
        <is>
          <t>Kişi başı maliyet düştü, katılım yüzde yüz.</t>
        </is>
      </c>
      <c r="I570" s="6" t="inlineStr">
        <is>
          <t>Hediye düğünün en çok alkışlanan anı oldu. Artanla bir sonraki düğün de karşılandı.</t>
        </is>
      </c>
      <c r="J570" s="6" t="inlineStr">
        <is>
          <t>Herkes 'Tamam' dedi. Parayı ödeyen sen oldun. Tahsilat sürüyor.</t>
        </is>
      </c>
      <c r="K570" s="6" t="inlineStr">
        <is>
          <t>İki kişi aynı düğün için iki kez ödedi. Muhasebe bir yıl sürdü.</t>
        </is>
      </c>
      <c r="L570" s="6" t="inlineStr"/>
      <c r="M570" s="5" t="inlineStr"/>
      <c r="N570" s="5" t="inlineStr"/>
      <c r="O570" s="6" t="inlineStr"/>
      <c r="P570" s="6" t="inlineStr"/>
      <c r="Q570" s="5" t="inlineStr">
        <is>
          <t>Organizatör</t>
        </is>
      </c>
      <c r="R570" s="5" t="inlineStr"/>
      <c r="S570" s="5" t="inlineStr"/>
      <c r="T570" s="5" t="inlineStr"/>
      <c r="U570" s="5" t="inlineStr"/>
      <c r="V570" s="5" t="inlineStr"/>
      <c r="W570" s="5" t="inlineStr"/>
      <c r="X570" s="5" t="inlineStr"/>
      <c r="Y570" s="5" t="inlineStr"/>
      <c r="Z570" s="6" t="inlineStr"/>
    </row>
    <row r="571">
      <c r="A571" s="5" t="inlineStr">
        <is>
          <t>b6-taki-butcesi</t>
        </is>
      </c>
      <c r="B571" s="5" t="n">
        <v>4</v>
      </c>
      <c r="C571" s="6" t="inlineStr">
        <is>
          <t>Kuyumcuyla pazarlık et</t>
        </is>
      </c>
      <c r="D571" s="5" t="inlineStr">
        <is>
          <t>Çene</t>
        </is>
      </c>
      <c r="E571" s="5" t="inlineStr">
        <is>
          <t>Orta</t>
        </is>
      </c>
      <c r="F571" s="5" t="inlineStr"/>
      <c r="G571" s="6" t="inlineStr"/>
      <c r="H571" s="6" t="inlineStr">
        <is>
          <t>Kuyumcu işçilikten indirdi ve seni 'bizim düğüncü' diye kaydetti.</t>
        </is>
      </c>
      <c r="I571" s="6" t="inlineStr">
        <is>
          <t>Yılın bütün düğünleri için sabit fiyat anlaşması yaptın. Bir düğün sezonu kurtarıldı.</t>
        </is>
      </c>
      <c r="J571" s="6" t="inlineStr">
        <is>
          <t>Kuyumcu 'Fiyat benim elimde değil' dedi. Haklıydı.</t>
        </is>
      </c>
      <c r="K571" s="6" t="inlineStr">
        <is>
          <t>Pazarlık ederken çeyreği düşürdün. Vitrinin altına kaçtı. Yirmi dakika birlikte yerde aradınız.</t>
        </is>
      </c>
      <c r="L571" s="6" t="inlineStr"/>
      <c r="M571" s="5" t="inlineStr"/>
      <c r="N571" s="5" t="inlineStr"/>
      <c r="O571" s="6" t="inlineStr"/>
      <c r="P571" s="6" t="inlineStr"/>
      <c r="Q571" s="5" t="inlineStr">
        <is>
          <t>Küçük Tüccar</t>
        </is>
      </c>
      <c r="R571" s="5" t="inlineStr"/>
      <c r="S571" s="5" t="inlineStr"/>
      <c r="T571" s="5" t="inlineStr"/>
      <c r="U571" s="5" t="inlineStr"/>
      <c r="V571" s="5" t="inlineStr"/>
      <c r="W571" s="5" t="inlineStr"/>
      <c r="X571" s="5" t="inlineStr"/>
      <c r="Y571" s="5" t="inlineStr"/>
      <c r="Z571" s="6" t="inlineStr"/>
    </row>
    <row r="572">
      <c r="A572" s="5" t="inlineStr">
        <is>
          <t>b6-ilk-araba</t>
        </is>
      </c>
      <c r="B572" s="5" t="n">
        <v>1</v>
      </c>
      <c r="C572" s="6" t="inlineStr">
        <is>
          <t>İlana güvenip al</t>
        </is>
      </c>
      <c r="D572" s="5" t="inlineStr"/>
      <c r="E572" s="5" t="inlineStr"/>
      <c r="F572" s="5" t="inlineStr">
        <is>
          <t>Vicdan +1</t>
        </is>
      </c>
      <c r="G572" s="6" t="inlineStr">
        <is>
          <t>İlk hafta sanayideki usta seni adınla tanıdı. İkinci hafta sen onun çocuklarının adını öğrendin.</t>
        </is>
      </c>
      <c r="H572" s="6" t="inlineStr"/>
      <c r="I572" s="6" t="inlineStr"/>
      <c r="J572" s="6" t="inlineStr"/>
      <c r="K572" s="6" t="inlineStr"/>
      <c r="L572" s="6" t="inlineStr"/>
      <c r="M572" s="5" t="inlineStr"/>
      <c r="N572" s="5" t="inlineStr"/>
      <c r="O572" s="6" t="inlineStr"/>
      <c r="P572" s="6" t="inlineStr"/>
      <c r="Q572" s="5" t="inlineStr"/>
      <c r="R572" s="5" t="inlineStr"/>
      <c r="S572" s="5" t="inlineStr"/>
      <c r="T572" s="5" t="inlineStr"/>
      <c r="U572" s="5" t="inlineStr"/>
      <c r="V572" s="5" t="inlineStr"/>
      <c r="W572" s="5" t="inlineStr"/>
      <c r="X572" s="5" t="inlineStr"/>
      <c r="Y572" s="5" t="inlineStr"/>
      <c r="Z572" s="6" t="inlineStr"/>
    </row>
    <row r="573">
      <c r="A573" s="5" t="inlineStr">
        <is>
          <t>b6-ilk-araba</t>
        </is>
      </c>
      <c r="B573" s="5" t="n">
        <v>2</v>
      </c>
      <c r="C573" s="6" t="inlineStr">
        <is>
          <t>Test sürüşünde yokuş seç</t>
        </is>
      </c>
      <c r="D573" s="5" t="inlineStr">
        <is>
          <t>Cesaret</t>
        </is>
      </c>
      <c r="E573" s="5" t="inlineStr">
        <is>
          <t>Orta</t>
        </is>
      </c>
      <c r="F573" s="5" t="inlineStr"/>
      <c r="G573" s="6" t="inlineStr"/>
      <c r="H573" s="6" t="inlineStr">
        <is>
          <t>Araba yokuşta mükemmeldi. Satıcının yüzü öyle değildi. Fiyattan indi.</t>
        </is>
      </c>
      <c r="I573" s="6" t="inlineStr">
        <is>
          <t>Bütün kusurları tek sürüşte buldun. Fiyat yarıya indi. Satıcı hâlâ nerede hata yaptığını düşünüyor.</t>
        </is>
      </c>
      <c r="J573" s="6" t="inlineStr">
        <is>
          <t>Araba yokuşta stop etti. Satıcı 'Motor soğuk' dedi. Hava otuz derece.</t>
        </is>
      </c>
      <c r="K573" s="6" t="inlineStr">
        <is>
          <t>El freni elinde kaldı. Araba sessizce aşağı indi, bir çöp konteynerinde durdu. Satıcı yine de fiyattan inmedi.</t>
        </is>
      </c>
      <c r="L573" s="6" t="inlineStr"/>
      <c r="M573" s="5" t="inlineStr"/>
      <c r="N573" s="5" t="inlineStr"/>
      <c r="O573" s="6" t="inlineStr"/>
      <c r="P573" s="6" t="inlineStr"/>
      <c r="Q573" s="5" t="inlineStr"/>
      <c r="R573" s="5" t="inlineStr">
        <is>
          <t>ehliyetli</t>
        </is>
      </c>
      <c r="S573" s="5" t="inlineStr"/>
      <c r="T573" s="5" t="inlineStr"/>
      <c r="U573" s="5" t="inlineStr"/>
      <c r="V573" s="5" t="inlineStr"/>
      <c r="W573" s="5" t="inlineStr"/>
      <c r="X573" s="5" t="inlineStr"/>
      <c r="Y573" s="5" t="n">
        <v>2</v>
      </c>
      <c r="Z573" s="6" t="inlineStr">
        <is>
          <t>İkinci el arabanın test sürüşünde, 'Freni bir de yokuş aşağı deneyelim' derken.</t>
        </is>
      </c>
    </row>
    <row r="574">
      <c r="A574" s="5" t="inlineStr">
        <is>
          <t>b6-ilk-araba</t>
        </is>
      </c>
      <c r="B574" s="5" t="n">
        <v>3</v>
      </c>
      <c r="C574" s="6" t="inlineStr">
        <is>
          <t>Boya ölçtür</t>
        </is>
      </c>
      <c r="D574" s="5" t="inlineStr">
        <is>
          <t>Kurnazlık</t>
        </is>
      </c>
      <c r="E574" s="5" t="inlineStr">
        <is>
          <t>Kolay</t>
        </is>
      </c>
      <c r="F574" s="5" t="inlineStr"/>
      <c r="G574" s="6" t="inlineStr"/>
      <c r="H574" s="6" t="inlineStr">
        <is>
          <t>Kaput üç kat boyalı çıktı. Satıcı 'Boya değil, cila' dedi. Yirmi dakika sonra fiyattan indi.</t>
        </is>
      </c>
      <c r="I574" s="6" t="inlineStr">
        <is>
          <t>Arabanın bütün geçmişini çıkardın. Satıcı seni bir ekspertiz firmasına iş teklifiyle uğurladı.</t>
        </is>
      </c>
      <c r="J574" s="6" t="inlineStr">
        <is>
          <t>Ölçtün. Boya yok, çünkü kaportanın yarısı macun.</t>
        </is>
      </c>
      <c r="K574" s="6" t="inlineStr">
        <is>
          <t>Araba kusursuz çıktı. Yine de inanmadın, almadın. Ertesi gün iki katına satıldı.</t>
        </is>
      </c>
      <c r="L574" s="6" t="inlineStr"/>
      <c r="M574" s="5" t="inlineStr"/>
      <c r="N574" s="5" t="inlineStr"/>
      <c r="O574" s="6" t="inlineStr"/>
      <c r="P574" s="6" t="inlineStr"/>
      <c r="Q574" s="5" t="inlineStr"/>
      <c r="R574" s="5" t="inlineStr"/>
      <c r="S574" s="5" t="inlineStr">
        <is>
          <t>Kurnazlık</t>
        </is>
      </c>
      <c r="T574" s="5" t="inlineStr"/>
      <c r="U574" s="5" t="inlineStr"/>
      <c r="V574" s="5" t="inlineStr"/>
      <c r="W574" s="5" t="inlineStr"/>
      <c r="X574" s="5" t="inlineStr"/>
      <c r="Y574" s="5" t="inlineStr"/>
      <c r="Z574" s="6" t="inlineStr"/>
    </row>
    <row r="575">
      <c r="A575" s="5" t="inlineStr">
        <is>
          <t>b6-ilk-araba</t>
        </is>
      </c>
      <c r="B575" s="5" t="n">
        <v>4</v>
      </c>
      <c r="C575" s="6" t="inlineStr">
        <is>
          <t>Kredi çek, sıfır al</t>
        </is>
      </c>
      <c r="D575" s="5" t="inlineStr">
        <is>
          <t>Pişkinlik</t>
        </is>
      </c>
      <c r="E575" s="5" t="inlineStr">
        <is>
          <t>Orta</t>
        </is>
      </c>
      <c r="F575" s="5" t="inlineStr"/>
      <c r="G575" s="6" t="inlineStr"/>
      <c r="H575" s="6" t="inlineStr">
        <is>
          <t>Sıfır araba aldın. Kokusu bir ay sürdü, kredisi altmış ay.</t>
        </is>
      </c>
      <c r="I575" s="6" t="inlineStr">
        <is>
          <t>Kampanyayla ilk üç ay taksit yok. Dördüncü ayı düşünmemeye karar verdin.</t>
        </is>
      </c>
      <c r="J575" s="6" t="inlineStr">
        <is>
          <t>Bayiden çıktığı an değeri düştü. Seninki de.</t>
        </is>
      </c>
      <c r="K575" s="6" t="inlineStr">
        <is>
          <t>İlk gün kaldırıma sürttün. Araba artık sıfır değil. Sen de değilsin.</t>
        </is>
      </c>
      <c r="L575" s="6" t="inlineStr"/>
      <c r="M575" s="5" t="inlineStr"/>
      <c r="N575" s="5" t="inlineStr"/>
      <c r="O575" s="6" t="inlineStr"/>
      <c r="P575" s="6" t="inlineStr"/>
      <c r="Q575" s="5" t="inlineStr"/>
      <c r="R575" s="5" t="inlineStr"/>
      <c r="S575" s="5" t="inlineStr"/>
      <c r="T575" s="5" t="inlineStr"/>
      <c r="U575" s="5" t="inlineStr">
        <is>
          <t>borclu</t>
        </is>
      </c>
      <c r="V575" s="5" t="inlineStr"/>
      <c r="W575" s="5" t="inlineStr"/>
      <c r="X575" s="5" t="inlineStr"/>
      <c r="Y575" s="5" t="inlineStr"/>
      <c r="Z575" s="6" t="inlineStr"/>
    </row>
    <row r="576">
      <c r="A576" s="5" t="inlineStr">
        <is>
          <t>b6-uzaktan-calisma</t>
        </is>
      </c>
      <c r="B576" s="5" t="n">
        <v>1</v>
      </c>
      <c r="C576" s="6" t="inlineStr">
        <is>
          <t>Düzenli rutin kur</t>
        </is>
      </c>
      <c r="D576" s="5" t="inlineStr"/>
      <c r="E576" s="5" t="inlineStr"/>
      <c r="F576" s="5" t="inlineStr">
        <is>
          <t>Dayanıklılık +2</t>
        </is>
      </c>
      <c r="G576" s="6" t="inlineStr">
        <is>
          <t>Her sabah giyinip masaya oturdun. Ev arkadaşın bunu endişe verici buldu.</t>
        </is>
      </c>
      <c r="H576" s="6" t="inlineStr"/>
      <c r="I576" s="6" t="inlineStr"/>
      <c r="J576" s="6" t="inlineStr"/>
      <c r="K576" s="6" t="inlineStr"/>
      <c r="L576" s="6" t="inlineStr"/>
      <c r="M576" s="5" t="inlineStr"/>
      <c r="N576" s="5" t="inlineStr"/>
      <c r="O576" s="6" t="inlineStr"/>
      <c r="P576" s="6" t="inlineStr"/>
      <c r="Q576" s="5" t="inlineStr"/>
      <c r="R576" s="5" t="inlineStr"/>
      <c r="S576" s="5" t="inlineStr"/>
      <c r="T576" s="5" t="inlineStr"/>
      <c r="U576" s="5" t="inlineStr"/>
      <c r="V576" s="5" t="inlineStr"/>
      <c r="W576" s="5" t="inlineStr"/>
      <c r="X576" s="5" t="inlineStr"/>
      <c r="Y576" s="5" t="inlineStr"/>
      <c r="Z576" s="6" t="inlineStr"/>
    </row>
    <row r="577">
      <c r="A577" s="5" t="inlineStr">
        <is>
          <t>b6-uzaktan-calisma</t>
        </is>
      </c>
      <c r="B577" s="5" t="n">
        <v>2</v>
      </c>
      <c r="C577" s="6" t="inlineStr">
        <is>
          <t>Kamerayı kapalı tut</t>
        </is>
      </c>
      <c r="D577" s="5" t="inlineStr">
        <is>
          <t>Kurnazlık</t>
        </is>
      </c>
      <c r="E577" s="5" t="inlineStr">
        <is>
          <t>Orta</t>
        </is>
      </c>
      <c r="F577" s="5" t="inlineStr"/>
      <c r="G577" s="6" t="inlineStr"/>
      <c r="H577" s="6" t="inlineStr">
        <is>
          <t>'Bağlantım zayıf' dedin. Üç ay kimse yüzünü görmedi. Terfi alan senin sesindi.</t>
        </is>
      </c>
      <c r="I577" s="6" t="inlineStr">
        <is>
          <t>Yöneticin seni ekibin en çalışkanı sandı. Toplantı boyunca kahvaltı ediyordun.</t>
        </is>
      </c>
      <c r="J577" s="6" t="inlineStr">
        <is>
          <t>Yönetici 'Sesin çok net geliyor ama' dedi.</t>
        </is>
      </c>
      <c r="K577" s="6" t="inlineStr">
        <is>
          <t>Kamera açıktı. Ekip seni pijamayla buzdolabına yürürken izledi. Toplantının adı değişti.</t>
        </is>
      </c>
      <c r="L577" s="6" t="inlineStr"/>
      <c r="M577" s="5" t="inlineStr"/>
      <c r="N577" s="5" t="inlineStr"/>
      <c r="O577" s="6" t="inlineStr"/>
      <c r="P577" s="6" t="inlineStr"/>
      <c r="Q577" s="5" t="inlineStr"/>
      <c r="R577" s="5" t="inlineStr"/>
      <c r="S577" s="5" t="inlineStr"/>
      <c r="T577" s="5" t="inlineStr"/>
      <c r="U577" s="5" t="inlineStr"/>
      <c r="V577" s="5" t="inlineStr"/>
      <c r="W577" s="5" t="inlineStr"/>
      <c r="X577" s="5" t="inlineStr"/>
      <c r="Y577" s="5" t="inlineStr"/>
      <c r="Z577" s="6" t="inlineStr"/>
    </row>
    <row r="578">
      <c r="A578" s="5" t="inlineStr">
        <is>
          <t>b6-uzaktan-calisma</t>
        </is>
      </c>
      <c r="B578" s="5" t="n">
        <v>3</v>
      </c>
      <c r="C578" s="6" t="inlineStr">
        <is>
          <t>Sahildeki kafeden bağlan</t>
        </is>
      </c>
      <c r="D578" s="5" t="inlineStr">
        <is>
          <t>Pişkinlik</t>
        </is>
      </c>
      <c r="E578" s="5" t="inlineStr">
        <is>
          <t>Zor</t>
        </is>
      </c>
      <c r="F578" s="5" t="inlineStr"/>
      <c r="G578" s="6" t="inlineStr"/>
      <c r="H578" s="6" t="inlineStr">
        <is>
          <t>Arkanda deniz, önünde tablo. Kıskanç yorumlar sohbete düştü.</t>
        </is>
      </c>
      <c r="I578" s="6" t="inlineStr">
        <is>
          <t>Verimliliğin arttı. Şirket uzaktan çalışma yönergesine senin fotoğrafını koydu.</t>
        </is>
      </c>
      <c r="J578" s="6" t="inlineStr">
        <is>
          <t>Rüzgâr sesinden başka kimse bir şey duymadı.</t>
        </is>
      </c>
      <c r="K578" s="6" t="inlineStr">
        <is>
          <t>Bir martı tostunu kaptı. Kamera açıktı. Video şirketin yıl sonu sunumunda.</t>
        </is>
      </c>
      <c r="L578" s="6" t="inlineStr"/>
      <c r="M578" s="5" t="inlineStr"/>
      <c r="N578" s="5" t="inlineStr"/>
      <c r="O578" s="6" t="inlineStr"/>
      <c r="P578" s="6" t="inlineStr"/>
      <c r="Q578" s="5" t="inlineStr"/>
      <c r="R578" s="5" t="inlineStr"/>
      <c r="S578" s="5" t="inlineStr"/>
      <c r="T578" s="5" t="inlineStr"/>
      <c r="U578" s="5" t="inlineStr"/>
      <c r="V578" s="5" t="inlineStr"/>
      <c r="W578" s="5" t="inlineStr"/>
      <c r="X578" s="5" t="inlineStr"/>
      <c r="Y578" s="5" t="inlineStr"/>
      <c r="Z578" s="6" t="inlineStr"/>
    </row>
    <row r="579">
      <c r="A579" s="5" t="inlineStr">
        <is>
          <t>mb-kamera-kapali</t>
        </is>
      </c>
      <c r="B579" s="5" t="n">
        <v>1</v>
      </c>
      <c r="C579" s="6" t="inlineStr">
        <is>
          <t>Kamerayı aç</t>
        </is>
      </c>
      <c r="D579" s="5" t="inlineStr"/>
      <c r="E579" s="5" t="inlineStr"/>
      <c r="F579" s="5" t="inlineStr">
        <is>
          <t>Cesaret +1</t>
        </is>
      </c>
      <c r="G579" s="6" t="inlineStr">
        <is>
          <t>Kamerayı açtın. Üstte gömlek, altta pijama. Kurumsal kimlik belden yukarı çalışıyor.</t>
        </is>
      </c>
      <c r="H579" s="6" t="inlineStr"/>
      <c r="I579" s="6" t="inlineStr"/>
      <c r="J579" s="6" t="inlineStr"/>
      <c r="K579" s="6" t="inlineStr"/>
      <c r="L579" s="6" t="inlineStr"/>
      <c r="M579" s="5" t="inlineStr"/>
      <c r="N579" s="5" t="inlineStr"/>
      <c r="O579" s="6" t="inlineStr"/>
      <c r="P579" s="6" t="inlineStr"/>
      <c r="Q579" s="5" t="inlineStr"/>
      <c r="R579" s="5" t="inlineStr"/>
      <c r="S579" s="5" t="inlineStr"/>
      <c r="T579" s="5" t="inlineStr"/>
      <c r="U579" s="5" t="inlineStr"/>
      <c r="V579" s="5" t="inlineStr"/>
      <c r="W579" s="5" t="inlineStr"/>
      <c r="X579" s="5" t="inlineStr"/>
      <c r="Y579" s="5" t="inlineStr"/>
      <c r="Z579" s="6" t="inlineStr"/>
    </row>
    <row r="580">
      <c r="A580" s="5" t="inlineStr">
        <is>
          <t>mb-kamera-kapali</t>
        </is>
      </c>
      <c r="B580" s="5" t="n">
        <v>2</v>
      </c>
      <c r="C580" s="6" t="inlineStr">
        <is>
          <t>Mikrofonu aç, cevap ver</t>
        </is>
      </c>
      <c r="D580" s="5" t="inlineStr">
        <is>
          <t>Akıl</t>
        </is>
      </c>
      <c r="E580" s="5" t="inlineStr">
        <is>
          <t>Orta</t>
        </is>
      </c>
      <c r="F580" s="5" t="inlineStr"/>
      <c r="G580" s="6" t="inlineStr"/>
      <c r="H580" s="6" t="inlineStr">
        <is>
          <t>Soruyu duymadın ama 'Katılıyorum, ölçeklenmeli' dedin. Herkes katıldı.</t>
        </is>
      </c>
      <c r="I580" s="6" t="inlineStr">
        <is>
          <t>Duymadığın soruya öyle genel bir cevap verdin ki toplantı notlarına 'vizyon' olarak geçti.</t>
        </is>
      </c>
      <c r="J580" s="6" t="inlineStr">
        <is>
          <t>Cevap verdin; soru aynı adı taşıyan başka birineymiş.</t>
        </is>
      </c>
      <c r="K580" s="6" t="inlineStr">
        <is>
          <t>Mikrofonu açtın; arkadan 'Yemek soğuyor!' diye bağıran ses bütün şirkete yayıldı.</t>
        </is>
      </c>
      <c r="L580" s="6" t="inlineStr"/>
      <c r="M580" s="5" t="inlineStr"/>
      <c r="N580" s="5" t="inlineStr"/>
      <c r="O580" s="6" t="inlineStr"/>
      <c r="P580" s="6" t="inlineStr"/>
      <c r="Q580" s="5" t="inlineStr"/>
      <c r="R580" s="5" t="inlineStr"/>
      <c r="S580" s="5" t="inlineStr"/>
      <c r="T580" s="5" t="inlineStr"/>
      <c r="U580" s="5" t="inlineStr"/>
      <c r="V580" s="5" t="inlineStr"/>
      <c r="W580" s="5" t="inlineStr"/>
      <c r="X580" s="5" t="inlineStr"/>
      <c r="Y580" s="5" t="inlineStr"/>
      <c r="Z580" s="6" t="inlineStr"/>
    </row>
    <row r="581">
      <c r="A581" s="5" t="inlineStr">
        <is>
          <t>mb-kamera-kapali</t>
        </is>
      </c>
      <c r="B581" s="5" t="n">
        <v>3</v>
      </c>
      <c r="C581" s="6" t="inlineStr">
        <is>
          <t>'Sesiniz gidip geliyor' de</t>
        </is>
      </c>
      <c r="D581" s="5" t="inlineStr">
        <is>
          <t>Pişkinlik</t>
        </is>
      </c>
      <c r="E581" s="5" t="inlineStr">
        <is>
          <t>Zor</t>
        </is>
      </c>
      <c r="F581" s="5" t="inlineStr"/>
      <c r="G581" s="6" t="inlineStr"/>
      <c r="H581" s="6" t="inlineStr">
        <is>
          <t>Bağlantın 'düzelene' kadar toplantı bitti. Altyapı hep senden yana.</t>
        </is>
      </c>
      <c r="I581" s="6" t="inlineStr">
        <is>
          <t>Senin sesin gidip geldi, yöneticinin bağlantısı gerçekten koptu. Toplantı iptal.</t>
        </is>
      </c>
      <c r="J581" s="6" t="inlineStr">
        <is>
          <t>'Sesiniz gidip geliyor' dedin. Çok net duyuldu.</t>
        </is>
      </c>
      <c r="K581" s="6" t="inlineStr">
        <is>
          <t>Bağlantı sorunu taklidi yaparken kameran açıldı. Pijamanın deseni gündemin ilk maddesi oldu.</t>
        </is>
      </c>
      <c r="L581" s="6" t="inlineStr"/>
      <c r="M581" s="5" t="inlineStr"/>
      <c r="N581" s="5" t="inlineStr"/>
      <c r="O581" s="6" t="inlineStr"/>
      <c r="P581" s="6" t="inlineStr"/>
      <c r="Q581" s="5" t="inlineStr"/>
      <c r="R581" s="5" t="inlineStr"/>
      <c r="S581" s="5" t="inlineStr">
        <is>
          <t>Pişkinlik</t>
        </is>
      </c>
      <c r="T581" s="5" t="inlineStr">
        <is>
          <t>Sessize Alma Ustası</t>
        </is>
      </c>
      <c r="U581" s="5" t="inlineStr"/>
      <c r="V581" s="5" t="inlineStr"/>
      <c r="W581" s="5" t="inlineStr"/>
      <c r="X581" s="5" t="inlineStr"/>
      <c r="Y581" s="5" t="inlineStr"/>
      <c r="Z581" s="6" t="inlineStr"/>
    </row>
    <row r="582">
      <c r="A582" s="5" t="inlineStr">
        <is>
          <t>mb-kamera-kapali</t>
        </is>
      </c>
      <c r="B582" s="5" t="n">
        <v>4</v>
      </c>
      <c r="C582" s="6" t="inlineStr">
        <is>
          <t>Yapay avatarını toplantıya gönder</t>
        </is>
      </c>
      <c r="D582" s="5" t="inlineStr">
        <is>
          <t>Kurnazlık</t>
        </is>
      </c>
      <c r="E582" s="5" t="inlineStr">
        <is>
          <t>Orta</t>
        </is>
      </c>
      <c r="F582" s="5" t="inlineStr"/>
      <c r="G582" s="6" t="inlineStr"/>
      <c r="H582" s="6" t="inlineStr">
        <is>
          <t>Avatarın başıyla onayladı, sen kahvaltı ettin. Verimlilik rekor.</t>
        </is>
      </c>
      <c r="I582" s="6" t="inlineStr">
        <is>
          <t>Avatarın o kadar iyi katıldı ki terfi listesine girdi. Sen giremedin.</t>
        </is>
      </c>
      <c r="J582" s="6" t="inlineStr">
        <is>
          <t>Avatar donunca yöneticin 'İyi misin?' diye sordu. Avatara.</t>
        </is>
      </c>
      <c r="K582" s="6" t="inlineStr">
        <is>
          <t>Avatarın bir soruya 'Ben bir yapay zekâyım' diye cevap verdi. Dürüstlükte seni geçti.</t>
        </is>
      </c>
      <c r="L582" s="6" t="inlineStr"/>
      <c r="M582" s="5" t="inlineStr"/>
      <c r="N582" s="5" t="inlineStr"/>
      <c r="O582" s="6" t="inlineStr"/>
      <c r="P582" s="6" t="inlineStr"/>
      <c r="Q582" s="5" t="inlineStr">
        <is>
          <t>Teknoloji Merakı</t>
        </is>
      </c>
      <c r="R582" s="5" t="inlineStr"/>
      <c r="S582" s="5" t="inlineStr"/>
      <c r="T582" s="5" t="inlineStr"/>
      <c r="U582" s="5" t="inlineStr"/>
      <c r="V582" s="5" t="inlineStr"/>
      <c r="W582" s="5" t="inlineStr"/>
      <c r="X582" s="5" t="inlineStr"/>
      <c r="Y582" s="5" t="inlineStr"/>
      <c r="Z582" s="6" t="inlineStr"/>
    </row>
    <row r="583">
      <c r="A583" s="5" t="inlineStr">
        <is>
          <t>me-karsi-dukkan</t>
        </is>
      </c>
      <c r="B583" s="5" t="n">
        <v>1</v>
      </c>
      <c r="C583" s="6" t="inlineStr">
        <is>
          <t>'Hayırlı olsun' demeye git</t>
        </is>
      </c>
      <c r="D583" s="5" t="inlineStr"/>
      <c r="E583" s="5" t="inlineStr"/>
      <c r="F583" s="5" t="inlineStr">
        <is>
          <t>Vicdan +1, Sosyal Radar +1</t>
        </is>
      </c>
      <c r="G583" s="6" t="inlineStr">
        <is>
          <t>'Hayırlı olsun' dedin, 'Size de' dediler. İki taraf da kimin hayrını kastettiğini bilmiyor.</t>
        </is>
      </c>
      <c r="H583" s="6" t="inlineStr"/>
      <c r="I583" s="6" t="inlineStr"/>
      <c r="J583" s="6" t="inlineStr"/>
      <c r="K583" s="6" t="inlineStr"/>
      <c r="L583" s="6" t="inlineStr"/>
      <c r="M583" s="5" t="inlineStr"/>
      <c r="N583" s="5" t="inlineStr"/>
      <c r="O583" s="6" t="inlineStr"/>
      <c r="P583" s="6" t="inlineStr"/>
      <c r="Q583" s="5" t="inlineStr"/>
      <c r="R583" s="5" t="inlineStr"/>
      <c r="S583" s="5" t="inlineStr"/>
      <c r="T583" s="5" t="inlineStr"/>
      <c r="U583" s="5" t="inlineStr"/>
      <c r="V583" s="5" t="inlineStr"/>
      <c r="W583" s="5" t="inlineStr"/>
      <c r="X583" s="5" t="inlineStr"/>
      <c r="Y583" s="5" t="inlineStr"/>
      <c r="Z583" s="6" t="inlineStr"/>
    </row>
    <row r="584">
      <c r="A584" s="5" t="inlineStr">
        <is>
          <t>me-karsi-dukkan</t>
        </is>
      </c>
      <c r="B584" s="5" t="n">
        <v>2</v>
      </c>
      <c r="C584" s="6" t="inlineStr">
        <is>
          <t>Toptancıyla pazarlık et</t>
        </is>
      </c>
      <c r="D584" s="5" t="inlineStr">
        <is>
          <t>Çene</t>
        </is>
      </c>
      <c r="E584" s="5" t="inlineStr">
        <is>
          <t>Orta</t>
        </is>
      </c>
      <c r="F584" s="5" t="inlineStr"/>
      <c r="G584" s="6" t="inlineStr"/>
      <c r="H584" s="6" t="inlineStr">
        <is>
          <t>Toptancıdan iyi fiyat kopardın. Etiketleri karşı dükkânın bir tık altına çektin.</t>
        </is>
      </c>
      <c r="I584" s="6" t="inlineStr">
        <is>
          <t>Toptancı sana öyle bir fiyat verdi ki karşı dükkân bir süre malı senden almaya başladı.</t>
        </is>
      </c>
      <c r="J584" s="6" t="inlineStr">
        <is>
          <t>Toptancı 'Bu fiyata ben de senden alırım' dedi. Pazarlık çay faslında bitti.</t>
        </is>
      </c>
      <c r="K584" s="6" t="inlineStr">
        <is>
          <t>Fazla ısrar ettin; toptancı karşı dükkânı 'daha makul esnaf' olarak kaydetti. Artık onlar senden ucuz.</t>
        </is>
      </c>
      <c r="L584" s="6" t="inlineStr">
        <is>
          <t>Fiyat biraz düştü. Etiketi değiştirmeye yetti, kâra yetmedi.</t>
        </is>
      </c>
      <c r="M584" s="5" t="inlineStr">
        <is>
          <t>bargain</t>
        </is>
      </c>
      <c r="N584" s="5" t="inlineStr">
        <is>
          <t>Toptancı Pazarlığı</t>
        </is>
      </c>
      <c r="O584" s="6" t="inlineStr">
        <is>
          <t>Toptancının sabrı bitmeden fiyatı aşağı çek. Çay ikram ediyorsa henüz umut var.</t>
        </is>
      </c>
      <c r="P584" s="6" t="inlineStr">
        <is>
          <t>{"item": "toptan mal", "mode": "buy"}</t>
        </is>
      </c>
      <c r="Q584" s="5" t="inlineStr"/>
      <c r="R584" s="5" t="inlineStr"/>
      <c r="S584" s="5" t="inlineStr"/>
      <c r="T584" s="5" t="inlineStr"/>
      <c r="U584" s="5" t="inlineStr"/>
      <c r="V584" s="5" t="inlineStr"/>
      <c r="W584" s="5" t="inlineStr">
        <is>
          <t>esnaf-komsu-rakip</t>
        </is>
      </c>
      <c r="X584" s="5" t="inlineStr"/>
      <c r="Y584" s="5" t="inlineStr"/>
      <c r="Z584" s="6" t="inlineStr"/>
    </row>
    <row r="585">
      <c r="A585" s="5" t="inlineStr">
        <is>
          <t>me-karsi-dukkan</t>
        </is>
      </c>
      <c r="B585" s="5" t="n">
        <v>3</v>
      </c>
      <c r="C585" s="6" t="inlineStr">
        <is>
          <t>Fiyat savaşı başlat</t>
        </is>
      </c>
      <c r="D585" s="5" t="inlineStr">
        <is>
          <t>Cesaret</t>
        </is>
      </c>
      <c r="E585" s="5" t="inlineStr">
        <is>
          <t>Zor</t>
        </is>
      </c>
      <c r="F585" s="5" t="inlineStr"/>
      <c r="G585" s="6" t="inlineStr"/>
      <c r="H585" s="6" t="inlineStr">
        <is>
          <t>Etiketleri kırdın, karşı dükkân balonlarını topladı. Tabelası bir hafta içinde küçüldü.</t>
        </is>
      </c>
      <c r="I585" s="6" t="inlineStr">
        <is>
          <t>Karşı dükkân ortaklık teklif etti. Kabul etmedin; tabelasını ucuza satın aldın.</t>
        </is>
      </c>
      <c r="J585" s="6" t="inlineStr">
        <is>
          <t>Savaş başladı. Üç ay sonra iki dükkân da zararda, mahalle ise hayatından çok memnun.</t>
        </is>
      </c>
      <c r="K585" s="6" t="inlineStr">
        <is>
          <t>Fiyatı öyle kırdın ki karşı dükkân malını toptancıdan değil, senden almaya başladı. Zararına.</t>
        </is>
      </c>
      <c r="L585" s="6" t="inlineStr"/>
      <c r="M585" s="5" t="inlineStr"/>
      <c r="N585" s="5" t="inlineStr"/>
      <c r="O585" s="6" t="inlineStr"/>
      <c r="P585" s="6" t="inlineStr"/>
      <c r="Q585" s="5" t="inlineStr"/>
      <c r="R585" s="5" t="inlineStr"/>
      <c r="S585" s="5" t="inlineStr"/>
      <c r="T585" s="5" t="inlineStr">
        <is>
          <t>Pazarlık Duayeni</t>
        </is>
      </c>
      <c r="U585" s="5" t="inlineStr">
        <is>
          <t>esnaf-komsu-rakip</t>
        </is>
      </c>
      <c r="V585" s="5" t="inlineStr"/>
      <c r="W585" s="5" t="inlineStr"/>
      <c r="X585" s="5" t="inlineStr"/>
      <c r="Y585" s="5" t="inlineStr"/>
      <c r="Z585" s="6" t="inlineStr"/>
    </row>
    <row r="586">
      <c r="A586" s="5" t="inlineStr">
        <is>
          <t>me-karsi-dukkan</t>
        </is>
      </c>
      <c r="B586" s="5" t="n">
        <v>4</v>
      </c>
      <c r="C586" s="6" t="inlineStr">
        <is>
          <t>Ortak kampanya öner</t>
        </is>
      </c>
      <c r="D586" s="5" t="inlineStr">
        <is>
          <t>Sosyal Radar</t>
        </is>
      </c>
      <c r="E586" s="5" t="inlineStr">
        <is>
          <t>Kolay</t>
        </is>
      </c>
      <c r="F586" s="5" t="inlineStr"/>
      <c r="G586" s="6" t="inlineStr"/>
      <c r="H586" s="6" t="inlineStr">
        <is>
          <t>'Birinden alana öbüründe indirim' kampanyası kurdun. Sokak bir alışveriş rotasına dönüştü.</t>
        </is>
      </c>
      <c r="I586" s="6" t="inlineStr">
        <is>
          <t>Kampanya tuttu; sokağın girişine 'Çarşının en uyumlu köşesi' tabelası asıldı. Tabelayı kimin astığı bilinmiyor. Sendin.</t>
        </is>
      </c>
      <c r="J586" s="6" t="inlineStr">
        <is>
          <t>Sunumu dinlediler, fikri beğendiler, adını değiştirip tek başlarına uyguladılar.</t>
        </is>
      </c>
      <c r="K586" s="6" t="inlineStr">
        <is>
          <t>Kampanyayı başlattın; bütün indirimi sen karşıladın. Karşı dükkân buna 'sinerji' diyor.</t>
        </is>
      </c>
      <c r="L586" s="6" t="inlineStr"/>
      <c r="M586" s="5" t="inlineStr"/>
      <c r="N586" s="5" t="inlineStr"/>
      <c r="O586" s="6" t="inlineStr"/>
      <c r="P586" s="6" t="inlineStr"/>
      <c r="Q586" s="5" t="inlineStr">
        <is>
          <t>İş Modeli Kurar</t>
        </is>
      </c>
      <c r="R586" s="5" t="inlineStr"/>
      <c r="S586" s="5" t="inlineStr"/>
      <c r="T586" s="5" t="inlineStr"/>
      <c r="U586" s="5" t="inlineStr"/>
      <c r="V586" s="5" t="inlineStr"/>
      <c r="W586" s="5" t="inlineStr">
        <is>
          <t>esnaf-komsu-rakip</t>
        </is>
      </c>
      <c r="X586" s="5" t="inlineStr"/>
      <c r="Y586" s="5" t="inlineStr"/>
      <c r="Z586" s="6" t="inlineStr"/>
    </row>
    <row r="587">
      <c r="A587" s="5" t="inlineStr">
        <is>
          <t>mm-saat-1658</t>
        </is>
      </c>
      <c r="B587" s="5" t="n">
        <v>1</v>
      </c>
      <c r="C587" s="6" t="inlineStr">
        <is>
          <t>'Yarın gelin' de</t>
        </is>
      </c>
      <c r="D587" s="5" t="inlineStr"/>
      <c r="E587" s="5" t="inlineStr"/>
      <c r="F587" s="5" t="inlineStr">
        <is>
          <t>Dayanıklılık +1, Pişkinlik +1</t>
        </is>
      </c>
      <c r="G587" s="6" t="inlineStr">
        <is>
          <t>Kurumun en eski cümlesini ilk kez sen kurdun. Ağzında tuhaf bir tat bıraktı: kıdem.</t>
        </is>
      </c>
      <c r="H587" s="6" t="inlineStr"/>
      <c r="I587" s="6" t="inlineStr"/>
      <c r="J587" s="6" t="inlineStr"/>
      <c r="K587" s="6" t="inlineStr"/>
      <c r="L587" s="6" t="inlineStr"/>
      <c r="M587" s="5" t="inlineStr"/>
      <c r="N587" s="5" t="inlineStr"/>
      <c r="O587" s="6" t="inlineStr"/>
      <c r="P587" s="6" t="inlineStr"/>
      <c r="Q587" s="5" t="inlineStr"/>
      <c r="R587" s="5" t="inlineStr"/>
      <c r="S587" s="5" t="inlineStr"/>
      <c r="T587" s="5" t="inlineStr"/>
      <c r="U587" s="5" t="inlineStr"/>
      <c r="V587" s="5" t="inlineStr"/>
      <c r="W587" s="5" t="inlineStr"/>
      <c r="X587" s="5" t="inlineStr"/>
      <c r="Y587" s="5" t="inlineStr"/>
      <c r="Z587" s="6" t="inlineStr"/>
    </row>
    <row r="588">
      <c r="A588" s="5" t="inlineStr">
        <is>
          <t>mm-saat-1658</t>
        </is>
      </c>
      <c r="B588" s="5" t="n">
        <v>2</v>
      </c>
      <c r="C588" s="6" t="inlineStr">
        <is>
          <t>17.00'den önce kaşeyi bas</t>
        </is>
      </c>
      <c r="D588" s="5" t="inlineStr">
        <is>
          <t>Akıl</t>
        </is>
      </c>
      <c r="E588" s="5" t="inlineStr">
        <is>
          <t>Orta</t>
        </is>
      </c>
      <c r="F588" s="5" t="inlineStr"/>
      <c r="G588" s="6" t="inlineStr"/>
      <c r="H588" s="6" t="inlineStr">
        <is>
          <t>16.59'da kaşeyi bastın. Vatandaş teşekkür etti, sen de otobüse yetiştin.</t>
        </is>
      </c>
      <c r="I588" s="6" t="inlineStr">
        <is>
          <t>16.59.59'da son kaşe. Vatandaş, kapı görevlisi ve temizlik ekibi seni alkışladı.</t>
        </is>
      </c>
      <c r="J588" s="6" t="inlineStr">
        <is>
          <t>Kaşe 17.00'de indi. Belge bir dakika geç tarihli; vatandaş yarın yeniden gelecek.</t>
        </is>
      </c>
      <c r="K588" s="6" t="inlineStr">
        <is>
          <t>Kaşeyi masaya bastın, dosyaya değil. Masan artık resmen 'Onaylanmıştır'.</t>
        </is>
      </c>
      <c r="L588" s="6" t="inlineStr">
        <is>
          <t>Kaşe bastın, imza yarım kaldı. Vatandaş yarın gelip imzayı tamamlatacak.</t>
        </is>
      </c>
      <c r="M588" s="5" t="inlineStr">
        <is>
          <t>timing</t>
        </is>
      </c>
      <c r="N588" s="5" t="inlineStr">
        <is>
          <t>16.59'da Kaşe</t>
        </is>
      </c>
      <c r="O588" s="6" t="inlineStr">
        <is>
          <t>Saat 17.00 olmadan kaşeyi bas. Bir saniye geç kalırsan işlem mesai dışı sayılır.</t>
        </is>
      </c>
      <c r="P588" s="6" t="inlineStr"/>
      <c r="Q588" s="5" t="inlineStr"/>
      <c r="R588" s="5" t="inlineStr"/>
      <c r="S588" s="5" t="inlineStr"/>
      <c r="T588" s="5" t="inlineStr"/>
      <c r="U588" s="5" t="inlineStr"/>
      <c r="V588" s="5" t="inlineStr"/>
      <c r="W588" s="5" t="inlineStr"/>
      <c r="X588" s="5" t="inlineStr"/>
      <c r="Y588" s="5" t="inlineStr"/>
      <c r="Z588" s="6" t="inlineStr"/>
    </row>
    <row r="589">
      <c r="A589" s="5" t="inlineStr">
        <is>
          <t>mm-saat-1658</t>
        </is>
      </c>
      <c r="B589" s="5" t="n">
        <v>3</v>
      </c>
      <c r="C589" s="6" t="inlineStr">
        <is>
          <t>Yedi imzanın haritasını çıkar</t>
        </is>
      </c>
      <c r="D589" s="5" t="inlineStr">
        <is>
          <t>Çene</t>
        </is>
      </c>
      <c r="E589" s="5" t="inlineStr">
        <is>
          <t>Kolay</t>
        </is>
      </c>
      <c r="F589" s="5" t="inlineStr"/>
      <c r="G589" s="6" t="inlineStr"/>
      <c r="H589" s="6" t="inlineStr">
        <is>
          <t>Listeyi verdin. Vatandaş yarın yedi imzayla, tek seferde gelecek.</t>
        </is>
      </c>
      <c r="I589" s="6" t="inlineStr">
        <is>
          <t>Yedi imzanın hangi masalarda toplanacağını çizdin. Harita fotokopiyle çoğaltılıp bütün koridora asıldı.</t>
        </is>
      </c>
      <c r="J589" s="6" t="inlineStr">
        <is>
          <t>Vatandaş 'Ama sadece bir imza' dedi. Yedi kez.</t>
        </is>
      </c>
      <c r="K589" s="6" t="inlineStr">
        <is>
          <t>Vatandaş şefe gidip 'Bu memur beni yedi imzayla korkuttu' dedi. Şimdi senin dosyanda bir imza eksik.</t>
        </is>
      </c>
      <c r="L589" s="6" t="inlineStr"/>
      <c r="M589" s="5" t="inlineStr"/>
      <c r="N589" s="5" t="inlineStr"/>
      <c r="O589" s="6" t="inlineStr"/>
      <c r="P589" s="6" t="inlineStr"/>
      <c r="Q589" s="5" t="inlineStr"/>
      <c r="R589" s="5" t="inlineStr"/>
      <c r="S589" s="5" t="inlineStr">
        <is>
          <t>Sosyal Radar</t>
        </is>
      </c>
      <c r="T589" s="5" t="inlineStr"/>
      <c r="U589" s="5" t="inlineStr"/>
      <c r="V589" s="5" t="inlineStr"/>
      <c r="W589" s="5" t="inlineStr"/>
      <c r="X589" s="5" t="inlineStr"/>
      <c r="Y589" s="5" t="inlineStr"/>
      <c r="Z589" s="6" t="inlineStr"/>
    </row>
    <row r="590">
      <c r="A590" s="5" t="inlineStr">
        <is>
          <t>mm-saat-1658</t>
        </is>
      </c>
      <c r="B590" s="5" t="n">
        <v>4</v>
      </c>
      <c r="C590" s="6" t="inlineStr">
        <is>
          <t>Mesaiyi uzat</t>
        </is>
      </c>
      <c r="D590" s="5" t="inlineStr"/>
      <c r="E590" s="5" t="inlineStr"/>
      <c r="F590" s="5" t="inlineStr">
        <is>
          <t>Vicdan +2</t>
        </is>
      </c>
      <c r="G590" s="6" t="inlineStr">
        <is>
          <t>Yarım saat fazla kaldın. Kayıtlara geçmedi; vatandaşın aile grubuna 'Böyle memur mu olur' diye geçti. İyi anlamda.</t>
        </is>
      </c>
      <c r="H590" s="6" t="inlineStr"/>
      <c r="I590" s="6" t="inlineStr"/>
      <c r="J590" s="6" t="inlineStr"/>
      <c r="K590" s="6" t="inlineStr"/>
      <c r="L590" s="6" t="inlineStr"/>
      <c r="M590" s="5" t="inlineStr"/>
      <c r="N590" s="5" t="inlineStr"/>
      <c r="O590" s="6" t="inlineStr"/>
      <c r="P590" s="6" t="inlineStr"/>
      <c r="Q590" s="5" t="inlineStr"/>
      <c r="R590" s="5" t="inlineStr"/>
      <c r="S590" s="5" t="inlineStr"/>
      <c r="T590" s="5" t="inlineStr"/>
      <c r="U590" s="5" t="inlineStr"/>
      <c r="V590" s="5" t="inlineStr"/>
      <c r="W590" s="5" t="inlineStr"/>
      <c r="X590" s="5" t="inlineStr"/>
      <c r="Y590" s="5" t="inlineStr"/>
      <c r="Z590" s="6" t="inlineStr"/>
    </row>
    <row r="591">
      <c r="A591" s="5" t="inlineStr">
        <is>
          <t>b6-ev-sahibi-kavgasi</t>
        </is>
      </c>
      <c r="B591" s="5" t="n">
        <v>1</v>
      </c>
      <c r="C591" s="6" t="inlineStr">
        <is>
          <t>Artışı kabul et</t>
        </is>
      </c>
      <c r="D591" s="5" t="inlineStr"/>
      <c r="E591" s="5" t="inlineStr"/>
      <c r="F591" s="5" t="inlineStr">
        <is>
          <t>Dayanıklılık +1</t>
        </is>
      </c>
      <c r="G591" s="6" t="inlineStr">
        <is>
          <t>Kabul ettin. Ay sonunda buzdolabıyla arana soğuk bir mesafe girdi.</t>
        </is>
      </c>
      <c r="H591" s="6" t="inlineStr"/>
      <c r="I591" s="6" t="inlineStr"/>
      <c r="J591" s="6" t="inlineStr"/>
      <c r="K591" s="6" t="inlineStr"/>
      <c r="L591" s="6" t="inlineStr"/>
      <c r="M591" s="5" t="inlineStr"/>
      <c r="N591" s="5" t="inlineStr"/>
      <c r="O591" s="6" t="inlineStr"/>
      <c r="P591" s="6" t="inlineStr"/>
      <c r="Q591" s="5" t="inlineStr"/>
      <c r="R591" s="5" t="inlineStr"/>
      <c r="S591" s="5" t="inlineStr"/>
      <c r="T591" s="5" t="inlineStr"/>
      <c r="U591" s="5" t="inlineStr"/>
      <c r="V591" s="5" t="inlineStr"/>
      <c r="W591" s="5" t="inlineStr"/>
      <c r="X591" s="5" t="inlineStr"/>
      <c r="Y591" s="5" t="inlineStr"/>
      <c r="Z591" s="6" t="inlineStr"/>
    </row>
    <row r="592">
      <c r="A592" s="5" t="inlineStr">
        <is>
          <t>b6-ev-sahibi-kavgasi</t>
        </is>
      </c>
      <c r="B592" s="5" t="n">
        <v>2</v>
      </c>
      <c r="C592" s="6" t="inlineStr">
        <is>
          <t>Sözleşmeyi bul, maddeleri oku</t>
        </is>
      </c>
      <c r="D592" s="5" t="inlineStr">
        <is>
          <t>Akıl</t>
        </is>
      </c>
      <c r="E592" s="5" t="inlineStr">
        <is>
          <t>Orta</t>
        </is>
      </c>
      <c r="F592" s="5" t="inlineStr"/>
      <c r="G592" s="6" t="inlineStr"/>
      <c r="H592" s="6" t="inlineStr">
        <is>
          <t>Artış maddesini buldun. Ev sahibi 'Tamam, makul olsun' dedi.</t>
        </is>
      </c>
      <c r="I592" s="6" t="inlineStr">
        <is>
          <t>Ev sahibinin unuttuğu bir madde buldun: boya ve kombi masrafı onda. Masa döndü.</t>
        </is>
      </c>
      <c r="J592" s="6" t="inlineStr">
        <is>
          <t>Buldun. İmzaladığın sayfa eksikmiş.</t>
        </is>
      </c>
      <c r="K592" s="6" t="inlineStr">
        <is>
          <t>Buldun. Madde senin aleyhine. Ev sahibi okuduğunu da biliyor.</t>
        </is>
      </c>
      <c r="L592" s="6" t="inlineStr"/>
      <c r="M592" s="5" t="inlineStr"/>
      <c r="N592" s="5" t="inlineStr"/>
      <c r="O592" s="6" t="inlineStr"/>
      <c r="P592" s="6" t="inlineStr"/>
      <c r="Q592" s="5" t="inlineStr"/>
      <c r="R592" s="5" t="inlineStr"/>
      <c r="S592" s="5" t="inlineStr"/>
      <c r="T592" s="5" t="inlineStr"/>
      <c r="U592" s="5" t="inlineStr"/>
      <c r="V592" s="5" t="inlineStr"/>
      <c r="W592" s="5" t="inlineStr"/>
      <c r="X592" s="5" t="inlineStr"/>
      <c r="Y592" s="5" t="inlineStr"/>
      <c r="Z592" s="6" t="inlineStr"/>
    </row>
    <row r="593">
      <c r="A593" s="5" t="inlineStr">
        <is>
          <t>b6-ev-sahibi-kavgasi</t>
        </is>
      </c>
      <c r="B593" s="5" t="n">
        <v>3</v>
      </c>
      <c r="C593" s="6" t="inlineStr">
        <is>
          <t>'Yeğeniniz ne zaman taşınıyor?' diye sor</t>
        </is>
      </c>
      <c r="D593" s="5" t="inlineStr">
        <is>
          <t>Sosyal Radar</t>
        </is>
      </c>
      <c r="E593" s="5" t="inlineStr">
        <is>
          <t>Kolay</t>
        </is>
      </c>
      <c r="F593" s="5" t="inlineStr"/>
      <c r="G593" s="6" t="inlineStr"/>
      <c r="H593" s="6" t="inlineStr">
        <is>
          <t>Kısa bir sessizlik. Sonra: 'Biraz daha düşünelim.'</t>
        </is>
      </c>
      <c r="I593" s="6" t="inlineStr">
        <is>
          <t>Ev sahibi güldü, 'Yeğen yok' dedi ve artışı yarıya indirdi. Garip bir dostluk başladı.</t>
        </is>
      </c>
      <c r="J593" s="6" t="inlineStr">
        <is>
          <t>Yeğen gerçekten varmış. Gelecek ay taşınıyor. Sen de.</t>
        </is>
      </c>
      <c r="K593" s="6" t="inlineStr">
        <is>
          <t>Ev sahibi alındı ve mahalleye 'huysuz kiracı' olduğunu anlattı. Bakkal bile selam vermiyor.</t>
        </is>
      </c>
      <c r="L593" s="6" t="inlineStr"/>
      <c r="M593" s="5" t="inlineStr"/>
      <c r="N593" s="5" t="inlineStr"/>
      <c r="O593" s="6" t="inlineStr"/>
      <c r="P593" s="6" t="inlineStr"/>
      <c r="Q593" s="5" t="inlineStr"/>
      <c r="R593" s="5" t="inlineStr"/>
      <c r="S593" s="5" t="inlineStr">
        <is>
          <t>Sosyal Radar</t>
        </is>
      </c>
      <c r="T593" s="5" t="inlineStr"/>
      <c r="U593" s="5" t="inlineStr"/>
      <c r="V593" s="5" t="inlineStr"/>
      <c r="W593" s="5" t="inlineStr"/>
      <c r="X593" s="5" t="inlineStr"/>
      <c r="Y593" s="5" t="inlineStr"/>
      <c r="Z593" s="6" t="inlineStr"/>
    </row>
    <row r="594">
      <c r="A594" s="5" t="inlineStr">
        <is>
          <t>b6-ev-sahibi-kavgasi</t>
        </is>
      </c>
      <c r="B594" s="5" t="n">
        <v>4</v>
      </c>
      <c r="C594" s="6" t="inlineStr">
        <is>
          <t>Hakkını sonuna kadar ara</t>
        </is>
      </c>
      <c r="D594" s="5" t="inlineStr">
        <is>
          <t>Cesaret</t>
        </is>
      </c>
      <c r="E594" s="5" t="inlineStr">
        <is>
          <t>Zor</t>
        </is>
      </c>
      <c r="F594" s="5" t="inlineStr"/>
      <c r="G594" s="6" t="inlineStr"/>
      <c r="H594" s="6" t="inlineStr">
        <is>
          <t>Tebligat, arabulucu, iki telefon. Artış makule çekildi. Ev sahibi selamı kesti.</t>
        </is>
      </c>
      <c r="I594" s="6" t="inlineStr">
        <is>
          <t>Haklı çıktın. Ev sahibi özür mesajı attı. Sonunda bir çiçek vardı.</t>
        </is>
      </c>
      <c r="J594" s="6" t="inlineStr">
        <is>
          <t>Arabulucu ev sahibinin kuzeniymiş.</t>
        </is>
      </c>
      <c r="K594" s="6" t="inlineStr">
        <is>
          <t>Evden çıkışın hızlandı. Depozito da sürecin bir yerinde kayboldu.</t>
        </is>
      </c>
      <c r="L594" s="6" t="inlineStr"/>
      <c r="M594" s="5" t="inlineStr"/>
      <c r="N594" s="5" t="inlineStr"/>
      <c r="O594" s="6" t="inlineStr"/>
      <c r="P594" s="6" t="inlineStr"/>
      <c r="Q594" s="5" t="inlineStr">
        <is>
          <t>Sözünü Geçirir</t>
        </is>
      </c>
      <c r="R594" s="5" t="inlineStr"/>
      <c r="S594" s="5" t="inlineStr"/>
      <c r="T594" s="5" t="inlineStr"/>
      <c r="U594" s="5" t="inlineStr"/>
      <c r="V594" s="5" t="inlineStr"/>
      <c r="W594" s="5" t="inlineStr">
        <is>
          <t>depozito-yandi</t>
        </is>
      </c>
      <c r="X594" s="5" t="inlineStr"/>
      <c r="Y594" s="5" t="inlineStr"/>
      <c r="Z594" s="6" t="inlineStr"/>
    </row>
    <row r="595">
      <c r="A595" s="5" t="inlineStr">
        <is>
          <t>b6-kargo-takibi</t>
        </is>
      </c>
      <c r="B595" s="5" t="n">
        <v>1</v>
      </c>
      <c r="C595" s="6" t="inlineStr">
        <is>
          <t>Beklemeye devam et</t>
        </is>
      </c>
      <c r="D595" s="5" t="inlineStr"/>
      <c r="E595" s="5" t="inlineStr"/>
      <c r="F595" s="5" t="inlineStr">
        <is>
          <t>Dayanıklılık +1</t>
        </is>
      </c>
      <c r="G595" s="6" t="inlineStr">
        <is>
          <t>Sekizinci gün teslim edildi. Kapının önüne, yağmurun altına.</t>
        </is>
      </c>
      <c r="H595" s="6" t="inlineStr"/>
      <c r="I595" s="6" t="inlineStr"/>
      <c r="J595" s="6" t="inlineStr"/>
      <c r="K595" s="6" t="inlineStr"/>
      <c r="L595" s="6" t="inlineStr"/>
      <c r="M595" s="5" t="inlineStr"/>
      <c r="N595" s="5" t="inlineStr"/>
      <c r="O595" s="6" t="inlineStr"/>
      <c r="P595" s="6" t="inlineStr"/>
      <c r="Q595" s="5" t="inlineStr"/>
      <c r="R595" s="5" t="inlineStr"/>
      <c r="S595" s="5" t="inlineStr"/>
      <c r="T595" s="5" t="inlineStr"/>
      <c r="U595" s="5" t="inlineStr"/>
      <c r="V595" s="5" t="inlineStr"/>
      <c r="W595" s="5" t="inlineStr"/>
      <c r="X595" s="5" t="inlineStr"/>
      <c r="Y595" s="5" t="inlineStr"/>
      <c r="Z595" s="6" t="inlineStr"/>
    </row>
    <row r="596">
      <c r="A596" s="5" t="inlineStr">
        <is>
          <t>b6-kargo-takibi</t>
        </is>
      </c>
      <c r="B596" s="5" t="n">
        <v>2</v>
      </c>
      <c r="C596" s="6" t="inlineStr">
        <is>
          <t>Müşteri hizmetlerini ara</t>
        </is>
      </c>
      <c r="D596" s="5" t="inlineStr">
        <is>
          <t>Çene</t>
        </is>
      </c>
      <c r="E596" s="5" t="inlineStr">
        <is>
          <t>Orta</t>
        </is>
      </c>
      <c r="F596" s="5" t="inlineStr"/>
      <c r="G596" s="6" t="inlineStr"/>
      <c r="H596" s="6" t="inlineStr">
        <is>
          <t>Kırk dakika bekleme müziğinden sonra bir insana ulaştın. Kargo ertesi gün geldi.</t>
        </is>
      </c>
      <c r="I596" s="6" t="inlineStr">
        <is>
          <t>Temsilci kargoyu kendi getirtti. Yanında bir özür çikolatası vardı.</t>
        </is>
      </c>
      <c r="J596" s="6" t="inlineStr">
        <is>
          <t>'Talebiniz oluşturuldu' dendi. Talep, kargodan hızlı ilerlemiyor.</t>
        </is>
      </c>
      <c r="K596" s="6" t="inlineStr">
        <is>
          <t>Sesli asistan seni 'Anlaşılmadı' döngüsüne soktu. Sonunda iadeyi onayladın. Kendi siparişini.</t>
        </is>
      </c>
      <c r="L596" s="6" t="inlineStr"/>
      <c r="M596" s="5" t="inlineStr"/>
      <c r="N596" s="5" t="inlineStr"/>
      <c r="O596" s="6" t="inlineStr"/>
      <c r="P596" s="6" t="inlineStr"/>
      <c r="Q596" s="5" t="inlineStr"/>
      <c r="R596" s="5" t="inlineStr"/>
      <c r="S596" s="5" t="inlineStr"/>
      <c r="T596" s="5" t="inlineStr"/>
      <c r="U596" s="5" t="inlineStr"/>
      <c r="V596" s="5" t="inlineStr"/>
      <c r="W596" s="5" t="inlineStr"/>
      <c r="X596" s="5" t="inlineStr"/>
      <c r="Y596" s="5" t="inlineStr"/>
      <c r="Z596" s="6" t="inlineStr"/>
    </row>
    <row r="597">
      <c r="A597" s="5" t="inlineStr">
        <is>
          <t>b6-kargo-takibi</t>
        </is>
      </c>
      <c r="B597" s="5" t="n">
        <v>3</v>
      </c>
      <c r="C597" s="6" t="inlineStr">
        <is>
          <t>Köşedeki büfeye uğra</t>
        </is>
      </c>
      <c r="D597" s="5" t="inlineStr">
        <is>
          <t>Sosyal Radar</t>
        </is>
      </c>
      <c r="E597" s="5" t="inlineStr">
        <is>
          <t>Kolay</t>
        </is>
      </c>
      <c r="F597" s="5" t="inlineStr"/>
      <c r="G597" s="6" t="inlineStr"/>
      <c r="H597" s="6" t="inlineStr">
        <is>
          <t>Büfeci paketini rafın arkasından çıkardı. Yanında üç komşunun paketi daha vardı.</t>
        </is>
      </c>
      <c r="I597" s="6" t="inlineStr">
        <is>
          <t>Büfeci sokağın bütün kargolarını sana emanet etti. Sokağın gayriresmî dağıtım merkezisin.</t>
        </is>
      </c>
      <c r="J597" s="6" t="inlineStr">
        <is>
          <t>Büfeci 'Paket yok' dedi. Arkasında adının yazılı olduğu bir kutu vardı. Göz göze geldiniz.</t>
        </is>
      </c>
      <c r="K597" s="6" t="inlineStr">
        <is>
          <t>Paketin oradaymış. Açılmış. İçindeki kulaklık büfecinin kulağında.</t>
        </is>
      </c>
      <c r="L597" s="6" t="inlineStr"/>
      <c r="M597" s="5" t="inlineStr"/>
      <c r="N597" s="5" t="inlineStr"/>
      <c r="O597" s="6" t="inlineStr"/>
      <c r="P597" s="6" t="inlineStr"/>
      <c r="Q597" s="5" t="inlineStr"/>
      <c r="R597" s="5" t="inlineStr"/>
      <c r="S597" s="5" t="inlineStr">
        <is>
          <t>Kurnazlık</t>
        </is>
      </c>
      <c r="T597" s="5" t="inlineStr"/>
      <c r="U597" s="5" t="inlineStr"/>
      <c r="V597" s="5" t="inlineStr"/>
      <c r="W597" s="5" t="inlineStr"/>
      <c r="X597" s="5" t="inlineStr"/>
      <c r="Y597" s="5" t="inlineStr"/>
      <c r="Z597" s="6" t="inlineStr"/>
    </row>
    <row r="598">
      <c r="A598" s="5" t="inlineStr">
        <is>
          <t>b6-kargo-takibi</t>
        </is>
      </c>
      <c r="B598" s="5" t="n">
        <v>4</v>
      </c>
      <c r="C598" s="6" t="inlineStr">
        <is>
          <t>Kuryeyi haritadan takip et</t>
        </is>
      </c>
      <c r="D598" s="5" t="inlineStr">
        <is>
          <t>Cesaret</t>
        </is>
      </c>
      <c r="E598" s="5" t="inlineStr">
        <is>
          <t>Orta</t>
        </is>
      </c>
      <c r="F598" s="5" t="inlineStr"/>
      <c r="G598" s="6" t="inlineStr"/>
      <c r="H598" s="6" t="inlineStr">
        <is>
          <t>Haritadaki noktayı izleyip kuryeyi köşede yakaladın. Paket teslim.</t>
        </is>
      </c>
      <c r="I598" s="6" t="inlineStr">
        <is>
          <t>Kurye sokağın ters numaralandırıldığını anlattı. Belediyeye birlikte dilekçe verdiniz.</t>
        </is>
      </c>
      <c r="J598" s="6" t="inlineStr">
        <is>
          <t>Yakaladığın başka bir kuryeydi. Ona yol tarif ettin. Seninki hâlâ yolda.</t>
        </is>
      </c>
      <c r="K598" s="6" t="inlineStr">
        <is>
          <t>Terlikle koştun. Kurye motordaydı. Sen üç sokak öteye, terliğin biri dördüncüye ulaştı.</t>
        </is>
      </c>
      <c r="L598" s="6" t="inlineStr"/>
      <c r="M598" s="5" t="inlineStr"/>
      <c r="N598" s="5" t="inlineStr"/>
      <c r="O598" s="6" t="inlineStr"/>
      <c r="P598" s="6" t="inlineStr"/>
      <c r="Q598" s="5" t="inlineStr"/>
      <c r="R598" s="5" t="inlineStr"/>
      <c r="S598" s="5" t="inlineStr"/>
      <c r="T598" s="5" t="inlineStr"/>
      <c r="U598" s="5" t="inlineStr"/>
      <c r="V598" s="5" t="inlineStr"/>
      <c r="W598" s="5" t="inlineStr"/>
      <c r="X598" s="5" t="inlineStr"/>
      <c r="Y598" s="5" t="inlineStr"/>
      <c r="Z598" s="6" t="inlineStr"/>
    </row>
    <row r="599">
      <c r="A599" s="5" t="inlineStr">
        <is>
          <t>ms-pijama-ekonomisi</t>
        </is>
      </c>
      <c r="B599" s="5" t="n">
        <v>1</v>
      </c>
      <c r="C599" s="6" t="inlineStr">
        <is>
          <t>Giyin, masaya otur</t>
        </is>
      </c>
      <c r="D599" s="5" t="inlineStr"/>
      <c r="E599" s="5" t="inlineStr"/>
      <c r="F599" s="5" t="inlineStr">
        <is>
          <t>Dayanıklılık +1</t>
        </is>
      </c>
      <c r="G599" s="6" t="inlineStr">
        <is>
          <t>Gömlek ve ayakkabı giydin. Evde ayakkabıyla çalışan tek kişi oldun. Verim arttı, komşu şüphelendi.</t>
        </is>
      </c>
      <c r="H599" s="6" t="inlineStr"/>
      <c r="I599" s="6" t="inlineStr"/>
      <c r="J599" s="6" t="inlineStr"/>
      <c r="K599" s="6" t="inlineStr"/>
      <c r="L599" s="6" t="inlineStr"/>
      <c r="M599" s="5" t="inlineStr"/>
      <c r="N599" s="5" t="inlineStr"/>
      <c r="O599" s="6" t="inlineStr"/>
      <c r="P599" s="6" t="inlineStr"/>
      <c r="Q599" s="5" t="inlineStr"/>
      <c r="R599" s="5" t="inlineStr"/>
      <c r="S599" s="5" t="inlineStr"/>
      <c r="T599" s="5" t="inlineStr"/>
      <c r="U599" s="5" t="inlineStr"/>
      <c r="V599" s="5" t="inlineStr"/>
      <c r="W599" s="5" t="inlineStr"/>
      <c r="X599" s="5" t="inlineStr"/>
      <c r="Y599" s="5" t="inlineStr"/>
      <c r="Z599" s="6" t="inlineStr"/>
    </row>
    <row r="600">
      <c r="A600" s="5" t="inlineStr">
        <is>
          <t>ms-pijama-ekonomisi</t>
        </is>
      </c>
      <c r="B600" s="5" t="n">
        <v>2</v>
      </c>
      <c r="C600" s="6" t="inlineStr">
        <is>
          <t>Üçünü aynı anda bitir</t>
        </is>
      </c>
      <c r="D600" s="5" t="inlineStr">
        <is>
          <t>Akıl</t>
        </is>
      </c>
      <c r="E600" s="5" t="inlineStr">
        <is>
          <t>Zor</t>
        </is>
      </c>
      <c r="F600" s="5" t="inlineStr"/>
      <c r="G600" s="6" t="inlineStr"/>
      <c r="H600" s="6" t="inlineStr">
        <is>
          <t>Üç işi tek gecede bitirdin. Uyku yarın, fatura bugün.</t>
        </is>
      </c>
      <c r="I600" s="6" t="inlineStr">
        <is>
          <t>Üçünü bitirdin, birini erken teslim ettin. Müşteri şoktan iki gün cevap veremedi.</t>
        </is>
      </c>
      <c r="J600" s="6" t="inlineStr">
        <is>
          <t>Üçünü bitirdin; dosyaları yanlış müşterilere gönderdin. Hepsi 'Tam istediğimiz gibi' dedi. Birisi değildi.</t>
        </is>
      </c>
      <c r="K600" s="6" t="inlineStr">
        <is>
          <t>Üç dosyayı tek dosyada birleştirdin ve üçüne de aynısını yolladın. Üç müşteri aynı gün aradı.</t>
        </is>
      </c>
      <c r="L600" s="6" t="inlineStr"/>
      <c r="M600" s="5" t="inlineStr"/>
      <c r="N600" s="5" t="inlineStr"/>
      <c r="O600" s="6" t="inlineStr"/>
      <c r="P600" s="6" t="inlineStr"/>
      <c r="Q600" s="5" t="inlineStr"/>
      <c r="R600" s="5" t="inlineStr"/>
      <c r="S600" s="5" t="inlineStr"/>
      <c r="T600" s="5" t="inlineStr">
        <is>
          <t>Analitik Zihin</t>
        </is>
      </c>
      <c r="U600" s="5" t="inlineStr"/>
      <c r="V600" s="5" t="inlineStr"/>
      <c r="W600" s="5" t="inlineStr"/>
      <c r="X600" s="5" t="inlineStr"/>
      <c r="Y600" s="5" t="inlineStr"/>
      <c r="Z600" s="6" t="inlineStr"/>
    </row>
    <row r="601">
      <c r="A601" s="5" t="inlineStr">
        <is>
          <t>ms-pijama-ekonomisi</t>
        </is>
      </c>
      <c r="B601" s="5" t="n">
        <v>3</v>
      </c>
      <c r="C601" s="6" t="inlineStr">
        <is>
          <t>Kafeye taşın</t>
        </is>
      </c>
      <c r="D601" s="5" t="inlineStr">
        <is>
          <t>Kurnazlık</t>
        </is>
      </c>
      <c r="E601" s="5" t="inlineStr">
        <is>
          <t>Kolay</t>
        </is>
      </c>
      <c r="F601" s="5" t="inlineStr"/>
      <c r="G601" s="6" t="inlineStr"/>
      <c r="H601" s="6" t="inlineStr">
        <is>
          <t>Prize en yakın masayı kaptın. Bir çayla altı saat çalıştın. Verimli ve biraz ayıp.</t>
        </is>
      </c>
      <c r="I601" s="6" t="inlineStr">
        <is>
          <t>Kafede yan masadaki bir girişimci iş teklif etti. Ofisin artık resmen kafe.</t>
        </is>
      </c>
      <c r="J601" s="6" t="inlineStr">
        <is>
          <t>Priz yoktu. Şarj bitti. Sen de.</t>
        </is>
      </c>
      <c r="K601" s="6" t="inlineStr">
        <is>
          <t>Tek çayla dokuz saat oturdun. Garson sonunda sandalye kirası kesti.</t>
        </is>
      </c>
      <c r="L601" s="6" t="inlineStr"/>
      <c r="M601" s="5" t="inlineStr"/>
      <c r="N601" s="5" t="inlineStr"/>
      <c r="O601" s="6" t="inlineStr"/>
      <c r="P601" s="6" t="inlineStr"/>
      <c r="Q601" s="5" t="inlineStr"/>
      <c r="R601" s="5" t="inlineStr"/>
      <c r="S601" s="5" t="inlineStr"/>
      <c r="T601" s="5" t="inlineStr"/>
      <c r="U601" s="5" t="inlineStr"/>
      <c r="V601" s="5" t="inlineStr"/>
      <c r="W601" s="5" t="inlineStr"/>
      <c r="X601" s="5" t="inlineStr"/>
      <c r="Y601" s="5" t="inlineStr"/>
      <c r="Z601" s="6" t="inlineStr"/>
    </row>
    <row r="602">
      <c r="A602" s="5" t="inlineStr">
        <is>
          <t>ms-pijama-ekonomisi</t>
        </is>
      </c>
      <c r="B602" s="5" t="n">
        <v>4</v>
      </c>
      <c r="C602" s="6" t="inlineStr">
        <is>
          <t>Kendine bir takvim sistemi kur</t>
        </is>
      </c>
      <c r="D602" s="5" t="inlineStr">
        <is>
          <t>Akıl</t>
        </is>
      </c>
      <c r="E602" s="5" t="inlineStr">
        <is>
          <t>Kolay</t>
        </is>
      </c>
      <c r="F602" s="5" t="inlineStr"/>
      <c r="G602" s="6" t="inlineStr"/>
      <c r="H602" s="6" t="inlineStr">
        <is>
          <t>Renkli bir takvim kurdun. Günlerin artık düzenli. Pijama sadece cuma.</t>
        </is>
      </c>
      <c r="I602" s="6" t="inlineStr">
        <is>
          <t>Takvimin o kadar iyi çalıştı ki diğer serbest çalışanlara şablon olarak satmaya başladın.</t>
        </is>
      </c>
      <c r="J602" s="6" t="inlineStr">
        <is>
          <t>Takvimi kurmak bütün gün sürdü. Üç teslim de takvimde güzel duruyor.</t>
        </is>
      </c>
      <c r="K602" s="6" t="inlineStr">
        <is>
          <t>Takvimi kurdun, bütün hatırlatıcılar aynı anda çaldı. Telefon titreyerek masadan düştü.</t>
        </is>
      </c>
      <c r="L602" s="6" t="inlineStr"/>
      <c r="M602" s="5" t="inlineStr"/>
      <c r="N602" s="5" t="inlineStr"/>
      <c r="O602" s="6" t="inlineStr"/>
      <c r="P602" s="6" t="inlineStr"/>
      <c r="Q602" s="5" t="inlineStr">
        <is>
          <t>Organizatör</t>
        </is>
      </c>
      <c r="R602" s="5" t="inlineStr"/>
      <c r="S602" s="5" t="inlineStr"/>
      <c r="T602" s="5" t="inlineStr"/>
      <c r="U602" s="5" t="inlineStr"/>
      <c r="V602" s="5" t="inlineStr"/>
      <c r="W602" s="5" t="inlineStr"/>
      <c r="X602" s="5" t="inlineStr"/>
      <c r="Y602" s="5" t="inlineStr"/>
      <c r="Z602" s="6" t="inlineStr"/>
    </row>
    <row r="603">
      <c r="A603" s="5" t="inlineStr">
        <is>
          <t>b6-ilk-vergi</t>
        </is>
      </c>
      <c r="B603" s="5" t="n">
        <v>1</v>
      </c>
      <c r="C603" s="6" t="inlineStr">
        <is>
          <t>Formu olduğu gibi doldur</t>
        </is>
      </c>
      <c r="D603" s="5" t="inlineStr"/>
      <c r="E603" s="5" t="inlineStr"/>
      <c r="F603" s="5" t="inlineStr">
        <is>
          <t>Vicdan +2</t>
        </is>
      </c>
      <c r="G603" s="6" t="inlineStr">
        <is>
          <t>Memur baktı, 'Bu kutu yanlış' dedi ve kendi düzeltti. Devletten ilk yardımın.</t>
        </is>
      </c>
      <c r="H603" s="6" t="inlineStr"/>
      <c r="I603" s="6" t="inlineStr"/>
      <c r="J603" s="6" t="inlineStr"/>
      <c r="K603" s="6" t="inlineStr"/>
      <c r="L603" s="6" t="inlineStr"/>
      <c r="M603" s="5" t="inlineStr"/>
      <c r="N603" s="5" t="inlineStr"/>
      <c r="O603" s="6" t="inlineStr"/>
      <c r="P603" s="6" t="inlineStr"/>
      <c r="Q603" s="5" t="inlineStr"/>
      <c r="R603" s="5" t="inlineStr"/>
      <c r="S603" s="5" t="inlineStr"/>
      <c r="T603" s="5" t="inlineStr"/>
      <c r="U603" s="5" t="inlineStr"/>
      <c r="V603" s="5" t="inlineStr"/>
      <c r="W603" s="5" t="inlineStr"/>
      <c r="X603" s="5" t="inlineStr"/>
      <c r="Y603" s="5" t="inlineStr"/>
      <c r="Z603" s="6" t="inlineStr"/>
    </row>
    <row r="604">
      <c r="A604" s="5" t="inlineStr">
        <is>
          <t>b6-ilk-vergi</t>
        </is>
      </c>
      <c r="B604" s="5" t="n">
        <v>2</v>
      </c>
      <c r="C604" s="6" t="inlineStr">
        <is>
          <t>Muhasebeci tut</t>
        </is>
      </c>
      <c r="D604" s="5" t="inlineStr">
        <is>
          <t>Kurnazlık</t>
        </is>
      </c>
      <c r="E604" s="5" t="inlineStr">
        <is>
          <t>Kolay</t>
        </is>
      </c>
      <c r="F604" s="5" t="inlineStr"/>
      <c r="G604" s="6" t="inlineStr"/>
      <c r="H604" s="6" t="inlineStr">
        <is>
          <t>Form beş dakikada doldu. Faturası seni bir saat düşündürdü.</t>
        </is>
      </c>
      <c r="I604" s="6" t="inlineStr">
        <is>
          <t>Muhasebeci senin için bir iade hakkı buldu. İade, ücretinden biraz fazlaydı. Kârdasın.</t>
        </is>
      </c>
      <c r="J604" s="6" t="inlineStr">
        <is>
          <t>Muhasebeci bir kutuyu yanlış işaretledi. Artık o da bir yazı bekliyor.</t>
        </is>
      </c>
      <c r="K604" s="6" t="inlineStr">
        <is>
          <t>Muhasebecin kuzeninin arkadaşıydı. Sadece 'Hallederiz' dedi. Hâlâ halletmedi.</t>
        </is>
      </c>
      <c r="L604" s="6" t="inlineStr"/>
      <c r="M604" s="5" t="inlineStr"/>
      <c r="N604" s="5" t="inlineStr"/>
      <c r="O604" s="6" t="inlineStr"/>
      <c r="P604" s="6" t="inlineStr"/>
      <c r="Q604" s="5" t="inlineStr"/>
      <c r="R604" s="5" t="inlineStr"/>
      <c r="S604" s="5" t="inlineStr"/>
      <c r="T604" s="5" t="inlineStr"/>
      <c r="U604" s="5" t="inlineStr"/>
      <c r="V604" s="5" t="inlineStr"/>
      <c r="W604" s="5" t="inlineStr"/>
      <c r="X604" s="5" t="inlineStr"/>
      <c r="Y604" s="5" t="inlineStr"/>
      <c r="Z604" s="6" t="inlineStr"/>
    </row>
    <row r="605">
      <c r="A605" s="5" t="inlineStr">
        <is>
          <t>b6-ilk-vergi</t>
        </is>
      </c>
      <c r="B605" s="5" t="n">
        <v>3</v>
      </c>
      <c r="C605" s="6" t="inlineStr">
        <is>
          <t>Tablona dök, kendin çöz</t>
        </is>
      </c>
      <c r="D605" s="5" t="inlineStr">
        <is>
          <t>Akıl</t>
        </is>
      </c>
      <c r="E605" s="5" t="inlineStr">
        <is>
          <t>Orta</t>
        </is>
      </c>
      <c r="F605" s="5" t="inlineStr"/>
      <c r="G605" s="6" t="inlineStr"/>
      <c r="H605" s="6" t="inlineStr">
        <is>
          <t>Hesapladın, doldurdun. Memur kaşlarını kaldırdı: 'Bu nadir.'</t>
        </is>
      </c>
      <c r="I605" s="6" t="inlineStr">
        <is>
          <t>Form masadan masaya dolaştırıldı. Dairede ilk kez bir kutu doğru işaretlenmişti.</t>
        </is>
      </c>
      <c r="J605" s="6" t="inlineStr">
        <is>
          <t>Hesapladın. Borcun çıktı. Tablo haklıymış.</t>
        </is>
      </c>
      <c r="K605" s="6" t="inlineStr">
        <is>
          <t>Virgülü kaydırdın. Kayıtlara göre büyük bir şirketin sahibisin. Denetim yolda.</t>
        </is>
      </c>
      <c r="L605" s="6" t="inlineStr"/>
      <c r="M605" s="5" t="inlineStr"/>
      <c r="N605" s="5" t="inlineStr"/>
      <c r="O605" s="6" t="inlineStr"/>
      <c r="P605" s="6" t="inlineStr"/>
      <c r="Q605" s="5" t="inlineStr">
        <is>
          <t>Bütçe Tablocusu</t>
        </is>
      </c>
      <c r="R605" s="5" t="inlineStr"/>
      <c r="S605" s="5" t="inlineStr"/>
      <c r="T605" s="5" t="inlineStr"/>
      <c r="U605" s="5" t="inlineStr"/>
      <c r="V605" s="5" t="inlineStr"/>
      <c r="W605" s="5" t="inlineStr"/>
      <c r="X605" s="5" t="inlineStr"/>
      <c r="Y605" s="5" t="inlineStr"/>
      <c r="Z605" s="6" t="inlineStr"/>
    </row>
    <row r="606">
      <c r="A606" s="5" t="inlineStr">
        <is>
          <t>b6-ilk-vergi</t>
        </is>
      </c>
      <c r="B606" s="5" t="n">
        <v>4</v>
      </c>
      <c r="C606" s="6" t="inlineStr">
        <is>
          <t>Sıradakinin formuna göz at</t>
        </is>
      </c>
      <c r="D606" s="5" t="inlineStr">
        <is>
          <t>Kurnazlık</t>
        </is>
      </c>
      <c r="E606" s="5" t="inlineStr">
        <is>
          <t>Orta</t>
        </is>
      </c>
      <c r="F606" s="5" t="inlineStr"/>
      <c r="G606" s="6" t="inlineStr"/>
      <c r="H606" s="6" t="inlineStr">
        <is>
          <t>Onun cevaplarına bakıp doldurdun. Doğruymuş. İkiniz de şaşırdınız.</t>
        </is>
      </c>
      <c r="I606" s="6" t="inlineStr">
        <is>
          <t>Sıradaki bir mali müşavirmiş. Formunu da doldurdu, kartını da verdi.</t>
        </is>
      </c>
      <c r="J606" s="6" t="inlineStr">
        <is>
          <t>O bir şirket formu dolduruyormuş. Senin formun şimdi bir şirketi anlatıyor.</t>
        </is>
      </c>
      <c r="K606" s="6" t="inlineStr">
        <is>
          <t>'Kopya mı çekiyorsun?' diye yüksek sesle sordu. Bütün daire sana döndü. İlkokul hissi.</t>
        </is>
      </c>
      <c r="L606" s="6" t="inlineStr"/>
      <c r="M606" s="5" t="inlineStr"/>
      <c r="N606" s="5" t="inlineStr"/>
      <c r="O606" s="6" t="inlineStr"/>
      <c r="P606" s="6" t="inlineStr"/>
      <c r="Q606" s="5" t="inlineStr"/>
      <c r="R606" s="5" t="inlineStr"/>
      <c r="S606" s="5" t="inlineStr"/>
      <c r="T606" s="5" t="inlineStr"/>
      <c r="U606" s="5" t="inlineStr"/>
      <c r="V606" s="5" t="inlineStr"/>
      <c r="W606" s="5" t="inlineStr"/>
      <c r="X606" s="5" t="inlineStr"/>
      <c r="Y606" s="5" t="inlineStr"/>
      <c r="Z606" s="6" t="inlineStr"/>
    </row>
    <row r="607">
      <c r="A607" s="5" t="inlineStr">
        <is>
          <t>b6-kombi</t>
        </is>
      </c>
      <c r="B607" s="5" t="n">
        <v>1</v>
      </c>
      <c r="C607" s="6" t="inlineStr">
        <is>
          <t>Üç gün bekle</t>
        </is>
      </c>
      <c r="D607" s="5" t="inlineStr"/>
      <c r="E607" s="5" t="inlineStr"/>
      <c r="F607" s="5" t="inlineStr">
        <is>
          <t>Dayanıklılık +2</t>
        </is>
      </c>
      <c r="G607" s="6" t="inlineStr">
        <is>
          <t>Üç gün battaniye altında yaşadın. Tamirci bir düğmeye bastı: 'Bu kadar.' Fatura bu kadar değildi.</t>
        </is>
      </c>
      <c r="H607" s="6" t="inlineStr"/>
      <c r="I607" s="6" t="inlineStr"/>
      <c r="J607" s="6" t="inlineStr"/>
      <c r="K607" s="6" t="inlineStr"/>
      <c r="L607" s="6" t="inlineStr"/>
      <c r="M607" s="5" t="inlineStr"/>
      <c r="N607" s="5" t="inlineStr"/>
      <c r="O607" s="6" t="inlineStr"/>
      <c r="P607" s="6" t="inlineStr"/>
      <c r="Q607" s="5" t="inlineStr"/>
      <c r="R607" s="5" t="inlineStr"/>
      <c r="S607" s="5" t="inlineStr"/>
      <c r="T607" s="5" t="inlineStr"/>
      <c r="U607" s="5" t="inlineStr"/>
      <c r="V607" s="5" t="inlineStr"/>
      <c r="W607" s="5" t="inlineStr"/>
      <c r="X607" s="5" t="inlineStr"/>
      <c r="Y607" s="5" t="inlineStr"/>
      <c r="Z607" s="6" t="inlineStr"/>
    </row>
    <row r="608">
      <c r="A608" s="5" t="inlineStr">
        <is>
          <t>b6-kombi</t>
        </is>
      </c>
      <c r="B608" s="5" t="n">
        <v>2</v>
      </c>
      <c r="C608" s="6" t="inlineStr">
        <is>
          <t>Videoya bakıp kendin tamir et</t>
        </is>
      </c>
      <c r="D608" s="5" t="inlineStr">
        <is>
          <t>Akıl</t>
        </is>
      </c>
      <c r="E608" s="5" t="inlineStr">
        <is>
          <t>Zor</t>
        </is>
      </c>
      <c r="F608" s="5" t="inlineStr"/>
      <c r="G608" s="6" t="inlineStr"/>
      <c r="H608" s="6" t="inlineStr">
        <is>
          <t>İki vida, bir düğme ve kombi çalıştı. Kendine kahraman gözüyle bakıyorsun. Haklısın.</t>
        </is>
      </c>
      <c r="I608" s="6" t="inlineStr">
        <is>
          <t>Kombiyi tamir edip verimini de artırdın. Fatura düştü. Apartmanın 'Kombi Bakanı' sensin.</t>
        </is>
      </c>
      <c r="J608" s="6" t="inlineStr">
        <is>
          <t>İki vidayı söktün, üçüncü bir vida çıktı. Yeri yok. Tamirciyi yine bekliyorsun, ek ücretle.</t>
        </is>
      </c>
      <c r="K608" s="6" t="inlineStr">
        <is>
          <t>Kombi artık sıcak su yerine hafif bir melodi çalıyor. Tamirci dinledi: 'Bu yeni.'</t>
        </is>
      </c>
      <c r="L608" s="6" t="inlineStr"/>
      <c r="M608" s="5" t="inlineStr"/>
      <c r="N608" s="5" t="inlineStr"/>
      <c r="O608" s="6" t="inlineStr"/>
      <c r="P608" s="6" t="inlineStr"/>
      <c r="Q608" s="5" t="inlineStr"/>
      <c r="R608" s="5" t="inlineStr"/>
      <c r="S608" s="5" t="inlineStr"/>
      <c r="T608" s="5" t="inlineStr"/>
      <c r="U608" s="5" t="inlineStr"/>
      <c r="V608" s="5" t="inlineStr"/>
      <c r="W608" s="5" t="inlineStr"/>
      <c r="X608" s="5" t="inlineStr"/>
      <c r="Y608" s="5" t="n">
        <v>3</v>
      </c>
      <c r="Z608" s="6" t="inlineStr">
        <is>
          <t>Kombiyi internetteki bir videoya bakarak tamir ederken. Video hâlâ 'Çok basit' diyor.</t>
        </is>
      </c>
    </row>
    <row r="609">
      <c r="A609" s="5" t="inlineStr">
        <is>
          <t>b6-kombi</t>
        </is>
      </c>
      <c r="B609" s="5" t="n">
        <v>3</v>
      </c>
      <c r="C609" s="6" t="inlineStr">
        <is>
          <t>Alt kattaki kombiciyle barış</t>
        </is>
      </c>
      <c r="D609" s="5" t="inlineStr">
        <is>
          <t>Çene</t>
        </is>
      </c>
      <c r="E609" s="5" t="inlineStr">
        <is>
          <t>Orta</t>
        </is>
      </c>
      <c r="F609" s="5" t="inlineStr"/>
      <c r="G609" s="6" t="inlineStr"/>
      <c r="H609" s="6" t="inlineStr">
        <is>
          <t>Otopark meselesini kapattınız. Kombi yarım saatte açıldı.</t>
        </is>
      </c>
      <c r="I609" s="6" t="inlineStr">
        <is>
          <t>Barıştınız, kombi çalıştı, otopark yeri de sana kaldı. Kış boyu birlikte çay içiyorsunuz.</t>
        </is>
      </c>
      <c r="J609" s="6" t="inlineStr">
        <is>
          <t>Sen 'Kombi' dedin, o 'Otopark' dedi. Kapı kapandı.</t>
        </is>
      </c>
      <c r="K609" s="6" t="inlineStr">
        <is>
          <t>Otopark meselesini yeniden açtın. Hem soğuktasın hem apartman grubunda bir oylamanın konususun.</t>
        </is>
      </c>
      <c r="L609" s="6" t="inlineStr"/>
      <c r="M609" s="5" t="inlineStr"/>
      <c r="N609" s="5" t="inlineStr"/>
      <c r="O609" s="6" t="inlineStr"/>
      <c r="P609" s="6" t="inlineStr"/>
      <c r="Q609" s="5" t="inlineStr"/>
      <c r="R609" s="5" t="inlineStr"/>
      <c r="S609" s="5" t="inlineStr">
        <is>
          <t>Kurnazlık</t>
        </is>
      </c>
      <c r="T609" s="5" t="inlineStr"/>
      <c r="U609" s="5" t="inlineStr"/>
      <c r="V609" s="5" t="inlineStr"/>
      <c r="W609" s="5" t="inlineStr"/>
      <c r="X609" s="5" t="inlineStr"/>
      <c r="Y609" s="5" t="inlineStr"/>
      <c r="Z609" s="6" t="inlineStr"/>
    </row>
    <row r="610">
      <c r="A610" s="5" t="inlineStr">
        <is>
          <t>b6-kombi</t>
        </is>
      </c>
      <c r="B610" s="5" t="n">
        <v>4</v>
      </c>
      <c r="C610" s="6" t="inlineStr">
        <is>
          <t>Ustadan kalma numarayı dene</t>
        </is>
      </c>
      <c r="D610" s="5" t="inlineStr">
        <is>
          <t>Dayanıklılık</t>
        </is>
      </c>
      <c r="E610" s="5" t="inlineStr">
        <is>
          <t>Kolay</t>
        </is>
      </c>
      <c r="F610" s="5" t="inlineStr"/>
      <c r="G610" s="6" t="inlineStr"/>
      <c r="H610" s="6" t="inlineStr">
        <is>
          <t>Ustanın numarasıyla kombiye nazikçe vurdun. Çalıştı. Usta gurur duyardı.</t>
        </is>
      </c>
      <c r="I610" s="6" t="inlineStr">
        <is>
          <t>Kombiyi söktün, temizledin, taktın. Komşular sırayla kapını çalıyor. Yan gelir kapısı açıldı.</t>
        </is>
      </c>
      <c r="J610" s="6" t="inlineStr">
        <is>
          <t>Numarayı denedin. Kombi usta ile hiç tanışmamıştı, anlamadı.</t>
        </is>
      </c>
      <c r="K610" s="6" t="inlineStr">
        <is>
          <t>Vurdun. Kombi durdu, sonra bütün apartmanın sıcak suyu durdu. Yönetici aradı.</t>
        </is>
      </c>
      <c r="L610" s="6" t="inlineStr"/>
      <c r="M610" s="5" t="inlineStr"/>
      <c r="N610" s="5" t="inlineStr"/>
      <c r="O610" s="6" t="inlineStr"/>
      <c r="P610" s="6" t="inlineStr"/>
      <c r="Q610" s="5" t="inlineStr"/>
      <c r="R610" s="5" t="inlineStr">
        <is>
          <t>usta-eli</t>
        </is>
      </c>
      <c r="S610" s="5" t="inlineStr"/>
      <c r="T610" s="5" t="inlineStr"/>
      <c r="U610" s="5" t="inlineStr"/>
      <c r="V610" s="5" t="inlineStr"/>
      <c r="W610" s="5" t="inlineStr"/>
      <c r="X610" s="5" t="inlineStr"/>
      <c r="Y610" s="5" t="inlineStr"/>
      <c r="Z610" s="6" t="inlineStr"/>
    </row>
    <row r="611">
      <c r="A611" s="5" t="inlineStr">
        <is>
          <t>b7-kira-artisi</t>
        </is>
      </c>
      <c r="B611" s="5" t="n">
        <v>1</v>
      </c>
      <c r="C611" s="6" t="inlineStr">
        <is>
          <t>Kabul et</t>
        </is>
      </c>
      <c r="D611" s="5" t="inlineStr"/>
      <c r="E611" s="5" t="inlineStr"/>
      <c r="F611" s="5" t="inlineStr">
        <is>
          <t>Dayanıklılık +1</t>
        </is>
      </c>
      <c r="G611" s="6" t="inlineStr">
        <is>
          <t>Artışı kabul ettin. Bütçe tablosuna yeni bir kırmızı satır eklendi, adı 'yaşamak'.</t>
        </is>
      </c>
      <c r="H611" s="6" t="inlineStr"/>
      <c r="I611" s="6" t="inlineStr"/>
      <c r="J611" s="6" t="inlineStr"/>
      <c r="K611" s="6" t="inlineStr"/>
      <c r="L611" s="6" t="inlineStr"/>
      <c r="M611" s="5" t="inlineStr"/>
      <c r="N611" s="5" t="inlineStr"/>
      <c r="O611" s="6" t="inlineStr"/>
      <c r="P611" s="6" t="inlineStr"/>
      <c r="Q611" s="5" t="inlineStr"/>
      <c r="R611" s="5" t="inlineStr"/>
      <c r="S611" s="5" t="inlineStr"/>
      <c r="T611" s="5" t="inlineStr"/>
      <c r="U611" s="5" t="inlineStr"/>
      <c r="V611" s="5" t="inlineStr"/>
      <c r="W611" s="5" t="inlineStr"/>
      <c r="X611" s="5" t="inlineStr"/>
      <c r="Y611" s="5" t="inlineStr"/>
      <c r="Z611" s="6" t="inlineStr"/>
    </row>
    <row r="612">
      <c r="A612" s="5" t="inlineStr">
        <is>
          <t>b7-kira-artisi</t>
        </is>
      </c>
      <c r="B612" s="5" t="n">
        <v>2</v>
      </c>
      <c r="C612" s="6" t="inlineStr">
        <is>
          <t>Pazarlık et</t>
        </is>
      </c>
      <c r="D612" s="5" t="inlineStr">
        <is>
          <t>Çene</t>
        </is>
      </c>
      <c r="E612" s="5" t="inlineStr">
        <is>
          <t>Orta</t>
        </is>
      </c>
      <c r="F612" s="5" t="inlineStr"/>
      <c r="G612" s="6" t="inlineStr"/>
      <c r="H612" s="6" t="inlineStr">
        <is>
          <t>Artışı biraz aşağı çektin. Ev sahibi 'Sen de haklısın' dedi; bu cümle ilk kez senin lehine kullanıldı.</t>
        </is>
      </c>
      <c r="I612" s="6" t="inlineStr">
        <is>
          <t>Pazarlık o kadar iyi gitti ki ev sahibi kombiyi de yeniletti. Mahallede efsane oldun.</t>
        </is>
      </c>
      <c r="J612" s="6" t="inlineStr">
        <is>
          <t>Pazarlık ettin. Ev sahibi 'Düşüneyim' dedi ve piyasa rakamlarını düşünerek geri döndü.</t>
        </is>
      </c>
      <c r="K612" s="6" t="inlineStr">
        <is>
          <t>Pazarlık ettin; ev sahibi, emlakçı yeğenini devreye soktu. Artış iki katına çıktı, adına 'güncelleme' dendi.</t>
        </is>
      </c>
      <c r="L612" s="6" t="inlineStr"/>
      <c r="M612" s="5" t="inlineStr"/>
      <c r="N612" s="5" t="inlineStr"/>
      <c r="O612" s="6" t="inlineStr"/>
      <c r="P612" s="6" t="inlineStr"/>
      <c r="Q612" s="5" t="inlineStr"/>
      <c r="R612" s="5" t="inlineStr"/>
      <c r="S612" s="5" t="inlineStr"/>
      <c r="T612" s="5" t="inlineStr"/>
      <c r="U612" s="5" t="inlineStr"/>
      <c r="V612" s="5" t="inlineStr"/>
      <c r="W612" s="5" t="inlineStr"/>
      <c r="X612" s="5" t="inlineStr"/>
      <c r="Y612" s="5" t="inlineStr"/>
      <c r="Z612" s="6" t="inlineStr"/>
    </row>
    <row r="613">
      <c r="A613" s="5" t="inlineStr">
        <is>
          <t>b7-kira-artisi</t>
        </is>
      </c>
      <c r="B613" s="5" t="n">
        <v>3</v>
      </c>
      <c r="C613" s="6" t="inlineStr">
        <is>
          <t>'Kızınız dönüyor, değil mi?' de</t>
        </is>
      </c>
      <c r="D613" s="5" t="inlineStr">
        <is>
          <t>Sosyal Radar</t>
        </is>
      </c>
      <c r="E613" s="5" t="inlineStr">
        <is>
          <t>Kolay</t>
        </is>
      </c>
      <c r="F613" s="5" t="inlineStr"/>
      <c r="G613" s="6" t="inlineStr"/>
      <c r="H613" s="6" t="inlineStr">
        <is>
          <t>Ev sahibi sustu. Sonra 'Bir yıl daha kalın, eski rakamdan' dedi. Bilgi güçtür.</t>
        </is>
      </c>
      <c r="I613" s="6" t="inlineStr">
        <is>
          <t>Ev sahibi o kadar etkilendi ki kızının taşınmasına yardım etmeni rica etti. Kira donduruldu, sen koli taşıdın.</t>
        </is>
      </c>
      <c r="J613" s="6" t="inlineStr">
        <is>
          <t>Kızı dönmüyormuş. Oğlu dönüyormuş. Detay önemliydi.</t>
        </is>
      </c>
      <c r="K613" s="6" t="inlineStr">
        <is>
          <t>Kızı dönmüyormuş; ev sahibi bu fikri senden aldı. Tahliye bildirimi teşekkür notuyla geldi.</t>
        </is>
      </c>
      <c r="L613" s="6" t="inlineStr"/>
      <c r="M613" s="5" t="inlineStr"/>
      <c r="N613" s="5" t="inlineStr"/>
      <c r="O613" s="6" t="inlineStr"/>
      <c r="P613" s="6" t="inlineStr"/>
      <c r="Q613" s="5" t="inlineStr"/>
      <c r="R613" s="5" t="inlineStr"/>
      <c r="S613" s="5" t="inlineStr">
        <is>
          <t>Sosyal Radar</t>
        </is>
      </c>
      <c r="T613" s="5" t="inlineStr"/>
      <c r="U613" s="5" t="inlineStr"/>
      <c r="V613" s="5" t="inlineStr"/>
      <c r="W613" s="5" t="inlineStr"/>
      <c r="X613" s="5" t="inlineStr"/>
      <c r="Y613" s="5" t="inlineStr"/>
      <c r="Z613" s="6" t="inlineStr"/>
    </row>
    <row r="614">
      <c r="A614" s="5" t="inlineStr">
        <is>
          <t>b7-kira-artisi</t>
        </is>
      </c>
      <c r="B614" s="5" t="n">
        <v>4</v>
      </c>
      <c r="C614" s="6" t="inlineStr">
        <is>
          <t>'Ben zaten ev bakıyordum' de</t>
        </is>
      </c>
      <c r="D614" s="5" t="inlineStr">
        <is>
          <t>Pişkinlik</t>
        </is>
      </c>
      <c r="E614" s="5" t="inlineStr">
        <is>
          <t>Zor</t>
        </is>
      </c>
      <c r="F614" s="5" t="inlineStr"/>
      <c r="G614" s="6" t="inlineStr"/>
      <c r="H614" s="6" t="inlineStr">
        <is>
          <t>Blöf işe yaradı. Ev sahibi, boş ev riskini hesapladı ve geri adım attı.</t>
        </is>
      </c>
      <c r="I614" s="6" t="inlineStr">
        <is>
          <t>Blöfün öyle inandırıcıydı ki ev sahibi seni kalman için ikna etmeye çalıştı. Kira sabitlendi, üstüne tatlı geldi.</t>
        </is>
      </c>
      <c r="J614" s="6" t="inlineStr">
        <is>
          <t>Ev sahibi 'Tabii, bak' dedi. Sen de baktın. Bakacak bir şey yoktu.</t>
        </is>
      </c>
      <c r="K614" s="6" t="inlineStr">
        <is>
          <t>Ev sahibi 'Harika, yarın gösterime açıyorum' dedi. Artık kendi evinde rehberlik yapıyorsun.</t>
        </is>
      </c>
      <c r="L614" s="6" t="inlineStr"/>
      <c r="M614" s="5" t="inlineStr"/>
      <c r="N614" s="5" t="inlineStr"/>
      <c r="O614" s="6" t="inlineStr"/>
      <c r="P614" s="6" t="inlineStr"/>
      <c r="Q614" s="5" t="inlineStr">
        <is>
          <t>Yüzü Kızarmaz</t>
        </is>
      </c>
      <c r="R614" s="5" t="inlineStr"/>
      <c r="S614" s="5" t="inlineStr"/>
      <c r="T614" s="5" t="inlineStr"/>
      <c r="U614" s="5" t="inlineStr"/>
      <c r="V614" s="5" t="inlineStr"/>
      <c r="W614" s="5" t="inlineStr"/>
      <c r="X614" s="5" t="inlineStr"/>
      <c r="Y614" s="5" t="inlineStr"/>
      <c r="Z614" s="6" t="inlineStr"/>
    </row>
    <row r="615">
      <c r="A615" s="5" t="inlineStr">
        <is>
          <t>b7-eski-sinif-arkadasi</t>
        </is>
      </c>
      <c r="B615" s="5" t="n">
        <v>1</v>
      </c>
      <c r="C615" s="6" t="inlineStr">
        <is>
          <t>Tebrik et</t>
        </is>
      </c>
      <c r="D615" s="5" t="inlineStr"/>
      <c r="E615" s="5" t="inlineStr"/>
      <c r="F615" s="5" t="inlineStr">
        <is>
          <t>Vicdan +1</t>
        </is>
      </c>
      <c r="G615" s="6" t="inlineStr">
        <is>
          <t>'Harika, çok sevindim' yazdın. Duygularının yüzde altmışı bu cümlede temsil edildi.</t>
        </is>
      </c>
      <c r="H615" s="6" t="inlineStr"/>
      <c r="I615" s="6" t="inlineStr"/>
      <c r="J615" s="6" t="inlineStr"/>
      <c r="K615" s="6" t="inlineStr"/>
      <c r="L615" s="6" t="inlineStr"/>
      <c r="M615" s="5" t="inlineStr"/>
      <c r="N615" s="5" t="inlineStr"/>
      <c r="O615" s="6" t="inlineStr"/>
      <c r="P615" s="6" t="inlineStr"/>
      <c r="Q615" s="5" t="inlineStr"/>
      <c r="R615" s="5" t="inlineStr"/>
      <c r="S615" s="5" t="inlineStr"/>
      <c r="T615" s="5" t="inlineStr"/>
      <c r="U615" s="5" t="inlineStr"/>
      <c r="V615" s="5" t="inlineStr"/>
      <c r="W615" s="5" t="inlineStr"/>
      <c r="X615" s="5" t="inlineStr"/>
      <c r="Y615" s="5" t="inlineStr"/>
      <c r="Z615" s="6" t="inlineStr"/>
    </row>
    <row r="616">
      <c r="A616" s="5" t="inlineStr">
        <is>
          <t>b7-eski-sinif-arkadasi</t>
        </is>
      </c>
      <c r="B616" s="5" t="n">
        <v>2</v>
      </c>
      <c r="C616" s="6" t="inlineStr">
        <is>
          <t>Fotoğrafı büyütüp ofisi incele</t>
        </is>
      </c>
      <c r="D616" s="5" t="inlineStr"/>
      <c r="E616" s="5" t="inlineStr"/>
      <c r="F616" s="5" t="inlineStr">
        <is>
          <t>Sosyal Radar +1</t>
        </is>
      </c>
      <c r="G616" s="6" t="inlineStr">
        <is>
          <t>Ofisin arkasındaki bitki yapaymış. Bu bilgi seni gereğinden fazla rahatlattı.</t>
        </is>
      </c>
      <c r="H616" s="6" t="inlineStr"/>
      <c r="I616" s="6" t="inlineStr"/>
      <c r="J616" s="6" t="inlineStr"/>
      <c r="K616" s="6" t="inlineStr"/>
      <c r="L616" s="6" t="inlineStr"/>
      <c r="M616" s="5" t="inlineStr"/>
      <c r="N616" s="5" t="inlineStr"/>
      <c r="O616" s="6" t="inlineStr"/>
      <c r="P616" s="6" t="inlineStr"/>
      <c r="Q616" s="5" t="inlineStr"/>
      <c r="R616" s="5" t="inlineStr"/>
      <c r="S616" s="5" t="inlineStr"/>
      <c r="T616" s="5" t="inlineStr"/>
      <c r="U616" s="5" t="inlineStr"/>
      <c r="V616" s="5" t="inlineStr"/>
      <c r="W616" s="5" t="inlineStr"/>
      <c r="X616" s="5" t="inlineStr"/>
      <c r="Y616" s="5" t="inlineStr"/>
      <c r="Z616" s="6" t="inlineStr"/>
    </row>
    <row r="617">
      <c r="A617" s="5" t="inlineStr">
        <is>
          <t>b7-eski-sinif-arkadasi</t>
        </is>
      </c>
      <c r="B617" s="5" t="n">
        <v>3</v>
      </c>
      <c r="C617" s="6" t="inlineStr">
        <is>
          <t>'Bir kahve içelim' yaz</t>
        </is>
      </c>
      <c r="D617" s="5" t="inlineStr">
        <is>
          <t>Çene</t>
        </is>
      </c>
      <c r="E617" s="5" t="inlineStr">
        <is>
          <t>Orta</t>
        </is>
      </c>
      <c r="F617" s="5" t="inlineStr"/>
      <c r="G617" s="6" t="inlineStr"/>
      <c r="H617" s="6" t="inlineStr">
        <is>
          <t>Kahve içtiniz. Başarı sırrı 'erken kalkmak'mış. Hiçbir şey öğrenmedin ama kahve iyiydi.</t>
        </is>
      </c>
      <c r="I617" s="6" t="inlineStr">
        <is>
          <t>Kahvenin sonunda sana iş teklif etti. Artık en sessiz çocuğun şirketinde toplantı sen konuşuyorsun.</t>
        </is>
      </c>
      <c r="J617" s="6" t="inlineStr">
        <is>
          <t>Mesajın 'görüldü' durumunda. Başarı, cevap süresini uzatıyormuş.</t>
        </is>
      </c>
      <c r="K617" s="6" t="inlineStr">
        <is>
          <t>Kahvede sana 'yatırım fırsatı' anlattı. Anlatılan şeyin adı dijital paraydı. Kahveyi sen ödedin.</t>
        </is>
      </c>
      <c r="L617" s="6" t="inlineStr"/>
      <c r="M617" s="5" t="inlineStr"/>
      <c r="N617" s="5" t="inlineStr"/>
      <c r="O617" s="6" t="inlineStr"/>
      <c r="P617" s="6" t="inlineStr"/>
      <c r="Q617" s="5" t="inlineStr"/>
      <c r="R617" s="5" t="inlineStr"/>
      <c r="S617" s="5" t="inlineStr"/>
      <c r="T617" s="5" t="inlineStr"/>
      <c r="U617" s="5" t="inlineStr"/>
      <c r="V617" s="5" t="inlineStr"/>
      <c r="W617" s="5" t="inlineStr"/>
      <c r="X617" s="5" t="inlineStr"/>
      <c r="Y617" s="5" t="inlineStr"/>
      <c r="Z617" s="6" t="inlineStr"/>
    </row>
    <row r="618">
      <c r="A618" s="5" t="inlineStr">
        <is>
          <t>b7-eski-sinif-arkadasi</t>
        </is>
      </c>
      <c r="B618" s="5" t="n">
        <v>4</v>
      </c>
      <c r="C618" s="6" t="inlineStr">
        <is>
          <t>Sınıf başkanı sıfatıyla mezunlar buluşması düzenle</t>
        </is>
      </c>
      <c r="D618" s="5" t="inlineStr">
        <is>
          <t>Sosyal Radar</t>
        </is>
      </c>
      <c r="E618" s="5" t="inlineStr">
        <is>
          <t>Orta</t>
        </is>
      </c>
      <c r="F618" s="5" t="inlineStr"/>
      <c r="G618" s="6" t="inlineStr"/>
      <c r="H618" s="6" t="inlineStr">
        <is>
          <t>Herkes geldi. Başarılı olan arkadaş son dakika iptal etti. Buluşmanın konusu o oldu.</t>
        </is>
      </c>
      <c r="I618" s="6" t="inlineStr">
        <is>
          <t>Buluşma o kadar güzel geçti ki herkes seni 'hâlâ başkan' diye çağırdı. Görev süren sona ermedi.</t>
        </is>
      </c>
      <c r="J618" s="6" t="inlineStr">
        <is>
          <t>Buluşmaya dört kişi geldi. Üçü seni yanlışlıkla başka biri sandı.</t>
        </is>
      </c>
      <c r="K618" s="6" t="inlineStr">
        <is>
          <t>Buluşma grubunu kurdun; grup bir haftada 900 mesaja ulaştı, kimse gelmedi, siyaset hariç her şey konuşuldu.</t>
        </is>
      </c>
      <c r="L618" s="6" t="inlineStr"/>
      <c r="M618" s="5" t="inlineStr"/>
      <c r="N618" s="5" t="inlineStr"/>
      <c r="O618" s="6" t="inlineStr"/>
      <c r="P618" s="6" t="inlineStr"/>
      <c r="Q618" s="5" t="inlineStr"/>
      <c r="R618" s="5" t="inlineStr">
        <is>
          <t>baskan</t>
        </is>
      </c>
      <c r="S618" s="5" t="inlineStr"/>
      <c r="T618" s="5" t="inlineStr"/>
      <c r="U618" s="5" t="inlineStr"/>
      <c r="V618" s="5" t="inlineStr"/>
      <c r="W618" s="5" t="inlineStr"/>
      <c r="X618" s="5" t="inlineStr"/>
      <c r="Y618" s="5" t="inlineStr"/>
      <c r="Z618" s="6" t="inlineStr"/>
    </row>
    <row r="619">
      <c r="A619" s="5" t="inlineStr">
        <is>
          <t>mb-eposta-yagmuru</t>
        </is>
      </c>
      <c r="B619" s="5" t="n">
        <v>1</v>
      </c>
      <c r="C619" s="6" t="inlineStr">
        <is>
          <t>Tek tek ayıkla</t>
        </is>
      </c>
      <c r="D619" s="5" t="inlineStr">
        <is>
          <t>Akıl</t>
        </is>
      </c>
      <c r="E619" s="5" t="inlineStr">
        <is>
          <t>Orta</t>
        </is>
      </c>
      <c r="F619" s="5" t="inlineStr"/>
      <c r="G619" s="6" t="inlineStr"/>
      <c r="H619" s="6" t="inlineStr">
        <is>
          <t>Gelen kutusu sıfırlandı. Otuz saniye boyunca huzur vardı.</t>
        </is>
      </c>
      <c r="I619" s="6" t="inlineStr">
        <is>
          <t>Sıfırladın, üstüne bir kural yazdın. 'Herkese Yanıt' e-postaları artık seni atlıyor.</t>
        </is>
      </c>
      <c r="J619" s="6" t="inlineStr">
        <is>
          <t>Önemli bir e-postayı arşivledin. Müşteri üç gün sonra 'Tamam o zaman' yazdı.</t>
        </is>
      </c>
      <c r="K619" s="6" t="inlineStr">
        <is>
          <t>Yanlışlıkla bütün şirkete 'Tamam' yazdın. Bin dört yüz kişi 'Neye tamam?' diye yanıtladı.</t>
        </is>
      </c>
      <c r="L619" s="6" t="inlineStr">
        <is>
          <t>Yarısını ayıkladın. Diğer yarısı hâlâ orada, sessizce çoğalıyor.</t>
        </is>
      </c>
      <c r="M619" s="5" t="inlineStr">
        <is>
          <t>swipe</t>
        </is>
      </c>
      <c r="N619" s="5" t="inlineStr">
        <is>
          <t>Arşivle / Yanıtla</t>
        </is>
      </c>
      <c r="O619" s="6" t="inlineStr">
        <is>
          <t>Gereksizleri sola arşivle, gerçekten önemli olanları sağa yanıtla.</t>
        </is>
      </c>
      <c r="P619" s="6" t="inlineStr">
        <is>
          <t>{"left": "Arşivle", "right": "Yanıtla", "items": [{"t": "ACİL: Toplantı hakkında toplantı", "right": false}, {"t": "Müşteri: Sözleşme bugün bitiyor", "right": true}, {"t": "Tüm şirkete: Buzdolabındaki yoğurt kimin?", "right": false}, {"t": "YNT: YNT: YNT: Herkese Yanıt", "right": false}, {"t": "Yöneticin: Kısa bir sorum var", "right": true}, {"t": "Haftalık bülten: Değerlerimiz", "right": false}, {"t": "Bordro: Maaşınız hakkında", "right": true}, {"t": "Otomatik yanıt: İzindeyim", "right": false}, {"t": "Genel müdür: Sunum nerede?", "right": true}, {"t": "3. katta doğum günü pastası", "right": false}]}</t>
        </is>
      </c>
      <c r="Q619" s="5" t="inlineStr"/>
      <c r="R619" s="5" t="inlineStr"/>
      <c r="S619" s="5" t="inlineStr"/>
      <c r="T619" s="5" t="inlineStr"/>
      <c r="U619" s="5" t="inlineStr"/>
      <c r="V619" s="5" t="inlineStr"/>
      <c r="W619" s="5" t="inlineStr"/>
      <c r="X619" s="5" t="inlineStr"/>
      <c r="Y619" s="5" t="inlineStr"/>
      <c r="Z619" s="6" t="inlineStr"/>
    </row>
    <row r="620">
      <c r="A620" s="5" t="inlineStr">
        <is>
          <t>mb-eposta-yagmuru</t>
        </is>
      </c>
      <c r="B620" s="5" t="n">
        <v>2</v>
      </c>
      <c r="C620" s="6" t="inlineStr">
        <is>
          <t>Hepsini okundu işaretle</t>
        </is>
      </c>
      <c r="D620" s="5" t="inlineStr"/>
      <c r="E620" s="5" t="inlineStr"/>
      <c r="F620" s="5" t="inlineStr">
        <is>
          <t>Pişkinlik +2</t>
        </is>
      </c>
      <c r="G620" s="6" t="inlineStr">
        <is>
          <t>Tek tıkla sıfırladın. Önemli olan tekrar yazar. Yazmadı. Demek önemli değilmiş.</t>
        </is>
      </c>
      <c r="H620" s="6" t="inlineStr"/>
      <c r="I620" s="6" t="inlineStr"/>
      <c r="J620" s="6" t="inlineStr"/>
      <c r="K620" s="6" t="inlineStr"/>
      <c r="L620" s="6" t="inlineStr"/>
      <c r="M620" s="5" t="inlineStr"/>
      <c r="N620" s="5" t="inlineStr"/>
      <c r="O620" s="6" t="inlineStr"/>
      <c r="P620" s="6" t="inlineStr"/>
      <c r="Q620" s="5" t="inlineStr"/>
      <c r="R620" s="5" t="inlineStr"/>
      <c r="S620" s="5" t="inlineStr"/>
      <c r="T620" s="5" t="inlineStr"/>
      <c r="U620" s="5" t="inlineStr"/>
      <c r="V620" s="5" t="inlineStr"/>
      <c r="W620" s="5" t="inlineStr"/>
      <c r="X620" s="5" t="inlineStr"/>
      <c r="Y620" s="5" t="inlineStr"/>
      <c r="Z620" s="6" t="inlineStr"/>
    </row>
    <row r="621">
      <c r="A621" s="5" t="inlineStr">
        <is>
          <t>mb-eposta-yagmuru</t>
        </is>
      </c>
      <c r="B621" s="5" t="n">
        <v>3</v>
      </c>
      <c r="C621" s="6" t="inlineStr">
        <is>
          <t>Otomatik yanıtı bir hafta daha açık tut</t>
        </is>
      </c>
      <c r="D621" s="5" t="inlineStr">
        <is>
          <t>Kurnazlık</t>
        </is>
      </c>
      <c r="E621" s="5" t="inlineStr">
        <is>
          <t>Kolay</t>
        </is>
      </c>
      <c r="F621" s="5" t="inlineStr"/>
      <c r="G621" s="6" t="inlineStr"/>
      <c r="H621" s="6" t="inlineStr">
        <is>
          <t>Tatil fiziksel olarak bitti, dijital olarak sürüyor. Bir hafta kimse senden bir şey istemedi.</t>
        </is>
      </c>
      <c r="I621" s="6" t="inlineStr">
        <is>
          <t>Otomatik yanıtın o kadar ikna ediciydi ki yöneticin sana iyi tatiller diledi. Yan masadan.</t>
        </is>
      </c>
      <c r="J621" s="6" t="inlineStr">
        <is>
          <t>Yöneticin yan masadan 'Buradasın ama?' diye yazdı. Otomatik yanıt aldı.</t>
        </is>
      </c>
      <c r="K621" s="6" t="inlineStr">
        <is>
          <t>Otomatik yanıtın bir müşteriyle yazışmaya girdi ve yüzde otuz indirim onayladı.</t>
        </is>
      </c>
      <c r="L621" s="6" t="inlineStr"/>
      <c r="M621" s="5" t="inlineStr"/>
      <c r="N621" s="5" t="inlineStr"/>
      <c r="O621" s="6" t="inlineStr"/>
      <c r="P621" s="6" t="inlineStr"/>
      <c r="Q621" s="5" t="inlineStr"/>
      <c r="R621" s="5" t="inlineStr"/>
      <c r="S621" s="5" t="inlineStr"/>
      <c r="T621" s="5" t="inlineStr"/>
      <c r="U621" s="5" t="inlineStr"/>
      <c r="V621" s="5" t="inlineStr"/>
      <c r="W621" s="5" t="inlineStr"/>
      <c r="X621" s="5" t="inlineStr"/>
      <c r="Y621" s="5" t="inlineStr"/>
      <c r="Z621" s="6" t="inlineStr"/>
    </row>
    <row r="622">
      <c r="A622" s="5" t="inlineStr">
        <is>
          <t>me-kira-artisi</t>
        </is>
      </c>
      <c r="B622" s="5" t="n">
        <v>1</v>
      </c>
      <c r="C622" s="6" t="inlineStr">
        <is>
          <t>Artışı kabul et</t>
        </is>
      </c>
      <c r="D622" s="5" t="inlineStr"/>
      <c r="E622" s="5" t="inlineStr"/>
      <c r="F622" s="5" t="inlineStr">
        <is>
          <t>Dayanıklılık +1</t>
        </is>
      </c>
      <c r="G622" s="6" t="inlineStr">
        <is>
          <t>Artışı kabul ettin. Etiketlerin yarısı da artışı kabul etti.</t>
        </is>
      </c>
      <c r="H622" s="6" t="inlineStr"/>
      <c r="I622" s="6" t="inlineStr"/>
      <c r="J622" s="6" t="inlineStr"/>
      <c r="K622" s="6" t="inlineStr"/>
      <c r="L622" s="6" t="inlineStr"/>
      <c r="M622" s="5" t="inlineStr"/>
      <c r="N622" s="5" t="inlineStr"/>
      <c r="O622" s="6" t="inlineStr"/>
      <c r="P622" s="6" t="inlineStr"/>
      <c r="Q622" s="5" t="inlineStr"/>
      <c r="R622" s="5" t="inlineStr"/>
      <c r="S622" s="5" t="inlineStr"/>
      <c r="T622" s="5" t="inlineStr"/>
      <c r="U622" s="5" t="inlineStr"/>
      <c r="V622" s="5" t="inlineStr"/>
      <c r="W622" s="5" t="inlineStr"/>
      <c r="X622" s="5" t="inlineStr"/>
      <c r="Y622" s="5" t="inlineStr"/>
      <c r="Z622" s="6" t="inlineStr"/>
    </row>
    <row r="623">
      <c r="A623" s="5" t="inlineStr">
        <is>
          <t>me-kira-artisi</t>
        </is>
      </c>
      <c r="B623" s="5" t="n">
        <v>2</v>
      </c>
      <c r="C623" s="6" t="inlineStr">
        <is>
          <t>Pazarlık et</t>
        </is>
      </c>
      <c r="D623" s="5" t="inlineStr">
        <is>
          <t>Çene</t>
        </is>
      </c>
      <c r="E623" s="5" t="inlineStr">
        <is>
          <t>Orta</t>
        </is>
      </c>
      <c r="F623" s="5" t="inlineStr"/>
      <c r="G623" s="6" t="inlineStr"/>
      <c r="H623" s="6" t="inlineStr">
        <is>
          <t>Artışı yarıya indirdin. Karşılığında dükkân sahibi her sabah çayını sende içecek.</t>
        </is>
      </c>
      <c r="I623" s="6" t="inlineStr">
        <is>
          <t>Beş yıllık sözleşme kopardın. Dükkân sahibi imzadan sonra hesap makinesine uzun uzun baktı.</t>
        </is>
      </c>
      <c r="J623" s="6" t="inlineStr">
        <is>
          <t>'Düşünürüm' dedi ve düşünmeden rakamı mesajla gönderdi.</t>
        </is>
      </c>
      <c r="K623" s="6" t="inlineStr">
        <is>
          <t>'Başka yer bakarım' dedin. Dükkân sahibi 'Bak' dedi. Şimdi bakıyorsun.</t>
        </is>
      </c>
      <c r="L623" s="6" t="inlineStr"/>
      <c r="M623" s="5" t="inlineStr"/>
      <c r="N623" s="5" t="inlineStr"/>
      <c r="O623" s="6" t="inlineStr"/>
      <c r="P623" s="6" t="inlineStr"/>
      <c r="Q623" s="5" t="inlineStr"/>
      <c r="R623" s="5" t="inlineStr"/>
      <c r="S623" s="5" t="inlineStr"/>
      <c r="T623" s="5" t="inlineStr"/>
      <c r="U623" s="5" t="inlineStr"/>
      <c r="V623" s="5" t="inlineStr"/>
      <c r="W623" s="5" t="inlineStr"/>
      <c r="X623" s="5" t="inlineStr"/>
      <c r="Y623" s="5" t="inlineStr"/>
      <c r="Z623" s="6" t="inlineStr"/>
    </row>
    <row r="624">
      <c r="A624" s="5" t="inlineStr">
        <is>
          <t>me-kira-artisi</t>
        </is>
      </c>
      <c r="B624" s="5" t="n">
        <v>3</v>
      </c>
      <c r="C624" s="6" t="inlineStr">
        <is>
          <t>'Yeğen kafe mi açacak?' diye sor</t>
        </is>
      </c>
      <c r="D624" s="5" t="inlineStr">
        <is>
          <t>Sosyal Radar</t>
        </is>
      </c>
      <c r="E624" s="5" t="inlineStr">
        <is>
          <t>Kolay</t>
        </is>
      </c>
      <c r="F624" s="5" t="inlineStr"/>
      <c r="G624" s="6" t="inlineStr"/>
      <c r="H624" s="6" t="inlineStr">
        <is>
          <t>Sorunca dükkân sahibi bozuldu, rakamı düşürdü. Yeğenin kafesi başka köşeye açıldı.</t>
        </is>
      </c>
      <c r="I624" s="6" t="inlineStr">
        <is>
          <t>Yeğene arka odayı küçük bir kahve köşesi olarak kiraladın. Kiranın bir kısmını artık o ödüyor.</t>
        </is>
      </c>
      <c r="J624" s="6" t="inlineStr">
        <is>
          <t>'Ne yeğeni?' dedi. Üç ay sonra yeğen kapıda metreyle ölçüm yapıyordu.</t>
        </is>
      </c>
      <c r="K624" s="6" t="inlineStr">
        <is>
          <t>Dükkân sahibi fikri o an beğendi. Yeğen sende işe başladı; maaşını sen veriyorsun.</t>
        </is>
      </c>
      <c r="L624" s="6" t="inlineStr"/>
      <c r="M624" s="5" t="inlineStr"/>
      <c r="N624" s="5" t="inlineStr"/>
      <c r="O624" s="6" t="inlineStr"/>
      <c r="P624" s="6" t="inlineStr"/>
      <c r="Q624" s="5" t="inlineStr"/>
      <c r="R624" s="5" t="inlineStr"/>
      <c r="S624" s="5" t="inlineStr">
        <is>
          <t>Sosyal Radar</t>
        </is>
      </c>
      <c r="T624" s="5" t="inlineStr"/>
      <c r="U624" s="5" t="inlineStr"/>
      <c r="V624" s="5" t="inlineStr"/>
      <c r="W624" s="5" t="inlineStr"/>
      <c r="X624" s="5" t="inlineStr"/>
      <c r="Y624" s="5" t="inlineStr"/>
      <c r="Z624" s="6" t="inlineStr"/>
    </row>
    <row r="625">
      <c r="A625" s="5" t="inlineStr">
        <is>
          <t>me-kira-artisi</t>
        </is>
      </c>
      <c r="B625" s="5" t="n">
        <v>4</v>
      </c>
      <c r="C625" s="6" t="inlineStr">
        <is>
          <t>Ödemeyi ertelet</t>
        </is>
      </c>
      <c r="D625" s="5" t="inlineStr">
        <is>
          <t>Pişkinlik</t>
        </is>
      </c>
      <c r="E625" s="5" t="inlineStr">
        <is>
          <t>Zor</t>
        </is>
      </c>
      <c r="F625" s="5" t="inlineStr"/>
      <c r="G625" s="6" t="inlineStr"/>
      <c r="H625" s="6" t="inlineStr">
        <is>
          <t>'Ay sonuna kadar' dedin ve ay sonu gerçekten ödedin. Dükkân sahibi hâlâ şaşkın.</t>
        </is>
      </c>
      <c r="I625" s="6" t="inlineStr">
        <is>
          <t>Kirayı ertelettin, gecikme bedelini de sildirdin. Borç batağında ilk kez bir basamak yukarı çıktın.</t>
        </is>
      </c>
      <c r="J625" s="6" t="inlineStr">
        <is>
          <t>Erteleme istedin; dükkân sahibi başka yerlere de borçlu olduğunu çoktan duymuştu.</t>
        </is>
      </c>
      <c r="K625" s="6" t="inlineStr">
        <is>
          <t>Ertelettin. Ertesi gün kira, gecikme bedeli ve 'aramızda kalsın' notuyla iki katına çıktı.</t>
        </is>
      </c>
      <c r="L625" s="6" t="inlineStr"/>
      <c r="M625" s="5" t="inlineStr"/>
      <c r="N625" s="5" t="inlineStr"/>
      <c r="O625" s="6" t="inlineStr"/>
      <c r="P625" s="6" t="inlineStr"/>
      <c r="Q625" s="5" t="inlineStr"/>
      <c r="R625" s="5" t="inlineStr">
        <is>
          <t>borclu</t>
        </is>
      </c>
      <c r="S625" s="5" t="inlineStr"/>
      <c r="T625" s="5" t="inlineStr"/>
      <c r="U625" s="5" t="inlineStr"/>
      <c r="V625" s="5" t="inlineStr"/>
      <c r="W625" s="5" t="inlineStr"/>
      <c r="X625" s="5" t="inlineStr"/>
      <c r="Y625" s="5" t="inlineStr"/>
      <c r="Z625" s="6" t="inlineStr"/>
    </row>
    <row r="626">
      <c r="A626" s="5" t="inlineStr">
        <is>
          <t>mm-yeni-mudur</t>
        </is>
      </c>
      <c r="B626" s="5" t="n">
        <v>1</v>
      </c>
      <c r="C626" s="6" t="inlineStr">
        <is>
          <t>Yeni düzene uy</t>
        </is>
      </c>
      <c r="D626" s="5" t="inlineStr"/>
      <c r="E626" s="5" t="inlineStr"/>
      <c r="F626" s="5" t="inlineStr">
        <is>
          <t>Sosyal Radar +1, Dayanıklılık +1</t>
        </is>
      </c>
      <c r="G626" s="6" t="inlineStr">
        <is>
          <t>Kahveye artık her sabah iki dakika fazla yürüyorsun. Müdüre göre bu verimlilik.</t>
        </is>
      </c>
      <c r="H626" s="6" t="inlineStr"/>
      <c r="I626" s="6" t="inlineStr"/>
      <c r="J626" s="6" t="inlineStr"/>
      <c r="K626" s="6" t="inlineStr"/>
      <c r="L626" s="6" t="inlineStr"/>
      <c r="M626" s="5" t="inlineStr"/>
      <c r="N626" s="5" t="inlineStr"/>
      <c r="O626" s="6" t="inlineStr"/>
      <c r="P626" s="6" t="inlineStr"/>
      <c r="Q626" s="5" t="inlineStr"/>
      <c r="R626" s="5" t="inlineStr"/>
      <c r="S626" s="5" t="inlineStr"/>
      <c r="T626" s="5" t="inlineStr"/>
      <c r="U626" s="5" t="inlineStr"/>
      <c r="V626" s="5" t="inlineStr"/>
      <c r="W626" s="5" t="inlineStr"/>
      <c r="X626" s="5" t="inlineStr"/>
      <c r="Y626" s="5" t="inlineStr"/>
      <c r="Z626" s="6" t="inlineStr"/>
    </row>
    <row r="627">
      <c r="A627" s="5" t="inlineStr">
        <is>
          <t>mm-yeni-mudur</t>
        </is>
      </c>
      <c r="B627" s="5" t="n">
        <v>2</v>
      </c>
      <c r="C627" s="6" t="inlineStr">
        <is>
          <t>Eski müdürü öv</t>
        </is>
      </c>
      <c r="D627" s="5" t="inlineStr">
        <is>
          <t>Pişkinlik</t>
        </is>
      </c>
      <c r="E627" s="5" t="inlineStr">
        <is>
          <t>Zor</t>
        </is>
      </c>
      <c r="F627" s="5" t="inlineStr"/>
      <c r="G627" s="6" t="inlineStr"/>
      <c r="H627" s="6" t="inlineStr">
        <is>
          <t>Yeni müdür 'Sadakat güzel şey' dedi ve seni önemli bir dosyaya verdi.</t>
        </is>
      </c>
      <c r="I627" s="6" t="inlineStr">
        <is>
          <t>Övgün o kadar inceydi ki iki müdür birbirini arayıp seni ortak referans olarak kaydetti.</t>
        </is>
      </c>
      <c r="J627" s="6" t="inlineStr">
        <is>
          <t>Müdür not aldı. Not defterinin kapağında 'Muhalefet' yazıyor.</t>
        </is>
      </c>
      <c r="K627" s="6" t="inlineStr">
        <is>
          <t>Eski müdür, yeni müdürün en büyük rakibiymiş. Artık ikinci kattaki penceresiz odadasın.</t>
        </is>
      </c>
      <c r="L627" s="6" t="inlineStr"/>
      <c r="M627" s="5" t="inlineStr"/>
      <c r="N627" s="5" t="inlineStr"/>
      <c r="O627" s="6" t="inlineStr"/>
      <c r="P627" s="6" t="inlineStr"/>
      <c r="Q627" s="5" t="inlineStr"/>
      <c r="R627" s="5" t="inlineStr"/>
      <c r="S627" s="5" t="inlineStr"/>
      <c r="T627" s="5" t="inlineStr"/>
      <c r="U627" s="5" t="inlineStr"/>
      <c r="V627" s="5" t="inlineStr"/>
      <c r="W627" s="5" t="inlineStr">
        <is>
          <t>memur-mudur-dusmani</t>
        </is>
      </c>
      <c r="X627" s="5" t="inlineStr"/>
      <c r="Y627" s="5" t="inlineStr"/>
      <c r="Z627" s="6" t="inlineStr"/>
    </row>
    <row r="628">
      <c r="A628" s="5" t="inlineStr">
        <is>
          <t>mm-yeni-mudur</t>
        </is>
      </c>
      <c r="B628" s="5" t="n">
        <v>3</v>
      </c>
      <c r="C628" s="6" t="inlineStr">
        <is>
          <t>Kahve makinesini geri taşı</t>
        </is>
      </c>
      <c r="D628" s="5" t="inlineStr">
        <is>
          <t>Cesaret</t>
        </is>
      </c>
      <c r="E628" s="5" t="inlineStr">
        <is>
          <t>Zor</t>
        </is>
      </c>
      <c r="F628" s="5" t="inlineStr"/>
      <c r="G628" s="6" t="inlineStr"/>
      <c r="H628" s="6" t="inlineStr">
        <is>
          <t>Müdür ertesi sabah kahvesini eski yerden aldı. Sessiz bir teslimiyet.</t>
        </is>
      </c>
      <c r="I628" s="6" t="inlineStr">
        <is>
          <t>Müdür bunu cesaret olarak gördü ve 'Fikirlerini söyle' dedi. Fikirlerin artık resmî yazıyla isteniyor.</t>
        </is>
      </c>
      <c r="J628" s="6" t="inlineStr">
        <is>
          <t>Kablo yetmedi. Makine koridorun ortasında kaldı, sen de.</t>
        </is>
      </c>
      <c r="K628" s="6" t="inlineStr">
        <is>
          <t>Tutanak: 'Kurum demirbaşının izinsiz yer değiştirmesi.' Müdürle aranızdaki soğukluk resmiyet kazandı.</t>
        </is>
      </c>
      <c r="L628" s="6" t="inlineStr"/>
      <c r="M628" s="5" t="inlineStr"/>
      <c r="N628" s="5" t="inlineStr"/>
      <c r="O628" s="6" t="inlineStr"/>
      <c r="P628" s="6" t="inlineStr"/>
      <c r="Q628" s="5" t="inlineStr"/>
      <c r="R628" s="5" t="inlineStr"/>
      <c r="S628" s="5" t="inlineStr"/>
      <c r="T628" s="5" t="inlineStr"/>
      <c r="U628" s="5" t="inlineStr"/>
      <c r="V628" s="5" t="inlineStr"/>
      <c r="W628" s="5" t="inlineStr">
        <is>
          <t>memur-mudur-dusmani</t>
        </is>
      </c>
      <c r="X628" s="5" t="inlineStr"/>
      <c r="Y628" s="5" t="inlineStr"/>
      <c r="Z628" s="6" t="inlineStr"/>
    </row>
    <row r="629">
      <c r="A629" s="5" t="inlineStr">
        <is>
          <t>mm-yeni-mudur</t>
        </is>
      </c>
      <c r="B629" s="5" t="n">
        <v>4</v>
      </c>
      <c r="C629" s="6" t="inlineStr">
        <is>
          <t>Toplantıda sadece dinle</t>
        </is>
      </c>
      <c r="D629" s="5" t="inlineStr">
        <is>
          <t>Sosyal Radar</t>
        </is>
      </c>
      <c r="E629" s="5" t="inlineStr">
        <is>
          <t>Kolay</t>
        </is>
      </c>
      <c r="F629" s="5" t="inlineStr"/>
      <c r="G629" s="6" t="inlineStr"/>
      <c r="H629" s="6" t="inlineStr">
        <is>
          <t>Konuşmadın, not aldın. Müdür sonradan notlarını istedi. Tutanaklar artık sende.</t>
        </is>
      </c>
      <c r="I629" s="6" t="inlineStr">
        <is>
          <t>Notlarında müdürün söylediği her şeyin bir yönetmelik maddesiyle çeliştiği yazıyordu. Müdür sana danışman gibi davranmaya başladı.</t>
        </is>
      </c>
      <c r="J629" s="6" t="inlineStr">
        <is>
          <t>Dinledin. Toplantı dört saat sürdü. Not alacak bir şey çıkmadı.</t>
        </is>
      </c>
      <c r="K629" s="6" t="inlineStr">
        <is>
          <t>Dinlerken uyuklamışsın. Tutanakta 'Katılımcı görüş bildirmedi; gözlerini de açmadı' yazıyor.</t>
        </is>
      </c>
      <c r="L629" s="6" t="inlineStr"/>
      <c r="M629" s="5" t="inlineStr"/>
      <c r="N629" s="5" t="inlineStr"/>
      <c r="O629" s="6" t="inlineStr"/>
      <c r="P629" s="6" t="inlineStr"/>
      <c r="Q629" s="5" t="inlineStr">
        <is>
          <t>Sessiz Gözlemci</t>
        </is>
      </c>
      <c r="R629" s="5" t="inlineStr"/>
      <c r="S629" s="5" t="inlineStr"/>
      <c r="T629" s="5" t="inlineStr"/>
      <c r="U629" s="5" t="inlineStr"/>
      <c r="V629" s="5" t="inlineStr"/>
      <c r="W629" s="5" t="inlineStr">
        <is>
          <t>memur-mudur-dusmani</t>
        </is>
      </c>
      <c r="X629" s="5" t="inlineStr"/>
      <c r="Y629" s="5" t="inlineStr"/>
      <c r="Z629" s="6" t="inlineStr"/>
    </row>
    <row r="630">
      <c r="A630" s="5" t="inlineStr">
        <is>
          <t>b7-trafik-cezasi</t>
        </is>
      </c>
      <c r="B630" s="5" t="n">
        <v>1</v>
      </c>
      <c r="C630" s="6" t="inlineStr">
        <is>
          <t>Erken öde, indirimden yararlan</t>
        </is>
      </c>
      <c r="D630" s="5" t="inlineStr"/>
      <c r="E630" s="5" t="inlineStr"/>
      <c r="F630" s="5" t="inlineStr">
        <is>
          <t>Akıl +1</t>
        </is>
      </c>
      <c r="G630" s="6" t="inlineStr">
        <is>
          <t>Cezayı indirimli ödedin. Devletle ilk kampanya deneyimin oldu.</t>
        </is>
      </c>
      <c r="H630" s="6" t="inlineStr"/>
      <c r="I630" s="6" t="inlineStr"/>
      <c r="J630" s="6" t="inlineStr"/>
      <c r="K630" s="6" t="inlineStr"/>
      <c r="L630" s="6" t="inlineStr"/>
      <c r="M630" s="5" t="inlineStr"/>
      <c r="N630" s="5" t="inlineStr"/>
      <c r="O630" s="6" t="inlineStr"/>
      <c r="P630" s="6" t="inlineStr"/>
      <c r="Q630" s="5" t="inlineStr"/>
      <c r="R630" s="5" t="inlineStr"/>
      <c r="S630" s="5" t="inlineStr"/>
      <c r="T630" s="5" t="inlineStr"/>
      <c r="U630" s="5" t="inlineStr"/>
      <c r="V630" s="5" t="inlineStr"/>
      <c r="W630" s="5" t="inlineStr"/>
      <c r="X630" s="5" t="inlineStr"/>
      <c r="Y630" s="5" t="inlineStr"/>
      <c r="Z630" s="6" t="inlineStr"/>
    </row>
    <row r="631">
      <c r="A631" s="5" t="inlineStr">
        <is>
          <t>b7-trafik-cezasi</t>
        </is>
      </c>
      <c r="B631" s="5" t="n">
        <v>2</v>
      </c>
      <c r="C631" s="6" t="inlineStr">
        <is>
          <t>İtiraz dilekçesi yaz</t>
        </is>
      </c>
      <c r="D631" s="5" t="inlineStr">
        <is>
          <t>Akıl</t>
        </is>
      </c>
      <c r="E631" s="5" t="inlineStr">
        <is>
          <t>Zor</t>
        </is>
      </c>
      <c r="F631" s="5" t="inlineStr"/>
      <c r="G631" s="6" t="inlineStr"/>
      <c r="H631" s="6" t="inlineStr">
        <is>
          <t>Işığın arızalı olduğunu kanıtladın. Ceza iptal. Dilekçe arşivde örnek olarak saklanıyor.</t>
        </is>
      </c>
      <c r="I631" s="6" t="inlineStr">
        <is>
          <t>İtirazın kabul edildi, kavşaktaki ışık da değiştirildi. Belediye bir teşekkür yazısı gönderdi. Bu yazı da postayla geldi.</t>
        </is>
      </c>
      <c r="J631" s="6" t="inlineStr">
        <is>
          <t>Dilekçe 'süresi içinde yapılmadığı' için reddedildi. Süre, zarfın sana ulaşmasından önce dolmuş.</t>
        </is>
      </c>
      <c r="K631" s="6" t="inlineStr">
        <is>
          <t>İtiraz sürecinde indirim süresi geçti. Artık cezanın tamamını, gururla ödüyorsun.</t>
        </is>
      </c>
      <c r="L631" s="6" t="inlineStr"/>
      <c r="M631" s="5" t="inlineStr"/>
      <c r="N631" s="5" t="inlineStr"/>
      <c r="O631" s="6" t="inlineStr"/>
      <c r="P631" s="6" t="inlineStr"/>
      <c r="Q631" s="5" t="inlineStr"/>
      <c r="R631" s="5" t="inlineStr"/>
      <c r="S631" s="5" t="inlineStr"/>
      <c r="T631" s="5" t="inlineStr"/>
      <c r="U631" s="5" t="inlineStr"/>
      <c r="V631" s="5" t="inlineStr"/>
      <c r="W631" s="5" t="inlineStr"/>
      <c r="X631" s="5" t="inlineStr"/>
      <c r="Y631" s="5" t="inlineStr"/>
      <c r="Z631" s="6" t="inlineStr"/>
    </row>
    <row r="632">
      <c r="A632" s="5" t="inlineStr">
        <is>
          <t>b7-trafik-cezasi</t>
        </is>
      </c>
      <c r="B632" s="5" t="n">
        <v>3</v>
      </c>
      <c r="C632" s="6" t="inlineStr">
        <is>
          <t>'Fotoğraftaki ben değilim' de</t>
        </is>
      </c>
      <c r="D632" s="5" t="inlineStr">
        <is>
          <t>Pişkinlik</t>
        </is>
      </c>
      <c r="E632" s="5" t="inlineStr">
        <is>
          <t>Çok Zor</t>
        </is>
      </c>
      <c r="F632" s="5" t="inlineStr"/>
      <c r="G632" s="6" t="inlineStr"/>
      <c r="H632" s="6" t="inlineStr">
        <is>
          <t>Görevli fotoğrafa baktı, sana baktı, pes etti. Dosya 'kimliği belirsiz' klasörüne girdi.</t>
        </is>
      </c>
      <c r="I632" s="6" t="inlineStr">
        <is>
          <t>Görevli seni ikna edici buldu ve fotoğraftaki kişi hakkında seninle birlikte tutanak tuttu.</t>
        </is>
      </c>
      <c r="J632" s="6" t="inlineStr">
        <is>
          <t>Fotoğrafta tişörtündeki yazı okunuyordu. Aynı tişört şu an üzerinde.</t>
        </is>
      </c>
      <c r="K632" s="6" t="inlineStr">
        <is>
          <t>İnkâr ettin; ikinci bir fotoğraf çıktı. Onda da ışık kırmızıydı. Dosya birleştirildi.</t>
        </is>
      </c>
      <c r="L632" s="6" t="inlineStr"/>
      <c r="M632" s="5" t="inlineStr"/>
      <c r="N632" s="5" t="inlineStr"/>
      <c r="O632" s="6" t="inlineStr"/>
      <c r="P632" s="6" t="inlineStr"/>
      <c r="Q632" s="5" t="inlineStr"/>
      <c r="R632" s="5" t="inlineStr">
        <is>
          <t>yalanci</t>
        </is>
      </c>
      <c r="S632" s="5" t="inlineStr"/>
      <c r="T632" s="5" t="inlineStr"/>
      <c r="U632" s="5" t="inlineStr"/>
      <c r="V632" s="5" t="inlineStr"/>
      <c r="W632" s="5" t="inlineStr"/>
      <c r="X632" s="5" t="inlineStr"/>
      <c r="Y632" s="5" t="inlineStr"/>
      <c r="Z632" s="6" t="inlineStr"/>
    </row>
    <row r="633">
      <c r="A633" s="5" t="inlineStr">
        <is>
          <t>ms-fatura-kovalamaca</t>
        </is>
      </c>
      <c r="B633" s="5" t="n">
        <v>1</v>
      </c>
      <c r="C633" s="6" t="inlineStr">
        <is>
          <t>Nazik bir hatırlatma daha yaz</t>
        </is>
      </c>
      <c r="D633" s="5" t="inlineStr"/>
      <c r="E633" s="5" t="inlineStr"/>
      <c r="F633" s="5" t="inlineStr">
        <is>
          <t>Vicdan +1</t>
        </is>
      </c>
      <c r="G633" s="6" t="inlineStr">
        <is>
          <t>Yedinci nazik hatırlatmayı yazdın. Nezaketin artık kibar bir öfke biçimi aldı.</t>
        </is>
      </c>
      <c r="H633" s="6" t="inlineStr"/>
      <c r="I633" s="6" t="inlineStr"/>
      <c r="J633" s="6" t="inlineStr"/>
      <c r="K633" s="6" t="inlineStr"/>
      <c r="L633" s="6" t="inlineStr"/>
      <c r="M633" s="5" t="inlineStr"/>
      <c r="N633" s="5" t="inlineStr"/>
      <c r="O633" s="6" t="inlineStr"/>
      <c r="P633" s="6" t="inlineStr"/>
      <c r="Q633" s="5" t="inlineStr"/>
      <c r="R633" s="5" t="inlineStr"/>
      <c r="S633" s="5" t="inlineStr"/>
      <c r="T633" s="5" t="inlineStr"/>
      <c r="U633" s="5" t="inlineStr">
        <is>
          <t>serbest-alacakli</t>
        </is>
      </c>
      <c r="V633" s="5" t="inlineStr"/>
      <c r="W633" s="5" t="inlineStr"/>
      <c r="X633" s="5" t="inlineStr"/>
      <c r="Y633" s="5" t="inlineStr"/>
      <c r="Z633" s="6" t="inlineStr"/>
    </row>
    <row r="634">
      <c r="A634" s="5" t="inlineStr">
        <is>
          <t>ms-fatura-kovalamaca</t>
        </is>
      </c>
      <c r="B634" s="5" t="n">
        <v>2</v>
      </c>
      <c r="C634" s="6" t="inlineStr">
        <is>
          <t>Her gün ara</t>
        </is>
      </c>
      <c r="D634" s="5" t="inlineStr">
        <is>
          <t>Dayanıklılık</t>
        </is>
      </c>
      <c r="E634" s="5" t="inlineStr">
        <is>
          <t>Zor</t>
        </is>
      </c>
      <c r="F634" s="5" t="inlineStr"/>
      <c r="G634" s="6" t="inlineStr"/>
      <c r="H634" s="6" t="inlineStr">
        <is>
          <t>Kırk üçüncü aramada para yattı. Muhasebeci sesini tanıdı: 'Yine mi siz?'</t>
        </is>
      </c>
      <c r="I634" s="6" t="inlineStr">
        <is>
          <t>Öyle ısrarcıydın ki şirket seni ödeme listesinin başına aldı. Sessizlik karşılığında.</t>
        </is>
      </c>
      <c r="J634" s="6" t="inlineStr">
        <is>
          <t>Santral seni bekleme müziğine bağladı. Müziği ezberledin, para gelmedi.</t>
        </is>
      </c>
      <c r="K634" s="6" t="inlineStr">
        <is>
          <t>Ödeme sonunda yapıldı. Başka bir serbest çalışanın hesabına.</t>
        </is>
      </c>
      <c r="L634" s="6" t="inlineStr"/>
      <c r="M634" s="5" t="inlineStr"/>
      <c r="N634" s="5" t="inlineStr"/>
      <c r="O634" s="6" t="inlineStr"/>
      <c r="P634" s="6" t="inlineStr"/>
      <c r="Q634" s="5" t="inlineStr"/>
      <c r="R634" s="5" t="inlineStr"/>
      <c r="S634" s="5" t="inlineStr"/>
      <c r="T634" s="5" t="inlineStr">
        <is>
          <t>Fatura Avcısı</t>
        </is>
      </c>
      <c r="U634" s="5" t="inlineStr"/>
      <c r="V634" s="5" t="inlineStr"/>
      <c r="W634" s="5" t="inlineStr">
        <is>
          <t>serbest-alacakli</t>
        </is>
      </c>
      <c r="X634" s="5" t="inlineStr"/>
      <c r="Y634" s="5" t="inlineStr"/>
      <c r="Z634" s="6" t="inlineStr"/>
    </row>
    <row r="635">
      <c r="A635" s="5" t="inlineStr">
        <is>
          <t>ms-fatura-kovalamaca</t>
        </is>
      </c>
      <c r="B635" s="5" t="n">
        <v>3</v>
      </c>
      <c r="C635" s="6" t="inlineStr">
        <is>
          <t>Muhasebeciye doğum günü mesajı at</t>
        </is>
      </c>
      <c r="D635" s="5" t="inlineStr">
        <is>
          <t>Çene</t>
        </is>
      </c>
      <c r="E635" s="5" t="inlineStr">
        <is>
          <t>Kolay</t>
        </is>
      </c>
      <c r="F635" s="5" t="inlineStr"/>
      <c r="G635" s="6" t="inlineStr"/>
      <c r="H635" s="6" t="inlineStr">
        <is>
          <t>Doğum günü mesajına teşekkür geldi. Yarım saat sonra ödeme de geldi.</t>
        </is>
      </c>
      <c r="I635" s="6" t="inlineStr">
        <is>
          <t>Muhasebeciyle arkadaş oldunuz. Faturaların artık ekleme bile gerek kalmadan ödeniyor.</t>
        </is>
      </c>
      <c r="J635" s="6" t="inlineStr">
        <is>
          <t>Mesajına kalp bıraktı. Ödeme hâlâ onay bekliyor.</t>
        </is>
      </c>
      <c r="K635" s="6" t="inlineStr">
        <is>
          <t>Mesajı yanlış muhasebeciye attın. Doğum günü değilmiş. Faturan 'şüpheli' klasörüne taşındı.</t>
        </is>
      </c>
      <c r="L635" s="6" t="inlineStr"/>
      <c r="M635" s="5" t="inlineStr"/>
      <c r="N635" s="5" t="inlineStr"/>
      <c r="O635" s="6" t="inlineStr"/>
      <c r="P635" s="6" t="inlineStr"/>
      <c r="Q635" s="5" t="inlineStr"/>
      <c r="R635" s="5" t="inlineStr"/>
      <c r="S635" s="5" t="inlineStr">
        <is>
          <t>Çene</t>
        </is>
      </c>
      <c r="T635" s="5" t="inlineStr"/>
      <c r="U635" s="5" t="inlineStr"/>
      <c r="V635" s="5" t="inlineStr"/>
      <c r="W635" s="5" t="inlineStr"/>
      <c r="X635" s="5" t="inlineStr"/>
      <c r="Y635" s="5" t="inlineStr"/>
      <c r="Z635" s="6" t="inlineStr"/>
    </row>
    <row r="636">
      <c r="A636" s="5" t="inlineStr">
        <is>
          <t>ms-fatura-kovalamaca</t>
        </is>
      </c>
      <c r="B636" s="5" t="n">
        <v>4</v>
      </c>
      <c r="C636" s="6" t="inlineStr">
        <is>
          <t>Resmî ihtar gönder</t>
        </is>
      </c>
      <c r="D636" s="5" t="inlineStr">
        <is>
          <t>Cesaret</t>
        </is>
      </c>
      <c r="E636" s="5" t="inlineStr">
        <is>
          <t>Orta</t>
        </is>
      </c>
      <c r="F636" s="5" t="inlineStr"/>
      <c r="G636" s="6" t="inlineStr"/>
      <c r="H636" s="6" t="inlineStr">
        <is>
          <t>İhtar ulaştı. Ödeme ertesi sabah yapıldı, gecikme faiziyle.</t>
        </is>
      </c>
      <c r="I636" s="6" t="inlineStr">
        <is>
          <t>İhtar sonrası şirket bütün serbest çalışanlara ödemeleri yaptı. Kahraman oldun, sessizce.</t>
        </is>
      </c>
      <c r="J636" s="6" t="inlineStr">
        <is>
          <t>İhtar gönderdin; şirket adres değiştirmiş.</t>
        </is>
      </c>
      <c r="K636" s="6" t="inlineStr">
        <is>
          <t>İhtar gönderdin; ödeme yapıldı ve seninle bir daha çalışmayacaklarını yazdılar. İki cümlelik bir mutluluk.</t>
        </is>
      </c>
      <c r="L636" s="6" t="inlineStr"/>
      <c r="M636" s="5" t="inlineStr"/>
      <c r="N636" s="5" t="inlineStr"/>
      <c r="O636" s="6" t="inlineStr"/>
      <c r="P636" s="6" t="inlineStr"/>
      <c r="Q636" s="5" t="inlineStr">
        <is>
          <t>Geri Adım Atmaz</t>
        </is>
      </c>
      <c r="R636" s="5" t="inlineStr"/>
      <c r="S636" s="5" t="inlineStr"/>
      <c r="T636" s="5" t="inlineStr"/>
      <c r="U636" s="5" t="inlineStr"/>
      <c r="V636" s="5" t="inlineStr"/>
      <c r="W636" s="5" t="inlineStr"/>
      <c r="X636" s="5" t="inlineStr"/>
      <c r="Y636" s="5" t="inlineStr"/>
      <c r="Z636" s="6" t="inlineStr"/>
    </row>
    <row r="637">
      <c r="A637" s="5" t="inlineStr">
        <is>
          <t>b7-araba-alma</t>
        </is>
      </c>
      <c r="B637" s="5" t="n">
        <v>1</v>
      </c>
      <c r="C637" s="6" t="inlineStr">
        <is>
          <t>Toplu taşımaya devam</t>
        </is>
      </c>
      <c r="D637" s="5" t="inlineStr"/>
      <c r="E637" s="5" t="inlineStr"/>
      <c r="F637" s="5" t="inlineStr">
        <is>
          <t>Dayanıklılık +1</t>
        </is>
      </c>
      <c r="G637" s="6" t="inlineStr">
        <is>
          <t>Arabayı almadın. Kartına yükleme yaptın. Sabah yedi otuzda insan kalabalığı seni ısıttı.</t>
        </is>
      </c>
      <c r="H637" s="6" t="inlineStr"/>
      <c r="I637" s="6" t="inlineStr"/>
      <c r="J637" s="6" t="inlineStr"/>
      <c r="K637" s="6" t="inlineStr"/>
      <c r="L637" s="6" t="inlineStr"/>
      <c r="M637" s="5" t="inlineStr"/>
      <c r="N637" s="5" t="inlineStr"/>
      <c r="O637" s="6" t="inlineStr"/>
      <c r="P637" s="6" t="inlineStr"/>
      <c r="Q637" s="5" t="inlineStr"/>
      <c r="R637" s="5" t="inlineStr"/>
      <c r="S637" s="5" t="inlineStr"/>
      <c r="T637" s="5" t="inlineStr"/>
      <c r="U637" s="5" t="inlineStr"/>
      <c r="V637" s="5" t="inlineStr"/>
      <c r="W637" s="5" t="inlineStr"/>
      <c r="X637" s="5" t="inlineStr"/>
      <c r="Y637" s="5" t="inlineStr"/>
      <c r="Z637" s="6" t="inlineStr"/>
    </row>
    <row r="638">
      <c r="A638" s="5" t="inlineStr">
        <is>
          <t>b7-araba-alma</t>
        </is>
      </c>
      <c r="B638" s="5" t="n">
        <v>2</v>
      </c>
      <c r="C638" s="6" t="inlineStr">
        <is>
          <t>Kaputu açıp ciddi ciddi bak</t>
        </is>
      </c>
      <c r="D638" s="5" t="inlineStr">
        <is>
          <t>Kurnazlık</t>
        </is>
      </c>
      <c r="E638" s="5" t="inlineStr">
        <is>
          <t>Orta</t>
        </is>
      </c>
      <c r="F638" s="5" t="inlineStr"/>
      <c r="G638" s="6" t="inlineStr"/>
      <c r="H638" s="6" t="inlineStr">
        <is>
          <t>Neye baktığını bilmiyordun ama satıcı bildiğini sandı. Fiyat düştü.</t>
        </is>
      </c>
      <c r="I638" s="6" t="inlineStr">
        <is>
          <t>Kaputa bakarken gerçekten bir sorun buldun. Satıcı seni usta sandı ve kendi arabasını da sordu.</t>
        </is>
      </c>
      <c r="J638" s="6" t="inlineStr">
        <is>
          <t>Kaputu açtın, bir süre baktın, kapattın. Satıcı 'Güzel değil mi?' dedi. Evet dedin.</t>
        </is>
      </c>
      <c r="K638" s="6" t="inlineStr">
        <is>
          <t>Kaputu kapatırken kendi atkını içeride bıraktın. Araba artık hem pahalı hem de atkılı.</t>
        </is>
      </c>
      <c r="L638" s="6" t="inlineStr"/>
      <c r="M638" s="5" t="inlineStr"/>
      <c r="N638" s="5" t="inlineStr"/>
      <c r="O638" s="6" t="inlineStr"/>
      <c r="P638" s="6" t="inlineStr"/>
      <c r="Q638" s="5" t="inlineStr"/>
      <c r="R638" s="5" t="inlineStr"/>
      <c r="S638" s="5" t="inlineStr"/>
      <c r="T638" s="5" t="inlineStr"/>
      <c r="U638" s="5" t="inlineStr"/>
      <c r="V638" s="5" t="inlineStr">
        <is>
          <t>arabali</t>
        </is>
      </c>
      <c r="W638" s="5" t="inlineStr"/>
      <c r="X638" s="5" t="inlineStr"/>
      <c r="Y638" s="5" t="inlineStr"/>
      <c r="Z638" s="6" t="inlineStr"/>
    </row>
    <row r="639">
      <c r="A639" s="5" t="inlineStr">
        <is>
          <t>b7-araba-alma</t>
        </is>
      </c>
      <c r="B639" s="5" t="n">
        <v>3</v>
      </c>
      <c r="C639" s="6" t="inlineStr">
        <is>
          <t>Test sürüşünde otoyola çık</t>
        </is>
      </c>
      <c r="D639" s="5" t="inlineStr">
        <is>
          <t>Cesaret</t>
        </is>
      </c>
      <c r="E639" s="5" t="inlineStr">
        <is>
          <t>Orta</t>
        </is>
      </c>
      <c r="F639" s="5" t="inlineStr"/>
      <c r="G639" s="6" t="inlineStr"/>
      <c r="H639" s="6" t="inlineStr">
        <is>
          <t>Araba otoyolu sevdi. Sen de. Anlaşma yolda yapıldı.</t>
        </is>
      </c>
      <c r="I639" s="6" t="inlineStr">
        <is>
          <t>Test sürüşü o kadar iyi geçti ki satıcı 'Siz bunu hak ediyorsunuz' dedi ve indirime yakın bir şey yaptı.</t>
        </is>
      </c>
      <c r="J639" s="6" t="inlineStr">
        <is>
          <t>Araba 90'da titremeye başladı. Satıcı 'Rodaj' dedi. Arabanın yaşı 14.</t>
        </is>
      </c>
      <c r="K639" s="6" t="inlineStr">
        <is>
          <t>Arabanın gösterge ışıklarının hepsi aynı anda yandı. Satıcı 'Bayram gibi' dedi. Araba çekiciyle döndü.</t>
        </is>
      </c>
      <c r="L639" s="6" t="inlineStr"/>
      <c r="M639" s="5" t="inlineStr"/>
      <c r="N639" s="5" t="inlineStr"/>
      <c r="O639" s="6" t="inlineStr"/>
      <c r="P639" s="6" t="inlineStr"/>
      <c r="Q639" s="5" t="inlineStr"/>
      <c r="R639" s="5" t="inlineStr"/>
      <c r="S639" s="5" t="inlineStr"/>
      <c r="T639" s="5" t="inlineStr"/>
      <c r="U639" s="5" t="inlineStr"/>
      <c r="V639" s="5" t="inlineStr">
        <is>
          <t>arabali</t>
        </is>
      </c>
      <c r="W639" s="5" t="inlineStr"/>
      <c r="X639" s="5" t="inlineStr"/>
      <c r="Y639" s="5" t="n">
        <v>3</v>
      </c>
      <c r="Z639" s="6" t="inlineStr">
        <is>
          <t>İkinci el arabanın test sürüşünde, 'keyif için satılık' ibaresini fazla ciddiye alarak.</t>
        </is>
      </c>
    </row>
    <row r="640">
      <c r="A640" s="5" t="inlineStr">
        <is>
          <t>b7-araba-alma</t>
        </is>
      </c>
      <c r="B640" s="5" t="n">
        <v>4</v>
      </c>
      <c r="C640" s="6" t="inlineStr">
        <is>
          <t>Satıcıyla pazar usulü konuş</t>
        </is>
      </c>
      <c r="D640" s="5" t="inlineStr">
        <is>
          <t>Çene</t>
        </is>
      </c>
      <c r="E640" s="5" t="inlineStr">
        <is>
          <t>Kolay</t>
        </is>
      </c>
      <c r="F640" s="5" t="inlineStr"/>
      <c r="G640" s="6" t="inlineStr"/>
      <c r="H640" s="6" t="inlineStr">
        <is>
          <t>Fiyatı yuvarladın, bir de paspas koparttın. Esnaflık kanda var.</t>
        </is>
      </c>
      <c r="I640" s="6" t="inlineStr">
        <is>
          <t>Paspas, stepne ve satıcının güneş gözlüğü de pakete dahil oldu.</t>
        </is>
      </c>
      <c r="J640" s="6" t="inlineStr">
        <is>
          <t>Satıcı daha usta çıktı. Paspası ayrıca ödedin.</t>
        </is>
      </c>
      <c r="K640" s="6" t="inlineStr">
        <is>
          <t>Pazarlıkta satıcının dayısının da aynı arabayı sattığını öğrendin. Dayının arabası daha ucuzdu.</t>
        </is>
      </c>
      <c r="L640" s="6" t="inlineStr"/>
      <c r="M640" s="5" t="inlineStr"/>
      <c r="N640" s="5" t="inlineStr"/>
      <c r="O640" s="6" t="inlineStr"/>
      <c r="P640" s="6" t="inlineStr"/>
      <c r="Q640" s="5" t="inlineStr">
        <is>
          <t>Küçük Tüccar</t>
        </is>
      </c>
      <c r="R640" s="5" t="inlineStr"/>
      <c r="S640" s="5" t="inlineStr"/>
      <c r="T640" s="5" t="inlineStr"/>
      <c r="U640" s="5" t="inlineStr"/>
      <c r="V640" s="5" t="inlineStr">
        <is>
          <t>arabali</t>
        </is>
      </c>
      <c r="W640" s="5" t="inlineStr"/>
      <c r="X640" s="5" t="inlineStr"/>
      <c r="Y640" s="5" t="inlineStr"/>
      <c r="Z640" s="6" t="inlineStr"/>
    </row>
    <row r="641">
      <c r="A641" s="5" t="inlineStr">
        <is>
          <t>b7-ne-zaman-evleneceksin</t>
        </is>
      </c>
      <c r="B641" s="5" t="n">
        <v>1</v>
      </c>
      <c r="C641" s="6" t="inlineStr">
        <is>
          <t>'Görürüz' de, gülümse</t>
        </is>
      </c>
      <c r="D641" s="5" t="inlineStr"/>
      <c r="E641" s="5" t="inlineStr"/>
      <c r="F641" s="5" t="inlineStr">
        <is>
          <t>Dayanıklılık +1</t>
        </is>
      </c>
      <c r="G641" s="6" t="inlineStr">
        <is>
          <t>'Görürüz' dedin. On bir kez. Sonuncusunda sesin mekanikleşti.</t>
        </is>
      </c>
      <c r="H641" s="6" t="inlineStr"/>
      <c r="I641" s="6" t="inlineStr"/>
      <c r="J641" s="6" t="inlineStr"/>
      <c r="K641" s="6" t="inlineStr"/>
      <c r="L641" s="6" t="inlineStr"/>
      <c r="M641" s="5" t="inlineStr"/>
      <c r="N641" s="5" t="inlineStr"/>
      <c r="O641" s="6" t="inlineStr"/>
      <c r="P641" s="6" t="inlineStr"/>
      <c r="Q641" s="5" t="inlineStr"/>
      <c r="R641" s="5" t="inlineStr"/>
      <c r="S641" s="5" t="inlineStr"/>
      <c r="T641" s="5" t="inlineStr"/>
      <c r="U641" s="5" t="inlineStr"/>
      <c r="V641" s="5" t="inlineStr"/>
      <c r="W641" s="5" t="inlineStr"/>
      <c r="X641" s="5" t="inlineStr"/>
      <c r="Y641" s="5" t="inlineStr"/>
      <c r="Z641" s="6" t="inlineStr"/>
    </row>
    <row r="642">
      <c r="A642" s="5" t="inlineStr">
        <is>
          <t>b7-ne-zaman-evleneceksin</t>
        </is>
      </c>
      <c r="B642" s="5" t="n">
        <v>2</v>
      </c>
      <c r="C642" s="6" t="inlineStr">
        <is>
          <t>'Sizinki ne zaman boşanacak?' diye sor</t>
        </is>
      </c>
      <c r="D642" s="5" t="inlineStr">
        <is>
          <t>Pişkinlik</t>
        </is>
      </c>
      <c r="E642" s="5" t="inlineStr">
        <is>
          <t>Zor</t>
        </is>
      </c>
      <c r="F642" s="5" t="inlineStr"/>
      <c r="G642" s="6" t="inlineStr"/>
      <c r="H642" s="6" t="inlineStr">
        <is>
          <t>Masa bir an dondu, sonra güldü. O akşam kimse sana soru sormadı.</t>
        </is>
      </c>
      <c r="I642" s="6" t="inlineStr">
        <is>
          <t>Soruyu öyle zamanladın ki masa alkışladı. Aile içinde 'dili keskin' unvanını aldın.</t>
        </is>
      </c>
      <c r="J642" s="6" t="inlineStr">
        <is>
          <t>Kimse gülmedi. Teyze sadece 'Ay' dedi. 'Ay' dedi.</t>
        </is>
      </c>
      <c r="K642" s="6" t="inlineStr">
        <is>
          <t>Soruyu sorduğun çift gerçekten boşanıyormuş. Düğünün geri kalanı senin hakkında konuşuldu.</t>
        </is>
      </c>
      <c r="L642" s="6" t="inlineStr"/>
      <c r="M642" s="5" t="inlineStr"/>
      <c r="N642" s="5" t="inlineStr"/>
      <c r="O642" s="6" t="inlineStr"/>
      <c r="P642" s="6" t="inlineStr"/>
      <c r="Q642" s="5" t="inlineStr"/>
      <c r="R642" s="5" t="inlineStr"/>
      <c r="S642" s="5" t="inlineStr"/>
      <c r="T642" s="5" t="inlineStr"/>
      <c r="U642" s="5" t="inlineStr"/>
      <c r="V642" s="5" t="inlineStr"/>
      <c r="W642" s="5" t="inlineStr"/>
      <c r="X642" s="5" t="inlineStr"/>
      <c r="Y642" s="5" t="inlineStr"/>
      <c r="Z642" s="6" t="inlineStr"/>
    </row>
    <row r="643">
      <c r="A643" s="5" t="inlineStr">
        <is>
          <t>b7-ne-zaman-evleneceksin</t>
        </is>
      </c>
      <c r="B643" s="5" t="n">
        <v>3</v>
      </c>
      <c r="C643" s="6" t="inlineStr">
        <is>
          <t>Konuyu başka bir kuzene yönlendir</t>
        </is>
      </c>
      <c r="D643" s="5" t="inlineStr">
        <is>
          <t>Sosyal Radar</t>
        </is>
      </c>
      <c r="E643" s="5" t="inlineStr">
        <is>
          <t>Orta</t>
        </is>
      </c>
      <c r="F643" s="5" t="inlineStr"/>
      <c r="G643" s="6" t="inlineStr"/>
      <c r="H643" s="6" t="inlineStr">
        <is>
          <t>Kuzenin ev aldığını duyurdun. Bütün teyzeler o yöne döndü. Kuzenin seni hiç affetmeyecek.</t>
        </is>
      </c>
      <c r="I643" s="6" t="inlineStr">
        <is>
          <t>Konuyu öyle ustaca yönlendirdin ki masa iki saat kuzenin kariyerini tartıştı. Sen pastayı yedin.</t>
        </is>
      </c>
      <c r="J643" s="6" t="inlineStr">
        <is>
          <t>Yönlendirdiğin kuzen daha önce evlenmiş. Soru daha keskin olarak geri döndü.</t>
        </is>
      </c>
      <c r="K643" s="6" t="inlineStr">
        <is>
          <t>Kuzeni işaret ettin; kuzen seni işaret etti. Aile bir oylama yaptı. Sen kazandın. Yani kaybettin.</t>
        </is>
      </c>
      <c r="L643" s="6" t="inlineStr"/>
      <c r="M643" s="5" t="inlineStr"/>
      <c r="N643" s="5" t="inlineStr"/>
      <c r="O643" s="6" t="inlineStr"/>
      <c r="P643" s="6" t="inlineStr"/>
      <c r="Q643" s="5" t="inlineStr"/>
      <c r="R643" s="5" t="inlineStr"/>
      <c r="S643" s="5" t="inlineStr"/>
      <c r="T643" s="5" t="inlineStr"/>
      <c r="U643" s="5" t="inlineStr"/>
      <c r="V643" s="5" t="inlineStr"/>
      <c r="W643" s="5" t="inlineStr"/>
      <c r="X643" s="5" t="inlineStr"/>
      <c r="Y643" s="5" t="inlineStr"/>
      <c r="Z643" s="6" t="inlineStr"/>
    </row>
    <row r="644">
      <c r="A644" s="5" t="inlineStr">
        <is>
          <t>b7-flort-uygulamasi</t>
        </is>
      </c>
      <c r="B644" s="5" t="n">
        <v>1</v>
      </c>
      <c r="C644" s="6" t="inlineStr">
        <is>
          <t>Uygulamayı sil</t>
        </is>
      </c>
      <c r="D644" s="5" t="inlineStr"/>
      <c r="E644" s="5" t="inlineStr"/>
      <c r="F644" s="5" t="inlineStr">
        <is>
          <t>Vicdan +1, Dayanıklılık +1</t>
        </is>
      </c>
      <c r="G644" s="6" t="inlineStr">
        <is>
          <t>Uygulamayı sildin. Telefon hafifledi. Kalp aynı ağırlıkta.</t>
        </is>
      </c>
      <c r="H644" s="6" t="inlineStr"/>
      <c r="I644" s="6" t="inlineStr"/>
      <c r="J644" s="6" t="inlineStr"/>
      <c r="K644" s="6" t="inlineStr"/>
      <c r="L644" s="6" t="inlineStr"/>
      <c r="M644" s="5" t="inlineStr"/>
      <c r="N644" s="5" t="inlineStr"/>
      <c r="O644" s="6" t="inlineStr"/>
      <c r="P644" s="6" t="inlineStr"/>
      <c r="Q644" s="5" t="inlineStr"/>
      <c r="R644" s="5" t="inlineStr"/>
      <c r="S644" s="5" t="inlineStr"/>
      <c r="T644" s="5" t="inlineStr"/>
      <c r="U644" s="5" t="inlineStr">
        <is>
          <t>flort-emeklisi</t>
        </is>
      </c>
      <c r="V644" s="5" t="inlineStr"/>
      <c r="W644" s="5" t="inlineStr"/>
      <c r="X644" s="5" t="inlineStr"/>
      <c r="Y644" s="5" t="inlineStr"/>
      <c r="Z644" s="6" t="inlineStr"/>
    </row>
    <row r="645">
      <c r="A645" s="5" t="inlineStr">
        <is>
          <t>b7-flort-uygulamasi</t>
        </is>
      </c>
      <c r="B645" s="5" t="n">
        <v>2</v>
      </c>
      <c r="C645" s="6" t="inlineStr">
        <is>
          <t>Özgün bir ilk mesaj yaz</t>
        </is>
      </c>
      <c r="D645" s="5" t="inlineStr">
        <is>
          <t>Çene</t>
        </is>
      </c>
      <c r="E645" s="5" t="inlineStr">
        <is>
          <t>Orta</t>
        </is>
      </c>
      <c r="F645" s="5" t="inlineStr"/>
      <c r="G645" s="6" t="inlineStr"/>
      <c r="H645" s="6" t="inlineStr">
        <is>
          <t>İlk mesajın cevap aldı. İkincisi de. Tarih yazılıyor.</t>
        </is>
      </c>
      <c r="I645" s="6" t="inlineStr">
        <is>
          <t>Mesajın öyle iyiydi ki karşı taraf ekran görüntüsü alıp arkadaşlarına göndermiş. Olumlu anlamda.</t>
        </is>
      </c>
      <c r="J645" s="6" t="inlineStr">
        <is>
          <t>Mesajın 'Merhaba :)' ile cevaplandı. Özgünlük tek taraflı kaldı.</t>
        </is>
      </c>
      <c r="K645" s="6" t="inlineStr">
        <is>
          <t>Özgün mesajı yanlışlıkla iş arkadaşına gönderdin. Kendisi de uygulamadaymış. Pazartesi toplantısı uzun sürdü.</t>
        </is>
      </c>
      <c r="L645" s="6" t="inlineStr"/>
      <c r="M645" s="5" t="inlineStr"/>
      <c r="N645" s="5" t="inlineStr"/>
      <c r="O645" s="6" t="inlineStr"/>
      <c r="P645" s="6" t="inlineStr"/>
      <c r="Q645" s="5" t="inlineStr"/>
      <c r="R645" s="5" t="inlineStr"/>
      <c r="S645" s="5" t="inlineStr"/>
      <c r="T645" s="5" t="inlineStr"/>
      <c r="U645" s="5" t="inlineStr"/>
      <c r="V645" s="5" t="inlineStr"/>
      <c r="W645" s="5" t="inlineStr"/>
      <c r="X645" s="5" t="inlineStr"/>
      <c r="Y645" s="5" t="inlineStr"/>
      <c r="Z645" s="6" t="inlineStr"/>
    </row>
    <row r="646">
      <c r="A646" s="5" t="inlineStr">
        <is>
          <t>b7-flort-uygulamasi</t>
        </is>
      </c>
      <c r="B646" s="5" t="n">
        <v>3</v>
      </c>
      <c r="C646" s="6" t="inlineStr">
        <is>
          <t>Hızlıca kaydır, istatistik oyununu oyna</t>
        </is>
      </c>
      <c r="D646" s="5" t="inlineStr">
        <is>
          <t>Dayanıklılık</t>
        </is>
      </c>
      <c r="E646" s="5" t="inlineStr">
        <is>
          <t>Kolay</t>
        </is>
      </c>
      <c r="F646" s="5" t="inlineStr"/>
      <c r="G646" s="6" t="inlineStr"/>
      <c r="H646" s="6" t="inlineStr">
        <is>
          <t>Bir eşleşme oldu. Buluşmanın ilk on dakikası iyi, kalanı fena değildi.</t>
        </is>
      </c>
      <c r="I646" s="6" t="inlineStr">
        <is>
          <t>Eşleştiğin kişiyle ortak arkadaşınız çıktı; ilk buluşma bir doğum gününde gerçekleşti. Hikâyeniz resmen 'tanıştırıldık'.</t>
        </is>
      </c>
      <c r="J646" s="6" t="inlineStr">
        <is>
          <t>Yüz kez kaydırdın. Başparmağında yeni bir kas gelişti. Kalbinde değil.</t>
        </is>
      </c>
      <c r="K646" s="6" t="inlineStr">
        <is>
          <t>Kaydırırken annenin arkadaşının kızına kalp attın. Anne haberi seninle aynı anda aldı.</t>
        </is>
      </c>
      <c r="L646" s="6" t="inlineStr"/>
      <c r="M646" s="5" t="inlineStr"/>
      <c r="N646" s="5" t="inlineStr"/>
      <c r="O646" s="6" t="inlineStr"/>
      <c r="P646" s="6" t="inlineStr"/>
      <c r="Q646" s="5" t="inlineStr"/>
      <c r="R646" s="5" t="inlineStr"/>
      <c r="S646" s="5" t="inlineStr"/>
      <c r="T646" s="5" t="inlineStr"/>
      <c r="U646" s="5" t="inlineStr"/>
      <c r="V646" s="5" t="inlineStr"/>
      <c r="W646" s="5" t="inlineStr"/>
      <c r="X646" s="5" t="inlineStr"/>
      <c r="Y646" s="5" t="inlineStr"/>
      <c r="Z646" s="6" t="inlineStr"/>
    </row>
    <row r="647">
      <c r="A647" s="5" t="inlineStr">
        <is>
          <t>b7-flort-uygulamasi</t>
        </is>
      </c>
      <c r="B647" s="5" t="n">
        <v>4</v>
      </c>
      <c r="C647" s="6" t="inlineStr">
        <is>
          <t>Profilini fenomen kimliğinle güncelle</t>
        </is>
      </c>
      <c r="D647" s="5" t="inlineStr">
        <is>
          <t>Pişkinlik</t>
        </is>
      </c>
      <c r="E647" s="5" t="inlineStr">
        <is>
          <t>Kolay</t>
        </is>
      </c>
      <c r="F647" s="5" t="inlineStr"/>
      <c r="G647" s="6" t="inlineStr"/>
      <c r="H647" s="6" t="inlineStr">
        <is>
          <t>Takipçi sayını gören herkes yazdı. Hepsi reklam işbirliği istiyordu ama olsun.</t>
        </is>
      </c>
      <c r="I647" s="6" t="inlineStr">
        <is>
          <t>Bir eşleşme hem seni hem içeriğini sevdi. İlk buluşmayı çekmek için izin istedi, verdin.</t>
        </is>
      </c>
      <c r="J647" s="6" t="inlineStr">
        <is>
          <t>Profilin ilgi gördü, sen görmedin. Herkes seni 'o videodaki kişi' diye tanıyor.</t>
        </is>
      </c>
      <c r="K647" s="6" t="inlineStr">
        <is>
          <t>Uygulama hesabını 'sahte ünlü profili' diye kapattı. Gerçek olduğunu kanıtlamak için kimlik yüklemen istendi.</t>
        </is>
      </c>
      <c r="L647" s="6" t="inlineStr"/>
      <c r="M647" s="5" t="inlineStr"/>
      <c r="N647" s="5" t="inlineStr"/>
      <c r="O647" s="6" t="inlineStr"/>
      <c r="P647" s="6" t="inlineStr"/>
      <c r="Q647" s="5" t="inlineStr"/>
      <c r="R647" s="5" t="inlineStr">
        <is>
          <t>fenomen</t>
        </is>
      </c>
      <c r="S647" s="5" t="inlineStr"/>
      <c r="T647" s="5" t="inlineStr"/>
      <c r="U647" s="5" t="inlineStr"/>
      <c r="V647" s="5" t="inlineStr"/>
      <c r="W647" s="5" t="inlineStr"/>
      <c r="X647" s="5" t="inlineStr"/>
      <c r="Y647" s="5" t="inlineStr"/>
      <c r="Z647" s="6" t="inlineStr"/>
    </row>
    <row r="648">
      <c r="A648" s="5" t="inlineStr">
        <is>
          <t>b7-evlilik-karari</t>
        </is>
      </c>
      <c r="B648" s="5" t="n">
        <v>1</v>
      </c>
      <c r="C648" s="6" t="inlineStr">
        <is>
          <t>'Evlenelim' de</t>
        </is>
      </c>
      <c r="D648" s="5" t="inlineStr"/>
      <c r="E648" s="5" t="inlineStr"/>
      <c r="F648" s="5" t="inlineStr">
        <is>
          <t>Cesaret +1, Vicdan +1</t>
        </is>
      </c>
      <c r="G648" s="6" t="inlineStr">
        <is>
          <t>Evlenmeye karar verdin. İki aile grubu kuruldu. İkisinde de sen sessize alındın.</t>
        </is>
      </c>
      <c r="H648" s="6" t="inlineStr"/>
      <c r="I648" s="6" t="inlineStr"/>
      <c r="J648" s="6" t="inlineStr"/>
      <c r="K648" s="6" t="inlineStr"/>
      <c r="L648" s="6" t="inlineStr"/>
      <c r="M648" s="5" t="inlineStr"/>
      <c r="N648" s="5" t="inlineStr"/>
      <c r="O648" s="6" t="inlineStr"/>
      <c r="P648" s="6" t="inlineStr"/>
      <c r="Q648" s="5" t="inlineStr"/>
      <c r="R648" s="5" t="inlineStr"/>
      <c r="S648" s="5" t="inlineStr"/>
      <c r="T648" s="5" t="inlineStr"/>
      <c r="U648" s="5" t="inlineStr">
        <is>
          <t>evli</t>
        </is>
      </c>
      <c r="V648" s="5" t="inlineStr"/>
      <c r="W648" s="5" t="inlineStr"/>
      <c r="X648" s="5" t="inlineStr"/>
      <c r="Y648" s="5" t="inlineStr"/>
      <c r="Z648" s="6" t="inlineStr"/>
    </row>
    <row r="649">
      <c r="A649" s="5" t="inlineStr">
        <is>
          <t>b7-evlilik-karari</t>
        </is>
      </c>
      <c r="B649" s="5" t="n">
        <v>2</v>
      </c>
      <c r="C649" s="6" t="inlineStr">
        <is>
          <t>'Ben bekâr kalacağım' de</t>
        </is>
      </c>
      <c r="D649" s="5" t="inlineStr"/>
      <c r="E649" s="5" t="inlineStr"/>
      <c r="F649" s="5" t="inlineStr">
        <is>
          <t>Cesaret +1, Dayanıklılık +1</t>
        </is>
      </c>
      <c r="G649" s="6" t="inlineStr">
        <is>
          <t>Kararını açıkça söyledin. Kahveler bitti. Hesabı ayrı ayrı ödediniz; bu da bir cevaptı.</t>
        </is>
      </c>
      <c r="H649" s="6" t="inlineStr"/>
      <c r="I649" s="6" t="inlineStr"/>
      <c r="J649" s="6" t="inlineStr"/>
      <c r="K649" s="6" t="inlineStr"/>
      <c r="L649" s="6" t="inlineStr"/>
      <c r="M649" s="5" t="inlineStr"/>
      <c r="N649" s="5" t="inlineStr"/>
      <c r="O649" s="6" t="inlineStr"/>
      <c r="P649" s="6" t="inlineStr"/>
      <c r="Q649" s="5" t="inlineStr"/>
      <c r="R649" s="5" t="inlineStr"/>
      <c r="S649" s="5" t="inlineStr"/>
      <c r="T649" s="5" t="inlineStr"/>
      <c r="U649" s="5" t="inlineStr"/>
      <c r="V649" s="5" t="inlineStr"/>
      <c r="W649" s="5" t="inlineStr"/>
      <c r="X649" s="5" t="inlineStr"/>
      <c r="Y649" s="5" t="inlineStr"/>
      <c r="Z649" s="6" t="inlineStr"/>
    </row>
    <row r="650">
      <c r="A650" s="5" t="inlineStr">
        <is>
          <t>b7-evlilik-karari</t>
        </is>
      </c>
      <c r="B650" s="5" t="n">
        <v>3</v>
      </c>
      <c r="C650" s="6" t="inlineStr">
        <is>
          <t>Romantik bir evlilik teklifi hazırla</t>
        </is>
      </c>
      <c r="D650" s="5" t="inlineStr">
        <is>
          <t>Cesaret</t>
        </is>
      </c>
      <c r="E650" s="5" t="inlineStr">
        <is>
          <t>Orta</t>
        </is>
      </c>
      <c r="F650" s="5" t="inlineStr"/>
      <c r="G650" s="6" t="inlineStr"/>
      <c r="H650" s="6" t="inlineStr">
        <is>
          <t>Diz çöktün, halka hazırdı, cevap 'Evet' oldu. Kafedeki herkes alkışladı; bir kişi video çekti.</t>
        </is>
      </c>
      <c r="I650" s="6" t="inlineStr">
        <is>
          <t>Teklif o kadar güzeldi ki kafe sahibi o günü takvimine yazdı. Her yıl indirim yapacak.</t>
        </is>
      </c>
      <c r="J650" s="6" t="inlineStr">
        <is>
          <t>Diz çöktün; tam o sırada garson siparişi aldı. Teklif iki latte ile bölündü. Cevap 'Bir düşüneyim'.</t>
        </is>
      </c>
      <c r="K650" s="6" t="inlineStr">
        <is>
          <t>Halkayı kahveye düşürdün. Kafenin lavabo borusu söküldü. Teklif, tesisatçının önünde tekrarlandı ve 'Sonra konuşalım' dendi.</t>
        </is>
      </c>
      <c r="L650" s="6" t="inlineStr"/>
      <c r="M650" s="5" t="inlineStr"/>
      <c r="N650" s="5" t="inlineStr"/>
      <c r="O650" s="6" t="inlineStr"/>
      <c r="P650" s="6" t="inlineStr"/>
      <c r="Q650" s="5" t="inlineStr"/>
      <c r="R650" s="5" t="inlineStr"/>
      <c r="S650" s="5" t="inlineStr"/>
      <c r="T650" s="5" t="inlineStr"/>
      <c r="U650" s="5" t="inlineStr"/>
      <c r="V650" s="5" t="inlineStr">
        <is>
          <t>evli</t>
        </is>
      </c>
      <c r="W650" s="5" t="inlineStr"/>
      <c r="X650" s="5" t="inlineStr"/>
      <c r="Y650" s="5" t="inlineStr"/>
      <c r="Z650" s="6" t="inlineStr"/>
    </row>
    <row r="651">
      <c r="A651" s="5" t="inlineStr">
        <is>
          <t>b7-evlilik-karari</t>
        </is>
      </c>
      <c r="B651" s="5" t="n">
        <v>4</v>
      </c>
      <c r="C651" s="6" t="inlineStr">
        <is>
          <t>'Önce bir kedi alalım, bakalım nasıl oluyor' de</t>
        </is>
      </c>
      <c r="D651" s="5" t="inlineStr"/>
      <c r="E651" s="5" t="inlineStr"/>
      <c r="F651" s="5" t="inlineStr">
        <is>
          <t>Kurnazlık +1</t>
        </is>
      </c>
      <c r="G651" s="6" t="inlineStr">
        <is>
          <t>Kedi aldınız. Kedi ikinizi de reddetti. Karar bir yıl ertelendi, kedi kaldı.</t>
        </is>
      </c>
      <c r="H651" s="6" t="inlineStr"/>
      <c r="I651" s="6" t="inlineStr"/>
      <c r="J651" s="6" t="inlineStr"/>
      <c r="K651" s="6" t="inlineStr"/>
      <c r="L651" s="6" t="inlineStr"/>
      <c r="M651" s="5" t="inlineStr"/>
      <c r="N651" s="5" t="inlineStr"/>
      <c r="O651" s="6" t="inlineStr"/>
      <c r="P651" s="6" t="inlineStr"/>
      <c r="Q651" s="5" t="inlineStr"/>
      <c r="R651" s="5" t="inlineStr"/>
      <c r="S651" s="5" t="inlineStr"/>
      <c r="T651" s="5" t="inlineStr"/>
      <c r="U651" s="5" t="inlineStr"/>
      <c r="V651" s="5" t="inlineStr"/>
      <c r="W651" s="5" t="inlineStr"/>
      <c r="X651" s="5" t="inlineStr"/>
      <c r="Y651" s="5" t="inlineStr"/>
      <c r="Z651" s="6" t="inlineStr"/>
    </row>
    <row r="652">
      <c r="A652" s="5" t="inlineStr">
        <is>
          <t>b7-evlilik-karari</t>
        </is>
      </c>
      <c r="B652" s="5" t="n">
        <v>5</v>
      </c>
      <c r="C652" s="6" t="inlineStr">
        <is>
          <t>'Biraz daha bekleyelim, piyasalar oturunca' de</t>
        </is>
      </c>
      <c r="D652" s="5" t="inlineStr">
        <is>
          <t>Çene</t>
        </is>
      </c>
      <c r="E652" s="5" t="inlineStr">
        <is>
          <t>Zor</t>
        </is>
      </c>
      <c r="F652" s="5" t="inlineStr"/>
      <c r="G652" s="6" t="inlineStr"/>
      <c r="H652" s="6" t="inlineStr">
        <is>
          <t>Partnerin güldü, bekledi. Ekonomik gerekçe ilk kez bir ilişkiyi kurtardı.</t>
        </is>
      </c>
      <c r="I652" s="6" t="inlineStr">
        <is>
          <t>Öyle iyi anlattın ki partnerin sana bir faiz tablosu hazırladı. Tablonun sonunda 'Evlen' yazıyordu. Evlendiniz.</t>
        </is>
      </c>
      <c r="J652" s="6" t="inlineStr">
        <is>
          <t>Partnerin 'Piyasa hiç oturmayacak' dedi. Haklıydı. Konu dondu.</t>
        </is>
      </c>
      <c r="K652" s="6" t="inlineStr">
        <is>
          <t>Piyasalar yerine ilişki oturdu. Kalıcı olarak. Kahve fincanları da sende kaldı.</t>
        </is>
      </c>
      <c r="L652" s="6" t="inlineStr"/>
      <c r="M652" s="5" t="inlineStr"/>
      <c r="N652" s="5" t="inlineStr"/>
      <c r="O652" s="6" t="inlineStr"/>
      <c r="P652" s="6" t="inlineStr"/>
      <c r="Q652" s="5" t="inlineStr"/>
      <c r="R652" s="5" t="inlineStr"/>
      <c r="S652" s="5" t="inlineStr"/>
      <c r="T652" s="5" t="inlineStr"/>
      <c r="U652" s="5" t="inlineStr"/>
      <c r="V652" s="5" t="inlineStr">
        <is>
          <t>evli</t>
        </is>
      </c>
      <c r="W652" s="5" t="inlineStr"/>
      <c r="X652" s="5" t="inlineStr"/>
      <c r="Y652" s="5" t="inlineStr"/>
      <c r="Z652" s="6" t="inlineStr"/>
    </row>
    <row r="653">
      <c r="A653" s="5" t="inlineStr">
        <is>
          <t>mb-performans-karti</t>
        </is>
      </c>
      <c r="B653" s="5" t="n">
        <v>1</v>
      </c>
      <c r="C653" s="6" t="inlineStr">
        <is>
          <t>Başını salla, imzala</t>
        </is>
      </c>
      <c r="D653" s="5" t="inlineStr"/>
      <c r="E653" s="5" t="inlineStr"/>
      <c r="F653" s="5" t="inlineStr">
        <is>
          <t>Dayanıklılık +1</t>
        </is>
      </c>
      <c r="G653" s="6" t="inlineStr">
        <is>
          <t>'Beklentileri karşılıyor' aldın. Beklentilerin ne olduğu gizli kalmaya devam ediyor.</t>
        </is>
      </c>
      <c r="H653" s="6" t="inlineStr"/>
      <c r="I653" s="6" t="inlineStr"/>
      <c r="J653" s="6" t="inlineStr"/>
      <c r="K653" s="6" t="inlineStr"/>
      <c r="L653" s="6" t="inlineStr"/>
      <c r="M653" s="5" t="inlineStr"/>
      <c r="N653" s="5" t="inlineStr"/>
      <c r="O653" s="6" t="inlineStr"/>
      <c r="P653" s="6" t="inlineStr"/>
      <c r="Q653" s="5" t="inlineStr"/>
      <c r="R653" s="5" t="inlineStr"/>
      <c r="S653" s="5" t="inlineStr"/>
      <c r="T653" s="5" t="inlineStr"/>
      <c r="U653" s="5" t="inlineStr"/>
      <c r="V653" s="5" t="inlineStr"/>
      <c r="W653" s="5" t="inlineStr"/>
      <c r="X653" s="5" t="inlineStr"/>
      <c r="Y653" s="5" t="inlineStr"/>
      <c r="Z653" s="6" t="inlineStr"/>
    </row>
    <row r="654">
      <c r="A654" s="5" t="inlineStr">
        <is>
          <t>mb-performans-karti</t>
        </is>
      </c>
      <c r="B654" s="5" t="n">
        <v>2</v>
      </c>
      <c r="C654" s="6" t="inlineStr">
        <is>
          <t>Başarılarını anlat</t>
        </is>
      </c>
      <c r="D654" s="5" t="inlineStr">
        <is>
          <t>Çene</t>
        </is>
      </c>
      <c r="E654" s="5" t="inlineStr">
        <is>
          <t>Zor</t>
        </is>
      </c>
      <c r="F654" s="5" t="inlineStr"/>
      <c r="G654" s="6" t="inlineStr"/>
      <c r="H654" s="6" t="inlineStr">
        <is>
          <t>Yaptıklarını anlattın, yapmadıklarını da iyi anlattın. Not: 'Beklentilerin üstünde.'</t>
        </is>
      </c>
      <c r="I654" s="6" t="inlineStr">
        <is>
          <t>Öyle anlattın ki yöneticin kendi raporuna senin cümlelerini kopyaladı.</t>
        </is>
      </c>
      <c r="J654" s="6" t="inlineStr">
        <is>
          <t>Anlattın; yöneticin 'Bunlar zaten işin' dedi.</t>
        </is>
      </c>
      <c r="K654" s="6" t="inlineStr">
        <is>
          <t>Başarılarını sayarken ekip arkadaşının projesini de saydın. Ekip arkadaşın da toplantıdaydı.</t>
        </is>
      </c>
      <c r="L654" s="6" t="inlineStr"/>
      <c r="M654" s="5" t="inlineStr"/>
      <c r="N654" s="5" t="inlineStr"/>
      <c r="O654" s="6" t="inlineStr"/>
      <c r="P654" s="6" t="inlineStr"/>
      <c r="Q654" s="5" t="inlineStr"/>
      <c r="R654" s="5" t="inlineStr"/>
      <c r="S654" s="5" t="inlineStr"/>
      <c r="T654" s="5" t="inlineStr">
        <is>
          <t>Sözünü Geçirir</t>
        </is>
      </c>
      <c r="U654" s="5" t="inlineStr"/>
      <c r="V654" s="5" t="inlineStr"/>
      <c r="W654" s="5" t="inlineStr"/>
      <c r="X654" s="5" t="inlineStr"/>
      <c r="Y654" s="5" t="inlineStr"/>
      <c r="Z654" s="6" t="inlineStr"/>
    </row>
    <row r="655">
      <c r="A655" s="5" t="inlineStr">
        <is>
          <t>mb-performans-karti</t>
        </is>
      </c>
      <c r="B655" s="5" t="n">
        <v>3</v>
      </c>
      <c r="C655" s="6" t="inlineStr">
        <is>
          <t>'Notlar önceden girilmiş, değil mi?' de</t>
        </is>
      </c>
      <c r="D655" s="5" t="inlineStr">
        <is>
          <t>Pişkinlik</t>
        </is>
      </c>
      <c r="E655" s="5" t="inlineStr">
        <is>
          <t>Orta</t>
        </is>
      </c>
      <c r="F655" s="5" t="inlineStr"/>
      <c r="G655" s="6" t="inlineStr"/>
      <c r="H655" s="6" t="inlineStr">
        <is>
          <t>Yöneticin güldü, ekranı sana çevirdi. Birlikte bir puan yükselttiniz.</t>
        </is>
      </c>
      <c r="I655" s="6" t="inlineStr">
        <is>
          <t>Açık sözlülüğün 'şeffaflık yetkinliği' başlığında ayrıca puanlandı.</t>
        </is>
      </c>
      <c r="J655" s="6" t="inlineStr">
        <is>
          <t>Yöneticin 'Ne alakası var?' deyip ekranı kapattı. Çok hızlı kapattı.</t>
        </is>
      </c>
      <c r="K655" s="6" t="inlineStr">
        <is>
          <t>Evet, girilmiş. Şimdi bir de 'tutum' başlığı eklendi.</t>
        </is>
      </c>
      <c r="L655" s="6" t="inlineStr"/>
      <c r="M655" s="5" t="inlineStr"/>
      <c r="N655" s="5" t="inlineStr"/>
      <c r="O655" s="6" t="inlineStr"/>
      <c r="P655" s="6" t="inlineStr"/>
      <c r="Q655" s="5" t="inlineStr"/>
      <c r="R655" s="5" t="inlineStr"/>
      <c r="S655" s="5" t="inlineStr">
        <is>
          <t>Sosyal Radar</t>
        </is>
      </c>
      <c r="T655" s="5" t="inlineStr"/>
      <c r="U655" s="5" t="inlineStr"/>
      <c r="V655" s="5" t="inlineStr"/>
      <c r="W655" s="5" t="inlineStr"/>
      <c r="X655" s="5" t="inlineStr"/>
      <c r="Y655" s="5" t="inlineStr"/>
      <c r="Z655" s="6" t="inlineStr"/>
    </row>
    <row r="656">
      <c r="A656" s="5" t="inlineStr">
        <is>
          <t>mb-performans-karti</t>
        </is>
      </c>
      <c r="B656" s="5" t="n">
        <v>4</v>
      </c>
      <c r="C656" s="6" t="inlineStr">
        <is>
          <t>Kendine 5 üzerinden 5 ver</t>
        </is>
      </c>
      <c r="D656" s="5" t="inlineStr">
        <is>
          <t>Pişkinlik</t>
        </is>
      </c>
      <c r="E656" s="5" t="inlineStr">
        <is>
          <t>Kolay</t>
        </is>
      </c>
      <c r="F656" s="5" t="inlineStr"/>
      <c r="G656" s="6" t="inlineStr"/>
      <c r="H656" s="6" t="inlineStr">
        <is>
          <t>Kendine tam puan verdin. Sistem bunu 'özgüven' olarak kaydetti.</t>
        </is>
      </c>
      <c r="I656" s="6" t="inlineStr">
        <is>
          <t>Kendine 5 verdin; yöneticin itiraz edecek enerjiyi bulamadı. Tarihî bir gün.</t>
        </is>
      </c>
      <c r="J656" s="6" t="inlineStr">
        <is>
          <t>Sen 5 verdin, yöneticin 2 verdi. Ortalama: kurumsal gerçeklik.</t>
        </is>
      </c>
      <c r="K656" s="6" t="inlineStr">
        <is>
          <t>Öz değerlendirme formun yanlışlıkla bütün kata gönderildi. 'Liderlik: 5/5.' Kat bunu okudu.</t>
        </is>
      </c>
      <c r="L656" s="6" t="inlineStr"/>
      <c r="M656" s="5" t="inlineStr"/>
      <c r="N656" s="5" t="inlineStr"/>
      <c r="O656" s="6" t="inlineStr"/>
      <c r="P656" s="6" t="inlineStr"/>
      <c r="Q656" s="5" t="inlineStr">
        <is>
          <t>Yüzü Kızarmaz</t>
        </is>
      </c>
      <c r="R656" s="5" t="inlineStr"/>
      <c r="S656" s="5" t="inlineStr"/>
      <c r="T656" s="5" t="inlineStr"/>
      <c r="U656" s="5" t="inlineStr"/>
      <c r="V656" s="5" t="inlineStr"/>
      <c r="W656" s="5" t="inlineStr"/>
      <c r="X656" s="5" t="inlineStr"/>
      <c r="Y656" s="5" t="inlineStr"/>
      <c r="Z656" s="6" t="inlineStr"/>
    </row>
    <row r="657">
      <c r="A657" s="5" t="inlineStr">
        <is>
          <t>me-zabita-denetimi</t>
        </is>
      </c>
      <c r="B657" s="5" t="n">
        <v>1</v>
      </c>
      <c r="C657" s="6" t="inlineStr">
        <is>
          <t>Kasaları içeri al</t>
        </is>
      </c>
      <c r="D657" s="5" t="inlineStr"/>
      <c r="E657" s="5" t="inlineStr"/>
      <c r="F657" s="5" t="inlineStr">
        <is>
          <t>Vicdan +1, Dayanıklılık +1</t>
        </is>
      </c>
      <c r="G657" s="6" t="inlineStr">
        <is>
          <t>Kaldırımı boşalttın. Zabıta geçti. Kasalar yarın sabah yine dışarıda olacak.</t>
        </is>
      </c>
      <c r="H657" s="6" t="inlineStr"/>
      <c r="I657" s="6" t="inlineStr"/>
      <c r="J657" s="6" t="inlineStr"/>
      <c r="K657" s="6" t="inlineStr"/>
      <c r="L657" s="6" t="inlineStr"/>
      <c r="M657" s="5" t="inlineStr"/>
      <c r="N657" s="5" t="inlineStr"/>
      <c r="O657" s="6" t="inlineStr"/>
      <c r="P657" s="6" t="inlineStr"/>
      <c r="Q657" s="5" t="inlineStr"/>
      <c r="R657" s="5" t="inlineStr"/>
      <c r="S657" s="5" t="inlineStr"/>
      <c r="T657" s="5" t="inlineStr"/>
      <c r="U657" s="5" t="inlineStr"/>
      <c r="V657" s="5" t="inlineStr"/>
      <c r="W657" s="5" t="inlineStr"/>
      <c r="X657" s="5" t="inlineStr"/>
      <c r="Y657" s="5" t="inlineStr"/>
      <c r="Z657" s="6" t="inlineStr"/>
    </row>
    <row r="658">
      <c r="A658" s="5" t="inlineStr">
        <is>
          <t>me-zabita-denetimi</t>
        </is>
      </c>
      <c r="B658" s="5" t="n">
        <v>2</v>
      </c>
      <c r="C658" s="6" t="inlineStr">
        <is>
          <t>Yönetmeliği tartış</t>
        </is>
      </c>
      <c r="D658" s="5" t="inlineStr">
        <is>
          <t>Akıl</t>
        </is>
      </c>
      <c r="E658" s="5" t="inlineStr">
        <is>
          <t>Zor</t>
        </is>
      </c>
      <c r="F658" s="5" t="inlineStr"/>
      <c r="G658" s="6" t="inlineStr"/>
      <c r="H658" s="6" t="inlineStr">
        <is>
          <t>Yönetmelikte 'geçici teşhir' maddesini buldun. Kasalar resmen geçici, yani kalıcı.</t>
        </is>
      </c>
      <c r="I658" s="6" t="inlineStr">
        <is>
          <t>Yönetmeliği zabıtadan iyi bildiğin anlaşıldı. Çarşıdaki denetimlerde artık sana danışılıyor.</t>
        </is>
      </c>
      <c r="J658" s="6" t="inlineStr">
        <is>
          <t>Tartıştın. Zabıta yönetmeliğin yeni baskısını gösterdi; seninki eski baskıymış.</t>
        </is>
      </c>
      <c r="K658" s="6" t="inlineStr">
        <is>
          <t>O kadar tartıştın ki tabelaya, tenteye, kapı paspasına ve kedinin mama kabına ayrı ayrı tutanak kesildi.</t>
        </is>
      </c>
      <c r="L658" s="6" t="inlineStr"/>
      <c r="M658" s="5" t="inlineStr"/>
      <c r="N658" s="5" t="inlineStr"/>
      <c r="O658" s="6" t="inlineStr"/>
      <c r="P658" s="6" t="inlineStr"/>
      <c r="Q658" s="5" t="inlineStr"/>
      <c r="R658" s="5" t="inlineStr"/>
      <c r="S658" s="5" t="inlineStr"/>
      <c r="T658" s="5" t="inlineStr"/>
      <c r="U658" s="5" t="inlineStr"/>
      <c r="V658" s="5" t="inlineStr"/>
      <c r="W658" s="5" t="inlineStr"/>
      <c r="X658" s="5" t="inlineStr"/>
      <c r="Y658" s="5" t="inlineStr"/>
      <c r="Z658" s="6" t="inlineStr"/>
    </row>
    <row r="659">
      <c r="A659" s="5" t="inlineStr">
        <is>
          <t>me-zabita-denetimi</t>
        </is>
      </c>
      <c r="B659" s="5" t="n">
        <v>3</v>
      </c>
      <c r="C659" s="6" t="inlineStr">
        <is>
          <t>Çay ikram et</t>
        </is>
      </c>
      <c r="D659" s="5" t="inlineStr">
        <is>
          <t>Çene</t>
        </is>
      </c>
      <c r="E659" s="5" t="inlineStr">
        <is>
          <t>Orta</t>
        </is>
      </c>
      <c r="F659" s="5" t="inlineStr"/>
      <c r="G659" s="6" t="inlineStr"/>
      <c r="H659" s="6" t="inlineStr">
        <is>
          <t>Çay içildi, havadan sudan konuşuldu, tutanak defteri kapalı kaldı.</t>
        </is>
      </c>
      <c r="I659" s="6" t="inlineStr">
        <is>
          <t>Zabıta çayı beğendi. Ertesi denetimde sokakta uyarı almayan tek dükkân sendin.</t>
        </is>
      </c>
      <c r="J659" s="6" t="inlineStr">
        <is>
          <t>Çayı içti, teşekkür etti, tutanağı yazdı. Çay için ayrıca teşekkür etti.</t>
        </is>
      </c>
      <c r="K659" s="6" t="inlineStr">
        <is>
          <t>Tutanağa 'ısrarlı misafirperverlik' notu düşüldü. Böyle bir madde olduğunu kimse bilmiyordu.</t>
        </is>
      </c>
      <c r="L659" s="6" t="inlineStr"/>
      <c r="M659" s="5" t="inlineStr"/>
      <c r="N659" s="5" t="inlineStr"/>
      <c r="O659" s="6" t="inlineStr"/>
      <c r="P659" s="6" t="inlineStr"/>
      <c r="Q659" s="5" t="inlineStr"/>
      <c r="R659" s="5" t="inlineStr"/>
      <c r="S659" s="5" t="inlineStr"/>
      <c r="T659" s="5" t="inlineStr"/>
      <c r="U659" s="5" t="inlineStr"/>
      <c r="V659" s="5" t="inlineStr"/>
      <c r="W659" s="5" t="inlineStr"/>
      <c r="X659" s="5" t="inlineStr"/>
      <c r="Y659" s="5" t="inlineStr"/>
      <c r="Z659" s="6" t="inlineStr"/>
    </row>
    <row r="660">
      <c r="A660" s="5" t="inlineStr">
        <is>
          <t>me-zabita-denetimi</t>
        </is>
      </c>
      <c r="B660" s="5" t="n">
        <v>4</v>
      </c>
      <c r="C660" s="6" t="inlineStr">
        <is>
          <t>Karşı dükkânı işaret et</t>
        </is>
      </c>
      <c r="D660" s="5" t="inlineStr">
        <is>
          <t>Pişkinlik</t>
        </is>
      </c>
      <c r="E660" s="5" t="inlineStr">
        <is>
          <t>Orta</t>
        </is>
      </c>
      <c r="F660" s="5" t="inlineStr"/>
      <c r="G660" s="6" t="inlineStr"/>
      <c r="H660" s="6" t="inlineStr">
        <is>
          <t>'Asıl karşıdaki' dedin. Zabıta karşıya yürüdü. Tente savaşında ilk sayı senin.</t>
        </is>
      </c>
      <c r="I660" s="6" t="inlineStr">
        <is>
          <t>Karşı dükkânın tabelası söktürüldü. Sokakta artık tek bir tabela var: seninki.</t>
        </is>
      </c>
      <c r="J660" s="6" t="inlineStr">
        <is>
          <t>Zabıta ikinize de tutanak yazdı. Eşitlik bu sokağa böyle geldi.</t>
        </is>
      </c>
      <c r="K660" s="6" t="inlineStr">
        <is>
          <t>Karşı dükkân da seni işaret etti. Zabıta ikinizi yarım saat dinledi, sonra sokağa yeni bir tabela astı: 'Esnaf kavga etmez.'</t>
        </is>
      </c>
      <c r="L660" s="6" t="inlineStr"/>
      <c r="M660" s="5" t="inlineStr"/>
      <c r="N660" s="5" t="inlineStr"/>
      <c r="O660" s="6" t="inlineStr"/>
      <c r="P660" s="6" t="inlineStr"/>
      <c r="Q660" s="5" t="inlineStr"/>
      <c r="R660" s="5" t="inlineStr">
        <is>
          <t>esnaf-komsu-rakip</t>
        </is>
      </c>
      <c r="S660" s="5" t="inlineStr"/>
      <c r="T660" s="5" t="inlineStr"/>
      <c r="U660" s="5" t="inlineStr"/>
      <c r="V660" s="5" t="inlineStr"/>
      <c r="W660" s="5" t="inlineStr"/>
      <c r="X660" s="5" t="inlineStr"/>
      <c r="Y660" s="5" t="inlineStr"/>
      <c r="Z660" s="6" t="inlineStr"/>
    </row>
    <row r="661">
      <c r="A661" s="5" t="inlineStr">
        <is>
          <t>b7-dugun-takilari</t>
        </is>
      </c>
      <c r="B661" s="5" t="n">
        <v>1</v>
      </c>
      <c r="C661" s="6" t="inlineStr">
        <is>
          <t>Takıları hızla topla, hiçbirini düşürme</t>
        </is>
      </c>
      <c r="D661" s="5" t="inlineStr">
        <is>
          <t>Dayanıklılık</t>
        </is>
      </c>
      <c r="E661" s="5" t="inlineStr">
        <is>
          <t>Orta</t>
        </is>
      </c>
      <c r="F661" s="5" t="inlineStr"/>
      <c r="G661" s="6" t="inlineStr"/>
      <c r="H661" s="6" t="inlineStr">
        <is>
          <t>Takılar toplandı, kurdeleler bütün, defter eksiksiz. Merasim kazasız atlatıldı.</t>
        </is>
      </c>
      <c r="I661" s="6" t="inlineStr">
        <is>
          <t>Tek bir takıyı düşürmedin; üstüne yerde kalmış bir önceki düğünün takısını da buldun. Sahibi arandı, bulunamadı.</t>
        </is>
      </c>
      <c r="J661" s="6" t="inlineStr">
        <is>
          <t>Bir bilezik masanın altına kaçtı. Üç teyze ve bir garsondan oluşan ekip onu aradı. Hâlâ arıyorlar.</t>
        </is>
      </c>
      <c r="K661" s="6" t="inlineStr">
        <is>
          <t>Takıları toplarken ceketinin cebini yırttın. Altınlar dans pistine saçıldı, müzik devam etti. Toplayan toplayana.</t>
        </is>
      </c>
      <c r="L661" s="6" t="inlineStr">
        <is>
          <t>Çoğunu topladın. Bir çeyrek, halayda birinin ayakkabısına girdi ve eve onunla gitti.</t>
        </is>
      </c>
      <c r="M661" s="5" t="inlineStr">
        <is>
          <t>collect</t>
        </is>
      </c>
      <c r="N661" s="5" t="inlineStr">
        <is>
          <t>Takı Toplama</t>
        </is>
      </c>
      <c r="O661" s="6" t="inlineStr">
        <is>
          <t>Sahneye saçılan takılara hızla dokun. Defterci amca her şeyi görüyor.</t>
        </is>
      </c>
      <c r="P661" s="6" t="inlineStr">
        <is>
          <t>{"piece": "🪙"}</t>
        </is>
      </c>
      <c r="Q661" s="5" t="inlineStr"/>
      <c r="R661" s="5" t="inlineStr"/>
      <c r="S661" s="5" t="inlineStr"/>
      <c r="T661" s="5" t="inlineStr"/>
      <c r="U661" s="5" t="inlineStr"/>
      <c r="V661" s="5" t="inlineStr"/>
      <c r="W661" s="5" t="inlineStr"/>
      <c r="X661" s="5" t="inlineStr"/>
      <c r="Y661" s="5" t="inlineStr"/>
      <c r="Z661" s="6" t="inlineStr"/>
    </row>
    <row r="662">
      <c r="A662" s="5" t="inlineStr">
        <is>
          <t>b7-dugun-takilari</t>
        </is>
      </c>
      <c r="B662" s="5" t="n">
        <v>2</v>
      </c>
      <c r="C662" s="6" t="inlineStr">
        <is>
          <t>Defteri kendin tut</t>
        </is>
      </c>
      <c r="D662" s="5" t="inlineStr"/>
      <c r="E662" s="5" t="inlineStr"/>
      <c r="F662" s="5" t="inlineStr">
        <is>
          <t>Akıl +1, Sosyal Radar +1</t>
        </is>
      </c>
      <c r="G662" s="6" t="inlineStr">
        <is>
          <t>Kim ne taktıysa yazdın. On yıl sonra onların düğününe aynısını takacaksın. Borç tarihe geçti.</t>
        </is>
      </c>
      <c r="H662" s="6" t="inlineStr"/>
      <c r="I662" s="6" t="inlineStr"/>
      <c r="J662" s="6" t="inlineStr"/>
      <c r="K662" s="6" t="inlineStr"/>
      <c r="L662" s="6" t="inlineStr"/>
      <c r="M662" s="5" t="inlineStr"/>
      <c r="N662" s="5" t="inlineStr"/>
      <c r="O662" s="6" t="inlineStr"/>
      <c r="P662" s="6" t="inlineStr"/>
      <c r="Q662" s="5" t="inlineStr"/>
      <c r="R662" s="5" t="inlineStr"/>
      <c r="S662" s="5" t="inlineStr"/>
      <c r="T662" s="5" t="inlineStr"/>
      <c r="U662" s="5" t="inlineStr">
        <is>
          <t>taki-defteri</t>
        </is>
      </c>
      <c r="V662" s="5" t="inlineStr"/>
      <c r="W662" s="5" t="inlineStr"/>
      <c r="X662" s="5" t="inlineStr"/>
      <c r="Y662" s="5" t="inlineStr"/>
      <c r="Z662" s="6" t="inlineStr"/>
    </row>
    <row r="663">
      <c r="A663" s="5" t="inlineStr">
        <is>
          <t>b7-dugun-takilari</t>
        </is>
      </c>
      <c r="B663" s="5" t="n">
        <v>3</v>
      </c>
      <c r="C663" s="6" t="inlineStr">
        <is>
          <t>Takıların gramını anlık hesapla</t>
        </is>
      </c>
      <c r="D663" s="5" t="inlineStr">
        <is>
          <t>Akıl</t>
        </is>
      </c>
      <c r="E663" s="5" t="inlineStr">
        <is>
          <t>Kolay</t>
        </is>
      </c>
      <c r="F663" s="5" t="inlineStr"/>
      <c r="G663" s="6" t="inlineStr"/>
      <c r="H663" s="6" t="inlineStr">
        <is>
          <t>Merasim bitmeden toplam değeri biliyordun. Düğün masrafı karşılandı, eş dost kâr-zarar tablosuna girdi.</t>
        </is>
      </c>
      <c r="I663" s="6" t="inlineStr">
        <is>
          <t>Gramajı öyle hızlı hesapladın ki kuyumcu olan dayı seni işe almak istedi. Hesap sahnede tutuldu.</t>
        </is>
      </c>
      <c r="J663" s="6" t="inlineStr">
        <is>
          <t>Hesapta bir sıfır kaydı. Bir saat boyunca zengin olduğunu sandın.</t>
        </is>
      </c>
      <c r="K663" s="6" t="inlineStr">
        <is>
          <t>Yüksek sesle hesap yaparken mikrofon açıktı. Salondaki herkes kendi takısının değerini öğrendi.</t>
        </is>
      </c>
      <c r="L663" s="6" t="inlineStr"/>
      <c r="M663" s="5" t="inlineStr"/>
      <c r="N663" s="5" t="inlineStr"/>
      <c r="O663" s="6" t="inlineStr"/>
      <c r="P663" s="6" t="inlineStr"/>
      <c r="Q663" s="5" t="inlineStr">
        <is>
          <t>Para Üstü Radarı</t>
        </is>
      </c>
      <c r="R663" s="5" t="inlineStr"/>
      <c r="S663" s="5" t="inlineStr"/>
      <c r="T663" s="5" t="inlineStr"/>
      <c r="U663" s="5" t="inlineStr">
        <is>
          <t>taki-defteri</t>
        </is>
      </c>
      <c r="V663" s="5" t="inlineStr"/>
      <c r="W663" s="5" t="inlineStr"/>
      <c r="X663" s="5" t="inlineStr"/>
      <c r="Y663" s="5" t="inlineStr"/>
      <c r="Z663" s="6" t="inlineStr"/>
    </row>
    <row r="664">
      <c r="A664" s="5" t="inlineStr">
        <is>
          <t>b7-balayi</t>
        </is>
      </c>
      <c r="B664" s="5" t="n">
        <v>1</v>
      </c>
      <c r="C664" s="6" t="inlineStr">
        <is>
          <t>Şezlongda yat</t>
        </is>
      </c>
      <c r="D664" s="5" t="inlineStr"/>
      <c r="E664" s="5" t="inlineStr"/>
      <c r="F664" s="5" t="inlineStr">
        <is>
          <t>Dayanıklılık +1</t>
        </is>
      </c>
      <c r="G664" s="6" t="inlineStr">
        <is>
          <t>Yedi gün şezlongda yattın. Otelin kalıcı demirbaşı olarak kayda geçtin.</t>
        </is>
      </c>
      <c r="H664" s="6" t="inlineStr"/>
      <c r="I664" s="6" t="inlineStr"/>
      <c r="J664" s="6" t="inlineStr"/>
      <c r="K664" s="6" t="inlineStr"/>
      <c r="L664" s="6" t="inlineStr"/>
      <c r="M664" s="5" t="inlineStr"/>
      <c r="N664" s="5" t="inlineStr"/>
      <c r="O664" s="6" t="inlineStr"/>
      <c r="P664" s="6" t="inlineStr"/>
      <c r="Q664" s="5" t="inlineStr"/>
      <c r="R664" s="5" t="inlineStr"/>
      <c r="S664" s="5" t="inlineStr"/>
      <c r="T664" s="5" t="inlineStr"/>
      <c r="U664" s="5" t="inlineStr"/>
      <c r="V664" s="5" t="inlineStr"/>
      <c r="W664" s="5" t="inlineStr"/>
      <c r="X664" s="5" t="inlineStr"/>
      <c r="Y664" s="5" t="inlineStr"/>
      <c r="Z664" s="6" t="inlineStr"/>
    </row>
    <row r="665">
      <c r="A665" s="5" t="inlineStr">
        <is>
          <t>b7-balayi</t>
        </is>
      </c>
      <c r="B665" s="5" t="n">
        <v>2</v>
      </c>
      <c r="C665" s="6" t="inlineStr">
        <is>
          <t>Deniz paraşütüne bin</t>
        </is>
      </c>
      <c r="D665" s="5" t="inlineStr">
        <is>
          <t>Cesaret</t>
        </is>
      </c>
      <c r="E665" s="5" t="inlineStr">
        <is>
          <t>Orta</t>
        </is>
      </c>
      <c r="F665" s="5" t="inlineStr"/>
      <c r="G665" s="6" t="inlineStr"/>
      <c r="H665" s="6" t="inlineStr">
        <is>
          <t>Havadan sahili gördün. Eşin aşağıdan el salladı. Fotoğraf çerçevelendi.</t>
        </is>
      </c>
      <c r="I665" s="6" t="inlineStr">
        <is>
          <t>Yukarıda o kadar keyifli göründün ki operatör sana indirimli ikinci tur verdi. Balayı fotoğraflarının yarısı gökyüzünde.</t>
        </is>
      </c>
      <c r="J665" s="6" t="inlineStr">
        <is>
          <t>İp kısa sürdü. Bütün uçuş boyunca otelin çamaşırhanesini izledin.</t>
        </is>
      </c>
      <c r="K665" s="6" t="inlineStr">
        <is>
          <t>Paraşüt açıldı, sen denize indin, şapkan da başka bir otele. Oteller arası bir iade protokolü başlatıldı.</t>
        </is>
      </c>
      <c r="L665" s="6" t="inlineStr"/>
      <c r="M665" s="5" t="inlineStr"/>
      <c r="N665" s="5" t="inlineStr"/>
      <c r="O665" s="6" t="inlineStr"/>
      <c r="P665" s="6" t="inlineStr"/>
      <c r="Q665" s="5" t="inlineStr"/>
      <c r="R665" s="5" t="inlineStr"/>
      <c r="S665" s="5" t="inlineStr"/>
      <c r="T665" s="5" t="inlineStr"/>
      <c r="U665" s="5" t="inlineStr"/>
      <c r="V665" s="5" t="inlineStr"/>
      <c r="W665" s="5" t="inlineStr"/>
      <c r="X665" s="5" t="inlineStr"/>
      <c r="Y665" s="5" t="n">
        <v>3</v>
      </c>
      <c r="Z665" s="6" t="inlineStr">
        <is>
          <t>Balayında deniz paraşütünde, 'aşağıdan çok güzel görünüyorsun' mesajını okurken.</t>
        </is>
      </c>
    </row>
    <row r="666">
      <c r="A666" s="5" t="inlineStr">
        <is>
          <t>b7-balayi</t>
        </is>
      </c>
      <c r="B666" s="5" t="n">
        <v>3</v>
      </c>
      <c r="C666" s="6" t="inlineStr">
        <is>
          <t>Açık büfede masa kapma operasyonu yap</t>
        </is>
      </c>
      <c r="D666" s="5" t="inlineStr">
        <is>
          <t>Kurnazlık</t>
        </is>
      </c>
      <c r="E666" s="5" t="inlineStr">
        <is>
          <t>Kolay</t>
        </is>
      </c>
      <c r="F666" s="5" t="inlineStr"/>
      <c r="G666" s="6" t="inlineStr"/>
      <c r="H666" s="6" t="inlineStr">
        <is>
          <t>Deniz manzaralı masayı her sabah sen kaptın. Otel seni tanıyor, masayı da.</t>
        </is>
      </c>
      <c r="I666" s="6" t="inlineStr">
        <is>
          <t>Masayı kaptın, garsonla dost oldun, son gün pasta geldi. Balayını büfe kazandı.</t>
        </is>
      </c>
      <c r="J666" s="6" t="inlineStr">
        <is>
          <t>Havluyla ayırdığın masaya başka bir havlu konmuş. Havlu savaşı kaybedildi.</t>
        </is>
      </c>
      <c r="K666" s="6" t="inlineStr">
        <is>
          <t>Masa kaparken yanlış tabağı aldın. O tabak başka bir çiftin yıl dönümü pastasıymış. Özür mektubu yazıldı.</t>
        </is>
      </c>
      <c r="L666" s="6" t="inlineStr"/>
      <c r="M666" s="5" t="inlineStr"/>
      <c r="N666" s="5" t="inlineStr"/>
      <c r="O666" s="6" t="inlineStr"/>
      <c r="P666" s="6" t="inlineStr"/>
      <c r="Q666" s="5" t="inlineStr"/>
      <c r="R666" s="5" t="inlineStr"/>
      <c r="S666" s="5" t="inlineStr"/>
      <c r="T666" s="5" t="inlineStr"/>
      <c r="U666" s="5" t="inlineStr"/>
      <c r="V666" s="5" t="inlineStr"/>
      <c r="W666" s="5" t="inlineStr"/>
      <c r="X666" s="5" t="inlineStr"/>
      <c r="Y666" s="5" t="inlineStr"/>
      <c r="Z666" s="6" t="inlineStr"/>
    </row>
    <row r="667">
      <c r="A667" s="5" t="inlineStr">
        <is>
          <t>ms-acilis-gecesi</t>
        </is>
      </c>
      <c r="B667" s="5" t="n">
        <v>1</v>
      </c>
      <c r="C667" s="6" t="inlineStr">
        <is>
          <t>İkramları ye, erken kapat</t>
        </is>
      </c>
      <c r="D667" s="5" t="inlineStr"/>
      <c r="E667" s="5" t="inlineStr"/>
      <c r="F667" s="5" t="inlineStr">
        <is>
          <t>Dayanıklılık +1</t>
        </is>
      </c>
      <c r="G667" s="6" t="inlineStr">
        <is>
          <t>Sergi iki saat sürdü. Poğaçaların hepsini sen yedin. Yatırımın bir kısmı geri döndü.</t>
        </is>
      </c>
      <c r="H667" s="6" t="inlineStr"/>
      <c r="I667" s="6" t="inlineStr"/>
      <c r="J667" s="6" t="inlineStr"/>
      <c r="K667" s="6" t="inlineStr"/>
      <c r="L667" s="6" t="inlineStr"/>
      <c r="M667" s="5" t="inlineStr"/>
      <c r="N667" s="5" t="inlineStr"/>
      <c r="O667" s="6" t="inlineStr"/>
      <c r="P667" s="6" t="inlineStr"/>
      <c r="Q667" s="5" t="inlineStr"/>
      <c r="R667" s="5" t="inlineStr"/>
      <c r="S667" s="5" t="inlineStr"/>
      <c r="T667" s="5" t="inlineStr"/>
      <c r="U667" s="5" t="inlineStr"/>
      <c r="V667" s="5" t="inlineStr"/>
      <c r="W667" s="5" t="inlineStr"/>
      <c r="X667" s="5" t="inlineStr"/>
      <c r="Y667" s="5" t="inlineStr"/>
      <c r="Z667" s="6" t="inlineStr"/>
    </row>
    <row r="668">
      <c r="A668" s="5" t="inlineStr">
        <is>
          <t>ms-acilis-gecesi</t>
        </is>
      </c>
      <c r="B668" s="5" t="n">
        <v>2</v>
      </c>
      <c r="C668" s="6" t="inlineStr">
        <is>
          <t>Üç kişiye tam bir sunum yap</t>
        </is>
      </c>
      <c r="D668" s="5" t="inlineStr">
        <is>
          <t>Çene</t>
        </is>
      </c>
      <c r="E668" s="5" t="inlineStr">
        <is>
          <t>Orta</t>
        </is>
      </c>
      <c r="F668" s="5" t="inlineStr"/>
      <c r="G668" s="6" t="inlineStr"/>
      <c r="H668" s="6" t="inlineStr">
        <is>
          <t>Üç kişiye stadyum coşkusuyla anlattın. Kurye kalıp bir eser satın aldı.</t>
        </is>
      </c>
      <c r="I668" s="6" t="inlineStr">
        <is>
          <t>Kurye anlattıklarını videoya çekti. Ertesi akşam sergide otuz kişi vardı.</t>
        </is>
      </c>
      <c r="J668" s="6" t="inlineStr">
        <is>
          <t>Anlattın; annen 'Bir de ceket giyseydin' dedi.</t>
        </is>
      </c>
      <c r="K668" s="6" t="inlineStr">
        <is>
          <t>Anlatırken kurye gitti, ev arkadaşın da. Annen hâlâ orada; o da taksi bekliyor.</t>
        </is>
      </c>
      <c r="L668" s="6" t="inlineStr"/>
      <c r="M668" s="5" t="inlineStr"/>
      <c r="N668" s="5" t="inlineStr"/>
      <c r="O668" s="6" t="inlineStr"/>
      <c r="P668" s="6" t="inlineStr"/>
      <c r="Q668" s="5" t="inlineStr"/>
      <c r="R668" s="5" t="inlineStr"/>
      <c r="S668" s="5" t="inlineStr"/>
      <c r="T668" s="5" t="inlineStr"/>
      <c r="U668" s="5" t="inlineStr"/>
      <c r="V668" s="5" t="inlineStr"/>
      <c r="W668" s="5" t="inlineStr"/>
      <c r="X668" s="5" t="inlineStr"/>
      <c r="Y668" s="5" t="inlineStr"/>
      <c r="Z668" s="6" t="inlineStr"/>
    </row>
    <row r="669">
      <c r="A669" s="5" t="inlineStr">
        <is>
          <t>ms-acilis-gecesi</t>
        </is>
      </c>
      <c r="B669" s="5" t="n">
        <v>3</v>
      </c>
      <c r="C669" s="6" t="inlineStr">
        <is>
          <t>Heykelinin yanında fotoğraf çektir</t>
        </is>
      </c>
      <c r="D669" s="5" t="inlineStr">
        <is>
          <t>Pişkinlik</t>
        </is>
      </c>
      <c r="E669" s="5" t="inlineStr">
        <is>
          <t>Kolay</t>
        </is>
      </c>
      <c r="F669" s="5" t="inlineStr"/>
      <c r="G669" s="6" t="inlineStr"/>
      <c r="H669" s="6" t="inlineStr">
        <is>
          <t>Fotoğraf çok beğenildi. Heykelden çok sen.</t>
        </is>
      </c>
      <c r="I669" s="6" t="inlineStr">
        <is>
          <t>Fotoğrafın bir sanat dergisine kapak oldu. Heykelin kenarı da görünüyor.</t>
        </is>
      </c>
      <c r="J669" s="6" t="inlineStr">
        <is>
          <t>Fotoğraftan önce heykel hafifçe sallandı. Sen de.</t>
        </is>
      </c>
      <c r="K669" s="6" t="inlineStr">
        <is>
          <t>Heykel sana yaslandı. İkiniz birlikte bir sonraki kareye girdiniz. Eleştirmen buna 'etkileşim' dedi.</t>
        </is>
      </c>
      <c r="L669" s="6" t="inlineStr"/>
      <c r="M669" s="5" t="inlineStr"/>
      <c r="N669" s="5" t="inlineStr"/>
      <c r="O669" s="6" t="inlineStr"/>
      <c r="P669" s="6" t="inlineStr"/>
      <c r="Q669" s="5" t="inlineStr"/>
      <c r="R669" s="5" t="inlineStr"/>
      <c r="S669" s="5" t="inlineStr"/>
      <c r="T669" s="5" t="inlineStr"/>
      <c r="U669" s="5" t="inlineStr"/>
      <c r="V669" s="5" t="inlineStr"/>
      <c r="W669" s="5" t="inlineStr"/>
      <c r="X669" s="5" t="inlineStr"/>
      <c r="Y669" s="5" t="n">
        <v>3</v>
      </c>
      <c r="Z669" s="6" t="inlineStr">
        <is>
          <t>Kendi sergisinin açılışında, kendi heykelinin altında. Heykel iyi eleştiriler aldı.</t>
        </is>
      </c>
    </row>
    <row r="670">
      <c r="A670" s="5" t="inlineStr">
        <is>
          <t>ms-acilis-gecesi</t>
        </is>
      </c>
      <c r="B670" s="5" t="n">
        <v>4</v>
      </c>
      <c r="C670" s="6" t="inlineStr">
        <is>
          <t>Açılışı canlı yayına aç</t>
        </is>
      </c>
      <c r="D670" s="5" t="inlineStr">
        <is>
          <t>Sosyal Radar</t>
        </is>
      </c>
      <c r="E670" s="5" t="inlineStr">
        <is>
          <t>Kolay</t>
        </is>
      </c>
      <c r="F670" s="5" t="inlineStr"/>
      <c r="G670" s="6" t="inlineStr"/>
      <c r="H670" s="6" t="inlineStr">
        <is>
          <t>Salonda üç, yayında üç yüz kişi vardı. Sergi internette kalabalık.</t>
        </is>
      </c>
      <c r="I670" s="6" t="inlineStr">
        <is>
          <t>Yayından bir koleksiyoncu eser istedi. Kurye paketi teslim etti.</t>
        </is>
      </c>
      <c r="J670" s="6" t="inlineStr">
        <is>
          <t>Yayına en çok annen yorum yazdı. Altı kez 'Aferin'.</t>
        </is>
      </c>
      <c r="K670" s="6" t="inlineStr">
        <is>
          <t>Yayında salonun boşluğu yankı yaptı. Yorum: 'Sergi mi, depo mu?'</t>
        </is>
      </c>
      <c r="L670" s="6" t="inlineStr"/>
      <c r="M670" s="5" t="inlineStr"/>
      <c r="N670" s="5" t="inlineStr"/>
      <c r="O670" s="6" t="inlineStr"/>
      <c r="P670" s="6" t="inlineStr"/>
      <c r="Q670" s="5" t="inlineStr"/>
      <c r="R670" s="5" t="inlineStr">
        <is>
          <t>fenomen</t>
        </is>
      </c>
      <c r="S670" s="5" t="inlineStr"/>
      <c r="T670" s="5" t="inlineStr"/>
      <c r="U670" s="5" t="inlineStr"/>
      <c r="V670" s="5" t="inlineStr"/>
      <c r="W670" s="5" t="inlineStr"/>
      <c r="X670" s="5" t="inlineStr"/>
      <c r="Y670" s="5" t="inlineStr"/>
      <c r="Z670" s="6" t="inlineStr"/>
    </row>
    <row r="671">
      <c r="A671" s="5" t="inlineStr">
        <is>
          <t>b7-bulasik-makinesi</t>
        </is>
      </c>
      <c r="B671" s="5" t="n">
        <v>1</v>
      </c>
      <c r="C671" s="6" t="inlineStr">
        <is>
          <t>Özür dile, yeniden diz</t>
        </is>
      </c>
      <c r="D671" s="5" t="inlineStr"/>
      <c r="E671" s="5" t="inlineStr"/>
      <c r="F671" s="5" t="inlineStr">
        <is>
          <t>Vicdan +2</t>
        </is>
      </c>
      <c r="G671" s="6" t="inlineStr">
        <is>
          <t>Tabaklar yeniden dizildi. Sen de. Evlilik kurumunun ilk iç yönetmeliği yazıldı.</t>
        </is>
      </c>
      <c r="H671" s="6" t="inlineStr"/>
      <c r="I671" s="6" t="inlineStr"/>
      <c r="J671" s="6" t="inlineStr"/>
      <c r="K671" s="6" t="inlineStr"/>
      <c r="L671" s="6" t="inlineStr"/>
      <c r="M671" s="5" t="inlineStr"/>
      <c r="N671" s="5" t="inlineStr"/>
      <c r="O671" s="6" t="inlineStr"/>
      <c r="P671" s="6" t="inlineStr"/>
      <c r="Q671" s="5" t="inlineStr"/>
      <c r="R671" s="5" t="inlineStr"/>
      <c r="S671" s="5" t="inlineStr"/>
      <c r="T671" s="5" t="inlineStr"/>
      <c r="U671" s="5" t="inlineStr"/>
      <c r="V671" s="5" t="inlineStr"/>
      <c r="W671" s="5" t="inlineStr"/>
      <c r="X671" s="5" t="inlineStr"/>
      <c r="Y671" s="5" t="inlineStr"/>
      <c r="Z671" s="6" t="inlineStr"/>
    </row>
    <row r="672">
      <c r="A672" s="5" t="inlineStr">
        <is>
          <t>b7-bulasik-makinesi</t>
        </is>
      </c>
      <c r="B672" s="5" t="n">
        <v>2</v>
      </c>
      <c r="C672" s="6" t="inlineStr">
        <is>
          <t>Kendi yönteminin bilimsel olduğunu savun</t>
        </is>
      </c>
      <c r="D672" s="5" t="inlineStr">
        <is>
          <t>Çene</t>
        </is>
      </c>
      <c r="E672" s="5" t="inlineStr">
        <is>
          <t>Zor</t>
        </is>
      </c>
      <c r="F672" s="5" t="inlineStr"/>
      <c r="G672" s="6" t="inlineStr"/>
      <c r="H672" s="6" t="inlineStr">
        <is>
          <t>Tencerenin neden altta olması gerektiğini ikna edici anlattın. Mutfakta yeni bir düzen kuruldu.</t>
        </is>
      </c>
      <c r="I672" s="6" t="inlineStr">
        <is>
          <t>Savunman öyle güçlüydü ki eşin, kendi ailesinin makinesini de senin yönteminle dizdi. Etki alanın genişledi.</t>
        </is>
      </c>
      <c r="J672" s="6" t="inlineStr">
        <is>
          <t>Argümanın 'Hep böyle diziyordum'dan ibaretti. Hakem heyeti kabul etmedi.</t>
        </is>
      </c>
      <c r="K672" s="6" t="inlineStr">
        <is>
          <t>Savunurken kapağı çarptın, bir bardak kırıldı. Bardak eşinin annesinden kalmaydı. Konu bulaşıktan çıktı.</t>
        </is>
      </c>
      <c r="L672" s="6" t="inlineStr"/>
      <c r="M672" s="5" t="inlineStr"/>
      <c r="N672" s="5" t="inlineStr"/>
      <c r="O672" s="6" t="inlineStr"/>
      <c r="P672" s="6" t="inlineStr"/>
      <c r="Q672" s="5" t="inlineStr"/>
      <c r="R672" s="5" t="inlineStr"/>
      <c r="S672" s="5" t="inlineStr"/>
      <c r="T672" s="5" t="inlineStr"/>
      <c r="U672" s="5" t="inlineStr"/>
      <c r="V672" s="5" t="inlineStr"/>
      <c r="W672" s="5" t="inlineStr"/>
      <c r="X672" s="5" t="inlineStr"/>
      <c r="Y672" s="5" t="inlineStr"/>
      <c r="Z672" s="6" t="inlineStr"/>
    </row>
    <row r="673">
      <c r="A673" s="5" t="inlineStr">
        <is>
          <t>b7-bulasik-makinesi</t>
        </is>
      </c>
      <c r="B673" s="5" t="n">
        <v>3</v>
      </c>
      <c r="C673" s="6" t="inlineStr">
        <is>
          <t>Makinenin kullanım kılavuzunu çıkar</t>
        </is>
      </c>
      <c r="D673" s="5" t="inlineStr">
        <is>
          <t>Akıl</t>
        </is>
      </c>
      <c r="E673" s="5" t="inlineStr">
        <is>
          <t>Kolay</t>
        </is>
      </c>
      <c r="F673" s="5" t="inlineStr"/>
      <c r="G673" s="6" t="inlineStr"/>
      <c r="H673" s="6" t="inlineStr">
        <is>
          <t>Kılavuz senden yanaydı. Tarihte ilk kez biri kullanım kılavuzunu okudu ve bir tartışma kazandı.</t>
        </is>
      </c>
      <c r="I673" s="6" t="inlineStr">
        <is>
          <t>Kılavuzda ikinizin de yanıldığı anlaşıldı. Ortak düşman bulundu: üretici.</t>
        </is>
      </c>
      <c r="J673" s="6" t="inlineStr">
        <is>
          <t>Kılavuz Makaryaca değilmiş. Dördüncü dilde senin yöntemin 'önerilmez' olarak geçiyor.</t>
        </is>
      </c>
      <c r="K673" s="6" t="inlineStr">
        <is>
          <t>Kılavuzu okurken makinenin üç yıldır yanlış programda çalıştığını fark ettin. Bu da senin hatan sayıldı.</t>
        </is>
      </c>
      <c r="L673" s="6" t="inlineStr"/>
      <c r="M673" s="5" t="inlineStr"/>
      <c r="N673" s="5" t="inlineStr"/>
      <c r="O673" s="6" t="inlineStr"/>
      <c r="P673" s="6" t="inlineStr"/>
      <c r="Q673" s="5" t="inlineStr"/>
      <c r="R673" s="5" t="inlineStr"/>
      <c r="S673" s="5" t="inlineStr">
        <is>
          <t>Akıl</t>
        </is>
      </c>
      <c r="T673" s="5" t="inlineStr"/>
      <c r="U673" s="5" t="inlineStr"/>
      <c r="V673" s="5" t="inlineStr"/>
      <c r="W673" s="5" t="inlineStr"/>
      <c r="X673" s="5" t="inlineStr"/>
      <c r="Y673" s="5" t="inlineStr"/>
      <c r="Z673" s="6" t="inlineStr"/>
    </row>
    <row r="674">
      <c r="A674" s="5" t="inlineStr">
        <is>
          <t>b7-bulasik-makinesi</t>
        </is>
      </c>
      <c r="B674" s="5" t="n">
        <v>4</v>
      </c>
      <c r="C674" s="6" t="inlineStr">
        <is>
          <t>'Bundan sonra elde yıkayalım' de</t>
        </is>
      </c>
      <c r="D674" s="5" t="inlineStr"/>
      <c r="E674" s="5" t="inlineStr"/>
      <c r="F674" s="5" t="inlineStr">
        <is>
          <t>Pişkinlik +1</t>
        </is>
      </c>
      <c r="G674" s="6" t="inlineStr">
        <is>
          <t>Önerin sessizlikle karşılandı. O gece iki kişi, ayrı ayrı, aynı tabağı yıkadı.</t>
        </is>
      </c>
      <c r="H674" s="6" t="inlineStr"/>
      <c r="I674" s="6" t="inlineStr"/>
      <c r="J674" s="6" t="inlineStr"/>
      <c r="K674" s="6" t="inlineStr"/>
      <c r="L674" s="6" t="inlineStr"/>
      <c r="M674" s="5" t="inlineStr"/>
      <c r="N674" s="5" t="inlineStr"/>
      <c r="O674" s="6" t="inlineStr"/>
      <c r="P674" s="6" t="inlineStr"/>
      <c r="Q674" s="5" t="inlineStr"/>
      <c r="R674" s="5" t="inlineStr"/>
      <c r="S674" s="5" t="inlineStr"/>
      <c r="T674" s="5" t="inlineStr"/>
      <c r="U674" s="5" t="inlineStr"/>
      <c r="V674" s="5" t="inlineStr"/>
      <c r="W674" s="5" t="inlineStr"/>
      <c r="X674" s="5" t="inlineStr"/>
      <c r="Y674" s="5" t="inlineStr"/>
      <c r="Z674" s="6" t="inlineStr"/>
    </row>
    <row r="675">
      <c r="A675" s="5" t="inlineStr">
        <is>
          <t>mm-sistem-coktu</t>
        </is>
      </c>
      <c r="B675" s="5" t="n">
        <v>1</v>
      </c>
      <c r="C675" s="6" t="inlineStr">
        <is>
          <t>Kâğıda geç</t>
        </is>
      </c>
      <c r="D675" s="5" t="inlineStr"/>
      <c r="E675" s="5" t="inlineStr"/>
      <c r="F675" s="5" t="inlineStr">
        <is>
          <t>Dayanıklılık +1, Akıl +1</t>
        </is>
      </c>
      <c r="G675" s="6" t="inlineStr">
        <is>
          <t>Eski defteri çekmeceden çıkardın. Sistem üç gün çöktü; defter bir dakika bile çökmedi.</t>
        </is>
      </c>
      <c r="H675" s="6" t="inlineStr"/>
      <c r="I675" s="6" t="inlineStr"/>
      <c r="J675" s="6" t="inlineStr"/>
      <c r="K675" s="6" t="inlineStr"/>
      <c r="L675" s="6" t="inlineStr"/>
      <c r="M675" s="5" t="inlineStr"/>
      <c r="N675" s="5" t="inlineStr"/>
      <c r="O675" s="6" t="inlineStr"/>
      <c r="P675" s="6" t="inlineStr"/>
      <c r="Q675" s="5" t="inlineStr"/>
      <c r="R675" s="5" t="inlineStr"/>
      <c r="S675" s="5" t="inlineStr"/>
      <c r="T675" s="5" t="inlineStr"/>
      <c r="U675" s="5" t="inlineStr"/>
      <c r="V675" s="5" t="inlineStr"/>
      <c r="W675" s="5" t="inlineStr"/>
      <c r="X675" s="5" t="inlineStr"/>
      <c r="Y675" s="5" t="inlineStr"/>
      <c r="Z675" s="6" t="inlineStr"/>
    </row>
    <row r="676">
      <c r="A676" s="5" t="inlineStr">
        <is>
          <t>mm-sistem-coktu</t>
        </is>
      </c>
      <c r="B676" s="5" t="n">
        <v>2</v>
      </c>
      <c r="C676" s="6" t="inlineStr">
        <is>
          <t>Bilgi işlemi ara</t>
        </is>
      </c>
      <c r="D676" s="5" t="inlineStr">
        <is>
          <t>Çene</t>
        </is>
      </c>
      <c r="E676" s="5" t="inlineStr">
        <is>
          <t>Orta</t>
        </is>
      </c>
      <c r="F676" s="5" t="inlineStr"/>
      <c r="G676" s="6" t="inlineStr"/>
      <c r="H676" s="6" t="inlineStr">
        <is>
          <t>'Kapatıp açın' dediler. Kapatıp açtın. Çalıştı. Kimse nedenini bilmiyor.</t>
        </is>
      </c>
      <c r="I676" s="6" t="inlineStr">
        <is>
          <t>Bilgi işlem sorunu senin tarifinle buldu ve raporuna adını yazdı. Artık her arızada ilk seni arıyorlar.</t>
        </is>
      </c>
      <c r="J676" s="6" t="inlineStr">
        <is>
          <t>Hat meşgul. Bilgi işlem de yeni sistemi kullanıyormuş.</t>
        </is>
      </c>
      <c r="K676" s="6" t="inlineStr">
        <is>
          <t>Uzaktan bağlandılar ve üç saat boyunca masaüstü arka planını tartıştılar.</t>
        </is>
      </c>
      <c r="L676" s="6" t="inlineStr"/>
      <c r="M676" s="5" t="inlineStr"/>
      <c r="N676" s="5" t="inlineStr"/>
      <c r="O676" s="6" t="inlineStr"/>
      <c r="P676" s="6" t="inlineStr"/>
      <c r="Q676" s="5" t="inlineStr"/>
      <c r="R676" s="5" t="inlineStr"/>
      <c r="S676" s="5" t="inlineStr"/>
      <c r="T676" s="5" t="inlineStr"/>
      <c r="U676" s="5" t="inlineStr"/>
      <c r="V676" s="5" t="inlineStr"/>
      <c r="W676" s="5" t="inlineStr"/>
      <c r="X676" s="5" t="inlineStr"/>
      <c r="Y676" s="5" t="inlineStr"/>
      <c r="Z676" s="6" t="inlineStr"/>
    </row>
    <row r="677">
      <c r="A677" s="5" t="inlineStr">
        <is>
          <t>mm-sistem-coktu</t>
        </is>
      </c>
      <c r="B677" s="5" t="n">
        <v>3</v>
      </c>
      <c r="C677" s="6" t="inlineStr">
        <is>
          <t>Sistemi kendin çöz</t>
        </is>
      </c>
      <c r="D677" s="5" t="inlineStr">
        <is>
          <t>Akıl</t>
        </is>
      </c>
      <c r="E677" s="5" t="inlineStr">
        <is>
          <t>Zor</t>
        </is>
      </c>
      <c r="F677" s="5" t="inlineStr"/>
      <c r="G677" s="6" t="inlineStr"/>
      <c r="H677" s="6" t="inlineStr">
        <is>
          <t>Yeniden başlatmanın gizli bir sırası olduğunu buldun. Dairenin en değerli bilgisi artık sende.</t>
        </is>
      </c>
      <c r="I677" s="6" t="inlineStr">
        <is>
          <t>Bütün müdürlükler senin yönteminle açıldı. Kayıtlarda adın yok; sistem o sırada kayıt tutmuyordu.</t>
        </is>
      </c>
      <c r="J677" s="6" t="inlineStr">
        <is>
          <t>Sistem bir kez daha çöktü. Bu sefer kayıtlarda senin kullanıcı adınla.</t>
        </is>
      </c>
      <c r="K677" s="6" t="inlineStr">
        <is>
          <t>Bütün kurumun ekranında senin masaüstün yansıdı. Masaüstünde 'emekliliğe kalan gün' tablosu açıktı.</t>
        </is>
      </c>
      <c r="L677" s="6" t="inlineStr"/>
      <c r="M677" s="5" t="inlineStr"/>
      <c r="N677" s="5" t="inlineStr"/>
      <c r="O677" s="6" t="inlineStr"/>
      <c r="P677" s="6" t="inlineStr"/>
      <c r="Q677" s="5" t="inlineStr">
        <is>
          <t>Teknoloji Merakı</t>
        </is>
      </c>
      <c r="R677" s="5" t="inlineStr"/>
      <c r="S677" s="5" t="inlineStr"/>
      <c r="T677" s="5" t="inlineStr"/>
      <c r="U677" s="5" t="inlineStr"/>
      <c r="V677" s="5" t="inlineStr"/>
      <c r="W677" s="5" t="inlineStr"/>
      <c r="X677" s="5" t="inlineStr"/>
      <c r="Y677" s="5" t="inlineStr"/>
      <c r="Z677" s="6" t="inlineStr"/>
    </row>
    <row r="678">
      <c r="A678" s="5" t="inlineStr">
        <is>
          <t>mm-sistem-coktu</t>
        </is>
      </c>
      <c r="B678" s="5" t="n">
        <v>4</v>
      </c>
      <c r="C678" s="6" t="inlineStr">
        <is>
          <t>'Sistemde görünmüyor' de</t>
        </is>
      </c>
      <c r="D678" s="5" t="inlineStr">
        <is>
          <t>Pişkinlik</t>
        </is>
      </c>
      <c r="E678" s="5" t="inlineStr">
        <is>
          <t>Kolay</t>
        </is>
      </c>
      <c r="F678" s="5" t="inlineStr"/>
      <c r="G678" s="6" t="inlineStr"/>
      <c r="H678" s="6" t="inlineStr">
        <is>
          <t>Doğruydu. Sistem de görünmüyordu.</t>
        </is>
      </c>
      <c r="I678" s="6" t="inlineStr">
        <is>
          <t>O kadar ikna edici söyledin ki vatandaşlar sana teşekkür edip evlerine döndü.</t>
        </is>
      </c>
      <c r="J678" s="6" t="inlineStr">
        <is>
          <t>Vatandaş telefonundan kendi kaydını gösterdi. Onun sistemi çalışıyor.</t>
        </is>
      </c>
      <c r="K678" s="6" t="inlineStr">
        <is>
          <t>Herkesi yarına gönderdin. Yarın sistem yine çöktü. Kapıdaki sıra artık iki günlük.</t>
        </is>
      </c>
      <c r="L678" s="6" t="inlineStr"/>
      <c r="M678" s="5" t="inlineStr"/>
      <c r="N678" s="5" t="inlineStr"/>
      <c r="O678" s="6" t="inlineStr"/>
      <c r="P678" s="6" t="inlineStr"/>
      <c r="Q678" s="5" t="inlineStr"/>
      <c r="R678" s="5" t="inlineStr"/>
      <c r="S678" s="5" t="inlineStr"/>
      <c r="T678" s="5" t="inlineStr"/>
      <c r="U678" s="5" t="inlineStr"/>
      <c r="V678" s="5" t="inlineStr"/>
      <c r="W678" s="5" t="inlineStr"/>
      <c r="X678" s="5" t="inlineStr"/>
      <c r="Y678" s="5" t="inlineStr"/>
      <c r="Z678" s="6" t="inlineStr"/>
    </row>
    <row r="679">
      <c r="A679" s="5" t="inlineStr">
        <is>
          <t>b7-kayinvalide</t>
        </is>
      </c>
      <c r="B679" s="5" t="n">
        <v>1</v>
      </c>
      <c r="C679" s="6" t="inlineStr">
        <is>
          <t>Gülümse, çay tazele</t>
        </is>
      </c>
      <c r="D679" s="5" t="inlineStr"/>
      <c r="E679" s="5" t="inlineStr"/>
      <c r="F679" s="5" t="inlineStr">
        <is>
          <t>Vicdan +1</t>
        </is>
      </c>
      <c r="G679" s="6" t="inlineStr">
        <is>
          <t>Çay tazelendi. Hmm'nin anlamı aile içi arşivde incelenmeye alındı.</t>
        </is>
      </c>
      <c r="H679" s="6" t="inlineStr"/>
      <c r="I679" s="6" t="inlineStr"/>
      <c r="J679" s="6" t="inlineStr"/>
      <c r="K679" s="6" t="inlineStr"/>
      <c r="L679" s="6" t="inlineStr"/>
      <c r="M679" s="5" t="inlineStr"/>
      <c r="N679" s="5" t="inlineStr"/>
      <c r="O679" s="6" t="inlineStr"/>
      <c r="P679" s="6" t="inlineStr"/>
      <c r="Q679" s="5" t="inlineStr"/>
      <c r="R679" s="5" t="inlineStr"/>
      <c r="S679" s="5" t="inlineStr"/>
      <c r="T679" s="5" t="inlineStr"/>
      <c r="U679" s="5" t="inlineStr"/>
      <c r="V679" s="5" t="inlineStr"/>
      <c r="W679" s="5" t="inlineStr"/>
      <c r="X679" s="5" t="inlineStr"/>
      <c r="Y679" s="5" t="inlineStr"/>
      <c r="Z679" s="6" t="inlineStr"/>
    </row>
    <row r="680">
      <c r="A680" s="5" t="inlineStr">
        <is>
          <t>b7-kayinvalide</t>
        </is>
      </c>
      <c r="B680" s="5" t="n">
        <v>2</v>
      </c>
      <c r="C680" s="6" t="inlineStr">
        <is>
          <t>Tarifi kayınvalideye danış</t>
        </is>
      </c>
      <c r="D680" s="5" t="inlineStr">
        <is>
          <t>Sosyal Radar</t>
        </is>
      </c>
      <c r="E680" s="5" t="inlineStr">
        <is>
          <t>Zor</t>
        </is>
      </c>
      <c r="F680" s="5" t="inlineStr"/>
      <c r="G680" s="6" t="inlineStr"/>
      <c r="H680" s="6" t="inlineStr">
        <is>
          <t>Tarifi sordun. Kayınvalide yirmi dakika anlattı. Artık bir müttefikin var.</t>
        </is>
      </c>
      <c r="I680" s="6" t="inlineStr">
        <is>
          <t>Tarifi sordun, sonraki pazar birlikte menemen yaptınız. Aile grubunda eşinden önce sen etiketleniyorsun.</t>
        </is>
      </c>
      <c r="J680" s="6" t="inlineStr">
        <is>
          <t>Tarifi sordun. 'Sen bilirsin' dedi. Bu, 'Hmm'nin genişletilmiş hâli.</t>
        </is>
      </c>
      <c r="K680" s="6" t="inlineStr">
        <is>
          <t>Tarifi sordun; kayınvalide kendi tarifini yazdı, mutfağına asmanı istedi. Mutfağın artık ortak mülkiyette.</t>
        </is>
      </c>
      <c r="L680" s="6" t="inlineStr"/>
      <c r="M680" s="5" t="inlineStr"/>
      <c r="N680" s="5" t="inlineStr"/>
      <c r="O680" s="6" t="inlineStr"/>
      <c r="P680" s="6" t="inlineStr"/>
      <c r="Q680" s="5" t="inlineStr"/>
      <c r="R680" s="5" t="inlineStr"/>
      <c r="S680" s="5" t="inlineStr"/>
      <c r="T680" s="5" t="inlineStr">
        <is>
          <t>Kayınvalide Diplomatı</t>
        </is>
      </c>
      <c r="U680" s="5" t="inlineStr"/>
      <c r="V680" s="5" t="inlineStr"/>
      <c r="W680" s="5" t="inlineStr"/>
      <c r="X680" s="5" t="inlineStr"/>
      <c r="Y680" s="5" t="inlineStr"/>
      <c r="Z680" s="6" t="inlineStr"/>
    </row>
    <row r="681">
      <c r="A681" s="5" t="inlineStr">
        <is>
          <t>b7-kayinvalide</t>
        </is>
      </c>
      <c r="B681" s="5" t="n">
        <v>3</v>
      </c>
      <c r="C681" s="6" t="inlineStr">
        <is>
          <t>'Menemeni eşim yaptı' de</t>
        </is>
      </c>
      <c r="D681" s="5" t="inlineStr">
        <is>
          <t>Pişkinlik</t>
        </is>
      </c>
      <c r="E681" s="5" t="inlineStr">
        <is>
          <t>Orta</t>
        </is>
      </c>
      <c r="F681" s="5" t="inlineStr"/>
      <c r="G681" s="6" t="inlineStr"/>
      <c r="H681" s="6" t="inlineStr">
        <is>
          <t>Eleştiri anında övgüye dönüştü. Menemen o gün 'harika' ilan edildi.</t>
        </is>
      </c>
      <c r="I681" s="6" t="inlineStr">
        <is>
          <t>Kayınvalide menemeni öyle övdü ki eşin sonraki bayram için menemen hazırlamakla görevlendirildi. Sen izledin.</t>
        </is>
      </c>
      <c r="J681" s="6" t="inlineStr">
        <is>
          <t>Eşin 'Ben yapmadım' dedi. Masada iki 'Hmm' vardı artık.</t>
        </is>
      </c>
      <c r="K681" s="6" t="inlineStr">
        <is>
          <t>Kayınvalide kalkıp 'Bir daha yapsın o zaman, izleyelim' dedi. Pazar kahvaltısı canlı bir sınava dönüştü.</t>
        </is>
      </c>
      <c r="L681" s="6" t="inlineStr"/>
      <c r="M681" s="5" t="inlineStr"/>
      <c r="N681" s="5" t="inlineStr"/>
      <c r="O681" s="6" t="inlineStr"/>
      <c r="P681" s="6" t="inlineStr"/>
      <c r="Q681" s="5" t="inlineStr"/>
      <c r="R681" s="5" t="inlineStr"/>
      <c r="S681" s="5" t="inlineStr">
        <is>
          <t>Sosyal Radar</t>
        </is>
      </c>
      <c r="T681" s="5" t="inlineStr"/>
      <c r="U681" s="5" t="inlineStr"/>
      <c r="V681" s="5" t="inlineStr"/>
      <c r="W681" s="5" t="inlineStr"/>
      <c r="X681" s="5" t="inlineStr"/>
      <c r="Y681" s="5" t="inlineStr"/>
      <c r="Z681" s="6" t="inlineStr"/>
    </row>
    <row r="682">
      <c r="A682" s="5" t="inlineStr">
        <is>
          <t>b7-kayinvalide</t>
        </is>
      </c>
      <c r="B682" s="5" t="n">
        <v>4</v>
      </c>
      <c r="C682" s="6" t="inlineStr">
        <is>
          <t>Kayınpederle maç sohbetine sığın</t>
        </is>
      </c>
      <c r="D682" s="5" t="inlineStr">
        <is>
          <t>Çene</t>
        </is>
      </c>
      <c r="E682" s="5" t="inlineStr">
        <is>
          <t>Kolay</t>
        </is>
      </c>
      <c r="F682" s="5" t="inlineStr"/>
      <c r="G682" s="6" t="inlineStr"/>
      <c r="H682" s="6" t="inlineStr">
        <is>
          <t>Şehrin büyük takımını konuştunuz. Kayınpeder seni masanın öbür ucundan korudu.</t>
        </is>
      </c>
      <c r="I682" s="6" t="inlineStr">
        <is>
          <t>Kayınpederle o kadar iyi anlaştın ki seni maça davet etti. Eşin davetsiz kaldı.</t>
        </is>
      </c>
      <c r="J682" s="6" t="inlineStr">
        <is>
          <t>Kayınpeder rakip takımı tutuyormuş. Masada ikinci bir cephe açıldı.</t>
        </is>
      </c>
      <c r="K682" s="6" t="inlineStr">
        <is>
          <t>Maç konuşurken çay bardağını devirdin. Kayınvalideye yeni bir 'Hmm' için malzeme çıktı.</t>
        </is>
      </c>
      <c r="L682" s="6" t="inlineStr"/>
      <c r="M682" s="5" t="inlineStr"/>
      <c r="N682" s="5" t="inlineStr"/>
      <c r="O682" s="6" t="inlineStr"/>
      <c r="P682" s="6" t="inlineStr"/>
      <c r="Q682" s="5" t="inlineStr"/>
      <c r="R682" s="5" t="inlineStr"/>
      <c r="S682" s="5" t="inlineStr"/>
      <c r="T682" s="5" t="inlineStr"/>
      <c r="U682" s="5" t="inlineStr"/>
      <c r="V682" s="5" t="inlineStr"/>
      <c r="W682" s="5" t="inlineStr"/>
      <c r="X682" s="5" t="inlineStr"/>
      <c r="Y682" s="5" t="inlineStr"/>
      <c r="Z682" s="6" t="inlineStr"/>
    </row>
    <row r="683">
      <c r="A683" s="5" t="inlineStr">
        <is>
          <t>b7-akraba-tanisma</t>
        </is>
      </c>
      <c r="B683" s="5" t="n">
        <v>1</v>
      </c>
      <c r="C683" s="6" t="inlineStr">
        <is>
          <t>Nezaketle katıl, sonra kaç</t>
        </is>
      </c>
      <c r="D683" s="5" t="inlineStr"/>
      <c r="E683" s="5" t="inlineStr"/>
      <c r="F683" s="5" t="inlineStr">
        <is>
          <t>Sosyal Radar +1</t>
        </is>
      </c>
      <c r="G683" s="6" t="inlineStr">
        <is>
          <t>Kırk dakika hava durumu konuştunuz. İki teyze sonuçtan memnun, siz ikiniz değil.</t>
        </is>
      </c>
      <c r="H683" s="6" t="inlineStr"/>
      <c r="I683" s="6" t="inlineStr"/>
      <c r="J683" s="6" t="inlineStr"/>
      <c r="K683" s="6" t="inlineStr"/>
      <c r="L683" s="6" t="inlineStr"/>
      <c r="M683" s="5" t="inlineStr"/>
      <c r="N683" s="5" t="inlineStr"/>
      <c r="O683" s="6" t="inlineStr"/>
      <c r="P683" s="6" t="inlineStr"/>
      <c r="Q683" s="5" t="inlineStr"/>
      <c r="R683" s="5" t="inlineStr"/>
      <c r="S683" s="5" t="inlineStr"/>
      <c r="T683" s="5" t="inlineStr"/>
      <c r="U683" s="5" t="inlineStr"/>
      <c r="V683" s="5" t="inlineStr"/>
      <c r="W683" s="5" t="inlineStr"/>
      <c r="X683" s="5" t="inlineStr"/>
      <c r="Y683" s="5" t="inlineStr"/>
      <c r="Z683" s="6" t="inlineStr"/>
    </row>
    <row r="684">
      <c r="A684" s="5" t="inlineStr">
        <is>
          <t>b7-akraba-tanisma</t>
        </is>
      </c>
      <c r="B684" s="5" t="n">
        <v>2</v>
      </c>
      <c r="C684" s="6" t="inlineStr">
        <is>
          <t>Karşı tarafla göz göze gelip teyzelere karşı ittifak kur</t>
        </is>
      </c>
      <c r="D684" s="5" t="inlineStr">
        <is>
          <t>Sosyal Radar</t>
        </is>
      </c>
      <c r="E684" s="5" t="inlineStr">
        <is>
          <t>Kolay</t>
        </is>
      </c>
      <c r="F684" s="5" t="inlineStr"/>
      <c r="G684" s="6" t="inlineStr"/>
      <c r="H684" s="6" t="inlineStr">
        <is>
          <t>Aynı anda göz devirdiniz. Buluşmayı kendiniz sonlandırıp kahveye başka yerde devam ettiniz.</t>
        </is>
      </c>
      <c r="I684" s="6" t="inlineStr">
        <is>
          <t>İttifak o kadar iyi işledi ki iki teyzeyi birbirine tanıştırıp kalktınız. Teyzeler hâlâ görüşüyor.</t>
        </is>
      </c>
      <c r="J684" s="6" t="inlineStr">
        <is>
          <t>Göz kırptın. Karşı taraf bunu farklı yorumladı. İkinci buluşma ayarlandı.</t>
        </is>
      </c>
      <c r="K684" s="6" t="inlineStr">
        <is>
          <t>Göz devirirken teyzen seni yakaladı. Aile grubunda 'saygısızlık' başlıklı bir sesli mesaj dolaşıyor.</t>
        </is>
      </c>
      <c r="L684" s="6" t="inlineStr"/>
      <c r="M684" s="5" t="inlineStr"/>
      <c r="N684" s="5" t="inlineStr"/>
      <c r="O684" s="6" t="inlineStr"/>
      <c r="P684" s="6" t="inlineStr"/>
      <c r="Q684" s="5" t="inlineStr"/>
      <c r="R684" s="5" t="inlineStr"/>
      <c r="S684" s="5" t="inlineStr">
        <is>
          <t>Sosyal Radar</t>
        </is>
      </c>
      <c r="T684" s="5" t="inlineStr"/>
      <c r="U684" s="5" t="inlineStr"/>
      <c r="V684" s="5" t="inlineStr"/>
      <c r="W684" s="5" t="inlineStr"/>
      <c r="X684" s="5" t="inlineStr"/>
      <c r="Y684" s="5" t="inlineStr"/>
      <c r="Z684" s="6" t="inlineStr"/>
    </row>
    <row r="685">
      <c r="A685" s="5" t="inlineStr">
        <is>
          <t>b7-akraba-tanisma</t>
        </is>
      </c>
      <c r="B685" s="5" t="n">
        <v>3</v>
      </c>
      <c r="C685" s="6" t="inlineStr">
        <is>
          <t>Kendini olabildiğince sıkıcı anlat</t>
        </is>
      </c>
      <c r="D685" s="5" t="inlineStr">
        <is>
          <t>Pişkinlik</t>
        </is>
      </c>
      <c r="E685" s="5" t="inlineStr">
        <is>
          <t>Orta</t>
        </is>
      </c>
      <c r="F685" s="5" t="inlineStr"/>
      <c r="G685" s="6" t="inlineStr"/>
      <c r="H685" s="6" t="inlineStr">
        <is>
          <t>Vergi mevzuatını anlattın. Tanışma yirmi dakikada, herkesin rızasıyla sona erdi.</t>
        </is>
      </c>
      <c r="I685" s="6" t="inlineStr">
        <is>
          <t>Öyle sıkıcıydın ki karşı taraf 'Ben de tam böyle birini arıyordum' dedi. Gerçekten sevindin.</t>
        </is>
      </c>
      <c r="J685" s="6" t="inlineStr">
        <is>
          <t>Sıkıcı olmaya çalıştın ama o konu karşı tarafın uzmanlık alanıymış. Üç saat konuştunuz.</t>
        </is>
      </c>
      <c r="K685" s="6" t="inlineStr">
        <is>
          <t>Sıkıcılığın teyzelere 'ciddi insan' olarak yansıdı. Nişan tarihi konuşuluyor.</t>
        </is>
      </c>
      <c r="L685" s="6" t="inlineStr"/>
      <c r="M685" s="5" t="inlineStr"/>
      <c r="N685" s="5" t="inlineStr"/>
      <c r="O685" s="6" t="inlineStr"/>
      <c r="P685" s="6" t="inlineStr"/>
      <c r="Q685" s="5" t="inlineStr"/>
      <c r="R685" s="5" t="inlineStr"/>
      <c r="S685" s="5" t="inlineStr"/>
      <c r="T685" s="5" t="inlineStr"/>
      <c r="U685" s="5" t="inlineStr"/>
      <c r="V685" s="5" t="inlineStr"/>
      <c r="W685" s="5" t="inlineStr"/>
      <c r="X685" s="5" t="inlineStr"/>
      <c r="Y685" s="5" t="inlineStr"/>
      <c r="Z685" s="6" t="inlineStr"/>
    </row>
    <row r="686">
      <c r="A686" s="5" t="inlineStr">
        <is>
          <t>b7-ortak-hesap</t>
        </is>
      </c>
      <c r="B686" s="5" t="n">
        <v>1</v>
      </c>
      <c r="C686" s="6" t="inlineStr">
        <is>
          <t>'Evet, şeffaflık' de</t>
        </is>
      </c>
      <c r="D686" s="5" t="inlineStr"/>
      <c r="E686" s="5" t="inlineStr"/>
      <c r="F686" s="5" t="inlineStr">
        <is>
          <t>Vicdan +1</t>
        </is>
      </c>
      <c r="G686" s="6" t="inlineStr">
        <is>
          <t>Bildirimler ikinize de gidiyor. Gece yarısı yemek siparişleri artık kamuya açık.</t>
        </is>
      </c>
      <c r="H686" s="6" t="inlineStr"/>
      <c r="I686" s="6" t="inlineStr"/>
      <c r="J686" s="6" t="inlineStr"/>
      <c r="K686" s="6" t="inlineStr"/>
      <c r="L686" s="6" t="inlineStr"/>
      <c r="M686" s="5" t="inlineStr"/>
      <c r="N686" s="5" t="inlineStr"/>
      <c r="O686" s="6" t="inlineStr"/>
      <c r="P686" s="6" t="inlineStr"/>
      <c r="Q686" s="5" t="inlineStr"/>
      <c r="R686" s="5" t="inlineStr"/>
      <c r="S686" s="5" t="inlineStr"/>
      <c r="T686" s="5" t="inlineStr"/>
      <c r="U686" s="5" t="inlineStr"/>
      <c r="V686" s="5" t="inlineStr"/>
      <c r="W686" s="5" t="inlineStr"/>
      <c r="X686" s="5" t="inlineStr"/>
      <c r="Y686" s="5" t="inlineStr"/>
      <c r="Z686" s="6" t="inlineStr"/>
    </row>
    <row r="687">
      <c r="A687" s="5" t="inlineStr">
        <is>
          <t>b7-ortak-hesap</t>
        </is>
      </c>
      <c r="B687" s="5" t="n">
        <v>2</v>
      </c>
      <c r="C687" s="6" t="inlineStr">
        <is>
          <t>Bütçe tablosu hazırla</t>
        </is>
      </c>
      <c r="D687" s="5" t="inlineStr">
        <is>
          <t>Akıl</t>
        </is>
      </c>
      <c r="E687" s="5" t="inlineStr">
        <is>
          <t>Zor</t>
        </is>
      </c>
      <c r="F687" s="5" t="inlineStr"/>
      <c r="G687" s="6" t="inlineStr"/>
      <c r="H687" s="6" t="inlineStr">
        <is>
          <t>Tablo hazır: gelir, gider, 'keyfi harcamalar'. Son sütun en kalabalık olanı.</t>
        </is>
      </c>
      <c r="I687" s="6" t="inlineStr">
        <is>
          <t>Tablon öyle kusursuzdu ki eşin onu ailesine gösterdi. Aile de kendi bütçesini sana yaptırmak istiyor.</t>
        </is>
      </c>
      <c r="J687" s="6" t="inlineStr">
        <is>
          <t>Tablo hazırlandı. Kimse açmadı. Tablo şu an masaüstünde, 'yeni klasör (3)' içinde.</t>
        </is>
      </c>
      <c r="K687" s="6" t="inlineStr">
        <is>
          <t>Tabloya göre ikiniz de altı aydır iflastasınız. Kimse bu bilgiyi istememişti.</t>
        </is>
      </c>
      <c r="L687" s="6" t="inlineStr"/>
      <c r="M687" s="5" t="inlineStr"/>
      <c r="N687" s="5" t="inlineStr"/>
      <c r="O687" s="6" t="inlineStr"/>
      <c r="P687" s="6" t="inlineStr"/>
      <c r="Q687" s="5" t="inlineStr"/>
      <c r="R687" s="5" t="inlineStr"/>
      <c r="S687" s="5" t="inlineStr"/>
      <c r="T687" s="5" t="inlineStr">
        <is>
          <t>Tablo Ustası</t>
        </is>
      </c>
      <c r="U687" s="5" t="inlineStr"/>
      <c r="V687" s="5" t="inlineStr"/>
      <c r="W687" s="5" t="inlineStr"/>
      <c r="X687" s="5" t="inlineStr"/>
      <c r="Y687" s="5" t="inlineStr"/>
      <c r="Z687" s="6" t="inlineStr"/>
    </row>
    <row r="688">
      <c r="A688" s="5" t="inlineStr">
        <is>
          <t>b7-ortak-hesap</t>
        </is>
      </c>
      <c r="B688" s="5" t="n">
        <v>3</v>
      </c>
      <c r="C688" s="6" t="inlineStr">
        <is>
          <t>Gizli bir 'kendime' hesabı aç</t>
        </is>
      </c>
      <c r="D688" s="5" t="inlineStr">
        <is>
          <t>Kurnazlık</t>
        </is>
      </c>
      <c r="E688" s="5" t="inlineStr">
        <is>
          <t>Zor</t>
        </is>
      </c>
      <c r="F688" s="5" t="inlineStr"/>
      <c r="G688" s="6" t="inlineStr"/>
      <c r="H688" s="6" t="inlineStr">
        <is>
          <t>Yan hesap sessizce açıldı. Adı 'Acil durum'. Acil durum henüz tanımlanmadı.</t>
        </is>
      </c>
      <c r="I688" s="6" t="inlineStr">
        <is>
          <t>Gizli hesap o kadar iyi yönetildi ki yıl dönümü hediyesi oradan çıktı. Eşin çok sevindi, kaynağı sormadı.</t>
        </is>
      </c>
      <c r="J688" s="6" t="inlineStr">
        <is>
          <t>Banka temsilcisi yeni hesabı yüksek sesle onayladı. Eşin yanındaydı.</t>
        </is>
      </c>
      <c r="K688" s="6" t="inlineStr">
        <is>
          <t>Gizli hesabın bildirimleri ortak telefona gitti. Hesap adı 'Kaçış Fonu'ydu. Açıklama bekleniyor.</t>
        </is>
      </c>
      <c r="L688" s="6" t="inlineStr"/>
      <c r="M688" s="5" t="inlineStr"/>
      <c r="N688" s="5" t="inlineStr"/>
      <c r="O688" s="6" t="inlineStr"/>
      <c r="P688" s="6" t="inlineStr"/>
      <c r="Q688" s="5" t="inlineStr"/>
      <c r="R688" s="5" t="inlineStr"/>
      <c r="S688" s="5" t="inlineStr"/>
      <c r="T688" s="5" t="inlineStr"/>
      <c r="U688" s="5" t="inlineStr"/>
      <c r="V688" s="5" t="inlineStr"/>
      <c r="W688" s="5" t="inlineStr"/>
      <c r="X688" s="5" t="inlineStr"/>
      <c r="Y688" s="5" t="inlineStr"/>
      <c r="Z688" s="6" t="inlineStr"/>
    </row>
    <row r="689">
      <c r="A689" s="5" t="inlineStr">
        <is>
          <t>b7-ortak-hesap</t>
        </is>
      </c>
      <c r="B689" s="5" t="n">
        <v>4</v>
      </c>
      <c r="C689" s="6" t="inlineStr">
        <is>
          <t>Eski borçlarını masaya koy</t>
        </is>
      </c>
      <c r="D689" s="5" t="inlineStr">
        <is>
          <t>Vicdan</t>
        </is>
      </c>
      <c r="E689" s="5" t="inlineStr">
        <is>
          <t>Orta</t>
        </is>
      </c>
      <c r="F689" s="5" t="inlineStr"/>
      <c r="G689" s="6" t="inlineStr"/>
      <c r="H689" s="6" t="inlineStr">
        <is>
          <t>Borçlarını itiraf ettin. Eşin sarıldı. Sonra hesap makinesini aldı.</t>
        </is>
      </c>
      <c r="I689" s="6" t="inlineStr">
        <is>
          <t>İtirafın o kadar dürüsttü ki eşin de kendi taksitlerini açıkladı. Ortak bir kapanış planı yapıldı.</t>
        </is>
      </c>
      <c r="J689" s="6" t="inlineStr">
        <is>
          <t>İtiraf ettin. Eşin 'Bu kadar mı?' dedi. Değildi.</t>
        </is>
      </c>
      <c r="K689" s="6" t="inlineStr">
        <is>
          <t>İtiraf ederken rakamı yanlış söyledin. Gerçeği ertesi ay ekstre söyledi.</t>
        </is>
      </c>
      <c r="L689" s="6" t="inlineStr"/>
      <c r="M689" s="5" t="inlineStr"/>
      <c r="N689" s="5" t="inlineStr"/>
      <c r="O689" s="6" t="inlineStr"/>
      <c r="P689" s="6" t="inlineStr"/>
      <c r="Q689" s="5" t="inlineStr"/>
      <c r="R689" s="5" t="inlineStr">
        <is>
          <t>borclu</t>
        </is>
      </c>
      <c r="S689" s="5" t="inlineStr"/>
      <c r="T689" s="5" t="inlineStr"/>
      <c r="U689" s="5" t="inlineStr"/>
      <c r="V689" s="5" t="inlineStr"/>
      <c r="W689" s="5" t="inlineStr"/>
      <c r="X689" s="5" t="inlineStr"/>
      <c r="Y689" s="5" t="inlineStr"/>
      <c r="Z689" s="6" t="inlineStr"/>
    </row>
    <row r="690">
      <c r="A690" s="5" t="inlineStr">
        <is>
          <t>b7-spor-salonu</t>
        </is>
      </c>
      <c r="B690" s="5" t="n">
        <v>1</v>
      </c>
      <c r="C690" s="6" t="inlineStr">
        <is>
          <t>Aylık al, bakarız</t>
        </is>
      </c>
      <c r="D690" s="5" t="inlineStr"/>
      <c r="E690" s="5" t="inlineStr"/>
      <c r="F690" s="5" t="inlineStr">
        <is>
          <t>Akıl +1</t>
        </is>
      </c>
      <c r="G690" s="6" t="inlineStr">
        <is>
          <t>Aylık üyelik aldın. Üç kez gittin. Dördüncü seferde kapıdaki görevli seni tanımadı.</t>
        </is>
      </c>
      <c r="H690" s="6" t="inlineStr"/>
      <c r="I690" s="6" t="inlineStr"/>
      <c r="J690" s="6" t="inlineStr"/>
      <c r="K690" s="6" t="inlineStr"/>
      <c r="L690" s="6" t="inlineStr"/>
      <c r="M690" s="5" t="inlineStr"/>
      <c r="N690" s="5" t="inlineStr"/>
      <c r="O690" s="6" t="inlineStr"/>
      <c r="P690" s="6" t="inlineStr"/>
      <c r="Q690" s="5" t="inlineStr"/>
      <c r="R690" s="5" t="inlineStr"/>
      <c r="S690" s="5" t="inlineStr"/>
      <c r="T690" s="5" t="inlineStr"/>
      <c r="U690" s="5" t="inlineStr"/>
      <c r="V690" s="5" t="inlineStr"/>
      <c r="W690" s="5" t="inlineStr"/>
      <c r="X690" s="5" t="inlineStr"/>
      <c r="Y690" s="5" t="inlineStr"/>
      <c r="Z690" s="6" t="inlineStr"/>
    </row>
    <row r="691">
      <c r="A691" s="5" t="inlineStr">
        <is>
          <t>b7-spor-salonu</t>
        </is>
      </c>
      <c r="B691" s="5" t="n">
        <v>2</v>
      </c>
      <c r="C691" s="6" t="inlineStr">
        <is>
          <t>Yıllık al, her sabah git</t>
        </is>
      </c>
      <c r="D691" s="5" t="inlineStr">
        <is>
          <t>Dayanıklılık</t>
        </is>
      </c>
      <c r="E691" s="5" t="inlineStr">
        <is>
          <t>Zor</t>
        </is>
      </c>
      <c r="F691" s="5" t="inlineStr"/>
      <c r="G691" s="6" t="inlineStr"/>
      <c r="H691" s="6" t="inlineStr">
        <is>
          <t>Bir yıl boyunca haftada üç gün gittin. Merdivenler artık düşman değil.</t>
        </is>
      </c>
      <c r="I691" s="6" t="inlineStr">
        <is>
          <t>Salonun 'Ayın Üyesi' panosuna fotoğrafın asıldı. Eğitmen artık sana kasları göstermiyor, seninkilere bakıyor.</t>
        </is>
      </c>
      <c r="J691" s="6" t="inlineStr">
        <is>
          <t>Yıllık aldın. Mart ayında salonun yerini unuttun.</t>
        </is>
      </c>
      <c r="K691" s="6" t="inlineStr">
        <is>
          <t>Yıllık aldın, ilk gün sırtını tuttun, kalan on bir ay salon sana e-posta attı: 'Seni özledik.'</t>
        </is>
      </c>
      <c r="L691" s="6" t="inlineStr"/>
      <c r="M691" s="5" t="inlineStr"/>
      <c r="N691" s="5" t="inlineStr"/>
      <c r="O691" s="6" t="inlineStr"/>
      <c r="P691" s="6" t="inlineStr"/>
      <c r="Q691" s="5" t="inlineStr"/>
      <c r="R691" s="5" t="inlineStr"/>
      <c r="S691" s="5" t="inlineStr"/>
      <c r="T691" s="5" t="inlineStr"/>
      <c r="U691" s="5" t="inlineStr"/>
      <c r="V691" s="5" t="inlineStr">
        <is>
          <t>sporcu</t>
        </is>
      </c>
      <c r="W691" s="5" t="inlineStr"/>
      <c r="X691" s="5" t="inlineStr"/>
      <c r="Y691" s="5" t="inlineStr"/>
      <c r="Z691" s="6" t="inlineStr"/>
    </row>
    <row r="692">
      <c r="A692" s="5" t="inlineStr">
        <is>
          <t>b7-spor-salonu</t>
        </is>
      </c>
      <c r="B692" s="5" t="n">
        <v>3</v>
      </c>
      <c r="C692" s="6" t="inlineStr">
        <is>
          <t>İlk günden eğitmenin ağırlığını kaldırmaya çalış</t>
        </is>
      </c>
      <c r="D692" s="5" t="inlineStr">
        <is>
          <t>Cesaret</t>
        </is>
      </c>
      <c r="E692" s="5" t="inlineStr">
        <is>
          <t>Orta</t>
        </is>
      </c>
      <c r="F692" s="5" t="inlineStr"/>
      <c r="G692" s="6" t="inlineStr"/>
      <c r="H692" s="6" t="inlineStr">
        <is>
          <t>Kaldırdın. Eğitmen ilk kez karın kaslarını unuttu ve seni alkışladı.</t>
        </is>
      </c>
      <c r="I692" s="6" t="inlineStr">
        <is>
          <t>Kaldırdın, bir de rekor kırdın. Salonun sosyal medya hesabında 'motivasyon' başlıklı video oldun.</t>
        </is>
      </c>
      <c r="J692" s="6" t="inlineStr">
        <is>
          <t>Bar yarı yolda kaldı. Eğitmen 'Adım adım' dedi. Adımı o attı, barı o aldı.</t>
        </is>
      </c>
      <c r="K692" s="6" t="inlineStr">
        <is>
          <t>Barı kaldıramadın; bar da seni bırakmadı. Kurtarma operasyonuna üç kişi katıldı, biri çekti.</t>
        </is>
      </c>
      <c r="L692" s="6" t="inlineStr"/>
      <c r="M692" s="5" t="inlineStr"/>
      <c r="N692" s="5" t="inlineStr"/>
      <c r="O692" s="6" t="inlineStr"/>
      <c r="P692" s="6" t="inlineStr"/>
      <c r="Q692" s="5" t="inlineStr"/>
      <c r="R692" s="5" t="inlineStr"/>
      <c r="S692" s="5" t="inlineStr"/>
      <c r="T692" s="5" t="inlineStr"/>
      <c r="U692" s="5" t="inlineStr"/>
      <c r="V692" s="5" t="inlineStr">
        <is>
          <t>sporcu</t>
        </is>
      </c>
      <c r="W692" s="5" t="inlineStr"/>
      <c r="X692" s="5" t="inlineStr"/>
      <c r="Y692" s="5" t="n">
        <v>3</v>
      </c>
      <c r="Z692" s="6" t="inlineStr">
        <is>
          <t>Spor salonunun ilk gününde, eğitmene bir şey kanıtlamaya çalışırken.</t>
        </is>
      </c>
    </row>
    <row r="693">
      <c r="A693" s="5" t="inlineStr">
        <is>
          <t>b7-spor-salonu</t>
        </is>
      </c>
      <c r="B693" s="5" t="n">
        <v>4</v>
      </c>
      <c r="C693" s="6" t="inlineStr">
        <is>
          <t>Salonu dinlenme bölmesinde kullan</t>
        </is>
      </c>
      <c r="D693" s="5" t="inlineStr">
        <is>
          <t>Dayanıklılık</t>
        </is>
      </c>
      <c r="E693" s="5" t="inlineStr">
        <is>
          <t>Kolay</t>
        </is>
      </c>
      <c r="F693" s="5" t="inlineStr"/>
      <c r="G693" s="6" t="inlineStr"/>
      <c r="H693" s="6" t="inlineStr">
        <is>
          <t>Salona düzenli gittin; çoğu zaman sadece duş aldın. Yine de sayılır.</t>
        </is>
      </c>
      <c r="I693" s="6" t="inlineStr">
        <is>
          <t>İstikrarın öyle yüksekti ki gerçekten spor yapmaya başladın. Ne zaman olduğunu kendin de fark etmedin.</t>
        </is>
      </c>
      <c r="J693" s="6" t="inlineStr">
        <is>
          <t>Buhar odasında uyuyakaldın. Salon kapandı, sen kapanmadın.</t>
        </is>
      </c>
      <c r="K693" s="6" t="inlineStr">
        <is>
          <t>Buhar odasında o kadar vakit geçirdin ki üyeliğin 'kaplıca' kategorisine alındı ve fiyatı arttı.</t>
        </is>
      </c>
      <c r="L693" s="6" t="inlineStr"/>
      <c r="M693" s="5" t="inlineStr"/>
      <c r="N693" s="5" t="inlineStr"/>
      <c r="O693" s="6" t="inlineStr"/>
      <c r="P693" s="6" t="inlineStr"/>
      <c r="Q693" s="5" t="inlineStr">
        <is>
          <t>Kolay Dağılmaz</t>
        </is>
      </c>
      <c r="R693" s="5" t="inlineStr"/>
      <c r="S693" s="5" t="inlineStr"/>
      <c r="T693" s="5" t="inlineStr"/>
      <c r="U693" s="5" t="inlineStr"/>
      <c r="V693" s="5" t="inlineStr">
        <is>
          <t>sporcu</t>
        </is>
      </c>
      <c r="W693" s="5" t="inlineStr"/>
      <c r="X693" s="5" t="inlineStr"/>
      <c r="Y693" s="5" t="inlineStr"/>
      <c r="Z693" s="6" t="inlineStr"/>
    </row>
    <row r="694">
      <c r="A694" s="5" t="inlineStr">
        <is>
          <t>ms-viral</t>
        </is>
      </c>
      <c r="B694" s="5" t="n">
        <v>1</v>
      </c>
      <c r="C694" s="6" t="inlineStr">
        <is>
          <t>Canlı yayında tekrarla</t>
        </is>
      </c>
      <c r="D694" s="5" t="inlineStr">
        <is>
          <t>Pişkinlik</t>
        </is>
      </c>
      <c r="E694" s="5" t="inlineStr">
        <is>
          <t>Orta</t>
        </is>
      </c>
      <c r="F694" s="5" t="inlineStr"/>
      <c r="G694" s="6" t="inlineStr"/>
      <c r="H694" s="6" t="inlineStr">
        <is>
          <t>İki milyondan on iki bin kişi kaldı. Sadık bir kitle.</t>
        </is>
      </c>
      <c r="I694" s="6" t="inlineStr">
        <is>
          <t>Canlı yayın rekor kırdı. Üç ajans aradı; biri gerçekti.</t>
        </is>
      </c>
      <c r="J694" s="6" t="inlineStr">
        <is>
          <t>Canlıda bir yerde takıldın. Yorumlar: 'Montajmış zaten.'</t>
        </is>
      </c>
      <c r="K694" s="6" t="inlineStr">
        <is>
          <t>Canlı yayında ritmi kaybettin. Bu kez o video viral oldu. Daha çok.</t>
        </is>
      </c>
      <c r="L694" s="6" t="inlineStr">
        <is>
          <t>Yarı yarıya tuttu. Yorumların yarısı 'efsane', yarısı 'eh'.</t>
        </is>
      </c>
      <c r="M694" s="5" t="inlineStr">
        <is>
          <t>rhythm</t>
        </is>
      </c>
      <c r="N694" s="5" t="inlineStr">
        <is>
          <t>Canlı Performans</t>
        </is>
      </c>
      <c r="O694" s="6" t="inlineStr">
        <is>
          <t>Işık parladığı anda dokun. İki milyon kişi izliyor. Belki.</t>
        </is>
      </c>
      <c r="P694" s="6" t="inlineStr"/>
      <c r="Q694" s="5" t="inlineStr"/>
      <c r="R694" s="5" t="inlineStr"/>
      <c r="S694" s="5" t="inlineStr"/>
      <c r="T694" s="5" t="inlineStr"/>
      <c r="U694" s="5" t="inlineStr">
        <is>
          <t>serbest-viral-oldu</t>
        </is>
      </c>
      <c r="V694" s="5" t="inlineStr"/>
      <c r="W694" s="5" t="inlineStr"/>
      <c r="X694" s="5" t="inlineStr"/>
      <c r="Y694" s="5" t="inlineStr"/>
      <c r="Z694" s="6" t="inlineStr"/>
    </row>
    <row r="695">
      <c r="A695" s="5" t="inlineStr">
        <is>
          <t>ms-viral</t>
        </is>
      </c>
      <c r="B695" s="5" t="n">
        <v>2</v>
      </c>
      <c r="C695" s="6" t="inlineStr">
        <is>
          <t>Reklam teklifini kabul et</t>
        </is>
      </c>
      <c r="D695" s="5" t="inlineStr">
        <is>
          <t>Kurnazlık</t>
        </is>
      </c>
      <c r="E695" s="5" t="inlineStr">
        <is>
          <t>Kolay</t>
        </is>
      </c>
      <c r="F695" s="5" t="inlineStr"/>
      <c r="G695" s="6" t="inlineStr"/>
      <c r="H695" s="6" t="inlineStr">
        <is>
          <t>Bir çamaşır suyuna sanatsal yorum getirdin. Üç aylık kira çözüldü.</t>
        </is>
      </c>
      <c r="I695" s="6" t="inlineStr">
        <is>
          <t>Reklam öyle tuttu ki ikinci sezon çekildi. Sanatın artık bir raf ömrü var.</t>
        </is>
      </c>
      <c r="J695" s="6" t="inlineStr">
        <is>
          <t>Reklamı çektin; ödeme 'görünürlük' olarak yapıldı. Tanıdık bir kavram.</t>
        </is>
      </c>
      <c r="K695" s="6" t="inlineStr">
        <is>
          <t>Reklamdan sonra yorumlar tek kelimeye indi: 'Satıldı.' Evet, ama çok ucuza.</t>
        </is>
      </c>
      <c r="L695" s="6" t="inlineStr"/>
      <c r="M695" s="5" t="inlineStr"/>
      <c r="N695" s="5" t="inlineStr"/>
      <c r="O695" s="6" t="inlineStr"/>
      <c r="P695" s="6" t="inlineStr"/>
      <c r="Q695" s="5" t="inlineStr"/>
      <c r="R695" s="5" t="inlineStr"/>
      <c r="S695" s="5" t="inlineStr"/>
      <c r="T695" s="5" t="inlineStr"/>
      <c r="U695" s="5" t="inlineStr">
        <is>
          <t>serbest-viral-oldu</t>
        </is>
      </c>
      <c r="V695" s="5" t="inlineStr"/>
      <c r="W695" s="5" t="inlineStr"/>
      <c r="X695" s="5" t="inlineStr"/>
      <c r="Y695" s="5" t="inlineStr"/>
      <c r="Z695" s="6" t="inlineStr"/>
    </row>
    <row r="696">
      <c r="A696" s="5" t="inlineStr">
        <is>
          <t>ms-viral</t>
        </is>
      </c>
      <c r="B696" s="5" t="n">
        <v>3</v>
      </c>
      <c r="C696" s="6" t="inlineStr">
        <is>
          <t>Eski takipçi ordunu seferber et</t>
        </is>
      </c>
      <c r="D696" s="5" t="inlineStr">
        <is>
          <t>Sosyal Radar</t>
        </is>
      </c>
      <c r="E696" s="5" t="inlineStr">
        <is>
          <t>Kolay</t>
        </is>
      </c>
      <c r="F696" s="5" t="inlineStr"/>
      <c r="G696" s="6" t="inlineStr"/>
      <c r="H696" s="6" t="inlineStr">
        <is>
          <t>Eski takipçilerin 'Biz ilk günden biliyorduk' diye yazdı. Kitle ikiye katlandı.</t>
        </is>
      </c>
      <c r="I696" s="6" t="inlineStr">
        <is>
          <t>Eski ve yeni takipçiler birleşti. Bir markadan değil, bir kurumdan iş teklifi geldi.</t>
        </is>
      </c>
      <c r="J696" s="6" t="inlineStr">
        <is>
          <t>Eski takipçilerin yeni takipçilerle tartıştı. Yorumlar senin dışında her şeyi konuşuyor.</t>
        </is>
      </c>
      <c r="K696" s="6" t="inlineStr">
        <is>
          <t>Eski takipçilerin, yıllar önceki bir paylaşımını buldu. Yeni takipçiler de.</t>
        </is>
      </c>
      <c r="L696" s="6" t="inlineStr"/>
      <c r="M696" s="5" t="inlineStr"/>
      <c r="N696" s="5" t="inlineStr"/>
      <c r="O696" s="6" t="inlineStr"/>
      <c r="P696" s="6" t="inlineStr"/>
      <c r="Q696" s="5" t="inlineStr"/>
      <c r="R696" s="5" t="inlineStr">
        <is>
          <t>fenomen</t>
        </is>
      </c>
      <c r="S696" s="5" t="inlineStr"/>
      <c r="T696" s="5" t="inlineStr"/>
      <c r="U696" s="5" t="inlineStr">
        <is>
          <t>serbest-viral-oldu</t>
        </is>
      </c>
      <c r="V696" s="5" t="inlineStr"/>
      <c r="W696" s="5" t="inlineStr"/>
      <c r="X696" s="5" t="inlineStr"/>
      <c r="Y696" s="5" t="inlineStr"/>
      <c r="Z696" s="6" t="inlineStr"/>
    </row>
    <row r="697">
      <c r="A697" s="5" t="inlineStr">
        <is>
          <t>ms-viral</t>
        </is>
      </c>
      <c r="B697" s="5" t="n">
        <v>4</v>
      </c>
      <c r="C697" s="6" t="inlineStr">
        <is>
          <t>Telefonu bir hafta kapat</t>
        </is>
      </c>
      <c r="D697" s="5" t="inlineStr"/>
      <c r="E697" s="5" t="inlineStr"/>
      <c r="F697" s="5" t="inlineStr">
        <is>
          <t>Dayanıklılık +1</t>
        </is>
      </c>
      <c r="G697" s="6" t="inlineStr">
        <is>
          <t>Bir hafta sonra açtığında akım bitmiş, yerine bir kedi videosu gelmişti. Ün, on bir gün sürdü.</t>
        </is>
      </c>
      <c r="H697" s="6" t="inlineStr"/>
      <c r="I697" s="6" t="inlineStr"/>
      <c r="J697" s="6" t="inlineStr"/>
      <c r="K697" s="6" t="inlineStr"/>
      <c r="L697" s="6" t="inlineStr"/>
      <c r="M697" s="5" t="inlineStr"/>
      <c r="N697" s="5" t="inlineStr"/>
      <c r="O697" s="6" t="inlineStr"/>
      <c r="P697" s="6" t="inlineStr"/>
      <c r="Q697" s="5" t="inlineStr"/>
      <c r="R697" s="5" t="inlineStr"/>
      <c r="S697" s="5" t="inlineStr"/>
      <c r="T697" s="5" t="inlineStr"/>
      <c r="U697" s="5" t="inlineStr">
        <is>
          <t>serbest-viral-oldu</t>
        </is>
      </c>
      <c r="V697" s="5" t="inlineStr"/>
      <c r="W697" s="5" t="inlineStr"/>
      <c r="X697" s="5" t="inlineStr"/>
      <c r="Y697" s="5" t="inlineStr"/>
      <c r="Z697" s="6" t="inlineStr"/>
    </row>
    <row r="698">
      <c r="A698" s="5" t="inlineStr">
        <is>
          <t>b7-cocuk-karari</t>
        </is>
      </c>
      <c r="B698" s="5" t="n">
        <v>1</v>
      </c>
      <c r="C698" s="6" t="inlineStr">
        <is>
          <t>'Evet, hazırım' de</t>
        </is>
      </c>
      <c r="D698" s="5" t="inlineStr"/>
      <c r="E698" s="5" t="inlineStr"/>
      <c r="F698" s="5" t="inlineStr">
        <is>
          <t>Cesaret +1, Vicdan +1</t>
        </is>
      </c>
      <c r="G698" s="6" t="inlineStr">
        <is>
          <t>Karar alındı. Aileye duyurulmadan önce herkes zaten biliyordu. Dokuz ay sonra resmî açılış yapıldı.</t>
        </is>
      </c>
      <c r="H698" s="6" t="inlineStr"/>
      <c r="I698" s="6" t="inlineStr"/>
      <c r="J698" s="6" t="inlineStr"/>
      <c r="K698" s="6" t="inlineStr"/>
      <c r="L698" s="6" t="inlineStr"/>
      <c r="M698" s="5" t="inlineStr"/>
      <c r="N698" s="5" t="inlineStr"/>
      <c r="O698" s="6" t="inlineStr"/>
      <c r="P698" s="6" t="inlineStr"/>
      <c r="Q698" s="5" t="inlineStr"/>
      <c r="R698" s="5" t="inlineStr"/>
      <c r="S698" s="5" t="inlineStr"/>
      <c r="T698" s="5" t="inlineStr"/>
      <c r="U698" s="5" t="inlineStr">
        <is>
          <t>cocuklu</t>
        </is>
      </c>
      <c r="V698" s="5" t="inlineStr"/>
      <c r="W698" s="5" t="inlineStr"/>
      <c r="X698" s="5" t="inlineStr"/>
      <c r="Y698" s="5" t="inlineStr"/>
      <c r="Z698" s="6" t="inlineStr"/>
    </row>
    <row r="699">
      <c r="A699" s="5" t="inlineStr">
        <is>
          <t>b7-cocuk-karari</t>
        </is>
      </c>
      <c r="B699" s="5" t="n">
        <v>2</v>
      </c>
      <c r="C699" s="6" t="inlineStr">
        <is>
          <t>'Önce biraz daha seyahat edelim' de</t>
        </is>
      </c>
      <c r="D699" s="5" t="inlineStr"/>
      <c r="E699" s="5" t="inlineStr"/>
      <c r="F699" s="5" t="inlineStr">
        <is>
          <t>Kurnazlık +1</t>
        </is>
      </c>
      <c r="G699" s="6" t="inlineStr">
        <is>
          <t>Konu ertelendi. Takvime değil, eşinin gözlerine yazıldı.</t>
        </is>
      </c>
      <c r="H699" s="6" t="inlineStr"/>
      <c r="I699" s="6" t="inlineStr"/>
      <c r="J699" s="6" t="inlineStr"/>
      <c r="K699" s="6" t="inlineStr"/>
      <c r="L699" s="6" t="inlineStr"/>
      <c r="M699" s="5" t="inlineStr"/>
      <c r="N699" s="5" t="inlineStr"/>
      <c r="O699" s="6" t="inlineStr"/>
      <c r="P699" s="6" t="inlineStr"/>
      <c r="Q699" s="5" t="inlineStr"/>
      <c r="R699" s="5" t="inlineStr"/>
      <c r="S699" s="5" t="inlineStr"/>
      <c r="T699" s="5" t="inlineStr"/>
      <c r="U699" s="5" t="inlineStr"/>
      <c r="V699" s="5" t="inlineStr"/>
      <c r="W699" s="5" t="inlineStr"/>
      <c r="X699" s="5" t="inlineStr"/>
      <c r="Y699" s="5" t="inlineStr"/>
      <c r="Z699" s="6" t="inlineStr"/>
    </row>
    <row r="700">
      <c r="A700" s="5" t="inlineStr">
        <is>
          <t>b7-cocuk-karari</t>
        </is>
      </c>
      <c r="B700" s="5" t="n">
        <v>3</v>
      </c>
      <c r="C700" s="6" t="inlineStr">
        <is>
          <t>Maliyet tablosu hazırla</t>
        </is>
      </c>
      <c r="D700" s="5" t="inlineStr">
        <is>
          <t>Akıl</t>
        </is>
      </c>
      <c r="E700" s="5" t="inlineStr">
        <is>
          <t>Orta</t>
        </is>
      </c>
      <c r="F700" s="5" t="inlineStr"/>
      <c r="G700" s="6" t="inlineStr"/>
      <c r="H700" s="6" t="inlineStr">
        <is>
          <t>Tablo korkunçtu ama eşin 'Yine de' dedi. Sen de 'Yine de' dedin. Aile büyüdü.</t>
        </is>
      </c>
      <c r="I700" s="6" t="inlineStr">
        <is>
          <t>Tablo o kadar iyiydi ki bebek odası bütçenin altında kuruldu. Tablo bebek albümüne kondu.</t>
        </is>
      </c>
      <c r="J700" s="6" t="inlineStr">
        <is>
          <t>Tablonun sonunda 'on sekiz yıl' yazıyordu. İkiniz de uzun süre sustunuz.</t>
        </is>
      </c>
      <c r="K700" s="6" t="inlineStr">
        <is>
          <t>Tabloyu sunarken bebek arabası fiyatlarını yüksek sesle okudun. Eşin kararı ertelemedi; seni erteledi.</t>
        </is>
      </c>
      <c r="L700" s="6" t="inlineStr"/>
      <c r="M700" s="5" t="inlineStr"/>
      <c r="N700" s="5" t="inlineStr"/>
      <c r="O700" s="6" t="inlineStr"/>
      <c r="P700" s="6" t="inlineStr"/>
      <c r="Q700" s="5" t="inlineStr"/>
      <c r="R700" s="5" t="inlineStr"/>
      <c r="S700" s="5" t="inlineStr"/>
      <c r="T700" s="5" t="inlineStr"/>
      <c r="U700" s="5" t="inlineStr"/>
      <c r="V700" s="5" t="inlineStr">
        <is>
          <t>cocuklu</t>
        </is>
      </c>
      <c r="W700" s="5" t="inlineStr"/>
      <c r="X700" s="5" t="inlineStr"/>
      <c r="Y700" s="5" t="inlineStr"/>
      <c r="Z700" s="6" t="inlineStr"/>
    </row>
    <row r="701">
      <c r="A701" s="5" t="inlineStr">
        <is>
          <t>b7-cocuk-karari</t>
        </is>
      </c>
      <c r="B701" s="5" t="n">
        <v>4</v>
      </c>
      <c r="C701" s="6" t="inlineStr">
        <is>
          <t>'Önce kedimizi soralım' de</t>
        </is>
      </c>
      <c r="D701" s="5" t="inlineStr">
        <is>
          <t>Pişkinlik</t>
        </is>
      </c>
      <c r="E701" s="5" t="inlineStr">
        <is>
          <t>Kolay</t>
        </is>
      </c>
      <c r="F701" s="5" t="inlineStr"/>
      <c r="G701" s="6" t="inlineStr"/>
      <c r="H701" s="6" t="inlineStr">
        <is>
          <t>Kedi göz kırptı. Bu bir onay olarak kabul edildi. Aile büyüdü.</t>
        </is>
      </c>
      <c r="I701" s="6" t="inlineStr">
        <is>
          <t>Kedi kucağına oturdu ve mırladı. Eşin ağladı, sen ağladın, kedi uyudu. Karar oy birliğiyle alındı.</t>
        </is>
      </c>
      <c r="J701" s="6" t="inlineStr">
        <is>
          <t>Kedi odayı terk etti. Oylama ertelendi.</t>
        </is>
      </c>
      <c r="K701" s="6" t="inlineStr">
        <is>
          <t>Kedi tam o anda vazoyu devirdi. Bu, evdeki tek bebeğin yeterince yorucu olduğunun kanıtı sayıldı.</t>
        </is>
      </c>
      <c r="L701" s="6" t="inlineStr"/>
      <c r="M701" s="5" t="inlineStr"/>
      <c r="N701" s="5" t="inlineStr"/>
      <c r="O701" s="6" t="inlineStr"/>
      <c r="P701" s="6" t="inlineStr"/>
      <c r="Q701" s="5" t="inlineStr"/>
      <c r="R701" s="5" t="inlineStr">
        <is>
          <t>kediGeldi</t>
        </is>
      </c>
      <c r="S701" s="5" t="inlineStr"/>
      <c r="T701" s="5" t="inlineStr"/>
      <c r="U701" s="5" t="inlineStr"/>
      <c r="V701" s="5" t="inlineStr">
        <is>
          <t>cocuklu</t>
        </is>
      </c>
      <c r="W701" s="5" t="inlineStr"/>
      <c r="X701" s="5" t="inlineStr"/>
      <c r="Y701" s="5" t="inlineStr"/>
      <c r="Z701" s="6" t="inlineStr"/>
    </row>
    <row r="702">
      <c r="A702" s="5" t="inlineStr">
        <is>
          <t>me-kasa-ve-pos</t>
        </is>
      </c>
      <c r="B702" s="5" t="n">
        <v>1</v>
      </c>
      <c r="C702" s="6" t="inlineStr">
        <is>
          <t>Yere çömel, topla</t>
        </is>
      </c>
      <c r="D702" s="5" t="inlineStr">
        <is>
          <t>Dayanıklılık</t>
        </is>
      </c>
      <c r="E702" s="5" t="inlineStr">
        <is>
          <t>Kolay</t>
        </is>
      </c>
      <c r="F702" s="5" t="inlineStr"/>
      <c r="G702" s="6" t="inlineStr"/>
      <c r="H702" s="6" t="inlineStr">
        <is>
          <t>Bozuklukları topladın, para üstünü tam verdin. Müşteri kasanın düzenine hayran kaldı.</t>
        </is>
      </c>
      <c r="I702" s="6" t="inlineStr">
        <is>
          <t>Bozuklukların yanında geçen yıl kaybolan iki madeni para daha buldun. Kasa ilk kez fazla verdi.</t>
        </is>
      </c>
      <c r="J702" s="6" t="inlineStr">
        <is>
          <t>Topladın ama para üstü eksik çıktı. Müşteri 'Kalsın' dedi. Bu cümleden daha pahalısı yok.</t>
        </is>
      </c>
      <c r="K702" s="6" t="inlineStr">
        <is>
          <t>Toplarken tezgâha kafanı vurdun, kasayı açık bıraktın. Gün sonu sayımında fazla çıkan tek şey baş ağrısı.</t>
        </is>
      </c>
      <c r="L702" s="6" t="inlineStr">
        <is>
          <t>Çoğunu topladın. Birkaçı raf altında yeni bir hayata başladı.</t>
        </is>
      </c>
      <c r="M702" s="5" t="inlineStr">
        <is>
          <t>collect</t>
        </is>
      </c>
      <c r="N702" s="5" t="inlineStr">
        <is>
          <t>Bozuk Para Seferberliği</t>
        </is>
      </c>
      <c r="O702" s="6" t="inlineStr">
        <is>
          <t>Dökülen bozuklukları müşterinin sabrı bitmeden topla. Buzdolabının altına kaçanlar gider yazılır.</t>
        </is>
      </c>
      <c r="P702" s="6" t="inlineStr">
        <is>
          <t>{"piece": "🪙"}</t>
        </is>
      </c>
      <c r="Q702" s="5" t="inlineStr"/>
      <c r="R702" s="5" t="inlineStr"/>
      <c r="S702" s="5" t="inlineStr"/>
      <c r="T702" s="5" t="inlineStr"/>
      <c r="U702" s="5" t="inlineStr"/>
      <c r="V702" s="5" t="inlineStr"/>
      <c r="W702" s="5" t="inlineStr"/>
      <c r="X702" s="5" t="inlineStr"/>
      <c r="Y702" s="5" t="inlineStr"/>
      <c r="Z702" s="6" t="inlineStr"/>
    </row>
    <row r="703">
      <c r="A703" s="5" t="inlineStr">
        <is>
          <t>me-kasa-ve-pos</t>
        </is>
      </c>
      <c r="B703" s="5" t="n">
        <v>2</v>
      </c>
      <c r="C703" s="6" t="inlineStr">
        <is>
          <t>'Kartla ödeyin' de</t>
        </is>
      </c>
      <c r="D703" s="5" t="inlineStr"/>
      <c r="E703" s="5" t="inlineStr"/>
      <c r="F703" s="5" t="inlineStr">
        <is>
          <t>Çene +1, Akıl +1</t>
        </is>
      </c>
      <c r="G703" s="6" t="inlineStr">
        <is>
          <t>Pos cihazını uzattın. Cihaz 'bağlantı bekleniyor' yazdı. Müşteri de bekledi. Bozukluk kazandı.</t>
        </is>
      </c>
      <c r="H703" s="6" t="inlineStr"/>
      <c r="I703" s="6" t="inlineStr"/>
      <c r="J703" s="6" t="inlineStr"/>
      <c r="K703" s="6" t="inlineStr"/>
      <c r="L703" s="6" t="inlineStr"/>
      <c r="M703" s="5" t="inlineStr"/>
      <c r="N703" s="5" t="inlineStr"/>
      <c r="O703" s="6" t="inlineStr"/>
      <c r="P703" s="6" t="inlineStr"/>
      <c r="Q703" s="5" t="inlineStr"/>
      <c r="R703" s="5" t="inlineStr"/>
      <c r="S703" s="5" t="inlineStr"/>
      <c r="T703" s="5" t="inlineStr"/>
      <c r="U703" s="5" t="inlineStr"/>
      <c r="V703" s="5" t="inlineStr"/>
      <c r="W703" s="5" t="inlineStr"/>
      <c r="X703" s="5" t="inlineStr"/>
      <c r="Y703" s="5" t="inlineStr"/>
      <c r="Z703" s="6" t="inlineStr"/>
    </row>
    <row r="704">
      <c r="A704" s="5" t="inlineStr">
        <is>
          <t>me-kasa-ve-pos</t>
        </is>
      </c>
      <c r="B704" s="5" t="n">
        <v>3</v>
      </c>
      <c r="C704" s="6" t="inlineStr">
        <is>
          <t>Para üstü yerine sakız ver</t>
        </is>
      </c>
      <c r="D704" s="5" t="inlineStr">
        <is>
          <t>Pişkinlik</t>
        </is>
      </c>
      <c r="E704" s="5" t="inlineStr">
        <is>
          <t>Orta</t>
        </is>
      </c>
      <c r="F704" s="5" t="inlineStr"/>
      <c r="G704" s="6" t="inlineStr"/>
      <c r="H704" s="6" t="inlineStr">
        <is>
          <t>Para üstü yerine sakız verdin. Müşteri itiraz etmedi, sakızı da beğendi.</t>
        </is>
      </c>
      <c r="I704" s="6" t="inlineStr">
        <is>
          <t>Sakızlı para üstü mahallede öyle yerleşti ki çocuklar harçlıklarını sakız olarak ister oldu.</t>
        </is>
      </c>
      <c r="J704" s="6" t="inlineStr">
        <is>
          <t>Müşteri sakızı geri verdi, para üstünü istedi; sakızın fiyatını da düşerek.</t>
        </is>
      </c>
      <c r="K704" s="6" t="inlineStr">
        <is>
          <t>Ertesi gün aynı müşteri sakızla ödeme yapmaya çalıştı. Mantığına itiraz edemedin.</t>
        </is>
      </c>
      <c r="L704" s="6" t="inlineStr"/>
      <c r="M704" s="5" t="inlineStr"/>
      <c r="N704" s="5" t="inlineStr"/>
      <c r="O704" s="6" t="inlineStr"/>
      <c r="P704" s="6" t="inlineStr"/>
      <c r="Q704" s="5" t="inlineStr"/>
      <c r="R704" s="5" t="inlineStr"/>
      <c r="S704" s="5" t="inlineStr"/>
      <c r="T704" s="5" t="inlineStr"/>
      <c r="U704" s="5" t="inlineStr"/>
      <c r="V704" s="5" t="inlineStr"/>
      <c r="W704" s="5" t="inlineStr"/>
      <c r="X704" s="5" t="inlineStr"/>
      <c r="Y704" s="5" t="inlineStr"/>
      <c r="Z704" s="6" t="inlineStr"/>
    </row>
    <row r="705">
      <c r="A705" s="5" t="inlineStr">
        <is>
          <t>me-kasa-ve-pos</t>
        </is>
      </c>
      <c r="B705" s="5" t="n">
        <v>4</v>
      </c>
      <c r="C705" s="6" t="inlineStr">
        <is>
          <t>Yerdekileri tek bakışta say</t>
        </is>
      </c>
      <c r="D705" s="5" t="inlineStr">
        <is>
          <t>Akıl</t>
        </is>
      </c>
      <c r="E705" s="5" t="inlineStr">
        <is>
          <t>Kolay</t>
        </is>
      </c>
      <c r="F705" s="5" t="inlineStr"/>
      <c r="G705" s="6" t="inlineStr"/>
      <c r="H705" s="6" t="inlineStr">
        <is>
          <t>Yere baktın, toplamı söyledin. Müşteri saydı, tuttu. Kuruşu kuruşuna.</t>
        </is>
      </c>
      <c r="I705" s="6" t="inlineStr">
        <is>
          <t>Tek bakışta saydın, para üstünü ezbere verdin. Müşteri seni mahalleye 'insan hesap makinesi' diye tanıttı.</t>
        </is>
      </c>
      <c r="J705" s="6" t="inlineStr">
        <is>
          <t>Saydın; bir tanesi tezgâhın altındaymış. Hesap bir bozuk eksik, gurur bir ton.</t>
        </is>
      </c>
      <c r="K705" s="6" t="inlineStr">
        <is>
          <t>Yanlış saydın, kendinden emin söyledin. Müşteri para üstüyle birlikte bir de özür aldı.</t>
        </is>
      </c>
      <c r="L705" s="6" t="inlineStr"/>
      <c r="M705" s="5" t="inlineStr"/>
      <c r="N705" s="5" t="inlineStr"/>
      <c r="O705" s="6" t="inlineStr"/>
      <c r="P705" s="6" t="inlineStr"/>
      <c r="Q705" s="5" t="inlineStr">
        <is>
          <t>Para Üstü Radarı</t>
        </is>
      </c>
      <c r="R705" s="5" t="inlineStr"/>
      <c r="S705" s="5" t="inlineStr"/>
      <c r="T705" s="5" t="inlineStr"/>
      <c r="U705" s="5" t="inlineStr"/>
      <c r="V705" s="5" t="inlineStr"/>
      <c r="W705" s="5" t="inlineStr"/>
      <c r="X705" s="5" t="inlineStr"/>
      <c r="Y705" s="5" t="inlineStr"/>
      <c r="Z705" s="6" t="inlineStr"/>
    </row>
    <row r="706">
      <c r="A706" s="5" t="inlineStr">
        <is>
          <t>b7-tek-kisilik-tatil</t>
        </is>
      </c>
      <c r="B706" s="5" t="n">
        <v>1</v>
      </c>
      <c r="C706" s="6" t="inlineStr">
        <is>
          <t>'Bir' de, gurur duy</t>
        </is>
      </c>
      <c r="D706" s="5" t="inlineStr"/>
      <c r="E706" s="5" t="inlineStr"/>
      <c r="F706" s="5" t="inlineStr">
        <is>
          <t>Cesaret +1, Dayanıklılık +1</t>
        </is>
      </c>
      <c r="G706" s="6" t="inlineStr">
        <is>
          <t>'Bir' dedin. Tek kişilik fiyat, iki kişilik odanın yüzde doksanıymış. Özgürlüğün de bir tarifesi var.</t>
        </is>
      </c>
      <c r="H706" s="6" t="inlineStr"/>
      <c r="I706" s="6" t="inlineStr"/>
      <c r="J706" s="6" t="inlineStr"/>
      <c r="K706" s="6" t="inlineStr"/>
      <c r="L706" s="6" t="inlineStr"/>
      <c r="M706" s="5" t="inlineStr"/>
      <c r="N706" s="5" t="inlineStr"/>
      <c r="O706" s="6" t="inlineStr"/>
      <c r="P706" s="6" t="inlineStr"/>
      <c r="Q706" s="5" t="inlineStr"/>
      <c r="R706" s="5" t="inlineStr"/>
      <c r="S706" s="5" t="inlineStr"/>
      <c r="T706" s="5" t="inlineStr"/>
      <c r="U706" s="5" t="inlineStr">
        <is>
          <t>yalniz-gezgin</t>
        </is>
      </c>
      <c r="V706" s="5" t="inlineStr"/>
      <c r="W706" s="5" t="inlineStr"/>
      <c r="X706" s="5" t="inlineStr"/>
      <c r="Y706" s="5" t="inlineStr"/>
      <c r="Z706" s="6" t="inlineStr"/>
    </row>
    <row r="707">
      <c r="A707" s="5" t="inlineStr">
        <is>
          <t>b7-tek-kisilik-tatil</t>
        </is>
      </c>
      <c r="B707" s="5" t="n">
        <v>2</v>
      </c>
      <c r="C707" s="6" t="inlineStr">
        <is>
          <t>Akşam yemeğinde tek başına masaya otur</t>
        </is>
      </c>
      <c r="D707" s="5" t="inlineStr">
        <is>
          <t>Pişkinlik</t>
        </is>
      </c>
      <c r="E707" s="5" t="inlineStr">
        <is>
          <t>Orta</t>
        </is>
      </c>
      <c r="F707" s="5" t="inlineStr"/>
      <c r="G707" s="6" t="inlineStr"/>
      <c r="H707" s="6" t="inlineStr">
        <is>
          <t>Kitabını açtın, yemeğini yedin, manzaraya baktın. Yan masadaki çiftler seni kıskançlıkla izledi.</t>
        </is>
      </c>
      <c r="I707" s="6" t="inlineStr">
        <is>
          <t>Öyle huzurlu göründün ki garson sana ekstra tatlı getirdi. 'Yalnız misafirlere bizden' dedi. Politika yeniymiş.</t>
        </is>
      </c>
      <c r="J707" s="6" t="inlineStr">
        <is>
          <t>Garson ikinci sandalyeyi almadı. Bütün akşam o sandalyeye bakarak yedin.</t>
        </is>
      </c>
      <c r="K707" s="6" t="inlineStr">
        <is>
          <t>Garson 'Beklediğiniz kişi gelecek mi?' diye beş kez sordu. Altıncıda 'Gelmeyecek' dedin, restoran bir anlığına sustu.</t>
        </is>
      </c>
      <c r="L707" s="6" t="inlineStr"/>
      <c r="M707" s="5" t="inlineStr"/>
      <c r="N707" s="5" t="inlineStr"/>
      <c r="O707" s="6" t="inlineStr"/>
      <c r="P707" s="6" t="inlineStr"/>
      <c r="Q707" s="5" t="inlineStr"/>
      <c r="R707" s="5" t="inlineStr"/>
      <c r="S707" s="5" t="inlineStr"/>
      <c r="T707" s="5" t="inlineStr"/>
      <c r="U707" s="5" t="inlineStr"/>
      <c r="V707" s="5" t="inlineStr">
        <is>
          <t>yalniz-gezgin</t>
        </is>
      </c>
      <c r="W707" s="5" t="inlineStr"/>
      <c r="X707" s="5" t="inlineStr"/>
      <c r="Y707" s="5" t="inlineStr"/>
      <c r="Z707" s="6" t="inlineStr"/>
    </row>
    <row r="708">
      <c r="A708" s="5" t="inlineStr">
        <is>
          <t>b7-tek-kisilik-tatil</t>
        </is>
      </c>
      <c r="B708" s="5" t="n">
        <v>3</v>
      </c>
      <c r="C708" s="6" t="inlineStr">
        <is>
          <t>Tur grubuna katıl</t>
        </is>
      </c>
      <c r="D708" s="5" t="inlineStr">
        <is>
          <t>Çene</t>
        </is>
      </c>
      <c r="E708" s="5" t="inlineStr">
        <is>
          <t>Kolay</t>
        </is>
      </c>
      <c r="F708" s="5" t="inlineStr"/>
      <c r="G708" s="6" t="inlineStr"/>
      <c r="H708" s="6" t="inlineStr">
        <is>
          <t>Tur grubunda yeni arkadaşlar edindin. Mesaj grubu tatilden sonra da yaşıyor.</t>
        </is>
      </c>
      <c r="I708" s="6" t="inlineStr">
        <is>
          <t>Tur rehberi seni 'grup sözcüsü' ilan etti. Tatilin sonunda herkes sana teşekkür notu yazdı.</t>
        </is>
      </c>
      <c r="J708" s="6" t="inlineStr">
        <is>
          <t>Tur grubunun yaş ortalaması 67 çıktı. Harika insanlardı. Çok erken yattılar.</t>
        </is>
      </c>
      <c r="K708" s="6" t="inlineStr">
        <is>
          <t>Turda otobüsü kaçırdın. Grup seni bıraktı ama mesaj grubu senin hakkında konuşmayı bırakmadı.</t>
        </is>
      </c>
      <c r="L708" s="6" t="inlineStr"/>
      <c r="M708" s="5" t="inlineStr"/>
      <c r="N708" s="5" t="inlineStr"/>
      <c r="O708" s="6" t="inlineStr"/>
      <c r="P708" s="6" t="inlineStr"/>
      <c r="Q708" s="5" t="inlineStr"/>
      <c r="R708" s="5" t="inlineStr"/>
      <c r="S708" s="5" t="inlineStr"/>
      <c r="T708" s="5" t="inlineStr"/>
      <c r="U708" s="5" t="inlineStr"/>
      <c r="V708" s="5" t="inlineStr"/>
      <c r="W708" s="5" t="inlineStr"/>
      <c r="X708" s="5" t="inlineStr"/>
      <c r="Y708" s="5" t="inlineStr"/>
      <c r="Z708" s="6" t="inlineStr"/>
    </row>
    <row r="709">
      <c r="A709" s="5" t="inlineStr">
        <is>
          <t>mb-terfi-yarisi</t>
        </is>
      </c>
      <c r="B709" s="5" t="n">
        <v>1</v>
      </c>
      <c r="C709" s="6" t="inlineStr">
        <is>
          <t>Yönetime sunum yap</t>
        </is>
      </c>
      <c r="D709" s="5" t="inlineStr">
        <is>
          <t>Cesaret</t>
        </is>
      </c>
      <c r="E709" s="5" t="inlineStr">
        <is>
          <t>Zor</t>
        </is>
      </c>
      <c r="F709" s="5" t="inlineStr"/>
      <c r="G709" s="6" t="inlineStr"/>
      <c r="H709" s="6" t="inlineStr">
        <is>
          <t>Sunum bitti, sessizlik oldu, sonra biri 'Harika' dedi. Unvanına 'kıdemli' eklendi.</t>
        </is>
      </c>
      <c r="I709" s="6" t="inlineStr">
        <is>
          <t>Genel müdür bir slaydının fotoğrafını çekti. Terfin aynı gün e-postayla geldi.</t>
        </is>
      </c>
      <c r="J709" s="6" t="inlineStr">
        <is>
          <t>Sunumun ortasında slayt dondu. Sen de dondun. İkiniz birlikte çözüldünüz; çok geç.</t>
        </is>
      </c>
      <c r="K709" s="6" t="inlineStr">
        <is>
          <t>Sunum yerine tatil fotoğraflarını açtın. Yönetim kurulu yirmi dokuz fotoğraf izledi. Hepsini.</t>
        </is>
      </c>
      <c r="L709" s="6" t="inlineStr">
        <is>
          <t>Sesin iki kez titredi ama rakamlar sağlamdı. Karar 'bir sonraki çeyreğe' ertelendi.</t>
        </is>
      </c>
      <c r="M709" s="5" t="inlineStr">
        <is>
          <t>breath</t>
        </is>
      </c>
      <c r="N709" s="5" t="inlineStr">
        <is>
          <t>Sunum Nefesi</t>
        </is>
      </c>
      <c r="O709" s="6" t="inlineStr">
        <is>
          <t>Daire büyürken bas, küçülürken bırak. Slaytlar değil, nefes geçer.</t>
        </is>
      </c>
      <c r="P709" s="6" t="inlineStr"/>
      <c r="Q709" s="5" t="inlineStr"/>
      <c r="R709" s="5" t="inlineStr"/>
      <c r="S709" s="5" t="inlineStr"/>
      <c r="T709" s="5" t="inlineStr"/>
      <c r="U709" s="5" t="inlineStr"/>
      <c r="V709" s="5" t="inlineStr">
        <is>
          <t>beyazyaka-terfi-aldi</t>
        </is>
      </c>
      <c r="W709" s="5" t="inlineStr"/>
      <c r="X709" s="5" t="inlineStr"/>
      <c r="Y709" s="5" t="inlineStr"/>
      <c r="Z709" s="6" t="inlineStr"/>
    </row>
    <row r="710">
      <c r="A710" s="5" t="inlineStr">
        <is>
          <t>mb-terfi-yarisi</t>
        </is>
      </c>
      <c r="B710" s="5" t="n">
        <v>2</v>
      </c>
      <c r="C710" s="6" t="inlineStr">
        <is>
          <t>Öğle yemeği masasına sen de otur</t>
        </is>
      </c>
      <c r="D710" s="5" t="inlineStr">
        <is>
          <t>Sosyal Radar</t>
        </is>
      </c>
      <c r="E710" s="5" t="inlineStr">
        <is>
          <t>Orta</t>
        </is>
      </c>
      <c r="F710" s="5" t="inlineStr"/>
      <c r="G710" s="6" t="inlineStr"/>
      <c r="H710" s="6" t="inlineStr">
        <is>
          <t>Üç hafta yöneticinin yemek düzenine uydun. Terfin mercimek çorbası üstünde onaylandı.</t>
        </is>
      </c>
      <c r="I710" s="6" t="inlineStr">
        <is>
          <t>Yöneticiyle aynı tatlıyı sevdiğinizi keşfettiniz. Terfi ve tatlı tarifi aynı gün geldi.</t>
        </is>
      </c>
      <c r="J710" s="6" t="inlineStr">
        <is>
          <t>Masaya oturdun; yöneticin diyete girdi ve öğle yemeğini bıraktı.</t>
        </is>
      </c>
      <c r="K710" s="6" t="inlineStr">
        <is>
          <t>Masaya oturdun, çatalın rakibinin tabağına gitti. Yanlışlıkla. Tutanak tutuldu.</t>
        </is>
      </c>
      <c r="L710" s="6" t="inlineStr"/>
      <c r="M710" s="5" t="inlineStr"/>
      <c r="N710" s="5" t="inlineStr"/>
      <c r="O710" s="6" t="inlineStr"/>
      <c r="P710" s="6" t="inlineStr"/>
      <c r="Q710" s="5" t="inlineStr"/>
      <c r="R710" s="5" t="inlineStr"/>
      <c r="S710" s="5" t="inlineStr"/>
      <c r="T710" s="5" t="inlineStr"/>
      <c r="U710" s="5" t="inlineStr"/>
      <c r="V710" s="5" t="inlineStr">
        <is>
          <t>beyazyaka-terfi-aldi</t>
        </is>
      </c>
      <c r="W710" s="5" t="inlineStr"/>
      <c r="X710" s="5" t="inlineStr"/>
      <c r="Y710" s="5" t="inlineStr"/>
      <c r="Z710" s="6" t="inlineStr"/>
    </row>
    <row r="711">
      <c r="A711" s="5" t="inlineStr">
        <is>
          <t>mb-terfi-yarisi</t>
        </is>
      </c>
      <c r="B711" s="5" t="n">
        <v>3</v>
      </c>
      <c r="C711" s="6" t="inlineStr">
        <is>
          <t>Ekip adına proje planı hazırla</t>
        </is>
      </c>
      <c r="D711" s="5" t="inlineStr">
        <is>
          <t>Akıl</t>
        </is>
      </c>
      <c r="E711" s="5" t="inlineStr">
        <is>
          <t>Kolay</t>
        </is>
      </c>
      <c r="F711" s="5" t="inlineStr"/>
      <c r="G711" s="6" t="inlineStr"/>
      <c r="H711" s="6" t="inlineStr">
        <is>
          <t>Planın o kadar düzenliydi ki yönetim, ekibi zaten senin yönettiğini düşündü. Unvan geldi.</t>
        </is>
      </c>
      <c r="I711" s="6" t="inlineStr">
        <is>
          <t>Plan diğer departmanlara da örnek gösterildi. Terfine bir de 'süreç sahibi' eklendi.</t>
        </is>
      </c>
      <c r="J711" s="6" t="inlineStr">
        <is>
          <t>Plan harikaydı. Rakibin onu yönetime 'bizim plan' diye sundu.</t>
        </is>
      </c>
      <c r="K711" s="6" t="inlineStr">
        <is>
          <t>Planı hazırladın, e-postayı rakibine gönderdin. Terfi, planla birlikte ona geçti.</t>
        </is>
      </c>
      <c r="L711" s="6" t="inlineStr"/>
      <c r="M711" s="5" t="inlineStr"/>
      <c r="N711" s="5" t="inlineStr"/>
      <c r="O711" s="6" t="inlineStr"/>
      <c r="P711" s="6" t="inlineStr"/>
      <c r="Q711" s="5" t="inlineStr">
        <is>
          <t>Organizatör</t>
        </is>
      </c>
      <c r="R711" s="5" t="inlineStr"/>
      <c r="S711" s="5" t="inlineStr"/>
      <c r="T711" s="5" t="inlineStr"/>
      <c r="U711" s="5" t="inlineStr"/>
      <c r="V711" s="5" t="inlineStr">
        <is>
          <t>beyazyaka-terfi-aldi</t>
        </is>
      </c>
      <c r="W711" s="5" t="inlineStr"/>
      <c r="X711" s="5" t="inlineStr"/>
      <c r="Y711" s="5" t="inlineStr"/>
      <c r="Z711" s="6" t="inlineStr"/>
    </row>
    <row r="712">
      <c r="A712" s="5" t="inlineStr">
        <is>
          <t>mb-terfi-yarisi</t>
        </is>
      </c>
      <c r="B712" s="5" t="n">
        <v>4</v>
      </c>
      <c r="C712" s="6" t="inlineStr">
        <is>
          <t>Rakibini tebrik et, çekil</t>
        </is>
      </c>
      <c r="D712" s="5" t="inlineStr"/>
      <c r="E712" s="5" t="inlineStr"/>
      <c r="F712" s="5" t="inlineStr">
        <is>
          <t>Vicdan +2</t>
        </is>
      </c>
      <c r="G712" s="6" t="inlineStr">
        <is>
          <t>Rakibin terfi etti, sen ona pasta aldın. Artık o senin yöneticin; pasta faturası sende.</t>
        </is>
      </c>
      <c r="H712" s="6" t="inlineStr"/>
      <c r="I712" s="6" t="inlineStr"/>
      <c r="J712" s="6" t="inlineStr"/>
      <c r="K712" s="6" t="inlineStr"/>
      <c r="L712" s="6" t="inlineStr"/>
      <c r="M712" s="5" t="inlineStr"/>
      <c r="N712" s="5" t="inlineStr"/>
      <c r="O712" s="6" t="inlineStr"/>
      <c r="P712" s="6" t="inlineStr"/>
      <c r="Q712" s="5" t="inlineStr"/>
      <c r="R712" s="5" t="inlineStr"/>
      <c r="S712" s="5" t="inlineStr"/>
      <c r="T712" s="5" t="inlineStr"/>
      <c r="U712" s="5" t="inlineStr"/>
      <c r="V712" s="5" t="inlineStr"/>
      <c r="W712" s="5" t="inlineStr"/>
      <c r="X712" s="5" t="inlineStr"/>
      <c r="Y712" s="5" t="inlineStr"/>
      <c r="Z712" s="6" t="inlineStr"/>
    </row>
    <row r="713">
      <c r="A713" s="5" t="inlineStr">
        <is>
          <t>mm-lojman-kurasi</t>
        </is>
      </c>
      <c r="B713" s="5" t="n">
        <v>1</v>
      </c>
      <c r="C713" s="6" t="inlineStr">
        <is>
          <t>Kuraya gir</t>
        </is>
      </c>
      <c r="D713" s="5" t="inlineStr">
        <is>
          <t>Dayanıklılık</t>
        </is>
      </c>
      <c r="E713" s="5" t="inlineStr">
        <is>
          <t>Orta</t>
        </is>
      </c>
      <c r="F713" s="5" t="inlineStr"/>
      <c r="G713" s="6" t="inlineStr"/>
      <c r="H713" s="6" t="inlineStr">
        <is>
          <t>Daire çıktı. Kalorifer yok ama balkondan müdürlük görünüyor; bu da bir tür ısınma.</t>
        </is>
      </c>
      <c r="I713" s="6" t="inlineStr">
        <is>
          <t>En iyi daire çıktı. Duvarlar kalın, müdür uzak, kalorifer çalışıyor. Kıskançlık da.</t>
        </is>
      </c>
      <c r="J713" s="6" t="inlineStr">
        <is>
          <t>Yedek listedesin. Yedek listedekiler, yedek listenin yedeğini bekliyor.</t>
        </is>
      </c>
      <c r="K713" s="6" t="inlineStr">
        <is>
          <t>Müdürün alt katı çıktı. Evde terlikle yürümek kurum içi yazıyla düzenlendi.</t>
        </is>
      </c>
      <c r="L713" s="6" t="inlineStr"/>
      <c r="M713" s="5" t="inlineStr"/>
      <c r="N713" s="5" t="inlineStr"/>
      <c r="O713" s="6" t="inlineStr"/>
      <c r="P713" s="6" t="inlineStr"/>
      <c r="Q713" s="5" t="inlineStr"/>
      <c r="R713" s="5" t="inlineStr"/>
      <c r="S713" s="5" t="inlineStr"/>
      <c r="T713" s="5" t="inlineStr"/>
      <c r="U713" s="5" t="inlineStr"/>
      <c r="V713" s="5" t="inlineStr"/>
      <c r="W713" s="5" t="inlineStr"/>
      <c r="X713" s="5" t="inlineStr"/>
      <c r="Y713" s="5" t="inlineStr"/>
      <c r="Z713" s="6" t="inlineStr"/>
    </row>
    <row r="714">
      <c r="A714" s="5" t="inlineStr">
        <is>
          <t>mm-lojman-kurasi</t>
        </is>
      </c>
      <c r="B714" s="5" t="n">
        <v>2</v>
      </c>
      <c r="C714" s="6" t="inlineStr">
        <is>
          <t>Evli olduğunu belirt</t>
        </is>
      </c>
      <c r="D714" s="5" t="inlineStr">
        <is>
          <t>Çene</t>
        </is>
      </c>
      <c r="E714" s="5" t="inlineStr">
        <is>
          <t>Kolay</t>
        </is>
      </c>
      <c r="F714" s="5" t="inlineStr"/>
      <c r="G714" s="6" t="inlineStr"/>
      <c r="H714" s="6" t="inlineStr">
        <is>
          <t>Aile puanın yükseldi, daire çıktı. Evliliğin ilk resmî getirisi.</t>
        </is>
      </c>
      <c r="I714" s="6" t="inlineStr">
        <is>
          <t>Kaloriferli, balkonlu, müdürden uzak bir daire çıktı. Nikâh şahitlerine teşekkür mesajı attın.</t>
        </is>
      </c>
      <c r="J714" s="6" t="inlineStr">
        <is>
          <t>Başvuranların otuz dokuzu da evliymiş. Puanlar eşitlendi, kura yine kura.</t>
        </is>
      </c>
      <c r="K714" s="6" t="inlineStr">
        <is>
          <t>Evlilik cüzdanının aslını istediler. Cüzdan, taşınmadaki kolilerden birinde. Hangisinde, bilinmiyor.</t>
        </is>
      </c>
      <c r="L714" s="6" t="inlineStr"/>
      <c r="M714" s="5" t="inlineStr"/>
      <c r="N714" s="5" t="inlineStr"/>
      <c r="O714" s="6" t="inlineStr"/>
      <c r="P714" s="6" t="inlineStr"/>
      <c r="Q714" s="5" t="inlineStr"/>
      <c r="R714" s="5" t="inlineStr">
        <is>
          <t>evli</t>
        </is>
      </c>
      <c r="S714" s="5" t="inlineStr"/>
      <c r="T714" s="5" t="inlineStr"/>
      <c r="U714" s="5" t="inlineStr"/>
      <c r="V714" s="5" t="inlineStr"/>
      <c r="W714" s="5" t="inlineStr"/>
      <c r="X714" s="5" t="inlineStr"/>
      <c r="Y714" s="5" t="inlineStr"/>
      <c r="Z714" s="6" t="inlineStr"/>
    </row>
    <row r="715">
      <c r="A715" s="5" t="inlineStr">
        <is>
          <t>mm-lojman-kurasi</t>
        </is>
      </c>
      <c r="B715" s="5" t="n">
        <v>3</v>
      </c>
      <c r="C715" s="6" t="inlineStr">
        <is>
          <t>Okula yakınlığı öne çıkar</t>
        </is>
      </c>
      <c r="D715" s="5" t="inlineStr">
        <is>
          <t>Vicdan</t>
        </is>
      </c>
      <c r="E715" s="5" t="inlineStr">
        <is>
          <t>Orta</t>
        </is>
      </c>
      <c r="F715" s="5" t="inlineStr"/>
      <c r="G715" s="6" t="inlineStr"/>
      <c r="H715" s="6" t="inlineStr">
        <is>
          <t>Çocuğun okuluna iki dakikalık bir daire çıktı. Sabahların yirmi dakika uzadı.</t>
        </is>
      </c>
      <c r="I715" s="6" t="inlineStr">
        <is>
          <t>Daire okulun karşısında. Çocuğun teneffüste balkondan el sallıyor; sen de mesaide telefondan.</t>
        </is>
      </c>
      <c r="J715" s="6" t="inlineStr">
        <is>
          <t>Okula yakın daire çıktı; okul taşındı.</t>
        </is>
      </c>
      <c r="K715" s="6" t="inlineStr">
        <is>
          <t>Daire okulun tam karşısında. Sabah 08.00 zili artık senin de zilin.</t>
        </is>
      </c>
      <c r="L715" s="6" t="inlineStr"/>
      <c r="M715" s="5" t="inlineStr"/>
      <c r="N715" s="5" t="inlineStr"/>
      <c r="O715" s="6" t="inlineStr"/>
      <c r="P715" s="6" t="inlineStr"/>
      <c r="Q715" s="5" t="inlineStr"/>
      <c r="R715" s="5" t="inlineStr">
        <is>
          <t>cocuklu</t>
        </is>
      </c>
      <c r="S715" s="5" t="inlineStr"/>
      <c r="T715" s="5" t="inlineStr"/>
      <c r="U715" s="5" t="inlineStr"/>
      <c r="V715" s="5" t="inlineStr"/>
      <c r="W715" s="5" t="inlineStr"/>
      <c r="X715" s="5" t="inlineStr"/>
      <c r="Y715" s="5" t="inlineStr"/>
      <c r="Z715" s="6" t="inlineStr"/>
    </row>
    <row r="716">
      <c r="A716" s="5" t="inlineStr">
        <is>
          <t>mm-lojman-kurasi</t>
        </is>
      </c>
      <c r="B716" s="5" t="n">
        <v>4</v>
      </c>
      <c r="C716" s="6" t="inlineStr">
        <is>
          <t>Kirada kal</t>
        </is>
      </c>
      <c r="D716" s="5" t="inlineStr"/>
      <c r="E716" s="5" t="inlineStr"/>
      <c r="F716" s="5" t="inlineStr">
        <is>
          <t>Vicdan +1</t>
        </is>
      </c>
      <c r="G716" s="6" t="inlineStr">
        <is>
          <t>Lojmandan vazgeçtin. Kira artışı yine geldi ama en azından üst katta müdür yok.</t>
        </is>
      </c>
      <c r="H716" s="6" t="inlineStr"/>
      <c r="I716" s="6" t="inlineStr"/>
      <c r="J716" s="6" t="inlineStr"/>
      <c r="K716" s="6" t="inlineStr"/>
      <c r="L716" s="6" t="inlineStr"/>
      <c r="M716" s="5" t="inlineStr"/>
      <c r="N716" s="5" t="inlineStr"/>
      <c r="O716" s="6" t="inlineStr"/>
      <c r="P716" s="6" t="inlineStr"/>
      <c r="Q716" s="5" t="inlineStr"/>
      <c r="R716" s="5" t="inlineStr"/>
      <c r="S716" s="5" t="inlineStr"/>
      <c r="T716" s="5" t="inlineStr"/>
      <c r="U716" s="5" t="inlineStr"/>
      <c r="V716" s="5" t="inlineStr"/>
      <c r="W716" s="5" t="inlineStr"/>
      <c r="X716" s="5" t="inlineStr"/>
      <c r="Y716" s="5" t="inlineStr"/>
      <c r="Z716" s="6" t="inlineStr"/>
    </row>
    <row r="717">
      <c r="A717" s="5" t="inlineStr">
        <is>
          <t>b7-bayram-rotasi</t>
        </is>
      </c>
      <c r="B717" s="5" t="n">
        <v>1</v>
      </c>
      <c r="C717" s="6" t="inlineStr">
        <is>
          <t>Bu yıl eşinin ailesine git</t>
        </is>
      </c>
      <c r="D717" s="5" t="inlineStr"/>
      <c r="E717" s="5" t="inlineStr"/>
      <c r="F717" s="5" t="inlineStr">
        <is>
          <t>Vicdan +1</t>
        </is>
      </c>
      <c r="G717" s="6" t="inlineStr">
        <is>
          <t>Eşinin ailesine gittiniz. Senin ailen telefonda 'Önemli değil' dedi. Önemliydi.</t>
        </is>
      </c>
      <c r="H717" s="6" t="inlineStr"/>
      <c r="I717" s="6" t="inlineStr"/>
      <c r="J717" s="6" t="inlineStr"/>
      <c r="K717" s="6" t="inlineStr"/>
      <c r="L717" s="6" t="inlineStr"/>
      <c r="M717" s="5" t="inlineStr"/>
      <c r="N717" s="5" t="inlineStr"/>
      <c r="O717" s="6" t="inlineStr"/>
      <c r="P717" s="6" t="inlineStr"/>
      <c r="Q717" s="5" t="inlineStr"/>
      <c r="R717" s="5" t="inlineStr"/>
      <c r="S717" s="5" t="inlineStr"/>
      <c r="T717" s="5" t="inlineStr"/>
      <c r="U717" s="5" t="inlineStr"/>
      <c r="V717" s="5" t="inlineStr"/>
      <c r="W717" s="5" t="inlineStr"/>
      <c r="X717" s="5" t="inlineStr"/>
      <c r="Y717" s="5" t="inlineStr"/>
      <c r="Z717" s="6" t="inlineStr"/>
    </row>
    <row r="718">
      <c r="A718" s="5" t="inlineStr">
        <is>
          <t>b7-bayram-rotasi</t>
        </is>
      </c>
      <c r="B718" s="5" t="n">
        <v>2</v>
      </c>
      <c r="C718" s="6" t="inlineStr">
        <is>
          <t>İki aileyi aynı bayramda gez</t>
        </is>
      </c>
      <c r="D718" s="5" t="inlineStr">
        <is>
          <t>Dayanıklılık</t>
        </is>
      </c>
      <c r="E718" s="5" t="inlineStr">
        <is>
          <t>Zor</t>
        </is>
      </c>
      <c r="F718" s="5" t="inlineStr"/>
      <c r="G718" s="6" t="inlineStr"/>
      <c r="H718" s="6" t="inlineStr">
        <is>
          <t>Dört günde iki şehir, dokuz ev, on bir sofra. Başardın. Kilon ve mazeretin kalmadı.</t>
        </is>
      </c>
      <c r="I718" s="6" t="inlineStr">
        <is>
          <t>Rotayı öyle kusursuz planladın ki iki aile de 'Bizde daha çok kaldılar' diye düşündü. Diplomasi tarihine geçtin.</t>
        </is>
      </c>
      <c r="J718" s="6" t="inlineStr">
        <is>
          <t>Yolda trafiğe takıldın. Bayram ikinci gün trafikte kutlandı.</t>
        </is>
      </c>
      <c r="K718" s="6" t="inlineStr">
        <is>
          <t>Rotanın ortasında iki aile de aynı gün 'Sofra hazır' dedi. Otoyolun tam ortasında iki sesli mesaj dinledin.</t>
        </is>
      </c>
      <c r="L718" s="6" t="inlineStr"/>
      <c r="M718" s="5" t="inlineStr"/>
      <c r="N718" s="5" t="inlineStr"/>
      <c r="O718" s="6" t="inlineStr"/>
      <c r="P718" s="6" t="inlineStr"/>
      <c r="Q718" s="5" t="inlineStr"/>
      <c r="R718" s="5" t="inlineStr"/>
      <c r="S718" s="5" t="inlineStr"/>
      <c r="T718" s="5" t="inlineStr"/>
      <c r="U718" s="5" t="inlineStr"/>
      <c r="V718" s="5" t="inlineStr"/>
      <c r="W718" s="5" t="inlineStr"/>
      <c r="X718" s="5" t="inlineStr"/>
      <c r="Y718" s="5" t="inlineStr"/>
      <c r="Z718" s="6" t="inlineStr"/>
    </row>
    <row r="719">
      <c r="A719" s="5" t="inlineStr">
        <is>
          <t>b7-bayram-rotasi</t>
        </is>
      </c>
      <c r="B719" s="5" t="n">
        <v>3</v>
      </c>
      <c r="C719" s="6" t="inlineStr">
        <is>
          <t>İki aileyi aynı sofrada buluştur</t>
        </is>
      </c>
      <c r="D719" s="5" t="inlineStr">
        <is>
          <t>Sosyal Radar</t>
        </is>
      </c>
      <c r="E719" s="5" t="inlineStr">
        <is>
          <t>Orta</t>
        </is>
      </c>
      <c r="F719" s="5" t="inlineStr"/>
      <c r="G719" s="6" t="inlineStr"/>
      <c r="H719" s="6" t="inlineStr">
        <is>
          <t>İki aile tanıştı, güldü, yemekler karşılaştırıldı. İki taraf da kendi dolmasının kazandığını düşünüyor.</t>
        </is>
      </c>
      <c r="I719" s="6" t="inlineStr">
        <is>
          <t>Sofra o kadar iyi geçti ki iki aile birlikte tatil planı yaptı. Sizi davet etmediler.</t>
        </is>
      </c>
      <c r="J719" s="6" t="inlineStr">
        <is>
          <t>Sofrada kimin baklavasının daha iyi olduğu tartışıldı. Karar çıkmadı, baklava bitti.</t>
        </is>
      </c>
      <c r="K719" s="6" t="inlineStr">
        <is>
          <t>Sofrada iki aile de aynı yemeği getirdi. Bayram, dolmaların uluslararası karşılaştırmasına döndü.</t>
        </is>
      </c>
      <c r="L719" s="6" t="inlineStr"/>
      <c r="M719" s="5" t="inlineStr"/>
      <c r="N719" s="5" t="inlineStr"/>
      <c r="O719" s="6" t="inlineStr"/>
      <c r="P719" s="6" t="inlineStr"/>
      <c r="Q719" s="5" t="inlineStr">
        <is>
          <t>Kayınvalide Diplomatı</t>
        </is>
      </c>
      <c r="R719" s="5" t="inlineStr"/>
      <c r="S719" s="5" t="inlineStr"/>
      <c r="T719" s="5" t="inlineStr"/>
      <c r="U719" s="5" t="inlineStr"/>
      <c r="V719" s="5" t="inlineStr"/>
      <c r="W719" s="5" t="inlineStr"/>
      <c r="X719" s="5" t="inlineStr"/>
      <c r="Y719" s="5" t="inlineStr"/>
      <c r="Z719" s="6" t="inlineStr"/>
    </row>
    <row r="720">
      <c r="A720" s="5" t="inlineStr">
        <is>
          <t>b7-bayram-rotasi</t>
        </is>
      </c>
      <c r="B720" s="5" t="n">
        <v>4</v>
      </c>
      <c r="C720" s="6" t="inlineStr">
        <is>
          <t>'Arabamızla ortada buluşalım' diye öner</t>
        </is>
      </c>
      <c r="D720" s="5" t="inlineStr">
        <is>
          <t>Kurnazlık</t>
        </is>
      </c>
      <c r="E720" s="5" t="inlineStr">
        <is>
          <t>Kolay</t>
        </is>
      </c>
      <c r="F720" s="5" t="inlineStr"/>
      <c r="G720" s="6" t="inlineStr"/>
      <c r="H720" s="6" t="inlineStr">
        <is>
          <t>Yol üstündeki dinlenme tesisinde iki aileyle ayrı ayrı çay içtiniz. Tarafsız bölge işe yaradı.</t>
        </is>
      </c>
      <c r="I720" s="6" t="inlineStr">
        <is>
          <t>Dinlenme tesisinde bayramlaştınız, üç saatte eve döndünüz. Bu model bütün akrabalara ilham oldu.</t>
        </is>
      </c>
      <c r="J720" s="6" t="inlineStr">
        <is>
          <t>Tesis bayram kalabalığıydı. Aileleri bulana kadar çaylar soğudu.</t>
        </is>
      </c>
      <c r="K720" s="6" t="inlineStr">
        <is>
          <t>Arabanın aküsü tesiste bitti. İki aile birlikte seni itti. Barış böyle geldi.</t>
        </is>
      </c>
      <c r="L720" s="6" t="inlineStr"/>
      <c r="M720" s="5" t="inlineStr"/>
      <c r="N720" s="5" t="inlineStr"/>
      <c r="O720" s="6" t="inlineStr"/>
      <c r="P720" s="6" t="inlineStr"/>
      <c r="Q720" s="5" t="inlineStr"/>
      <c r="R720" s="5" t="inlineStr">
        <is>
          <t>arabali</t>
        </is>
      </c>
      <c r="S720" s="5" t="inlineStr"/>
      <c r="T720" s="5" t="inlineStr"/>
      <c r="U720" s="5" t="inlineStr"/>
      <c r="V720" s="5" t="inlineStr"/>
      <c r="W720" s="5" t="inlineStr"/>
      <c r="X720" s="5" t="inlineStr"/>
      <c r="Y720" s="5" t="inlineStr"/>
      <c r="Z720" s="6" t="inlineStr"/>
    </row>
    <row r="721">
      <c r="A721" s="5" t="inlineStr">
        <is>
          <t>b7-uykusuz-geceler</t>
        </is>
      </c>
      <c r="B721" s="5" t="n">
        <v>1</v>
      </c>
      <c r="C721" s="6" t="inlineStr">
        <is>
          <t>Kucağına al, nefesini eşle, uyut</t>
        </is>
      </c>
      <c r="D721" s="5" t="inlineStr">
        <is>
          <t>Dayanıklılık</t>
        </is>
      </c>
      <c r="E721" s="5" t="inlineStr">
        <is>
          <t>Zor</t>
        </is>
      </c>
      <c r="F721" s="5" t="inlineStr"/>
      <c r="G721" s="6" t="inlineStr"/>
      <c r="H721" s="6" t="inlineStr">
        <is>
          <t>Nefesiniz aynı ritme girdi. Bebek uyudu. Sen de ayakta, kapıya yaslanarak.</t>
        </is>
      </c>
      <c r="I721" s="6" t="inlineStr">
        <is>
          <t>Bebek on dakikada uyudu ve sabaha kadar uyandı mı? Hayır. Mahalle bunu mucize olarak kayda geçti.</t>
        </is>
      </c>
      <c r="J721" s="6" t="inlineStr">
        <is>
          <t>Bebek uyudu, yatağa koyarken uyandı. Operasyon başa sarıldı.</t>
        </is>
      </c>
      <c r="K721" s="6" t="inlineStr">
        <is>
          <t>Bebeği uyuttun, sen de onunla uyudun. Eşin sabah ikinizi de aynı sallanan sandalyede buldu. Mesaiye geç kaldın.</t>
        </is>
      </c>
      <c r="L721" s="6" t="inlineStr">
        <is>
          <t>Bebek yarım saat uyudu. Ev halkı bunu tam bir gece gibi kutladı.</t>
        </is>
      </c>
      <c r="M721" s="5" t="inlineStr">
        <is>
          <t>breath</t>
        </is>
      </c>
      <c r="N721" s="5" t="inlineStr">
        <is>
          <t>Ninni Nefesi</t>
        </is>
      </c>
      <c r="O721" s="6" t="inlineStr">
        <is>
          <t>Daire büyürken bas, küçülürken bırak. Bebeğin nefesiyle aynı ritmi tut.</t>
        </is>
      </c>
      <c r="P721" s="6" t="inlineStr"/>
      <c r="Q721" s="5" t="inlineStr"/>
      <c r="R721" s="5" t="inlineStr"/>
      <c r="S721" s="5" t="inlineStr"/>
      <c r="T721" s="5" t="inlineStr">
        <is>
          <t>Uykusuz Operasyon</t>
        </is>
      </c>
      <c r="U721" s="5" t="inlineStr"/>
      <c r="V721" s="5" t="inlineStr"/>
      <c r="W721" s="5" t="inlineStr"/>
      <c r="X721" s="5" t="inlineStr"/>
      <c r="Y721" s="5" t="inlineStr"/>
      <c r="Z721" s="6" t="inlineStr"/>
    </row>
    <row r="722">
      <c r="A722" s="5" t="inlineStr">
        <is>
          <t>b7-uykusuz-geceler</t>
        </is>
      </c>
      <c r="B722" s="5" t="n">
        <v>2</v>
      </c>
      <c r="C722" s="6" t="inlineStr">
        <is>
          <t>Nöbeti eşine devret</t>
        </is>
      </c>
      <c r="D722" s="5" t="inlineStr"/>
      <c r="E722" s="5" t="inlineStr"/>
      <c r="F722" s="5" t="inlineStr">
        <is>
          <t>Kurnazlık +1</t>
        </is>
      </c>
      <c r="G722" s="6" t="inlineStr">
        <is>
          <t>Eşini uyandırdın. İyilik hanene değil, 'hatırlanacaklar' klasörüne yazıldı.</t>
        </is>
      </c>
      <c r="H722" s="6" t="inlineStr"/>
      <c r="I722" s="6" t="inlineStr"/>
      <c r="J722" s="6" t="inlineStr"/>
      <c r="K722" s="6" t="inlineStr"/>
      <c r="L722" s="6" t="inlineStr"/>
      <c r="M722" s="5" t="inlineStr"/>
      <c r="N722" s="5" t="inlineStr"/>
      <c r="O722" s="6" t="inlineStr"/>
      <c r="P722" s="6" t="inlineStr"/>
      <c r="Q722" s="5" t="inlineStr"/>
      <c r="R722" s="5" t="inlineStr"/>
      <c r="S722" s="5" t="inlineStr"/>
      <c r="T722" s="5" t="inlineStr"/>
      <c r="U722" s="5" t="inlineStr"/>
      <c r="V722" s="5" t="inlineStr"/>
      <c r="W722" s="5" t="inlineStr"/>
      <c r="X722" s="5" t="inlineStr"/>
      <c r="Y722" s="5" t="inlineStr"/>
      <c r="Z722" s="6" t="inlineStr"/>
    </row>
    <row r="723">
      <c r="A723" s="5" t="inlineStr">
        <is>
          <t>b7-uykusuz-geceler</t>
        </is>
      </c>
      <c r="B723" s="5" t="n">
        <v>3</v>
      </c>
      <c r="C723" s="6" t="inlineStr">
        <is>
          <t>Arabayla mahallede tur at</t>
        </is>
      </c>
      <c r="D723" s="5" t="inlineStr">
        <is>
          <t>Kurnazlık</t>
        </is>
      </c>
      <c r="E723" s="5" t="inlineStr">
        <is>
          <t>Kolay</t>
        </is>
      </c>
      <c r="F723" s="5" t="inlineStr"/>
      <c r="G723" s="6" t="inlineStr"/>
      <c r="H723" s="6" t="inlineStr">
        <is>
          <t>Motor sesi işe yaradı. Bebek uyudu. Sen de otoparkta, emniyet kemeri takılı.</t>
        </is>
      </c>
      <c r="I723" s="6" t="inlineStr">
        <is>
          <t>Üç tur sonra bebek uyudu ve eve geri taşırken uyanmadı. Bu gece senin adına yazıldı.</t>
        </is>
      </c>
      <c r="J723" s="6" t="inlineStr">
        <is>
          <t>Bebek arabada uyudu. Kontağı kapattığın an uyandı. Arabayla gece turu sabaha kadar sürdü.</t>
        </is>
      </c>
      <c r="K723" s="6" t="inlineStr">
        <is>
          <t>Mahallede o kadar tur attın ki komşular devriye var sandı. Site grubunda 'şüpheli araç' diye fotoğrafın paylaşıldı.</t>
        </is>
      </c>
      <c r="L723" s="6" t="inlineStr"/>
      <c r="M723" s="5" t="inlineStr"/>
      <c r="N723" s="5" t="inlineStr"/>
      <c r="O723" s="6" t="inlineStr"/>
      <c r="P723" s="6" t="inlineStr"/>
      <c r="Q723" s="5" t="inlineStr"/>
      <c r="R723" s="5" t="inlineStr">
        <is>
          <t>arabali</t>
        </is>
      </c>
      <c r="S723" s="5" t="inlineStr"/>
      <c r="T723" s="5" t="inlineStr"/>
      <c r="U723" s="5" t="inlineStr"/>
      <c r="V723" s="5" t="inlineStr"/>
      <c r="W723" s="5" t="inlineStr"/>
      <c r="X723" s="5" t="inlineStr"/>
      <c r="Y723" s="5" t="inlineStr"/>
      <c r="Z723" s="6" t="inlineStr"/>
    </row>
    <row r="724">
      <c r="A724" s="5" t="inlineStr">
        <is>
          <t>b7-site-toplantisi</t>
        </is>
      </c>
      <c r="B724" s="5" t="n">
        <v>1</v>
      </c>
      <c r="C724" s="6" t="inlineStr">
        <is>
          <t>Arka sırada otur, sadece el kaldır</t>
        </is>
      </c>
      <c r="D724" s="5" t="inlineStr"/>
      <c r="E724" s="5" t="inlineStr"/>
      <c r="F724" s="5" t="inlineStr">
        <is>
          <t>Dayanıklılık +1</t>
        </is>
      </c>
      <c r="G724" s="6" t="inlineStr">
        <is>
          <t>Üç saat oturdun, iki kez el kaldırdın. Birinde yanlış maddeye oy verdin. Aidat arttı.</t>
        </is>
      </c>
      <c r="H724" s="6" t="inlineStr"/>
      <c r="I724" s="6" t="inlineStr"/>
      <c r="J724" s="6" t="inlineStr"/>
      <c r="K724" s="6" t="inlineStr"/>
      <c r="L724" s="6" t="inlineStr"/>
      <c r="M724" s="5" t="inlineStr"/>
      <c r="N724" s="5" t="inlineStr"/>
      <c r="O724" s="6" t="inlineStr"/>
      <c r="P724" s="6" t="inlineStr"/>
      <c r="Q724" s="5" t="inlineStr"/>
      <c r="R724" s="5" t="inlineStr"/>
      <c r="S724" s="5" t="inlineStr"/>
      <c r="T724" s="5" t="inlineStr"/>
      <c r="U724" s="5" t="inlineStr"/>
      <c r="V724" s="5" t="inlineStr"/>
      <c r="W724" s="5" t="inlineStr"/>
      <c r="X724" s="5" t="inlineStr"/>
      <c r="Y724" s="5" t="inlineStr"/>
      <c r="Z724" s="6" t="inlineStr"/>
    </row>
    <row r="725">
      <c r="A725" s="5" t="inlineStr">
        <is>
          <t>b7-site-toplantisi</t>
        </is>
      </c>
      <c r="B725" s="5" t="n">
        <v>2</v>
      </c>
      <c r="C725" s="6" t="inlineStr">
        <is>
          <t>Aidat artışına itiraz et</t>
        </is>
      </c>
      <c r="D725" s="5" t="inlineStr">
        <is>
          <t>Çene</t>
        </is>
      </c>
      <c r="E725" s="5" t="inlineStr">
        <is>
          <t>Orta</t>
        </is>
      </c>
      <c r="F725" s="5" t="inlineStr"/>
      <c r="G725" s="6" t="inlineStr"/>
      <c r="H725" s="6" t="inlineStr">
        <is>
          <t>İtirazın kabul edildi. Artış yarıya indi. Asansörde artık sana selam veriyorlar.</t>
        </is>
      </c>
      <c r="I725" s="6" t="inlineStr">
        <is>
          <t>İtirazın öyle ikna ediciydi ki salon ayağa kalktı. Bir de seni yönetici seçtiler. Artık itiraz edilen sensin.</t>
        </is>
      </c>
      <c r="J725" s="6" t="inlineStr">
        <is>
          <t>İtiraz ettin. Yönetici 'Not alındı' dedi. Not hiçbir yere alınmadı.</t>
        </is>
      </c>
      <c r="K725" s="6" t="inlineStr">
        <is>
          <t>İtiraz ederken bütçe sorusu sordun. Yanıtı bulmak için bir komisyon kuruldu. Komisyonun başkanı sensin.</t>
        </is>
      </c>
      <c r="L725" s="6" t="inlineStr"/>
      <c r="M725" s="5" t="inlineStr"/>
      <c r="N725" s="5" t="inlineStr"/>
      <c r="O725" s="6" t="inlineStr"/>
      <c r="P725" s="6" t="inlineStr"/>
      <c r="Q725" s="5" t="inlineStr"/>
      <c r="R725" s="5" t="inlineStr"/>
      <c r="S725" s="5" t="inlineStr"/>
      <c r="T725" s="5" t="inlineStr"/>
      <c r="U725" s="5" t="inlineStr"/>
      <c r="V725" s="5" t="inlineStr">
        <is>
          <t>site-yoneticisi</t>
        </is>
      </c>
      <c r="W725" s="5" t="inlineStr">
        <is>
          <t>site-yoneticisi</t>
        </is>
      </c>
      <c r="X725" s="5" t="inlineStr"/>
      <c r="Y725" s="5" t="inlineStr"/>
      <c r="Z725" s="6" t="inlineStr"/>
    </row>
    <row r="726">
      <c r="A726" s="5" t="inlineStr">
        <is>
          <t>b7-site-toplantisi</t>
        </is>
      </c>
      <c r="B726" s="5" t="n">
        <v>3</v>
      </c>
      <c r="C726" s="6" t="inlineStr">
        <is>
          <t>Çatı yalıtımını bizzat kontrol etmeyi teklif et</t>
        </is>
      </c>
      <c r="D726" s="5" t="inlineStr">
        <is>
          <t>Cesaret</t>
        </is>
      </c>
      <c r="E726" s="5" t="inlineStr">
        <is>
          <t>Orta</t>
        </is>
      </c>
      <c r="F726" s="5" t="inlineStr"/>
      <c r="G726" s="6" t="inlineStr"/>
      <c r="H726" s="6" t="inlineStr">
        <is>
          <t>Çatıya çıktın, sorunu buldun, fotoğrafladın. Genel kurul seni kahraman ilan etti. Aidat yine de arttı.</t>
        </is>
      </c>
      <c r="I726" s="6" t="inlineStr">
        <is>
          <t>Çatıda sorunu buldun ve ustanın fiyatının yarısına çözdürdün. Site tarihine 'çatıdaki kişi' olarak geçtin.</t>
        </is>
      </c>
      <c r="J726" s="6" t="inlineStr">
        <is>
          <t>Çatıya çıktın, hiçbir şey anlamadın. İndiğinde toplantı bitmişti ve aidat artmıştı.</t>
        </is>
      </c>
      <c r="K726" s="6" t="inlineStr">
        <is>
          <t>Çatı kapısı arkandan kilitlendi. Toplantının geri kalanını çatıdan, mesaj grubu üzerinden takip ettin.</t>
        </is>
      </c>
      <c r="L726" s="6" t="inlineStr"/>
      <c r="M726" s="5" t="inlineStr"/>
      <c r="N726" s="5" t="inlineStr"/>
      <c r="O726" s="6" t="inlineStr"/>
      <c r="P726" s="6" t="inlineStr"/>
      <c r="Q726" s="5" t="inlineStr"/>
      <c r="R726" s="5" t="inlineStr"/>
      <c r="S726" s="5" t="inlineStr"/>
      <c r="T726" s="5" t="inlineStr"/>
      <c r="U726" s="5" t="inlineStr"/>
      <c r="V726" s="5" t="inlineStr"/>
      <c r="W726" s="5" t="inlineStr"/>
      <c r="X726" s="5" t="inlineStr"/>
      <c r="Y726" s="5" t="n">
        <v>4</v>
      </c>
      <c r="Z726" s="6" t="inlineStr">
        <is>
          <t>Site çatısında yalıtım kontrolü yaparken. Karar defterine 'gönüllü' diye geçti.</t>
        </is>
      </c>
    </row>
    <row r="727">
      <c r="A727" s="5" t="inlineStr">
        <is>
          <t>b7-site-toplantisi</t>
        </is>
      </c>
      <c r="B727" s="5" t="n">
        <v>4</v>
      </c>
      <c r="C727" s="6" t="inlineStr">
        <is>
          <t>Ayakkabılık meselesinde arabuluculuk yap</t>
        </is>
      </c>
      <c r="D727" s="5" t="inlineStr">
        <is>
          <t>Sosyal Radar</t>
        </is>
      </c>
      <c r="E727" s="5" t="inlineStr">
        <is>
          <t>Zor</t>
        </is>
      </c>
      <c r="F727" s="5" t="inlineStr"/>
      <c r="G727" s="6" t="inlineStr"/>
      <c r="H727" s="6" t="inlineStr">
        <is>
          <t>Ayakkabılık kapının içine alındı. On yıllık bir sorun, on dakikada çözüldü.</t>
        </is>
      </c>
      <c r="I727" s="6" t="inlineStr">
        <is>
          <t>Arabuluculuğun öyle başarılıydı ki iki komşu barıştı, ortak bir ayakkabılık aldı. Sitede yeni bir çağ başladı.</t>
        </is>
      </c>
      <c r="J727" s="6" t="inlineStr">
        <is>
          <t>Ayakkabılık konusu açıldığında salon ikiye bölündü. Sen ortada kaldın.</t>
        </is>
      </c>
      <c r="K727" s="6" t="inlineStr">
        <is>
          <t>Arabuluculuk yaparken senin paspasın da gündeme geldi. Toplantı bir saat uzadı.</t>
        </is>
      </c>
      <c r="L727" s="6" t="inlineStr"/>
      <c r="M727" s="5" t="inlineStr"/>
      <c r="N727" s="5" t="inlineStr"/>
      <c r="O727" s="6" t="inlineStr"/>
      <c r="P727" s="6" t="inlineStr"/>
      <c r="Q727" s="5" t="inlineStr"/>
      <c r="R727" s="5" t="inlineStr"/>
      <c r="S727" s="5" t="inlineStr"/>
      <c r="T727" s="5" t="inlineStr"/>
      <c r="U727" s="5" t="inlineStr"/>
      <c r="V727" s="5" t="inlineStr"/>
      <c r="W727" s="5" t="inlineStr"/>
      <c r="X727" s="5" t="inlineStr"/>
      <c r="Y727" s="5" t="inlineStr"/>
      <c r="Z727" s="6" t="inlineStr"/>
    </row>
    <row r="728">
      <c r="A728" s="5" t="inlineStr">
        <is>
          <t>ms-yapay-zeka-rakip</t>
        </is>
      </c>
      <c r="B728" s="5" t="n">
        <v>1</v>
      </c>
      <c r="C728" s="6" t="inlineStr">
        <is>
          <t>Fiyatını düşür</t>
        </is>
      </c>
      <c r="D728" s="5" t="inlineStr"/>
      <c r="E728" s="5" t="inlineStr"/>
      <c r="F728" s="5" t="inlineStr">
        <is>
          <t>Dayanıklılık +1</t>
        </is>
      </c>
      <c r="G728" s="6" t="inlineStr">
        <is>
          <t>Fiyatını yarıya indirdin. Müşteri 'Yapay zekâ bedava ama' dedi. Rakibin artık bir yazılım.</t>
        </is>
      </c>
      <c r="H728" s="6" t="inlineStr"/>
      <c r="I728" s="6" t="inlineStr"/>
      <c r="J728" s="6" t="inlineStr"/>
      <c r="K728" s="6" t="inlineStr"/>
      <c r="L728" s="6" t="inlineStr"/>
      <c r="M728" s="5" t="inlineStr"/>
      <c r="N728" s="5" t="inlineStr"/>
      <c r="O728" s="6" t="inlineStr"/>
      <c r="P728" s="6" t="inlineStr"/>
      <c r="Q728" s="5" t="inlineStr"/>
      <c r="R728" s="5" t="inlineStr"/>
      <c r="S728" s="5" t="inlineStr"/>
      <c r="T728" s="5" t="inlineStr"/>
      <c r="U728" s="5" t="inlineStr"/>
      <c r="V728" s="5" t="inlineStr"/>
      <c r="W728" s="5" t="inlineStr"/>
      <c r="X728" s="5" t="inlineStr"/>
      <c r="Y728" s="5" t="inlineStr"/>
      <c r="Z728" s="6" t="inlineStr"/>
    </row>
    <row r="729">
      <c r="A729" s="5" t="inlineStr">
        <is>
          <t>ms-yapay-zeka-rakip</t>
        </is>
      </c>
      <c r="B729" s="5" t="n">
        <v>2</v>
      </c>
      <c r="C729" s="6" t="inlineStr">
        <is>
          <t>Hataları tek tek işaretle</t>
        </is>
      </c>
      <c r="D729" s="5" t="inlineStr">
        <is>
          <t>Akıl</t>
        </is>
      </c>
      <c r="E729" s="5" t="inlineStr">
        <is>
          <t>Kolay</t>
        </is>
      </c>
      <c r="F729" s="5" t="inlineStr"/>
      <c r="G729" s="6" t="inlineStr"/>
      <c r="H729" s="6" t="inlineStr">
        <is>
          <t>Altı parmağı, üç farklı yazılmış şirket adını ve ters gölgeyi işaretledin. İş sende.</t>
        </is>
      </c>
      <c r="I729" s="6" t="inlineStr">
        <is>
          <t>Hata listen o kadar uzundu ki müşteri seni yapay zekâ denetçisi olarak da tuttu.</t>
        </is>
      </c>
      <c r="J729" s="6" t="inlineStr">
        <is>
          <t>İşaretledin; müşteri hataları yapay zekâya düzelttirdi. Beş saniye sürdü.</t>
        </is>
      </c>
      <c r="K729" s="6" t="inlineStr">
        <is>
          <t>Hataları işaretledin; müşteri altı parmağı 'yenilikçi' buldu ve kullanmaya karar verdi.</t>
        </is>
      </c>
      <c r="L729" s="6" t="inlineStr"/>
      <c r="M729" s="5" t="inlineStr"/>
      <c r="N729" s="5" t="inlineStr"/>
      <c r="O729" s="6" t="inlineStr"/>
      <c r="P729" s="6" t="inlineStr"/>
      <c r="Q729" s="5" t="inlineStr"/>
      <c r="R729" s="5" t="inlineStr"/>
      <c r="S729" s="5" t="inlineStr">
        <is>
          <t>Akıl</t>
        </is>
      </c>
      <c r="T729" s="5" t="inlineStr"/>
      <c r="U729" s="5" t="inlineStr"/>
      <c r="V729" s="5" t="inlineStr"/>
      <c r="W729" s="5" t="inlineStr"/>
      <c r="X729" s="5" t="inlineStr"/>
      <c r="Y729" s="5" t="inlineStr"/>
      <c r="Z729" s="6" t="inlineStr"/>
    </row>
    <row r="730">
      <c r="A730" s="5" t="inlineStr">
        <is>
          <t>ms-yapay-zeka-rakip</t>
        </is>
      </c>
      <c r="B730" s="5" t="n">
        <v>3</v>
      </c>
      <c r="C730" s="6" t="inlineStr">
        <is>
          <t>'İnsan dokunuşunu' sat</t>
        </is>
      </c>
      <c r="D730" s="5" t="inlineStr">
        <is>
          <t>Çene</t>
        </is>
      </c>
      <c r="E730" s="5" t="inlineStr">
        <is>
          <t>Zor</t>
        </is>
      </c>
      <c r="F730" s="5" t="inlineStr"/>
      <c r="G730" s="6" t="inlineStr"/>
      <c r="H730" s="6" t="inlineStr">
        <is>
          <t>'Bu el beş parmaklı ve size ait' dedin. İş, iki katı ücretle sende.</t>
        </is>
      </c>
      <c r="I730" s="6" t="inlineStr">
        <is>
          <t>'İnsan yapımı' damgalı işlerin moda oldu. Fiyatını üçe katladın.</t>
        </is>
      </c>
      <c r="J730" s="6" t="inlineStr">
        <is>
          <t>Müşteri 'İnsan dokunuşu' için ek bütçe olmadığını söyledi.</t>
        </is>
      </c>
      <c r="K730" s="6" t="inlineStr">
        <is>
          <t>'İnsan dokunuşu' konulu sunum metnini yapay zekâya yazdırdığın fark edildi.</t>
        </is>
      </c>
      <c r="L730" s="6" t="inlineStr"/>
      <c r="M730" s="5" t="inlineStr"/>
      <c r="N730" s="5" t="inlineStr"/>
      <c r="O730" s="6" t="inlineStr"/>
      <c r="P730" s="6" t="inlineStr"/>
      <c r="Q730" s="5" t="inlineStr"/>
      <c r="R730" s="5" t="inlineStr"/>
      <c r="S730" s="5" t="inlineStr"/>
      <c r="T730" s="5" t="inlineStr">
        <is>
          <t>Sözünü Geçirir</t>
        </is>
      </c>
      <c r="U730" s="5" t="inlineStr"/>
      <c r="V730" s="5" t="inlineStr"/>
      <c r="W730" s="5" t="inlineStr"/>
      <c r="X730" s="5" t="inlineStr"/>
      <c r="Y730" s="5" t="inlineStr"/>
      <c r="Z730" s="6" t="inlineStr"/>
    </row>
    <row r="731">
      <c r="A731" s="5" t="inlineStr">
        <is>
          <t>ms-yapay-zeka-rakip</t>
        </is>
      </c>
      <c r="B731" s="5" t="n">
        <v>4</v>
      </c>
      <c r="C731" s="6" t="inlineStr">
        <is>
          <t>Yapay zekâyı kendin kullan, beşe böl</t>
        </is>
      </c>
      <c r="D731" s="5" t="inlineStr">
        <is>
          <t>Kurnazlık</t>
        </is>
      </c>
      <c r="E731" s="5" t="inlineStr">
        <is>
          <t>Orta</t>
        </is>
      </c>
      <c r="F731" s="5" t="inlineStr"/>
      <c r="G731" s="6" t="inlineStr"/>
      <c r="H731" s="6" t="inlineStr">
        <is>
          <t>Aracı kullandın, üstüne emek koydun. Beş saniye sürmedi ama beş gün de değil.</t>
        </is>
      </c>
      <c r="I731" s="6" t="inlineStr">
        <is>
          <t>Aynı sürede beş müşteriye iş yetiştirdin. Artık bir ajanssın. Tek kişilik, sekiz sekmeli.</t>
        </is>
      </c>
      <c r="J731" s="6" t="inlineStr">
        <is>
          <t>Araç kullandın; müşteri 'Bunu ben de yapabilirdim' dedi. Yaptı da.</t>
        </is>
      </c>
      <c r="K731" s="6" t="inlineStr">
        <is>
          <t>Teslim ettiğin işte bir el yedi parmaklıydı. Müşteri 'Bizimki altı yapıyordu' dedi.</t>
        </is>
      </c>
      <c r="L731" s="6" t="inlineStr"/>
      <c r="M731" s="5" t="inlineStr"/>
      <c r="N731" s="5" t="inlineStr"/>
      <c r="O731" s="6" t="inlineStr"/>
      <c r="P731" s="6" t="inlineStr"/>
      <c r="Q731" s="5" t="inlineStr">
        <is>
          <t>Teknoloji Merakı</t>
        </is>
      </c>
      <c r="R731" s="5" t="inlineStr"/>
      <c r="S731" s="5" t="inlineStr"/>
      <c r="T731" s="5" t="inlineStr"/>
      <c r="U731" s="5" t="inlineStr"/>
      <c r="V731" s="5" t="inlineStr"/>
      <c r="W731" s="5" t="inlineStr"/>
      <c r="X731" s="5" t="inlineStr"/>
      <c r="Y731" s="5" t="inlineStr"/>
      <c r="Z731" s="6" t="inlineStr"/>
    </row>
    <row r="732">
      <c r="A732" s="5" t="inlineStr">
        <is>
          <t>b7-ilk-kelime</t>
        </is>
      </c>
      <c r="B732" s="5" t="n">
        <v>1</v>
      </c>
      <c r="C732" s="6" t="inlineStr">
        <is>
          <t>Sessizce izle</t>
        </is>
      </c>
      <c r="D732" s="5" t="inlineStr"/>
      <c r="E732" s="5" t="inlineStr"/>
      <c r="F732" s="5" t="inlineStr">
        <is>
          <t>Vicdan +1</t>
        </is>
      </c>
      <c r="G732" s="6" t="inlineStr">
        <is>
          <t>Çocuk 'Ba' dedi. Bu, ailenin iki tarafında farklı şekilde yorumlandı.</t>
        </is>
      </c>
      <c r="H732" s="6" t="inlineStr"/>
      <c r="I732" s="6" t="inlineStr"/>
      <c r="J732" s="6" t="inlineStr"/>
      <c r="K732" s="6" t="inlineStr"/>
      <c r="L732" s="6" t="inlineStr"/>
      <c r="M732" s="5" t="inlineStr"/>
      <c r="N732" s="5" t="inlineStr"/>
      <c r="O732" s="6" t="inlineStr"/>
      <c r="P732" s="6" t="inlineStr"/>
      <c r="Q732" s="5" t="inlineStr"/>
      <c r="R732" s="5" t="inlineStr"/>
      <c r="S732" s="5" t="inlineStr"/>
      <c r="T732" s="5" t="inlineStr"/>
      <c r="U732" s="5" t="inlineStr"/>
      <c r="V732" s="5" t="inlineStr"/>
      <c r="W732" s="5" t="inlineStr"/>
      <c r="X732" s="5" t="inlineStr"/>
      <c r="Y732" s="5" t="inlineStr"/>
      <c r="Z732" s="6" t="inlineStr"/>
    </row>
    <row r="733">
      <c r="A733" s="5" t="inlineStr">
        <is>
          <t>b7-ilk-kelime</t>
        </is>
      </c>
      <c r="B733" s="5" t="n">
        <v>2</v>
      </c>
      <c r="C733" s="6" t="inlineStr">
        <is>
          <t>Kendi adını söylemesi için telkin et</t>
        </is>
      </c>
      <c r="D733" s="5" t="inlineStr">
        <is>
          <t>Çene</t>
        </is>
      </c>
      <c r="E733" s="5" t="inlineStr">
        <is>
          <t>Orta</t>
        </is>
      </c>
      <c r="F733" s="5" t="inlineStr"/>
      <c r="G733" s="6" t="inlineStr"/>
      <c r="H733" s="6" t="inlineStr">
        <is>
          <t>Çocuk senin adını söyledi. Eşin bunu hiç unutmayacak. Sen de.</t>
        </is>
      </c>
      <c r="I733" s="6" t="inlineStr">
        <is>
          <t>İlk kelimesi senin adındı ve aile grubundaki video iki yüz kez izlendi. Eşin de izledi. İki yüz kez.</t>
        </is>
      </c>
      <c r="J733" s="6" t="inlineStr">
        <is>
          <t>Çocuk eşinin adını söyledi. Telkin yanlış hedefi buldu.</t>
        </is>
      </c>
      <c r="K733" s="6" t="inlineStr">
        <is>
          <t>Çocuk 'Kargo' dedi. Evdeki ses sıklığı analiz edildi. Sonuç sana ait.</t>
        </is>
      </c>
      <c r="L733" s="6" t="inlineStr"/>
      <c r="M733" s="5" t="inlineStr"/>
      <c r="N733" s="5" t="inlineStr"/>
      <c r="O733" s="6" t="inlineStr"/>
      <c r="P733" s="6" t="inlineStr"/>
      <c r="Q733" s="5" t="inlineStr"/>
      <c r="R733" s="5" t="inlineStr"/>
      <c r="S733" s="5" t="inlineStr"/>
      <c r="T733" s="5" t="inlineStr"/>
      <c r="U733" s="5" t="inlineStr"/>
      <c r="V733" s="5" t="inlineStr"/>
      <c r="W733" s="5" t="inlineStr"/>
      <c r="X733" s="5" t="inlineStr"/>
      <c r="Y733" s="5" t="inlineStr"/>
      <c r="Z733" s="6" t="inlineStr"/>
    </row>
    <row r="734">
      <c r="A734" s="5" t="inlineStr">
        <is>
          <t>b7-ilk-kelime</t>
        </is>
      </c>
      <c r="B734" s="5" t="n">
        <v>3</v>
      </c>
      <c r="C734" s="6" t="inlineStr">
        <is>
          <t>'Para' demesini sağla — aile geleneği</t>
        </is>
      </c>
      <c r="D734" s="5" t="inlineStr">
        <is>
          <t>Kurnazlık</t>
        </is>
      </c>
      <c r="E734" s="5" t="inlineStr">
        <is>
          <t>Kolay</t>
        </is>
      </c>
      <c r="F734" s="5" t="inlineStr"/>
      <c r="G734" s="6" t="inlineStr"/>
      <c r="H734" s="6" t="inlineStr">
        <is>
          <t>Çocuk 'Para' dedi. Döngü tamamlandı. Aile büyükleri bir yandan güldü, bir yandan endişelendi.</t>
        </is>
      </c>
      <c r="I734" s="6" t="inlineStr">
        <is>
          <t>Çocuk 'Para' dedi, ardından 'Daha' dedi. Aile tarihinde ilk kez iki kelimelik bir talep kayda geçti.</t>
        </is>
      </c>
      <c r="J734" s="6" t="inlineStr">
        <is>
          <t>Çocuk 'Pa' dedi ve durdu. Yarım bir finansal okuryazarlık.</t>
        </is>
      </c>
      <c r="K734" s="6" t="inlineStr">
        <is>
          <t>Çocuk 'Faiz' dedi. Kimse bunun nasıl olduğunu bilmiyor. Ev bankası kalıcı olarak kapandı.</t>
        </is>
      </c>
      <c r="L734" s="6" t="inlineStr"/>
      <c r="M734" s="5" t="inlineStr"/>
      <c r="N734" s="5" t="inlineStr"/>
      <c r="O734" s="6" t="inlineStr"/>
      <c r="P734" s="6" t="inlineStr"/>
      <c r="Q734" s="5" t="inlineStr"/>
      <c r="R734" s="5" t="inlineStr">
        <is>
          <t>ilkKelimePara</t>
        </is>
      </c>
      <c r="S734" s="5" t="inlineStr"/>
      <c r="T734" s="5" t="inlineStr"/>
      <c r="U734" s="5" t="inlineStr"/>
      <c r="V734" s="5" t="inlineStr"/>
      <c r="W734" s="5" t="inlineStr"/>
      <c r="X734" s="5" t="inlineStr"/>
      <c r="Y734" s="5" t="inlineStr"/>
      <c r="Z734" s="6" t="inlineStr"/>
    </row>
    <row r="735">
      <c r="A735" s="5" t="inlineStr">
        <is>
          <t>b7-ilk-kelime</t>
        </is>
      </c>
      <c r="B735" s="5" t="n">
        <v>4</v>
      </c>
      <c r="C735" s="6" t="inlineStr">
        <is>
          <t>Kameraya odaklan, anı yakala</t>
        </is>
      </c>
      <c r="D735" s="5" t="inlineStr">
        <is>
          <t>Akıl</t>
        </is>
      </c>
      <c r="E735" s="5" t="inlineStr">
        <is>
          <t>Kolay</t>
        </is>
      </c>
      <c r="F735" s="5" t="inlineStr"/>
      <c r="G735" s="6" t="inlineStr"/>
      <c r="H735" s="6" t="inlineStr">
        <is>
          <t>Anı yakaladın. Video, aile arşivinin en çok izlenen parçası oldu.</t>
        </is>
      </c>
      <c r="I735" s="6" t="inlineStr">
        <is>
          <t>Video o kadar güzel çekildi ki düğün fotoğrafçısı bile kıskandı. Bir kartpostal serisi yapıldı.</t>
        </is>
      </c>
      <c r="J735" s="6" t="inlineStr">
        <is>
          <t>Kameran tam o anda telefonun belleği dolu dedi.</t>
        </is>
      </c>
      <c r="K735" s="6" t="inlineStr">
        <is>
          <t>Çekim sürerken ön kameraya geçmişsin. İlk kelime, senin şaşkın yüzünün üzerine seslendirildi.</t>
        </is>
      </c>
      <c r="L735" s="6" t="inlineStr"/>
      <c r="M735" s="5" t="inlineStr"/>
      <c r="N735" s="5" t="inlineStr"/>
      <c r="O735" s="6" t="inlineStr"/>
      <c r="P735" s="6" t="inlineStr"/>
      <c r="Q735" s="5" t="inlineStr"/>
      <c r="R735" s="5" t="inlineStr"/>
      <c r="S735" s="5" t="inlineStr"/>
      <c r="T735" s="5" t="inlineStr"/>
      <c r="U735" s="5" t="inlineStr"/>
      <c r="V735" s="5" t="inlineStr"/>
      <c r="W735" s="5" t="inlineStr"/>
      <c r="X735" s="5" t="inlineStr"/>
      <c r="Y735" s="5" t="inlineStr"/>
      <c r="Z735" s="6" t="inlineStr"/>
    </row>
    <row r="736">
      <c r="A736" s="5" t="inlineStr">
        <is>
          <t>b7-cocuklu-dogum-gunu</t>
        </is>
      </c>
      <c r="B736" s="5" t="n">
        <v>1</v>
      </c>
      <c r="C736" s="6" t="inlineStr">
        <is>
          <t>Hediyeyi bırak, pasta ye, git</t>
        </is>
      </c>
      <c r="D736" s="5" t="inlineStr"/>
      <c r="E736" s="5" t="inlineStr"/>
      <c r="F736" s="5" t="inlineStr">
        <is>
          <t>Kurnazlık +1</t>
        </is>
      </c>
      <c r="G736" s="6" t="inlineStr">
        <is>
          <t>Pastayı yedin, kimseye yakalanmadan çıktın. Tek çocuksuz yetişkin avantajını kullandın.</t>
        </is>
      </c>
      <c r="H736" s="6" t="inlineStr"/>
      <c r="I736" s="6" t="inlineStr"/>
      <c r="J736" s="6" t="inlineStr"/>
      <c r="K736" s="6" t="inlineStr"/>
      <c r="L736" s="6" t="inlineStr"/>
      <c r="M736" s="5" t="inlineStr"/>
      <c r="N736" s="5" t="inlineStr"/>
      <c r="O736" s="6" t="inlineStr"/>
      <c r="P736" s="6" t="inlineStr"/>
      <c r="Q736" s="5" t="inlineStr"/>
      <c r="R736" s="5" t="inlineStr"/>
      <c r="S736" s="5" t="inlineStr"/>
      <c r="T736" s="5" t="inlineStr"/>
      <c r="U736" s="5" t="inlineStr"/>
      <c r="V736" s="5" t="inlineStr"/>
      <c r="W736" s="5" t="inlineStr"/>
      <c r="X736" s="5" t="inlineStr"/>
      <c r="Y736" s="5" t="inlineStr"/>
      <c r="Z736" s="6" t="inlineStr"/>
    </row>
    <row r="737">
      <c r="A737" s="5" t="inlineStr">
        <is>
          <t>b7-cocuklu-dogum-gunu</t>
        </is>
      </c>
      <c r="B737" s="5" t="n">
        <v>2</v>
      </c>
      <c r="C737" s="6" t="inlineStr">
        <is>
          <t>Çocuklarla oyuna katıl</t>
        </is>
      </c>
      <c r="D737" s="5" t="inlineStr">
        <is>
          <t>Dayanıklılık</t>
        </is>
      </c>
      <c r="E737" s="5" t="inlineStr">
        <is>
          <t>Orta</t>
        </is>
      </c>
      <c r="F737" s="5" t="inlineStr"/>
      <c r="G737" s="6" t="inlineStr"/>
      <c r="H737" s="6" t="inlineStr">
        <is>
          <t>Kovalamaca oynadın, kazandın. Çocuklar seni en sevdikleri yetişkin ilan etti.</t>
        </is>
      </c>
      <c r="I737" s="6" t="inlineStr">
        <is>
          <t>Oyun o kadar eğlenceliydi ki üç çocuk ailesinden 'Onun partisine de gidelim' diye istedi. Takvimin doldu.</t>
        </is>
      </c>
      <c r="J737" s="6" t="inlineStr">
        <is>
          <t>Kovalamacada beş yaşındakilere yetişemedin. Nefes nefese bir banka oturdun.</t>
        </is>
      </c>
      <c r="K737" s="6" t="inlineStr">
        <is>
          <t>Oyunda şişme kaleye sıkıştın. Çocuklar kurtarmak için sıraya girdi. Fotoğraf aile grubunda dolaşıyor.</t>
        </is>
      </c>
      <c r="L737" s="6" t="inlineStr"/>
      <c r="M737" s="5" t="inlineStr"/>
      <c r="N737" s="5" t="inlineStr"/>
      <c r="O737" s="6" t="inlineStr"/>
      <c r="P737" s="6" t="inlineStr"/>
      <c r="Q737" s="5" t="inlineStr"/>
      <c r="R737" s="5" t="inlineStr"/>
      <c r="S737" s="5" t="inlineStr"/>
      <c r="T737" s="5" t="inlineStr"/>
      <c r="U737" s="5" t="inlineStr"/>
      <c r="V737" s="5" t="inlineStr"/>
      <c r="W737" s="5" t="inlineStr"/>
      <c r="X737" s="5" t="inlineStr"/>
      <c r="Y737" s="5" t="inlineStr"/>
      <c r="Z737" s="6" t="inlineStr"/>
    </row>
    <row r="738">
      <c r="A738" s="5" t="inlineStr">
        <is>
          <t>b7-cocuklu-dogum-gunu</t>
        </is>
      </c>
      <c r="B738" s="5" t="n">
        <v>3</v>
      </c>
      <c r="C738" s="6" t="inlineStr">
        <is>
          <t>Ebeveyn sohbetine katılmaya çalış</t>
        </is>
      </c>
      <c r="D738" s="5" t="inlineStr">
        <is>
          <t>Sosyal Radar</t>
        </is>
      </c>
      <c r="E738" s="5" t="inlineStr">
        <is>
          <t>Zor</t>
        </is>
      </c>
      <c r="F738" s="5" t="inlineStr"/>
      <c r="G738" s="6" t="inlineStr"/>
      <c r="H738" s="6" t="inlineStr">
        <is>
          <t>Ebeveynlerle kreş fiyatlarını konuştun. Hiçbir şey bilmediğin halde gayet inandırıcıydın.</t>
        </is>
      </c>
      <c r="I738" s="6" t="inlineStr">
        <is>
          <t>Sohbete o kadar iyi uydun ki bir ebeveyn sana kendi çocuğu için tavsiye sordu. Tavsiyen işe yaradı.</t>
        </is>
      </c>
      <c r="J738" s="6" t="inlineStr">
        <is>
          <t>Uyku düzeni konuşuldu. Senin tek katkın 'Ben on ikide yatıyorum' oldu.</t>
        </is>
      </c>
      <c r="K738" s="6" t="inlineStr">
        <is>
          <t>Bir ebeveyne 'Onlar bu yaşta ne yer?' diye sordun. Soru grupta alıntılanıyor.</t>
        </is>
      </c>
      <c r="L738" s="6" t="inlineStr"/>
      <c r="M738" s="5" t="inlineStr"/>
      <c r="N738" s="5" t="inlineStr"/>
      <c r="O738" s="6" t="inlineStr"/>
      <c r="P738" s="6" t="inlineStr"/>
      <c r="Q738" s="5" t="inlineStr"/>
      <c r="R738" s="5" t="inlineStr"/>
      <c r="S738" s="5" t="inlineStr"/>
      <c r="T738" s="5" t="inlineStr"/>
      <c r="U738" s="5" t="inlineStr"/>
      <c r="V738" s="5" t="inlineStr"/>
      <c r="W738" s="5" t="inlineStr"/>
      <c r="X738" s="5" t="inlineStr"/>
      <c r="Y738" s="5" t="inlineStr"/>
      <c r="Z738" s="6" t="inlineStr"/>
    </row>
    <row r="739">
      <c r="A739" s="5" t="inlineStr">
        <is>
          <t>b7-ev-esyasi</t>
        </is>
      </c>
      <c r="B739" s="5" t="n">
        <v>1</v>
      </c>
      <c r="C739" s="6" t="inlineStr">
        <is>
          <t>Eşinin seçtiğini al</t>
        </is>
      </c>
      <c r="D739" s="5" t="inlineStr"/>
      <c r="E739" s="5" t="inlineStr"/>
      <c r="F739" s="5" t="inlineStr">
        <is>
          <t>Vicdan +1</t>
        </is>
      </c>
      <c r="G739" s="6" t="inlineStr">
        <is>
          <t>Eşinin seçtiği koltuk geldi. Çok güzel. Sadece sen oturunca 'gıcırt' diyor.</t>
        </is>
      </c>
      <c r="H739" s="6" t="inlineStr"/>
      <c r="I739" s="6" t="inlineStr"/>
      <c r="J739" s="6" t="inlineStr"/>
      <c r="K739" s="6" t="inlineStr"/>
      <c r="L739" s="6" t="inlineStr"/>
      <c r="M739" s="5" t="inlineStr"/>
      <c r="N739" s="5" t="inlineStr"/>
      <c r="O739" s="6" t="inlineStr"/>
      <c r="P739" s="6" t="inlineStr"/>
      <c r="Q739" s="5" t="inlineStr"/>
      <c r="R739" s="5" t="inlineStr"/>
      <c r="S739" s="5" t="inlineStr"/>
      <c r="T739" s="5" t="inlineStr"/>
      <c r="U739" s="5" t="inlineStr"/>
      <c r="V739" s="5" t="inlineStr"/>
      <c r="W739" s="5" t="inlineStr"/>
      <c r="X739" s="5" t="inlineStr"/>
      <c r="Y739" s="5" t="inlineStr"/>
      <c r="Z739" s="6" t="inlineStr"/>
    </row>
    <row r="740">
      <c r="A740" s="5" t="inlineStr">
        <is>
          <t>b7-ev-esyasi</t>
        </is>
      </c>
      <c r="B740" s="5" t="n">
        <v>2</v>
      </c>
      <c r="C740" s="6" t="inlineStr">
        <is>
          <t>Kendi favorini savun</t>
        </is>
      </c>
      <c r="D740" s="5" t="inlineStr">
        <is>
          <t>Çene</t>
        </is>
      </c>
      <c r="E740" s="5" t="inlineStr">
        <is>
          <t>Orta</t>
        </is>
      </c>
      <c r="F740" s="5" t="inlineStr"/>
      <c r="G740" s="6" t="inlineStr"/>
      <c r="H740" s="6" t="inlineStr">
        <is>
          <t>Koltuğun kazandı. Eşin ilk hafta ona oturmadı. İkinci hafta hep o oturdu.</t>
        </is>
      </c>
      <c r="I740" s="6" t="inlineStr">
        <is>
          <t>Öyle güzel savundun ki satış danışmanı kendi evi için de aynısını aldı. Komisyonu kendine ödedi.</t>
        </is>
      </c>
      <c r="J740" s="6" t="inlineStr">
        <is>
          <t>Tartışma üçüncü saate girdi. Mağaza kapandı. Karar ertelendi.</t>
        </is>
      </c>
      <c r="K740" s="6" t="inlineStr">
        <is>
          <t>İkiniz de fikir değiştirdiniz. Aynı anda. Diğerinin eski fikrine. Koltuk yerine yeni bir kavga alındı.</t>
        </is>
      </c>
      <c r="L740" s="6" t="inlineStr"/>
      <c r="M740" s="5" t="inlineStr"/>
      <c r="N740" s="5" t="inlineStr"/>
      <c r="O740" s="6" t="inlineStr"/>
      <c r="P740" s="6" t="inlineStr"/>
      <c r="Q740" s="5" t="inlineStr"/>
      <c r="R740" s="5" t="inlineStr"/>
      <c r="S740" s="5" t="inlineStr"/>
      <c r="T740" s="5" t="inlineStr"/>
      <c r="U740" s="5" t="inlineStr"/>
      <c r="V740" s="5" t="inlineStr"/>
      <c r="W740" s="5" t="inlineStr"/>
      <c r="X740" s="5" t="inlineStr"/>
      <c r="Y740" s="5" t="inlineStr"/>
      <c r="Z740" s="6" t="inlineStr"/>
    </row>
    <row r="741">
      <c r="A741" s="5" t="inlineStr">
        <is>
          <t>b7-ev-esyasi</t>
        </is>
      </c>
      <c r="B741" s="5" t="n">
        <v>3</v>
      </c>
      <c r="C741" s="6" t="inlineStr">
        <is>
          <t>Satış danışmanını hakem yap</t>
        </is>
      </c>
      <c r="D741" s="5" t="inlineStr">
        <is>
          <t>Kurnazlık</t>
        </is>
      </c>
      <c r="E741" s="5" t="inlineStr">
        <is>
          <t>Kolay</t>
        </is>
      </c>
      <c r="F741" s="5" t="inlineStr"/>
      <c r="G741" s="6" t="inlineStr"/>
      <c r="H741" s="6" t="inlineStr">
        <is>
          <t>Danışman senin koltuğu seçti. Eşin danışmana küstü. Koltuk eve geldi.</t>
        </is>
      </c>
      <c r="I741" s="6" t="inlineStr">
        <is>
          <t>Danışman ikinize de indirim yaptı ve üçüncü bir koltuk önerdi. İkiniz de onu sevdiniz. Barış sağlandı.</t>
        </is>
      </c>
      <c r="J741" s="6" t="inlineStr">
        <is>
          <t>Danışman 'İkisi de güzel' dedi. Profesyonellik sizi mahvetti.</t>
        </is>
      </c>
      <c r="K741" s="6" t="inlineStr">
        <is>
          <t>Danışman öyle bir tarafsız cevap verdi ki ikiniz de ona kızdınız. Mağaza artık sizi tanıyor, ama iyi anlamda değil.</t>
        </is>
      </c>
      <c r="L741" s="6" t="inlineStr"/>
      <c r="M741" s="5" t="inlineStr"/>
      <c r="N741" s="5" t="inlineStr"/>
      <c r="O741" s="6" t="inlineStr"/>
      <c r="P741" s="6" t="inlineStr"/>
      <c r="Q741" s="5" t="inlineStr"/>
      <c r="R741" s="5" t="inlineStr"/>
      <c r="S741" s="5" t="inlineStr"/>
      <c r="T741" s="5" t="inlineStr"/>
      <c r="U741" s="5" t="inlineStr"/>
      <c r="V741" s="5" t="inlineStr"/>
      <c r="W741" s="5" t="inlineStr"/>
      <c r="X741" s="5" t="inlineStr"/>
      <c r="Y741" s="5" t="inlineStr"/>
      <c r="Z741" s="6" t="inlineStr"/>
    </row>
    <row r="742">
      <c r="A742" s="5" t="inlineStr">
        <is>
          <t>mb-yillik-izin</t>
        </is>
      </c>
      <c r="B742" s="5" t="n">
        <v>1</v>
      </c>
      <c r="C742" s="6" t="inlineStr">
        <is>
          <t>Kasımda izin al</t>
        </is>
      </c>
      <c r="D742" s="5" t="inlineStr"/>
      <c r="E742" s="5" t="inlineStr"/>
      <c r="F742" s="5" t="inlineStr">
        <is>
          <t>Dayanıklılık +1</t>
        </is>
      </c>
      <c r="G742" s="6" t="inlineStr">
        <is>
          <t>Herkes çalışırken tatile çıktın. Otel boştu, deniz soğuktu, ruhun ısındı.</t>
        </is>
      </c>
      <c r="H742" s="6" t="inlineStr"/>
      <c r="I742" s="6" t="inlineStr"/>
      <c r="J742" s="6" t="inlineStr"/>
      <c r="K742" s="6" t="inlineStr"/>
      <c r="L742" s="6" t="inlineStr"/>
      <c r="M742" s="5" t="inlineStr"/>
      <c r="N742" s="5" t="inlineStr"/>
      <c r="O742" s="6" t="inlineStr"/>
      <c r="P742" s="6" t="inlineStr"/>
      <c r="Q742" s="5" t="inlineStr"/>
      <c r="R742" s="5" t="inlineStr"/>
      <c r="S742" s="5" t="inlineStr"/>
      <c r="T742" s="5" t="inlineStr"/>
      <c r="U742" s="5" t="inlineStr"/>
      <c r="V742" s="5" t="inlineStr"/>
      <c r="W742" s="5" t="inlineStr"/>
      <c r="X742" s="5" t="inlineStr"/>
      <c r="Y742" s="5" t="inlineStr"/>
      <c r="Z742" s="6" t="inlineStr"/>
    </row>
    <row r="743">
      <c r="A743" s="5" t="inlineStr">
        <is>
          <t>mb-yillik-izin</t>
        </is>
      </c>
      <c r="B743" s="5" t="n">
        <v>2</v>
      </c>
      <c r="C743" s="6" t="inlineStr">
        <is>
          <t>Gece yarısı tekrar dene</t>
        </is>
      </c>
      <c r="D743" s="5" t="inlineStr">
        <is>
          <t>Kurnazlık</t>
        </is>
      </c>
      <c r="E743" s="5" t="inlineStr">
        <is>
          <t>Orta</t>
        </is>
      </c>
      <c r="F743" s="5" t="inlineStr"/>
      <c r="G743" s="6" t="inlineStr"/>
      <c r="H743" s="6" t="inlineStr">
        <is>
          <t>Sistem gece 00.03'te açıldı, sen 00.03'teydin. İzin onaylandı.</t>
        </is>
      </c>
      <c r="I743" s="6" t="inlineStr">
        <is>
          <t>Hem bayram köprüsünü hem ardından bir haftayı kaptın. Ekip bunu yıllarca konuştu.</t>
        </is>
      </c>
      <c r="J743" s="6" t="inlineStr">
        <is>
          <t>Sistem açıldı; ekipten biri 00.02'de girmiş. Kim olduğu hâlâ bilinmiyor.</t>
        </is>
      </c>
      <c r="K743" s="6" t="inlineStr">
        <is>
          <t>Gece yarısı başvurdun; ertesi yılın tarihini seçmişsin. Onaylandı.</t>
        </is>
      </c>
      <c r="L743" s="6" t="inlineStr"/>
      <c r="M743" s="5" t="inlineStr"/>
      <c r="N743" s="5" t="inlineStr"/>
      <c r="O743" s="6" t="inlineStr"/>
      <c r="P743" s="6" t="inlineStr"/>
      <c r="Q743" s="5" t="inlineStr"/>
      <c r="R743" s="5" t="inlineStr"/>
      <c r="S743" s="5" t="inlineStr"/>
      <c r="T743" s="5" t="inlineStr"/>
      <c r="U743" s="5" t="inlineStr"/>
      <c r="V743" s="5" t="inlineStr"/>
      <c r="W743" s="5" t="inlineStr"/>
      <c r="X743" s="5" t="inlineStr"/>
      <c r="Y743" s="5" t="inlineStr"/>
      <c r="Z743" s="6" t="inlineStr"/>
    </row>
    <row r="744">
      <c r="A744" s="5" t="inlineStr">
        <is>
          <t>mb-yillik-izin</t>
        </is>
      </c>
      <c r="B744" s="5" t="n">
        <v>3</v>
      </c>
      <c r="C744" s="6" t="inlineStr">
        <is>
          <t>Yöneticinin izin tarihini öğren, aynısını al</t>
        </is>
      </c>
      <c r="D744" s="5" t="inlineStr">
        <is>
          <t>Sosyal Radar</t>
        </is>
      </c>
      <c r="E744" s="5" t="inlineStr">
        <is>
          <t>Kolay</t>
        </is>
      </c>
      <c r="F744" s="5" t="inlineStr"/>
      <c r="G744" s="6" t="inlineStr"/>
      <c r="H744" s="6" t="inlineStr">
        <is>
          <t>Yöneticin yokken sen de yoksun. Kimse fark etmedi; buna kurumsal senkron denir.</t>
        </is>
      </c>
      <c r="I744" s="6" t="inlineStr">
        <is>
          <t>Yöneticinle aynı tarihleri aldın, aynı otele düştünüz. Terfi sohbetin şezlongda yapıldı.</t>
        </is>
      </c>
      <c r="J744" s="6" t="inlineStr">
        <is>
          <t>Yöneticin son anda iptal etti. Sen gittin. Her gün seni aradı.</t>
        </is>
      </c>
      <c r="K744" s="6" t="inlineStr">
        <is>
          <t>Yöneticinle aynı tarihleri aldın; ikiniz yokken bütün iş sana devredilmiş. Sahilden çalıştın.</t>
        </is>
      </c>
      <c r="L744" s="6" t="inlineStr"/>
      <c r="M744" s="5" t="inlineStr"/>
      <c r="N744" s="5" t="inlineStr"/>
      <c r="O744" s="6" t="inlineStr"/>
      <c r="P744" s="6" t="inlineStr"/>
      <c r="Q744" s="5" t="inlineStr"/>
      <c r="R744" s="5" t="inlineStr"/>
      <c r="S744" s="5" t="inlineStr">
        <is>
          <t>Sosyal Radar</t>
        </is>
      </c>
      <c r="T744" s="5" t="inlineStr"/>
      <c r="U744" s="5" t="inlineStr"/>
      <c r="V744" s="5" t="inlineStr"/>
      <c r="W744" s="5" t="inlineStr"/>
      <c r="X744" s="5" t="inlineStr"/>
      <c r="Y744" s="5" t="inlineStr"/>
      <c r="Z744" s="6" t="inlineStr"/>
    </row>
    <row r="745">
      <c r="A745" s="5" t="inlineStr">
        <is>
          <t>mb-yillik-izin</t>
        </is>
      </c>
      <c r="B745" s="5" t="n">
        <v>4</v>
      </c>
      <c r="C745" s="6" t="inlineStr">
        <is>
          <t>'Okul tatili' gerekçesini sun</t>
        </is>
      </c>
      <c r="D745" s="5" t="inlineStr">
        <is>
          <t>Çene</t>
        </is>
      </c>
      <c r="E745" s="5" t="inlineStr">
        <is>
          <t>Kolay</t>
        </is>
      </c>
      <c r="F745" s="5" t="inlineStr"/>
      <c r="G745" s="6" t="inlineStr"/>
      <c r="H745" s="6" t="inlineStr">
        <is>
          <t>'Okul tatili' dedin. Kimse itiraz edemedi. Çocuk da bilmiyordu bu tatili.</t>
        </is>
      </c>
      <c r="I745" s="6" t="inlineStr">
        <is>
          <t>Gerekçen o kadar sağlamdı ki sistem çocuklu çalışanlara öncelik kuralı getirdi.</t>
        </is>
      </c>
      <c r="J745" s="6" t="inlineStr">
        <is>
          <t>Ekipteki herkesin çocuğu varmış. Kura çekildi.</t>
        </is>
      </c>
      <c r="K745" s="6" t="inlineStr">
        <is>
          <t>İzni aldın; tatilde çocuk bütün gün 'İşe ne zaman döneceksin?' diye sordu.</t>
        </is>
      </c>
      <c r="L745" s="6" t="inlineStr"/>
      <c r="M745" s="5" t="inlineStr"/>
      <c r="N745" s="5" t="inlineStr"/>
      <c r="O745" s="6" t="inlineStr"/>
      <c r="P745" s="6" t="inlineStr"/>
      <c r="Q745" s="5" t="inlineStr"/>
      <c r="R745" s="5" t="inlineStr">
        <is>
          <t>cocuklu</t>
        </is>
      </c>
      <c r="S745" s="5" t="inlineStr"/>
      <c r="T745" s="5" t="inlineStr"/>
      <c r="U745" s="5" t="inlineStr"/>
      <c r="V745" s="5" t="inlineStr"/>
      <c r="W745" s="5" t="inlineStr"/>
      <c r="X745" s="5" t="inlineStr"/>
      <c r="Y745" s="5" t="inlineStr"/>
      <c r="Z745" s="6" t="inlineStr"/>
    </row>
    <row r="746">
      <c r="A746" s="5" t="inlineStr">
        <is>
          <t>mb-yillik-izin</t>
        </is>
      </c>
      <c r="B746" s="5" t="n">
        <v>5</v>
      </c>
      <c r="C746" s="6" t="inlineStr">
        <is>
          <t>Yöneticiyle yüz yüze pazarlık et</t>
        </is>
      </c>
      <c r="D746" s="5" t="inlineStr">
        <is>
          <t>Çene</t>
        </is>
      </c>
      <c r="E746" s="5" t="inlineStr">
        <is>
          <t>Orta</t>
        </is>
      </c>
      <c r="F746" s="5" t="inlineStr"/>
      <c r="G746" s="6" t="inlineStr"/>
      <c r="H746" s="6" t="inlineStr">
        <is>
          <t>Beş gün istedin, dört gün aldın. İstediğin zaten dört gündü.</t>
        </is>
      </c>
      <c r="I746" s="6" t="inlineStr">
        <is>
          <t>İzni aldın, üstüne yöneticin 'Bu arada telefona da bakma' dedi. Kayda geçti.</t>
        </is>
      </c>
      <c r="J746" s="6" t="inlineStr">
        <is>
          <t>Pazarlık ettin; iznin 'takvim uygunsa' onaylandı. Takvim hiç uygun olmadı.</t>
        </is>
      </c>
      <c r="K746" s="6" t="inlineStr">
        <is>
          <t>Pazarlık uzadı. İzin başvurusu yerine yıllık hedeflerin görüşüldü. Hedefler arttı.</t>
        </is>
      </c>
      <c r="L746" s="6" t="inlineStr"/>
      <c r="M746" s="5" t="inlineStr"/>
      <c r="N746" s="5" t="inlineStr"/>
      <c r="O746" s="6" t="inlineStr"/>
      <c r="P746" s="6" t="inlineStr"/>
      <c r="Q746" s="5" t="inlineStr">
        <is>
          <t>Sözünü Geçirir</t>
        </is>
      </c>
      <c r="R746" s="5" t="inlineStr"/>
      <c r="S746" s="5" t="inlineStr"/>
      <c r="T746" s="5" t="inlineStr"/>
      <c r="U746" s="5" t="inlineStr"/>
      <c r="V746" s="5" t="inlineStr"/>
      <c r="W746" s="5" t="inlineStr"/>
      <c r="X746" s="5" t="inlineStr"/>
      <c r="Y746" s="5" t="inlineStr"/>
      <c r="Z746" s="6" t="inlineStr"/>
    </row>
    <row r="747">
      <c r="A747" s="5" t="inlineStr">
        <is>
          <t>me-cirak</t>
        </is>
      </c>
      <c r="B747" s="5" t="n">
        <v>1</v>
      </c>
      <c r="C747" s="6" t="inlineStr">
        <is>
          <t>Deneme süresi ver</t>
        </is>
      </c>
      <c r="D747" s="5" t="inlineStr"/>
      <c r="E747" s="5" t="inlineStr"/>
      <c r="F747" s="5" t="inlineStr">
        <is>
          <t>Akıl +1, Kurnazlık +1</t>
        </is>
      </c>
      <c r="G747" s="6" t="inlineStr">
        <is>
          <t>Üç aylık deneme verdin. Çırak da seni üç ay denedi. İkiniz de geçtiniz.</t>
        </is>
      </c>
      <c r="H747" s="6" t="inlineStr"/>
      <c r="I747" s="6" t="inlineStr"/>
      <c r="J747" s="6" t="inlineStr"/>
      <c r="K747" s="6" t="inlineStr"/>
      <c r="L747" s="6" t="inlineStr"/>
      <c r="M747" s="5" t="inlineStr"/>
      <c r="N747" s="5" t="inlineStr"/>
      <c r="O747" s="6" t="inlineStr"/>
      <c r="P747" s="6" t="inlineStr"/>
      <c r="Q747" s="5" t="inlineStr"/>
      <c r="R747" s="5" t="inlineStr"/>
      <c r="S747" s="5" t="inlineStr"/>
      <c r="T747" s="5" t="inlineStr"/>
      <c r="U747" s="5" t="inlineStr">
        <is>
          <t>esnaf-cirak</t>
        </is>
      </c>
      <c r="V747" s="5" t="inlineStr"/>
      <c r="W747" s="5" t="inlineStr"/>
      <c r="X747" s="5" t="inlineStr"/>
      <c r="Y747" s="5" t="inlineStr"/>
      <c r="Z747" s="6" t="inlineStr"/>
    </row>
    <row r="748">
      <c r="A748" s="5" t="inlineStr">
        <is>
          <t>me-cirak</t>
        </is>
      </c>
      <c r="B748" s="5" t="n">
        <v>2</v>
      </c>
      <c r="C748" s="6" t="inlineStr">
        <is>
          <t>İşe al, her şeyi öğret</t>
        </is>
      </c>
      <c r="D748" s="5" t="inlineStr">
        <is>
          <t>Vicdan</t>
        </is>
      </c>
      <c r="E748" s="5" t="inlineStr">
        <is>
          <t>Orta</t>
        </is>
      </c>
      <c r="F748" s="5" t="inlineStr"/>
      <c r="G748" s="6" t="inlineStr"/>
      <c r="H748" s="6" t="inlineStr">
        <is>
          <t>Kasayı, defteri ve müşteri sabrını öğrettin. Üçüncüsü en uzun sürdü.</t>
        </is>
      </c>
      <c r="I748" s="6" t="inlineStr">
        <is>
          <t>Çırak altı ayda işi kaptı, bir yılda sana bir şeyler öğretmeye başladı. Mesela telefonunun ayarlarını.</t>
        </is>
      </c>
      <c r="J748" s="6" t="inlineStr">
        <is>
          <t>Öğrettin, öğrettin. Bir ay sonra 'Kendi işimi kuracağım' dedi ve karşı sokakta kurdu.</t>
        </is>
      </c>
      <c r="K748" s="6" t="inlineStr">
        <is>
          <t>Her şeyi öğrettin; karşı dükkânda işe başladı. Rakibin artık senin ticari sırlarınla çalışıyor.</t>
        </is>
      </c>
      <c r="L748" s="6" t="inlineStr"/>
      <c r="M748" s="5" t="inlineStr"/>
      <c r="N748" s="5" t="inlineStr"/>
      <c r="O748" s="6" t="inlineStr"/>
      <c r="P748" s="6" t="inlineStr"/>
      <c r="Q748" s="5" t="inlineStr"/>
      <c r="R748" s="5" t="inlineStr"/>
      <c r="S748" s="5" t="inlineStr"/>
      <c r="T748" s="5" t="inlineStr"/>
      <c r="U748" s="5" t="inlineStr"/>
      <c r="V748" s="5" t="inlineStr">
        <is>
          <t>esnaf-cirak</t>
        </is>
      </c>
      <c r="W748" s="5" t="inlineStr"/>
      <c r="X748" s="5" t="inlineStr"/>
      <c r="Y748" s="5" t="inlineStr"/>
      <c r="Z748" s="6" t="inlineStr"/>
    </row>
    <row r="749">
      <c r="A749" s="5" t="inlineStr">
        <is>
          <t>me-cirak</t>
        </is>
      </c>
      <c r="B749" s="5" t="n">
        <v>3</v>
      </c>
      <c r="C749" s="6" t="inlineStr">
        <is>
          <t>'Etiketleri sen de gördün, değil mi?' de</t>
        </is>
      </c>
      <c r="D749" s="5" t="inlineStr">
        <is>
          <t>Sosyal Radar</t>
        </is>
      </c>
      <c r="E749" s="5" t="inlineStr">
        <is>
          <t>Kolay</t>
        </is>
      </c>
      <c r="F749" s="5" t="inlineStr"/>
      <c r="G749" s="6" t="inlineStr"/>
      <c r="H749" s="6" t="inlineStr">
        <is>
          <t>Çırağı etiket sorumlusu yaptın. Dükkânın fiyatları ilk kez birbiriyle tutarlı.</t>
        </is>
      </c>
      <c r="I749" s="6" t="inlineStr">
        <is>
          <t>Çırak vitrini, stoku ve etiketleri baştan düzenledi. Ciro arttı, senin gözlük ihtiyacın azaldı.</t>
        </is>
      </c>
      <c r="J749" s="6" t="inlineStr">
        <is>
          <t>'Hangi etiketler?' dedi. Radar bu sefer kör uçtu.</t>
        </is>
      </c>
      <c r="K749" s="6" t="inlineStr">
        <is>
          <t>Çırak etiketleri düzeltti; ters yöne. Bir hafta boyunca en ucuz ürün, en pahalı üründü.</t>
        </is>
      </c>
      <c r="L749" s="6" t="inlineStr"/>
      <c r="M749" s="5" t="inlineStr"/>
      <c r="N749" s="5" t="inlineStr"/>
      <c r="O749" s="6" t="inlineStr"/>
      <c r="P749" s="6" t="inlineStr"/>
      <c r="Q749" s="5" t="inlineStr"/>
      <c r="R749" s="5" t="inlineStr"/>
      <c r="S749" s="5" t="inlineStr">
        <is>
          <t>Sosyal Radar</t>
        </is>
      </c>
      <c r="T749" s="5" t="inlineStr"/>
      <c r="U749" s="5" t="inlineStr"/>
      <c r="V749" s="5" t="inlineStr">
        <is>
          <t>esnaf-cirak</t>
        </is>
      </c>
      <c r="W749" s="5" t="inlineStr"/>
      <c r="X749" s="5" t="inlineStr"/>
      <c r="Y749" s="5" t="inlineStr"/>
      <c r="Z749" s="6" t="inlineStr"/>
    </row>
    <row r="750">
      <c r="A750" s="5" t="inlineStr">
        <is>
          <t>me-cirak</t>
        </is>
      </c>
      <c r="B750" s="5" t="n">
        <v>4</v>
      </c>
      <c r="C750" s="6" t="inlineStr">
        <is>
          <t>'Kendim yeterim' de</t>
        </is>
      </c>
      <c r="D750" s="5" t="inlineStr"/>
      <c r="E750" s="5" t="inlineStr"/>
      <c r="F750" s="5" t="inlineStr">
        <is>
          <t>Dayanıklılık +2</t>
        </is>
      </c>
      <c r="G750" s="6" t="inlineStr">
        <is>
          <t>Tek başına devam ettin. Dükkânda bir kişilik yer var; o yer de hep senin.</t>
        </is>
      </c>
      <c r="H750" s="6" t="inlineStr"/>
      <c r="I750" s="6" t="inlineStr"/>
      <c r="J750" s="6" t="inlineStr"/>
      <c r="K750" s="6" t="inlineStr"/>
      <c r="L750" s="6" t="inlineStr"/>
      <c r="M750" s="5" t="inlineStr"/>
      <c r="N750" s="5" t="inlineStr"/>
      <c r="O750" s="6" t="inlineStr"/>
      <c r="P750" s="6" t="inlineStr"/>
      <c r="Q750" s="5" t="inlineStr"/>
      <c r="R750" s="5" t="inlineStr"/>
      <c r="S750" s="5" t="inlineStr"/>
      <c r="T750" s="5" t="inlineStr"/>
      <c r="U750" s="5" t="inlineStr"/>
      <c r="V750" s="5" t="inlineStr"/>
      <c r="W750" s="5" t="inlineStr"/>
      <c r="X750" s="5" t="inlineStr"/>
      <c r="Y750" s="5" t="inlineStr"/>
      <c r="Z750" s="6" t="inlineStr"/>
    </row>
    <row r="751">
      <c r="A751" s="5" t="inlineStr">
        <is>
          <t>b7-ev-kredisi</t>
        </is>
      </c>
      <c r="B751" s="5" t="n">
        <v>1</v>
      </c>
      <c r="C751" s="6" t="inlineStr">
        <is>
          <t>Vazgeç, kiracı kal</t>
        </is>
      </c>
      <c r="D751" s="5" t="inlineStr"/>
      <c r="E751" s="5" t="inlineStr"/>
      <c r="F751" s="5" t="inlineStr">
        <is>
          <t>Akıl +1</t>
        </is>
      </c>
      <c r="G751" s="6" t="inlineStr">
        <is>
          <t>Krediden vazgeçtin. Kira sözleşmesi yenilendi. Özgürlüğün yıllık yüzde otuz artışla devam ediyor.</t>
        </is>
      </c>
      <c r="H751" s="6" t="inlineStr"/>
      <c r="I751" s="6" t="inlineStr"/>
      <c r="J751" s="6" t="inlineStr"/>
      <c r="K751" s="6" t="inlineStr"/>
      <c r="L751" s="6" t="inlineStr"/>
      <c r="M751" s="5" t="inlineStr"/>
      <c r="N751" s="5" t="inlineStr"/>
      <c r="O751" s="6" t="inlineStr"/>
      <c r="P751" s="6" t="inlineStr"/>
      <c r="Q751" s="5" t="inlineStr"/>
      <c r="R751" s="5" t="inlineStr"/>
      <c r="S751" s="5" t="inlineStr"/>
      <c r="T751" s="5" t="inlineStr"/>
      <c r="U751" s="5" t="inlineStr"/>
      <c r="V751" s="5" t="inlineStr"/>
      <c r="W751" s="5" t="inlineStr"/>
      <c r="X751" s="5" t="inlineStr"/>
      <c r="Y751" s="5" t="inlineStr"/>
      <c r="Z751" s="6" t="inlineStr"/>
    </row>
    <row r="752">
      <c r="A752" s="5" t="inlineStr">
        <is>
          <t>b7-ev-kredisi</t>
        </is>
      </c>
      <c r="B752" s="5" t="n">
        <v>2</v>
      </c>
      <c r="C752" s="6" t="inlineStr">
        <is>
          <t>Evi satıcıyla pazarlık ederek al</t>
        </is>
      </c>
      <c r="D752" s="5" t="inlineStr">
        <is>
          <t>Çene</t>
        </is>
      </c>
      <c r="E752" s="5" t="inlineStr">
        <is>
          <t>Zor</t>
        </is>
      </c>
      <c r="F752" s="5" t="inlineStr"/>
      <c r="G752" s="6" t="inlineStr"/>
      <c r="H752" s="6" t="inlineStr">
        <is>
          <t>Fiyatı indirdin, krediyi aldın, anahtarı teslim aldın. Artık bir evin var ve yirmi yıllık bir planın.</t>
        </is>
      </c>
      <c r="I752" s="6" t="inlineStr">
        <is>
          <t>Pazarlık o kadar iyi gitti ki satıcı perdeleri ve bir koltuğu da bıraktı. Koltuk kötü ama ücretsiz.</t>
        </is>
      </c>
      <c r="J752" s="6" t="inlineStr">
        <is>
          <t>Satıcı rakamda direndi. Anlaşma olmadı. Sen de o fiyatla komşu bir ev ilanı açtın, sadece bakmak için.</t>
        </is>
      </c>
      <c r="K752" s="6" t="inlineStr">
        <is>
          <t>Pazarlık sırasında satıcı başka bir alıcıya 'Evet' dedi. Evin fotoğrafları hâlâ telefonunda.</t>
        </is>
      </c>
      <c r="L752" s="6" t="inlineStr">
        <is>
          <t>Fiyatı biraz indirdin. Kredi onaylandı, vade bir yıl uzadı. Ev senin; biraz da bankanın.</t>
        </is>
      </c>
      <c r="M752" s="5" t="inlineStr">
        <is>
          <t>bargain</t>
        </is>
      </c>
      <c r="N752" s="5" t="inlineStr">
        <is>
          <t>Ev Pazarlığı</t>
        </is>
      </c>
      <c r="O752" s="6" t="inlineStr">
        <is>
          <t>Satıcının sabrı bitmeden fiyatı aşağı çek. Çok sıkıştırırsan masadan kalkar.</t>
        </is>
      </c>
      <c r="P752" s="6" t="inlineStr">
        <is>
          <t>{"item": "ev", "mode": "buy"}</t>
        </is>
      </c>
      <c r="Q752" s="5" t="inlineStr"/>
      <c r="R752" s="5" t="inlineStr"/>
      <c r="S752" s="5" t="inlineStr"/>
      <c r="T752" s="5" t="inlineStr"/>
      <c r="U752" s="5" t="inlineStr"/>
      <c r="V752" s="5" t="inlineStr">
        <is>
          <t>ev-sahibi</t>
        </is>
      </c>
      <c r="W752" s="5" t="inlineStr"/>
      <c r="X752" s="5" t="inlineStr"/>
      <c r="Y752" s="5" t="inlineStr"/>
      <c r="Z752" s="6" t="inlineStr"/>
    </row>
    <row r="753">
      <c r="A753" s="5" t="inlineStr">
        <is>
          <t>b7-ev-kredisi</t>
        </is>
      </c>
      <c r="B753" s="5" t="n">
        <v>3</v>
      </c>
      <c r="C753" s="6" t="inlineStr">
        <is>
          <t>Faiz tablosunu kendin kontrol et</t>
        </is>
      </c>
      <c r="D753" s="5" t="inlineStr">
        <is>
          <t>Akıl</t>
        </is>
      </c>
      <c r="E753" s="5" t="inlineStr">
        <is>
          <t>Orta</t>
        </is>
      </c>
      <c r="F753" s="5" t="inlineStr"/>
      <c r="G753" s="6" t="inlineStr"/>
      <c r="H753" s="6" t="inlineStr">
        <is>
          <t>Tabloda gizli bir masraf buldun. Kaldırıldı. Temsilci 'Bunu kimse fark etmez' dedi.</t>
        </is>
      </c>
      <c r="I753" s="6" t="inlineStr">
        <is>
          <t>Tabloyu öyle iyi inceledin ki temsilci daha düşük bir faiz teklif etti. Ev senin, faiz sabit, gurur tavan.</t>
        </is>
      </c>
      <c r="J753" s="6" t="inlineStr">
        <is>
          <t>Tabloyu inceledin. Hiçbir şey anlamadın ama inceledin.</t>
        </is>
      </c>
      <c r="K753" s="6" t="inlineStr">
        <is>
          <t>Tabloyu incelerken kendi hesabında da bir 'küçük hata' buldun. Senin aleyhine.</t>
        </is>
      </c>
      <c r="L753" s="6" t="inlineStr"/>
      <c r="M753" s="5" t="inlineStr"/>
      <c r="N753" s="5" t="inlineStr"/>
      <c r="O753" s="6" t="inlineStr"/>
      <c r="P753" s="6" t="inlineStr"/>
      <c r="Q753" s="5" t="inlineStr">
        <is>
          <t>Tablo Ustası</t>
        </is>
      </c>
      <c r="R753" s="5" t="inlineStr"/>
      <c r="S753" s="5" t="inlineStr"/>
      <c r="T753" s="5" t="inlineStr"/>
      <c r="U753" s="5" t="inlineStr"/>
      <c r="V753" s="5" t="inlineStr">
        <is>
          <t>ev-sahibi</t>
        </is>
      </c>
      <c r="W753" s="5" t="inlineStr"/>
      <c r="X753" s="5" t="inlineStr"/>
      <c r="Y753" s="5" t="inlineStr"/>
      <c r="Z753" s="6" t="inlineStr"/>
    </row>
    <row r="754">
      <c r="A754" s="5" t="inlineStr">
        <is>
          <t>b7-ev-kredisi</t>
        </is>
      </c>
      <c r="B754" s="5" t="n">
        <v>4</v>
      </c>
      <c r="C754" s="6" t="inlineStr">
        <is>
          <t>Temsilciye 'Başka bankalar daha iyi teklif verdi' de</t>
        </is>
      </c>
      <c r="D754" s="5" t="inlineStr">
        <is>
          <t>Kurnazlık</t>
        </is>
      </c>
      <c r="E754" s="5" t="inlineStr">
        <is>
          <t>Orta</t>
        </is>
      </c>
      <c r="F754" s="5" t="inlineStr"/>
      <c r="G754" s="6" t="inlineStr"/>
      <c r="H754" s="6" t="inlineStr">
        <is>
          <t>Temsilci 'Bir dakika' deyip müdürü aradı. Yeni teklif geldi. Ev senin.</t>
        </is>
      </c>
      <c r="I754" s="6" t="inlineStr">
        <is>
          <t>Blöfün öyle iyiydi ki temsilci dosya masrafını da kaldırdı. Başka banka tabii ki yoktu.</t>
        </is>
      </c>
      <c r="J754" s="6" t="inlineStr">
        <is>
          <t>Temsilci 'O zaman onlarla çalışın' dedi. Konuşma kısa sürdü.</t>
        </is>
      </c>
      <c r="K754" s="6" t="inlineStr">
        <is>
          <t>Temsilci 'Hangi banka?' diye sordu. Aklına gelen isim, oturduğun bankanın kendisiydi.</t>
        </is>
      </c>
      <c r="L754" s="6" t="inlineStr"/>
      <c r="M754" s="5" t="inlineStr"/>
      <c r="N754" s="5" t="inlineStr"/>
      <c r="O754" s="6" t="inlineStr"/>
      <c r="P754" s="6" t="inlineStr"/>
      <c r="Q754" s="5" t="inlineStr"/>
      <c r="R754" s="5" t="inlineStr"/>
      <c r="S754" s="5" t="inlineStr">
        <is>
          <t>Kurnazlık</t>
        </is>
      </c>
      <c r="T754" s="5" t="inlineStr"/>
      <c r="U754" s="5" t="inlineStr"/>
      <c r="V754" s="5" t="inlineStr">
        <is>
          <t>ev-sahibi</t>
        </is>
      </c>
      <c r="W754" s="5" t="inlineStr"/>
      <c r="X754" s="5" t="inlineStr"/>
      <c r="Y754" s="5" t="inlineStr"/>
      <c r="Z754" s="6" t="inlineStr"/>
    </row>
    <row r="755">
      <c r="A755" s="5" t="inlineStr">
        <is>
          <t>b7-kres-kaydi</t>
        </is>
      </c>
      <c r="B755" s="5" t="n">
        <v>1</v>
      </c>
      <c r="C755" s="6" t="inlineStr">
        <is>
          <t>Dürüst cevap ver</t>
        </is>
      </c>
      <c r="D755" s="5" t="inlineStr"/>
      <c r="E755" s="5" t="inlineStr"/>
      <c r="F755" s="5" t="inlineStr">
        <is>
          <t>Vicdan +1</t>
        </is>
      </c>
      <c r="G755" s="6" t="inlineStr">
        <is>
          <t>Dürüstçe 'Uyuyamıyor, biz de uyuyamıyoruz' dedin. Müdür bu cevabı çok duymuş. Kayıt yapıldı.</t>
        </is>
      </c>
      <c r="H755" s="6" t="inlineStr"/>
      <c r="I755" s="6" t="inlineStr"/>
      <c r="J755" s="6" t="inlineStr"/>
      <c r="K755" s="6" t="inlineStr"/>
      <c r="L755" s="6" t="inlineStr"/>
      <c r="M755" s="5" t="inlineStr"/>
      <c r="N755" s="5" t="inlineStr"/>
      <c r="O755" s="6" t="inlineStr"/>
      <c r="P755" s="6" t="inlineStr"/>
      <c r="Q755" s="5" t="inlineStr"/>
      <c r="R755" s="5" t="inlineStr"/>
      <c r="S755" s="5" t="inlineStr"/>
      <c r="T755" s="5" t="inlineStr"/>
      <c r="U755" s="5" t="inlineStr"/>
      <c r="V755" s="5" t="inlineStr"/>
      <c r="W755" s="5" t="inlineStr"/>
      <c r="X755" s="5" t="inlineStr"/>
      <c r="Y755" s="5" t="inlineStr"/>
      <c r="Z755" s="6" t="inlineStr"/>
    </row>
    <row r="756">
      <c r="A756" s="5" t="inlineStr">
        <is>
          <t>b7-kres-kaydi</t>
        </is>
      </c>
      <c r="B756" s="5" t="n">
        <v>2</v>
      </c>
      <c r="C756" s="6" t="inlineStr">
        <is>
          <t>Özgeçmiş gibi sun</t>
        </is>
      </c>
      <c r="D756" s="5" t="inlineStr">
        <is>
          <t>Çene</t>
        </is>
      </c>
      <c r="E756" s="5" t="inlineStr">
        <is>
          <t>Orta</t>
        </is>
      </c>
      <c r="F756" s="5" t="inlineStr"/>
      <c r="G756" s="6" t="inlineStr"/>
      <c r="H756" s="6" t="inlineStr">
        <is>
          <t>Çocuğunun becerilerini bir sunum gibi anlattın. Müdür etkilendi. Kontenjan açıldı.</t>
        </is>
      </c>
      <c r="I756" s="6" t="inlineStr">
        <is>
          <t>Sunumun öyle iyiydi ki müdür seni veli temsilcisi yaptı. Görevi kabul etmedin ama görev seni kabul etti.</t>
        </is>
      </c>
      <c r="J756" s="6" t="inlineStr">
        <is>
          <t>Müdür 'Çok etkileyici, bekleme listesine alıyoruz' dedi.</t>
        </is>
      </c>
      <c r="K756" s="6" t="inlineStr">
        <is>
          <t>Sunum sırasında çocuğun müdürün masasına tırmandı ve kalemliği devirdi. Sosyal becerileri canlı sergilendi.</t>
        </is>
      </c>
      <c r="L756" s="6" t="inlineStr"/>
      <c r="M756" s="5" t="inlineStr"/>
      <c r="N756" s="5" t="inlineStr"/>
      <c r="O756" s="6" t="inlineStr"/>
      <c r="P756" s="6" t="inlineStr"/>
      <c r="Q756" s="5" t="inlineStr"/>
      <c r="R756" s="5" t="inlineStr"/>
      <c r="S756" s="5" t="inlineStr"/>
      <c r="T756" s="5" t="inlineStr"/>
      <c r="U756" s="5" t="inlineStr"/>
      <c r="V756" s="5" t="inlineStr"/>
      <c r="W756" s="5" t="inlineStr"/>
      <c r="X756" s="5" t="inlineStr"/>
      <c r="Y756" s="5" t="inlineStr"/>
      <c r="Z756" s="6" t="inlineStr"/>
    </row>
    <row r="757">
      <c r="A757" s="5" t="inlineStr">
        <is>
          <t>b7-kres-kaydi</t>
        </is>
      </c>
      <c r="B757" s="5" t="n">
        <v>3</v>
      </c>
      <c r="C757" s="6" t="inlineStr">
        <is>
          <t>Kreşin güvenlik açıklarını kontrol et</t>
        </is>
      </c>
      <c r="D757" s="5" t="inlineStr">
        <is>
          <t>Sosyal Radar</t>
        </is>
      </c>
      <c r="E757" s="5" t="inlineStr">
        <is>
          <t>Kolay</t>
        </is>
      </c>
      <c r="F757" s="5" t="inlineStr"/>
      <c r="G757" s="6" t="inlineStr"/>
      <c r="H757" s="6" t="inlineStr">
        <is>
          <t>Her şeyi inceledin. Kreş iyi. Sen de iyisin. Sadece biraz fazla soru sordun.</t>
        </is>
      </c>
      <c r="I757" s="6" t="inlineStr">
        <is>
          <t>İncelemen öyle kapsamlıydı ki kreş bir iki şeyi değiştirdi ve sana teşekkür etti.</t>
        </is>
      </c>
      <c r="J757" s="6" t="inlineStr">
        <is>
          <t>Soruların müdürü rahatsız etti. Bekleme listesi uzadı.</t>
        </is>
      </c>
      <c r="K757" s="6" t="inlineStr">
        <is>
          <t>İnceleme sırasında dolaba kilitlendin. Kreşteki çocuklar seni kurtardı. İlk görev tamamlandı.</t>
        </is>
      </c>
      <c r="L757" s="6" t="inlineStr"/>
      <c r="M757" s="5" t="inlineStr"/>
      <c r="N757" s="5" t="inlineStr"/>
      <c r="O757" s="6" t="inlineStr"/>
      <c r="P757" s="6" t="inlineStr"/>
      <c r="Q757" s="5" t="inlineStr"/>
      <c r="R757" s="5" t="inlineStr"/>
      <c r="S757" s="5" t="inlineStr"/>
      <c r="T757" s="5" t="inlineStr"/>
      <c r="U757" s="5" t="inlineStr"/>
      <c r="V757" s="5" t="inlineStr"/>
      <c r="W757" s="5" t="inlineStr"/>
      <c r="X757" s="5" t="inlineStr"/>
      <c r="Y757" s="5" t="inlineStr"/>
      <c r="Z757" s="6" t="inlineStr"/>
    </row>
    <row r="758">
      <c r="A758" s="5" t="inlineStr">
        <is>
          <t>b7-kres-kaydi</t>
        </is>
      </c>
      <c r="B758" s="5" t="n">
        <v>4</v>
      </c>
      <c r="C758" s="6" t="inlineStr">
        <is>
          <t>Üç saat uykuyla sabah yedide ilk sıraya gir</t>
        </is>
      </c>
      <c r="D758" s="5" t="inlineStr">
        <is>
          <t>Dayanıklılık</t>
        </is>
      </c>
      <c r="E758" s="5" t="inlineStr">
        <is>
          <t>Orta</t>
        </is>
      </c>
      <c r="F758" s="5" t="inlineStr"/>
      <c r="G758" s="6" t="inlineStr"/>
      <c r="H758" s="6" t="inlineStr">
        <is>
          <t>Kapı açılınca ilk sen girdin. Kayıt tamam.</t>
        </is>
      </c>
      <c r="I758" s="6" t="inlineStr">
        <is>
          <t>İlk sıraya girdin, kayıt yaptırdın, işe de zamanında yetiştin. Kahraman ebeveyn statüsü tescillendi.</t>
        </is>
      </c>
      <c r="J758" s="6" t="inlineStr">
        <is>
          <t>Sıradaydın ama uyuyakaldın. Arkadaki veli seni nazikçe uyandırdı, sonra önüne geçti.</t>
        </is>
      </c>
      <c r="K758" s="6" t="inlineStr">
        <is>
          <t>Sabahın yedisinde sıraya girdin; yanlış kreşteymişsin. Yine de kayıt oldu. Artık iki kreşin var.</t>
        </is>
      </c>
      <c r="L758" s="6" t="inlineStr"/>
      <c r="M758" s="5" t="inlineStr"/>
      <c r="N758" s="5" t="inlineStr"/>
      <c r="O758" s="6" t="inlineStr"/>
      <c r="P758" s="6" t="inlineStr"/>
      <c r="Q758" s="5" t="inlineStr">
        <is>
          <t>Uykusuz Operasyon</t>
        </is>
      </c>
      <c r="R758" s="5" t="inlineStr"/>
      <c r="S758" s="5" t="inlineStr"/>
      <c r="T758" s="5" t="inlineStr"/>
      <c r="U758" s="5" t="inlineStr"/>
      <c r="V758" s="5" t="inlineStr"/>
      <c r="W758" s="5" t="inlineStr"/>
      <c r="X758" s="5" t="inlineStr"/>
      <c r="Y758" s="5" t="inlineStr"/>
      <c r="Z758" s="6" t="inlineStr"/>
    </row>
    <row r="759">
      <c r="A759" s="5" t="inlineStr">
        <is>
          <t>mm-kayip-dosya</t>
        </is>
      </c>
      <c r="B759" s="5" t="n">
        <v>1</v>
      </c>
      <c r="C759" s="6" t="inlineStr">
        <is>
          <t>Tutanakla 'kayıp' diye kaydet</t>
        </is>
      </c>
      <c r="D759" s="5" t="inlineStr"/>
      <c r="E759" s="5" t="inlineStr"/>
      <c r="F759" s="5" t="inlineStr">
        <is>
          <t>Pişkinlik +1, Dayanıklılık +1</t>
        </is>
      </c>
      <c r="G759" s="6" t="inlineStr">
        <is>
          <t>Dosya artık resmen kayıp. Kayıp olduğunu kanıtlayan tek belge senin masanda duruyor.</t>
        </is>
      </c>
      <c r="H759" s="6" t="inlineStr"/>
      <c r="I759" s="6" t="inlineStr"/>
      <c r="J759" s="6" t="inlineStr"/>
      <c r="K759" s="6" t="inlineStr"/>
      <c r="L759" s="6" t="inlineStr"/>
      <c r="M759" s="5" t="inlineStr"/>
      <c r="N759" s="5" t="inlineStr"/>
      <c r="O759" s="6" t="inlineStr"/>
      <c r="P759" s="6" t="inlineStr"/>
      <c r="Q759" s="5" t="inlineStr"/>
      <c r="R759" s="5" t="inlineStr"/>
      <c r="S759" s="5" t="inlineStr"/>
      <c r="T759" s="5" t="inlineStr"/>
      <c r="U759" s="5" t="inlineStr">
        <is>
          <t>memur-kayip-dosya</t>
        </is>
      </c>
      <c r="V759" s="5" t="inlineStr"/>
      <c r="W759" s="5" t="inlineStr"/>
      <c r="X759" s="5" t="inlineStr"/>
      <c r="Y759" s="5" t="inlineStr"/>
      <c r="Z759" s="6" t="inlineStr"/>
    </row>
    <row r="760">
      <c r="A760" s="5" t="inlineStr">
        <is>
          <t>mm-kayip-dosya</t>
        </is>
      </c>
      <c r="B760" s="5" t="n">
        <v>2</v>
      </c>
      <c r="C760" s="6" t="inlineStr">
        <is>
          <t>Arşive in, ara</t>
        </is>
      </c>
      <c r="D760" s="5" t="inlineStr">
        <is>
          <t>Dayanıklılık</t>
        </is>
      </c>
      <c r="E760" s="5" t="inlineStr">
        <is>
          <t>Orta</t>
        </is>
      </c>
      <c r="F760" s="5" t="inlineStr"/>
      <c r="G760" s="6" t="inlineStr"/>
      <c r="H760" s="6" t="inlineStr">
        <is>
          <t>Arşivde dört saat geçirdin. Dosya başka bir dosyanın içindeydi; saklanıyormuş gibi.</t>
        </is>
      </c>
      <c r="I760" s="6" t="inlineStr">
        <is>
          <t>Dosyayı ve yedi yıl önce kaybolmuş üç dosyayı daha buldun. Arşiv seni kahraman ilan etti; sessizce.</t>
        </is>
      </c>
      <c r="J760" s="6" t="inlineStr">
        <is>
          <t>Dosyayı bulamadın ama kendi işe giriş dosyanı buldun. Fotoğrafta daha umutlusun.</t>
        </is>
      </c>
      <c r="K760" s="6" t="inlineStr">
        <is>
          <t>Arşivde kayboldun. Üç saat sonra bulundun. Dosya hâlâ kayıp.</t>
        </is>
      </c>
      <c r="L760" s="6" t="inlineStr"/>
      <c r="M760" s="5" t="inlineStr"/>
      <c r="N760" s="5" t="inlineStr"/>
      <c r="O760" s="6" t="inlineStr"/>
      <c r="P760" s="6" t="inlineStr"/>
      <c r="Q760" s="5" t="inlineStr"/>
      <c r="R760" s="5" t="inlineStr"/>
      <c r="S760" s="5" t="inlineStr"/>
      <c r="T760" s="5" t="inlineStr"/>
      <c r="U760" s="5" t="inlineStr"/>
      <c r="V760" s="5" t="inlineStr"/>
      <c r="W760" s="5" t="inlineStr">
        <is>
          <t>memur-kayip-dosya</t>
        </is>
      </c>
      <c r="X760" s="5" t="inlineStr"/>
      <c r="Y760" s="5" t="inlineStr"/>
      <c r="Z760" s="6" t="inlineStr"/>
    </row>
    <row r="761">
      <c r="A761" s="5" t="inlineStr">
        <is>
          <t>mm-kayip-dosya</t>
        </is>
      </c>
      <c r="B761" s="5" t="n">
        <v>3</v>
      </c>
      <c r="C761" s="6" t="inlineStr">
        <is>
          <t>Sahibine dürüstçe söyle</t>
        </is>
      </c>
      <c r="D761" s="5" t="inlineStr">
        <is>
          <t>Vicdan</t>
        </is>
      </c>
      <c r="E761" s="5" t="inlineStr">
        <is>
          <t>Kolay</t>
        </is>
      </c>
      <c r="F761" s="5" t="inlineStr"/>
      <c r="G761" s="6" t="inlineStr"/>
      <c r="H761" s="6" t="inlineStr">
        <is>
          <t>Kızmadı, yorgun güldü. Dosyayı birlikte yeniden hazırladınız.</t>
        </is>
      </c>
      <c r="I761" s="6" t="inlineStr">
        <is>
          <t>Dosyayı sıfırdan hazırladın; iki haftada bitti. Dört yıllık salı ziyaretleri sona erdi.</t>
        </is>
      </c>
      <c r="J761" s="6" t="inlineStr">
        <is>
          <t>'Biliyordum' dedi. Bu, öfkeden daha ağır bir cevap.</t>
        </is>
      </c>
      <c r="K761" s="6" t="inlineStr">
        <is>
          <t>Şikâyet dilekçesi yazdı. Dilekçe de kayboldu.</t>
        </is>
      </c>
      <c r="L761" s="6" t="inlineStr"/>
      <c r="M761" s="5" t="inlineStr"/>
      <c r="N761" s="5" t="inlineStr"/>
      <c r="O761" s="6" t="inlineStr"/>
      <c r="P761" s="6" t="inlineStr"/>
      <c r="Q761" s="5" t="inlineStr"/>
      <c r="R761" s="5" t="inlineStr"/>
      <c r="S761" s="5" t="inlineStr">
        <is>
          <t>Vicdan</t>
        </is>
      </c>
      <c r="T761" s="5" t="inlineStr"/>
      <c r="U761" s="5" t="inlineStr"/>
      <c r="V761" s="5" t="inlineStr"/>
      <c r="W761" s="5" t="inlineStr">
        <is>
          <t>memur-kayip-dosya</t>
        </is>
      </c>
      <c r="X761" s="5" t="inlineStr"/>
      <c r="Y761" s="5" t="inlineStr"/>
      <c r="Z761" s="6" t="inlineStr"/>
    </row>
    <row r="762">
      <c r="A762" s="5" t="inlineStr">
        <is>
          <t>mm-kayip-dosya</t>
        </is>
      </c>
      <c r="B762" s="5" t="n">
        <v>4</v>
      </c>
      <c r="C762" s="6" t="inlineStr">
        <is>
          <t>Başka birimi suçla</t>
        </is>
      </c>
      <c r="D762" s="5" t="inlineStr">
        <is>
          <t>Pişkinlik</t>
        </is>
      </c>
      <c r="E762" s="5" t="inlineStr">
        <is>
          <t>Orta</t>
        </is>
      </c>
      <c r="F762" s="5" t="inlineStr"/>
      <c r="G762" s="6" t="inlineStr"/>
      <c r="H762" s="6" t="inlineStr">
        <is>
          <t>'Dosya yazı işlerine gitti' dedin. Yazı işleri reddedemedi; kanıt yoktu. Vazodan beri tanıdık bir yöntem.</t>
        </is>
      </c>
      <c r="I762" s="6" t="inlineStr">
        <is>
          <t>Yazı işleri dosyayı bulmak için ekip kurdu ve sana özür yazısı gönderdi.</t>
        </is>
      </c>
      <c r="J762" s="6" t="inlineStr">
        <is>
          <t>Yazı işleri zimmet fişini gösterdi. İmza seninkiydi.</t>
        </is>
      </c>
      <c r="K762" s="6" t="inlineStr">
        <is>
          <t>O birim de seni suçladı. Soruşturma dosyası açıldı. O da kayboldu.</t>
        </is>
      </c>
      <c r="L762" s="6" t="inlineStr"/>
      <c r="M762" s="5" t="inlineStr"/>
      <c r="N762" s="5" t="inlineStr"/>
      <c r="O762" s="6" t="inlineStr"/>
      <c r="P762" s="6" t="inlineStr"/>
      <c r="Q762" s="5" t="inlineStr"/>
      <c r="R762" s="5" t="inlineStr">
        <is>
          <t>kediSuclu</t>
        </is>
      </c>
      <c r="S762" s="5" t="inlineStr"/>
      <c r="T762" s="5" t="inlineStr"/>
      <c r="U762" s="5" t="inlineStr">
        <is>
          <t>memur-kayip-dosya</t>
        </is>
      </c>
      <c r="V762" s="5" t="inlineStr"/>
      <c r="W762" s="5" t="inlineStr"/>
      <c r="X762" s="5" t="inlineStr"/>
      <c r="Y762" s="5" t="inlineStr"/>
      <c r="Z762" s="6" t="inlineStr"/>
    </row>
    <row r="763">
      <c r="A763" s="5" t="inlineStr">
        <is>
          <t>b7-saglik-kontrolu</t>
        </is>
      </c>
      <c r="B763" s="5" t="n">
        <v>1</v>
      </c>
      <c r="C763" s="6" t="inlineStr">
        <is>
          <t>Dürüst ol</t>
        </is>
      </c>
      <c r="D763" s="5" t="inlineStr"/>
      <c r="E763" s="5" t="inlineStr"/>
      <c r="F763" s="5" t="inlineStr">
        <is>
          <t>Vicdan +1, Akıl +1</t>
        </is>
      </c>
      <c r="G763" s="6" t="inlineStr">
        <is>
          <t>Dürüstçe 'Hayır' dedin. Doktor bir broşür verdi. Broşür çantanda yaşlanıyor.</t>
        </is>
      </c>
      <c r="H763" s="6" t="inlineStr"/>
      <c r="I763" s="6" t="inlineStr"/>
      <c r="J763" s="6" t="inlineStr"/>
      <c r="K763" s="6" t="inlineStr"/>
      <c r="L763" s="6" t="inlineStr"/>
      <c r="M763" s="5" t="inlineStr"/>
      <c r="N763" s="5" t="inlineStr"/>
      <c r="O763" s="6" t="inlineStr"/>
      <c r="P763" s="6" t="inlineStr"/>
      <c r="Q763" s="5" t="inlineStr"/>
      <c r="R763" s="5" t="inlineStr"/>
      <c r="S763" s="5" t="inlineStr"/>
      <c r="T763" s="5" t="inlineStr"/>
      <c r="U763" s="5" t="inlineStr"/>
      <c r="V763" s="5" t="inlineStr"/>
      <c r="W763" s="5" t="inlineStr"/>
      <c r="X763" s="5" t="inlineStr"/>
      <c r="Y763" s="5" t="inlineStr"/>
      <c r="Z763" s="6" t="inlineStr"/>
    </row>
    <row r="764">
      <c r="A764" s="5" t="inlineStr">
        <is>
          <t>b7-saglik-kontrolu</t>
        </is>
      </c>
      <c r="B764" s="5" t="n">
        <v>2</v>
      </c>
      <c r="C764" s="6" t="inlineStr">
        <is>
          <t>'Haftada dört gün' de</t>
        </is>
      </c>
      <c r="D764" s="5" t="inlineStr">
        <is>
          <t>Pişkinlik</t>
        </is>
      </c>
      <c r="E764" s="5" t="inlineStr">
        <is>
          <t>Orta</t>
        </is>
      </c>
      <c r="F764" s="5" t="inlineStr"/>
      <c r="G764" s="6" t="inlineStr"/>
      <c r="H764" s="6" t="inlineStr">
        <is>
          <t>Doktor inandı. 'Harika, devam' dedi. Sen de devam ettin. Hiçbir şeye.</t>
        </is>
      </c>
      <c r="I764" s="6" t="inlineStr">
        <is>
          <t>Doktor öyle inandı ki seni diğer hastalara örnek gösterdi. Bekleme salonunda alkışlandın.</t>
        </is>
      </c>
      <c r="J764" s="6" t="inlineStr">
        <is>
          <t>Doktor sonuçlara tekrar baktı ve 'Hangi spor?' dedi. 'Yürüyüş' dedin. 'Nereye?' dedi.</t>
        </is>
      </c>
      <c r="K764" s="6" t="inlineStr">
        <is>
          <t>Doktor 'O zaman bu sonuçlar ilginç' dedi ve seni ek tetkike gönderdi. Yalan, hastane koridorunda uzadı.</t>
        </is>
      </c>
      <c r="L764" s="6" t="inlineStr"/>
      <c r="M764" s="5" t="inlineStr"/>
      <c r="N764" s="5" t="inlineStr"/>
      <c r="O764" s="6" t="inlineStr"/>
      <c r="P764" s="6" t="inlineStr"/>
      <c r="Q764" s="5" t="inlineStr"/>
      <c r="R764" s="5" t="inlineStr"/>
      <c r="S764" s="5" t="inlineStr"/>
      <c r="T764" s="5" t="inlineStr"/>
      <c r="U764" s="5" t="inlineStr"/>
      <c r="V764" s="5" t="inlineStr"/>
      <c r="W764" s="5" t="inlineStr"/>
      <c r="X764" s="5" t="inlineStr"/>
      <c r="Y764" s="5" t="inlineStr"/>
      <c r="Z764" s="6" t="inlineStr"/>
    </row>
    <row r="765">
      <c r="A765" s="5" t="inlineStr">
        <is>
          <t>b7-saglik-kontrolu</t>
        </is>
      </c>
      <c r="B765" s="5" t="n">
        <v>3</v>
      </c>
      <c r="C765" s="6" t="inlineStr">
        <is>
          <t>Hepsini sorgulayıp not al</t>
        </is>
      </c>
      <c r="D765" s="5" t="inlineStr">
        <is>
          <t>Akıl</t>
        </is>
      </c>
      <c r="E765" s="5" t="inlineStr">
        <is>
          <t>Kolay</t>
        </is>
      </c>
      <c r="F765" s="5" t="inlineStr"/>
      <c r="G765" s="6" t="inlineStr"/>
      <c r="H765" s="6" t="inlineStr">
        <is>
          <t>Her değeri sordun, not aldın. Doktor seni sevdi. Tablo yaptın.</t>
        </is>
      </c>
      <c r="I765" s="6" t="inlineStr">
        <is>
          <t>Sorularının kalitesi doktoru etkiledi. 'Keşke herkes sizin gibi olsa' dedi. Bunu çerçevelettin.</t>
        </is>
      </c>
      <c r="J765" s="6" t="inlineStr">
        <is>
          <t>Değerlerin çoğunu anlamadın, sorduklarının cevabını da.</t>
        </is>
      </c>
      <c r="K765" s="6" t="inlineStr">
        <is>
          <t>İnternette okuduklarını doktora anlattın. Doktor sessizce yeni bir form açtı. Formun adı: 'Endişeli hasta'.</t>
        </is>
      </c>
      <c r="L765" s="6" t="inlineStr"/>
      <c r="M765" s="5" t="inlineStr"/>
      <c r="N765" s="5" t="inlineStr"/>
      <c r="O765" s="6" t="inlineStr"/>
      <c r="P765" s="6" t="inlineStr"/>
      <c r="Q765" s="5" t="inlineStr"/>
      <c r="R765" s="5" t="inlineStr"/>
      <c r="S765" s="5" t="inlineStr"/>
      <c r="T765" s="5" t="inlineStr"/>
      <c r="U765" s="5" t="inlineStr"/>
      <c r="V765" s="5" t="inlineStr"/>
      <c r="W765" s="5" t="inlineStr"/>
      <c r="X765" s="5" t="inlineStr"/>
      <c r="Y765" s="5" t="inlineStr"/>
      <c r="Z765" s="6" t="inlineStr"/>
    </row>
    <row r="766">
      <c r="A766" s="5" t="inlineStr">
        <is>
          <t>b7-bekar-evi</t>
        </is>
      </c>
      <c r="B766" s="5" t="n">
        <v>1</v>
      </c>
      <c r="C766" s="6" t="inlineStr">
        <is>
          <t>Yine sipariş ver</t>
        </is>
      </c>
      <c r="D766" s="5" t="inlineStr"/>
      <c r="E766" s="5" t="inlineStr"/>
      <c r="F766" s="5" t="inlineStr">
        <is>
          <t>Dayanıklılık +1</t>
        </is>
      </c>
      <c r="G766" s="6" t="inlineStr">
        <is>
          <t>Sipariş verdin. Kurye seni adınla selamlıyor. Arkadaş listesindeki tek düzenli kişi o.</t>
        </is>
      </c>
      <c r="H766" s="6" t="inlineStr"/>
      <c r="I766" s="6" t="inlineStr"/>
      <c r="J766" s="6" t="inlineStr"/>
      <c r="K766" s="6" t="inlineStr"/>
      <c r="L766" s="6" t="inlineStr"/>
      <c r="M766" s="5" t="inlineStr"/>
      <c r="N766" s="5" t="inlineStr"/>
      <c r="O766" s="6" t="inlineStr"/>
      <c r="P766" s="6" t="inlineStr"/>
      <c r="Q766" s="5" t="inlineStr"/>
      <c r="R766" s="5" t="inlineStr"/>
      <c r="S766" s="5" t="inlineStr"/>
      <c r="T766" s="5" t="inlineStr"/>
      <c r="U766" s="5" t="inlineStr"/>
      <c r="V766" s="5" t="inlineStr"/>
      <c r="W766" s="5" t="inlineStr"/>
      <c r="X766" s="5" t="inlineStr"/>
      <c r="Y766" s="5" t="inlineStr"/>
      <c r="Z766" s="6" t="inlineStr"/>
    </row>
    <row r="767">
      <c r="A767" s="5" t="inlineStr">
        <is>
          <t>b7-bekar-evi</t>
        </is>
      </c>
      <c r="B767" s="5" t="n">
        <v>2</v>
      </c>
      <c r="C767" s="6" t="inlineStr">
        <is>
          <t>Bir haftalık yemek hazırla</t>
        </is>
      </c>
      <c r="D767" s="5" t="inlineStr">
        <is>
          <t>Akıl</t>
        </is>
      </c>
      <c r="E767" s="5" t="inlineStr">
        <is>
          <t>Orta</t>
        </is>
      </c>
      <c r="F767" s="5" t="inlineStr"/>
      <c r="G767" s="6" t="inlineStr"/>
      <c r="H767" s="6" t="inlineStr">
        <is>
          <t>Pazar günü yedi kap yemek hazırladın. Salı günü hepsini yemiştin. Plan kısmen başarılı.</t>
        </is>
      </c>
      <c r="I767" s="6" t="inlineStr">
        <is>
          <t>Yemekler öyle güzel oldu ki arkadaşların sana tarif sormaya başladı. Artık hafta sonları yemek davetleri veriyorsun.</t>
        </is>
      </c>
      <c r="J767" s="6" t="inlineStr">
        <is>
          <t>Yedi kap yaptın, hepsi aynı yemek. Perşembe günü tabaktaki yemek sana baktı.</t>
        </is>
      </c>
      <c r="K767" s="6" t="inlineStr">
        <is>
          <t>Yemek yaparken yangın alarmı çaldı. Apartman boşaltıldı. Yemek uygulaması sana 'geri hoş geldin' kuponu gönderdi.</t>
        </is>
      </c>
      <c r="L767" s="6" t="inlineStr"/>
      <c r="M767" s="5" t="inlineStr"/>
      <c r="N767" s="5" t="inlineStr"/>
      <c r="O767" s="6" t="inlineStr"/>
      <c r="P767" s="6" t="inlineStr"/>
      <c r="Q767" s="5" t="inlineStr"/>
      <c r="R767" s="5" t="inlineStr"/>
      <c r="S767" s="5" t="inlineStr"/>
      <c r="T767" s="5" t="inlineStr"/>
      <c r="U767" s="5" t="inlineStr"/>
      <c r="V767" s="5" t="inlineStr"/>
      <c r="W767" s="5" t="inlineStr"/>
      <c r="X767" s="5" t="inlineStr"/>
      <c r="Y767" s="5" t="inlineStr"/>
      <c r="Z767" s="6" t="inlineStr"/>
    </row>
    <row r="768">
      <c r="A768" s="5" t="inlineStr">
        <is>
          <t>b7-bekar-evi</t>
        </is>
      </c>
      <c r="B768" s="5" t="n">
        <v>3</v>
      </c>
      <c r="C768" s="6" t="inlineStr">
        <is>
          <t>Buzdolabındakilerle yaratıcı bir yemek yap</t>
        </is>
      </c>
      <c r="D768" s="5" t="inlineStr">
        <is>
          <t>Kurnazlık</t>
        </is>
      </c>
      <c r="E768" s="5" t="inlineStr">
        <is>
          <t>Zor</t>
        </is>
      </c>
      <c r="F768" s="5" t="inlineStr"/>
      <c r="G768" s="6" t="inlineStr"/>
      <c r="H768" s="6" t="inlineStr">
        <is>
          <t>Hardal, yumurta ve belirsiz tencereden yenilebilir bir şey çıktı. Adını koymadın.</t>
        </is>
      </c>
      <c r="I768" s="6" t="inlineStr">
        <is>
          <t>Yarattığın yemek o kadar iyiydi ki bir video çektin. Yorumlarda insanlar tarif istiyor. Tarif sende de yok.</t>
        </is>
      </c>
      <c r="J768" s="6" t="inlineStr">
        <is>
          <t>Yemek oldu. Yenmedi. Kediye bile verilmedi.</t>
        </is>
      </c>
      <c r="K768" s="6" t="inlineStr">
        <is>
          <t>Belirsiz tencerenin içinde yeni bir yaşam formu keşfettin. Tencereyle birlikte dışarı çıkardın.</t>
        </is>
      </c>
      <c r="L768" s="6" t="inlineStr"/>
      <c r="M768" s="5" t="inlineStr"/>
      <c r="N768" s="5" t="inlineStr"/>
      <c r="O768" s="6" t="inlineStr"/>
      <c r="P768" s="6" t="inlineStr"/>
      <c r="Q768" s="5" t="inlineStr"/>
      <c r="R768" s="5" t="inlineStr"/>
      <c r="S768" s="5" t="inlineStr"/>
      <c r="T768" s="5" t="inlineStr"/>
      <c r="U768" s="5" t="inlineStr"/>
      <c r="V768" s="5" t="inlineStr"/>
      <c r="W768" s="5" t="inlineStr"/>
      <c r="X768" s="5" t="inlineStr"/>
      <c r="Y768" s="5" t="inlineStr"/>
      <c r="Z768" s="6" t="inlineStr"/>
    </row>
    <row r="769">
      <c r="A769" s="5" t="inlineStr">
        <is>
          <t>b7-hastane-gecesi</t>
        </is>
      </c>
      <c r="B769" s="5" t="n">
        <v>1</v>
      </c>
      <c r="C769" s="6" t="inlineStr">
        <is>
          <t>Sakin kal, bekle</t>
        </is>
      </c>
      <c r="D769" s="5" t="inlineStr"/>
      <c r="E769" s="5" t="inlineStr"/>
      <c r="F769" s="5" t="inlineStr">
        <is>
          <t>Dayanıklılık +1, Vicdan +1</t>
        </is>
      </c>
      <c r="G769" s="6" t="inlineStr">
        <is>
          <t>Bekledin. Doktor 'Bir şey yok, ateş düşürücü verin' dedi. Sen de kendine bir ateş düşürücü istedin.</t>
        </is>
      </c>
      <c r="H769" s="6" t="inlineStr"/>
      <c r="I769" s="6" t="inlineStr"/>
      <c r="J769" s="6" t="inlineStr"/>
      <c r="K769" s="6" t="inlineStr"/>
      <c r="L769" s="6" t="inlineStr"/>
      <c r="M769" s="5" t="inlineStr"/>
      <c r="N769" s="5" t="inlineStr"/>
      <c r="O769" s="6" t="inlineStr"/>
      <c r="P769" s="6" t="inlineStr"/>
      <c r="Q769" s="5" t="inlineStr"/>
      <c r="R769" s="5" t="inlineStr"/>
      <c r="S769" s="5" t="inlineStr"/>
      <c r="T769" s="5" t="inlineStr"/>
      <c r="U769" s="5" t="inlineStr"/>
      <c r="V769" s="5" t="inlineStr"/>
      <c r="W769" s="5" t="inlineStr"/>
      <c r="X769" s="5" t="inlineStr"/>
      <c r="Y769" s="5" t="inlineStr"/>
      <c r="Z769" s="6" t="inlineStr"/>
    </row>
    <row r="770">
      <c r="A770" s="5" t="inlineStr">
        <is>
          <t>b7-hastane-gecesi</t>
        </is>
      </c>
      <c r="B770" s="5" t="n">
        <v>2</v>
      </c>
      <c r="C770" s="6" t="inlineStr">
        <is>
          <t>Uyuyan çocuğu uyandırmadan arabaya taşı</t>
        </is>
      </c>
      <c r="D770" s="5" t="inlineStr">
        <is>
          <t>Dayanıklılık</t>
        </is>
      </c>
      <c r="E770" s="5" t="inlineStr">
        <is>
          <t>Orta</t>
        </is>
      </c>
      <c r="F770" s="5" t="inlineStr"/>
      <c r="G770" s="6" t="inlineStr"/>
      <c r="H770" s="6" t="inlineStr">
        <is>
          <t>Çocuğu arabaya kadar taşıdın, uyanmadı. Eve kadar uyudu, sen de nefes aldın.</t>
        </is>
      </c>
      <c r="I770" s="6" t="inlineStr">
        <is>
          <t>Çocuğu arabaya, sonra eve, sonra yatağına taşıdın. Hiç uyanmadı. Bir ebeveynin en büyük zaferi, kimse görmedi.</t>
        </is>
      </c>
      <c r="J770" s="6" t="inlineStr">
        <is>
          <t>Otoparkta çocuk uyandı. 'Neredeyiz?' dedi. Sen de bilmiyordun.</t>
        </is>
      </c>
      <c r="K770" s="6" t="inlineStr">
        <is>
          <t>Çocuğu taşırken kapıya takıldın. Çocuk uyandı, sen düştün. İkiniz de gece acile ikinci kez girdiniz. Bu kez senin için.</t>
        </is>
      </c>
      <c r="L770" s="6" t="inlineStr">
        <is>
          <t>Çocuk arabada uyandı, 'Dondurma' dedi, sonra yine uyudu. Pazarlık masaya sabah gelecek.</t>
        </is>
      </c>
      <c r="M770" s="5" t="inlineStr">
        <is>
          <t>balance</t>
        </is>
      </c>
      <c r="N770" s="5" t="inlineStr">
        <is>
          <t>Uyuyan Yük</t>
        </is>
      </c>
      <c r="O770" s="6" t="inlineStr">
        <is>
          <t>Uyuyan çocuğu dengede tut. Sallanırsa uyanır.</t>
        </is>
      </c>
      <c r="P770" s="6" t="inlineStr">
        <is>
          <t>{"item": "👶"}</t>
        </is>
      </c>
      <c r="Q770" s="5" t="inlineStr"/>
      <c r="R770" s="5" t="inlineStr"/>
      <c r="S770" s="5" t="inlineStr"/>
      <c r="T770" s="5" t="inlineStr"/>
      <c r="U770" s="5" t="inlineStr"/>
      <c r="V770" s="5" t="inlineStr"/>
      <c r="W770" s="5" t="inlineStr"/>
      <c r="X770" s="5" t="inlineStr"/>
      <c r="Y770" s="5" t="inlineStr"/>
      <c r="Z770" s="6" t="inlineStr"/>
    </row>
    <row r="771">
      <c r="A771" s="5" t="inlineStr">
        <is>
          <t>b7-hastane-gecesi</t>
        </is>
      </c>
      <c r="B771" s="5" t="n">
        <v>3</v>
      </c>
      <c r="C771" s="6" t="inlineStr">
        <is>
          <t>Hemşireyle dostluk kur</t>
        </is>
      </c>
      <c r="D771" s="5" t="inlineStr">
        <is>
          <t>Sosyal Radar</t>
        </is>
      </c>
      <c r="E771" s="5" t="inlineStr">
        <is>
          <t>Kolay</t>
        </is>
      </c>
      <c r="F771" s="5" t="inlineStr"/>
      <c r="G771" s="6" t="inlineStr"/>
      <c r="H771" s="6" t="inlineStr">
        <is>
          <t>Hemşire sizi sıraya aldı, battaniye verdi. Gece daha güzel geçti.</t>
        </is>
      </c>
      <c r="I771" s="6" t="inlineStr">
        <is>
          <t>Hemşireyle öyle iyi anlaştın ki sana kendi numarasını verdi, 'Bir şey olursa arayın' dedi. Hiç aramadın ama iyi hissettirdi.</t>
        </is>
      </c>
      <c r="J771" s="6" t="inlineStr">
        <is>
          <t>Hemşire çok yoğundu. Dostluk teklifin bekleme salonunda kaldı.</t>
        </is>
      </c>
      <c r="K771" s="6" t="inlineStr">
        <is>
          <t>Hemşireyle sohbet ederken yanlış çocuğu işaret ettin. İki aile birbirine baktı. Kimlik kontrolü yapıldı.</t>
        </is>
      </c>
      <c r="L771" s="6" t="inlineStr"/>
      <c r="M771" s="5" t="inlineStr"/>
      <c r="N771" s="5" t="inlineStr"/>
      <c r="O771" s="6" t="inlineStr"/>
      <c r="P771" s="6" t="inlineStr"/>
      <c r="Q771" s="5" t="inlineStr"/>
      <c r="R771" s="5" t="inlineStr"/>
      <c r="S771" s="5" t="inlineStr"/>
      <c r="T771" s="5" t="inlineStr"/>
      <c r="U771" s="5" t="inlineStr"/>
      <c r="V771" s="5" t="inlineStr"/>
      <c r="W771" s="5" t="inlineStr"/>
      <c r="X771" s="5" t="inlineStr"/>
      <c r="Y771" s="5" t="inlineStr"/>
      <c r="Z771" s="6" t="inlineStr"/>
    </row>
    <row r="772">
      <c r="A772" s="5" t="inlineStr">
        <is>
          <t>ms-gercek-is</t>
        </is>
      </c>
      <c r="B772" s="5" t="n">
        <v>1</v>
      </c>
      <c r="C772" s="6" t="inlineStr">
        <is>
          <t>'Yakında' de</t>
        </is>
      </c>
      <c r="D772" s="5" t="inlineStr"/>
      <c r="E772" s="5" t="inlineStr"/>
      <c r="F772" s="5" t="inlineStr">
        <is>
          <t>Dayanıklılık +1</t>
        </is>
      </c>
      <c r="G772" s="6" t="inlineStr">
        <is>
          <t>'Yakında' dedin. On yıldır bu cevabı veriyorsun, teyze on yıldır aynı soruyu soruyor. İstikrar ikinizde de var.</t>
        </is>
      </c>
      <c r="H772" s="6" t="inlineStr"/>
      <c r="I772" s="6" t="inlineStr"/>
      <c r="J772" s="6" t="inlineStr"/>
      <c r="K772" s="6" t="inlineStr"/>
      <c r="L772" s="6" t="inlineStr"/>
      <c r="M772" s="5" t="inlineStr"/>
      <c r="N772" s="5" t="inlineStr"/>
      <c r="O772" s="6" t="inlineStr"/>
      <c r="P772" s="6" t="inlineStr"/>
      <c r="Q772" s="5" t="inlineStr"/>
      <c r="R772" s="5" t="inlineStr"/>
      <c r="S772" s="5" t="inlineStr"/>
      <c r="T772" s="5" t="inlineStr"/>
      <c r="U772" s="5" t="inlineStr"/>
      <c r="V772" s="5" t="inlineStr"/>
      <c r="W772" s="5" t="inlineStr"/>
      <c r="X772" s="5" t="inlineStr"/>
      <c r="Y772" s="5" t="inlineStr"/>
      <c r="Z772" s="6" t="inlineStr"/>
    </row>
    <row r="773">
      <c r="A773" s="5" t="inlineStr">
        <is>
          <t>ms-gercek-is</t>
        </is>
      </c>
      <c r="B773" s="5" t="n">
        <v>2</v>
      </c>
      <c r="C773" s="6" t="inlineStr">
        <is>
          <t>Kazancını söyle</t>
        </is>
      </c>
      <c r="D773" s="5" t="inlineStr">
        <is>
          <t>Pişkinlik</t>
        </is>
      </c>
      <c r="E773" s="5" t="inlineStr">
        <is>
          <t>Orta</t>
        </is>
      </c>
      <c r="F773" s="5" t="inlineStr"/>
      <c r="G773" s="6" t="inlineStr"/>
      <c r="H773" s="6" t="inlineStr">
        <is>
          <t>Kazancını söyledin. Teyze sessizce çayını karıştırdı.</t>
        </is>
      </c>
      <c r="I773" s="6" t="inlineStr">
        <is>
          <t>Rakamı duyan teyze kendi oğlunu serbest çalışmaya yönlendirdi. Sana yönlendirdi.</t>
        </is>
      </c>
      <c r="J773" s="6" t="inlineStr">
        <is>
          <t>Teyze 'Aylık mı, yıllık mı?' diye sordu. Haklı bir soru.</t>
        </is>
      </c>
      <c r="K773" s="6" t="inlineStr">
        <is>
          <t>Kazancını söyledin. Teyze çantasından bir zarf çıkarıp sana uzattı.</t>
        </is>
      </c>
      <c r="L773" s="6" t="inlineStr"/>
      <c r="M773" s="5" t="inlineStr"/>
      <c r="N773" s="5" t="inlineStr"/>
      <c r="O773" s="6" t="inlineStr"/>
      <c r="P773" s="6" t="inlineStr"/>
      <c r="Q773" s="5" t="inlineStr"/>
      <c r="R773" s="5" t="inlineStr"/>
      <c r="S773" s="5" t="inlineStr"/>
      <c r="T773" s="5" t="inlineStr"/>
      <c r="U773" s="5" t="inlineStr"/>
      <c r="V773" s="5" t="inlineStr"/>
      <c r="W773" s="5" t="inlineStr"/>
      <c r="X773" s="5" t="inlineStr"/>
      <c r="Y773" s="5" t="inlineStr"/>
      <c r="Z773" s="6" t="inlineStr"/>
    </row>
    <row r="774">
      <c r="A774" s="5" t="inlineStr">
        <is>
          <t>ms-gercek-is</t>
        </is>
      </c>
      <c r="B774" s="5" t="n">
        <v>3</v>
      </c>
      <c r="C774" s="6" t="inlineStr">
        <is>
          <t>Masadaki kuzeni ittifaka davet et</t>
        </is>
      </c>
      <c r="D774" s="5" t="inlineStr">
        <is>
          <t>Sosyal Radar</t>
        </is>
      </c>
      <c r="E774" s="5" t="inlineStr">
        <is>
          <t>Kolay</t>
        </is>
      </c>
      <c r="F774" s="5" t="inlineStr"/>
      <c r="G774" s="6" t="inlineStr"/>
      <c r="H774" s="6" t="inlineStr">
        <is>
          <t>'Biz ikimiz de danışmanız' dediniz. Teyze iki danışmanın karşısında saygıyla sustu.</t>
        </is>
      </c>
      <c r="I774" s="6" t="inlineStr">
        <is>
          <t>Kuzenle ortak iş kurdunuz. Teyze artık 'şirket sahibi yeğenlerim' diyor.</t>
        </is>
      </c>
      <c r="J774" s="6" t="inlineStr">
        <is>
          <t>Kuzen seni satıp 'Ben aslında şirkette çalışıyorum' dedi.</t>
        </is>
      </c>
      <c r="K774" s="6" t="inlineStr">
        <is>
          <t>Kuzenle birlikte savunma yaptınız; teyze ikinizi de düğündeki iş sahibi amcaya tanıttı. Mülakat başladı.</t>
        </is>
      </c>
      <c r="L774" s="6" t="inlineStr"/>
      <c r="M774" s="5" t="inlineStr"/>
      <c r="N774" s="5" t="inlineStr"/>
      <c r="O774" s="6" t="inlineStr"/>
      <c r="P774" s="6" t="inlineStr"/>
      <c r="Q774" s="5" t="inlineStr"/>
      <c r="R774" s="5" t="inlineStr"/>
      <c r="S774" s="5" t="inlineStr">
        <is>
          <t>Sosyal Radar</t>
        </is>
      </c>
      <c r="T774" s="5" t="inlineStr"/>
      <c r="U774" s="5" t="inlineStr"/>
      <c r="V774" s="5" t="inlineStr"/>
      <c r="W774" s="5" t="inlineStr"/>
      <c r="X774" s="5" t="inlineStr"/>
      <c r="Y774" s="5" t="inlineStr"/>
      <c r="Z774" s="6" t="inlineStr"/>
    </row>
    <row r="775">
      <c r="A775" s="5" t="inlineStr">
        <is>
          <t>ms-gercek-is</t>
        </is>
      </c>
      <c r="B775" s="5" t="n">
        <v>4</v>
      </c>
      <c r="C775" s="6" t="inlineStr">
        <is>
          <t>Viral videonu göster</t>
        </is>
      </c>
      <c r="D775" s="5" t="inlineStr">
        <is>
          <t>Pişkinlik</t>
        </is>
      </c>
      <c r="E775" s="5" t="inlineStr">
        <is>
          <t>Kolay</t>
        </is>
      </c>
      <c r="F775" s="5" t="inlineStr"/>
      <c r="G775" s="6" t="inlineStr"/>
      <c r="H775" s="6" t="inlineStr">
        <is>
          <t>Teyze 'Bunu biz de gördük! Sen miydin?' dedi. Masada itibarın yükseldi.</t>
        </is>
      </c>
      <c r="I775" s="6" t="inlineStr">
        <is>
          <t>Teyze videoyu bütün düğüne gösterdi. Gelin ve damadı gölgede bıraktın.</t>
        </is>
      </c>
      <c r="J775" s="6" t="inlineStr">
        <is>
          <t>Teyze videoyu izledi ve 'Peki para veriyorlar mı?' dedi. Soru cevapsız kaldı.</t>
        </is>
      </c>
      <c r="K775" s="6" t="inlineStr">
        <is>
          <t>Yanlış videoyu açtın: canlıda ritmi kaçırdığın kayıt. Düğün salonu bir daha izledi.</t>
        </is>
      </c>
      <c r="L775" s="6" t="inlineStr"/>
      <c r="M775" s="5" t="inlineStr"/>
      <c r="N775" s="5" t="inlineStr"/>
      <c r="O775" s="6" t="inlineStr"/>
      <c r="P775" s="6" t="inlineStr"/>
      <c r="Q775" s="5" t="inlineStr"/>
      <c r="R775" s="5" t="inlineStr">
        <is>
          <t>serbest-viral-oldu</t>
        </is>
      </c>
      <c r="S775" s="5" t="inlineStr"/>
      <c r="T775" s="5" t="inlineStr"/>
      <c r="U775" s="5" t="inlineStr"/>
      <c r="V775" s="5" t="inlineStr"/>
      <c r="W775" s="5" t="inlineStr"/>
      <c r="X775" s="5" t="inlineStr"/>
      <c r="Y775" s="5" t="inlineStr"/>
      <c r="Z775" s="6" t="inlineStr"/>
    </row>
    <row r="776">
      <c r="A776" s="5" t="inlineStr">
        <is>
          <t>b7-mutfak-tadilati</t>
        </is>
      </c>
      <c r="B776" s="5" t="n">
        <v>1</v>
      </c>
      <c r="C776" s="6" t="inlineStr">
        <is>
          <t>Eşinin rengine razı ol</t>
        </is>
      </c>
      <c r="D776" s="5" t="inlineStr"/>
      <c r="E776" s="5" t="inlineStr"/>
      <c r="F776" s="5" t="inlineStr">
        <is>
          <t>Vicdan +1</t>
        </is>
      </c>
      <c r="G776" s="6" t="inlineStr">
        <is>
          <t>Dolaplar krem oldu. Güzel. Sadece her sabah kahve yaparken bir şey içinde antrasit kalıyor.</t>
        </is>
      </c>
      <c r="H776" s="6" t="inlineStr"/>
      <c r="I776" s="6" t="inlineStr"/>
      <c r="J776" s="6" t="inlineStr"/>
      <c r="K776" s="6" t="inlineStr"/>
      <c r="L776" s="6" t="inlineStr"/>
      <c r="M776" s="5" t="inlineStr"/>
      <c r="N776" s="5" t="inlineStr"/>
      <c r="O776" s="6" t="inlineStr"/>
      <c r="P776" s="6" t="inlineStr"/>
      <c r="Q776" s="5" t="inlineStr"/>
      <c r="R776" s="5" t="inlineStr"/>
      <c r="S776" s="5" t="inlineStr"/>
      <c r="T776" s="5" t="inlineStr"/>
      <c r="U776" s="5" t="inlineStr"/>
      <c r="V776" s="5" t="inlineStr"/>
      <c r="W776" s="5" t="inlineStr"/>
      <c r="X776" s="5" t="inlineStr"/>
      <c r="Y776" s="5" t="inlineStr"/>
      <c r="Z776" s="6" t="inlineStr"/>
    </row>
    <row r="777">
      <c r="A777" s="5" t="inlineStr">
        <is>
          <t>b7-mutfak-tadilati</t>
        </is>
      </c>
      <c r="B777" s="5" t="n">
        <v>2</v>
      </c>
      <c r="C777" s="6" t="inlineStr">
        <is>
          <t>Ortak bir renk bul</t>
        </is>
      </c>
      <c r="D777" s="5" t="inlineStr">
        <is>
          <t>Sosyal Radar</t>
        </is>
      </c>
      <c r="E777" s="5" t="inlineStr">
        <is>
          <t>Orta</t>
        </is>
      </c>
      <c r="F777" s="5" t="inlineStr"/>
      <c r="G777" s="6" t="inlineStr"/>
      <c r="H777" s="6" t="inlineStr">
        <is>
          <t>'Antrasit-krem' karışımı bir gri seçildi. İkiniz de memnun değilsiniz ama eşit memnun değilsiniz.</t>
        </is>
      </c>
      <c r="I777" s="6" t="inlineStr">
        <is>
          <t>Ortak renk o kadar güzel oldu ki usta başka müşterilere de öneriyor. Adı 'uzlaşma grisi'.</t>
        </is>
      </c>
      <c r="J777" s="6" t="inlineStr">
        <is>
          <t>Ortak renk bulunamadı. Usta çayını ikinci kez tazeledi.</t>
        </is>
      </c>
      <c r="K777" s="6" t="inlineStr">
        <is>
          <t>Uzlaşma rengi bulunurken tadilat üç ay uzadı. Üç ay boyunca yemekleri banyoda pişirdiniz.</t>
        </is>
      </c>
      <c r="L777" s="6" t="inlineStr"/>
      <c r="M777" s="5" t="inlineStr"/>
      <c r="N777" s="5" t="inlineStr"/>
      <c r="O777" s="6" t="inlineStr"/>
      <c r="P777" s="6" t="inlineStr"/>
      <c r="Q777" s="5" t="inlineStr"/>
      <c r="R777" s="5" t="inlineStr"/>
      <c r="S777" s="5" t="inlineStr"/>
      <c r="T777" s="5" t="inlineStr"/>
      <c r="U777" s="5" t="inlineStr"/>
      <c r="V777" s="5" t="inlineStr"/>
      <c r="W777" s="5" t="inlineStr"/>
      <c r="X777" s="5" t="inlineStr"/>
      <c r="Y777" s="5" t="inlineStr"/>
      <c r="Z777" s="6" t="inlineStr"/>
    </row>
    <row r="778">
      <c r="A778" s="5" t="inlineStr">
        <is>
          <t>b7-mutfak-tadilati</t>
        </is>
      </c>
      <c r="B778" s="5" t="n">
        <v>3</v>
      </c>
      <c r="C778" s="6" t="inlineStr">
        <is>
          <t>Kendi rengini sonuna kadar savun</t>
        </is>
      </c>
      <c r="D778" s="5" t="inlineStr">
        <is>
          <t>Çene</t>
        </is>
      </c>
      <c r="E778" s="5" t="inlineStr">
        <is>
          <t>Zor</t>
        </is>
      </c>
      <c r="F778" s="5" t="inlineStr"/>
      <c r="G778" s="6" t="inlineStr"/>
      <c r="H778" s="6" t="inlineStr">
        <is>
          <t>Antrasit kazandı. Mutfak güzel oldu. Eşin, zamanla sana hak verdi. Zamanla.</t>
        </is>
      </c>
      <c r="I778" s="6" t="inlineStr">
        <is>
          <t>Savunman öyle iyiydi ki eşin fikir değiştirdi, kendi annesine de antrasit önerdi. Bir akım başlattın.</t>
        </is>
      </c>
      <c r="J778" s="6" t="inlineStr">
        <is>
          <t>Savunmanın sonunda usta 'Ben yarın geleyim' dedi ve gelmedi.</t>
        </is>
      </c>
      <c r="K778" s="6" t="inlineStr">
        <is>
          <t>Savunurken 'Senin zevkin zaten' diye başlayan bir cümle kurdun. Cümle hiçbir zaman bitmedi. Evlilik bir süre askıda kaldı.</t>
        </is>
      </c>
      <c r="L778" s="6" t="inlineStr"/>
      <c r="M778" s="5" t="inlineStr"/>
      <c r="N778" s="5" t="inlineStr"/>
      <c r="O778" s="6" t="inlineStr"/>
      <c r="P778" s="6" t="inlineStr"/>
      <c r="Q778" s="5" t="inlineStr"/>
      <c r="R778" s="5" t="inlineStr"/>
      <c r="S778" s="5" t="inlineStr"/>
      <c r="T778" s="5" t="inlineStr"/>
      <c r="U778" s="5" t="inlineStr"/>
      <c r="V778" s="5" t="inlineStr"/>
      <c r="W778" s="5" t="inlineStr"/>
      <c r="X778" s="5" t="inlineStr"/>
      <c r="Y778" s="5" t="inlineStr"/>
      <c r="Z778" s="6" t="inlineStr"/>
    </row>
    <row r="779">
      <c r="A779" s="5" t="inlineStr">
        <is>
          <t>b7-mutfak-tadilati</t>
        </is>
      </c>
      <c r="B779" s="5" t="n">
        <v>4</v>
      </c>
      <c r="C779" s="6" t="inlineStr">
        <is>
          <t>'Belki ayrı mutfaklar, ayrı hayatlar?' de</t>
        </is>
      </c>
      <c r="D779" s="5" t="inlineStr"/>
      <c r="E779" s="5" t="inlineStr"/>
      <c r="F779" s="5" t="inlineStr">
        <is>
          <t>Cesaret +1, Pişkinlik +1</t>
        </is>
      </c>
      <c r="G779" s="6" t="inlineStr">
        <is>
          <t>Bir mutfak kararı, bir evlilik kararına dönüştü. Anlaşmalı olarak ayrıldınız. Dolaplar hiç yapılmadı.</t>
        </is>
      </c>
      <c r="H779" s="6" t="inlineStr"/>
      <c r="I779" s="6" t="inlineStr"/>
      <c r="J779" s="6" t="inlineStr"/>
      <c r="K779" s="6" t="inlineStr"/>
      <c r="L779" s="6" t="inlineStr"/>
      <c r="M779" s="5" t="inlineStr"/>
      <c r="N779" s="5" t="inlineStr"/>
      <c r="O779" s="6" t="inlineStr"/>
      <c r="P779" s="6" t="inlineStr"/>
      <c r="Q779" s="5" t="inlineStr"/>
      <c r="R779" s="5" t="inlineStr"/>
      <c r="S779" s="5" t="inlineStr"/>
      <c r="T779" s="5" t="inlineStr"/>
      <c r="U779" s="5" t="inlineStr">
        <is>
          <t>bosandi</t>
        </is>
      </c>
      <c r="V779" s="5" t="inlineStr"/>
      <c r="W779" s="5" t="inlineStr"/>
      <c r="X779" s="5" t="inlineStr">
        <is>
          <t>evli</t>
        </is>
      </c>
      <c r="Y779" s="5" t="inlineStr"/>
      <c r="Z779" s="6" t="inlineStr"/>
    </row>
    <row r="780">
      <c r="A780" s="5" t="inlineStr">
        <is>
          <t>b7-ebeveyn-grubu</t>
        </is>
      </c>
      <c r="B780" s="5" t="n">
        <v>1</v>
      </c>
      <c r="C780" s="6" t="inlineStr">
        <is>
          <t>Sadece 'Katılıyorum' yaz</t>
        </is>
      </c>
      <c r="D780" s="5" t="inlineStr"/>
      <c r="E780" s="5" t="inlineStr"/>
      <c r="F780" s="5" t="inlineStr">
        <is>
          <t>Dayanıklılık +1</t>
        </is>
      </c>
      <c r="G780" s="6" t="inlineStr">
        <is>
          <t>'Katılıyorum' yazdın. Neye katıldığını hiç öğrenmedin. Pazartesi hesabından para çekildi.</t>
        </is>
      </c>
      <c r="H780" s="6" t="inlineStr"/>
      <c r="I780" s="6" t="inlineStr"/>
      <c r="J780" s="6" t="inlineStr"/>
      <c r="K780" s="6" t="inlineStr"/>
      <c r="L780" s="6" t="inlineStr"/>
      <c r="M780" s="5" t="inlineStr"/>
      <c r="N780" s="5" t="inlineStr"/>
      <c r="O780" s="6" t="inlineStr"/>
      <c r="P780" s="6" t="inlineStr"/>
      <c r="Q780" s="5" t="inlineStr"/>
      <c r="R780" s="5" t="inlineStr"/>
      <c r="S780" s="5" t="inlineStr"/>
      <c r="T780" s="5" t="inlineStr"/>
      <c r="U780" s="5" t="inlineStr"/>
      <c r="V780" s="5" t="inlineStr"/>
      <c r="W780" s="5" t="inlineStr"/>
      <c r="X780" s="5" t="inlineStr"/>
      <c r="Y780" s="5" t="inlineStr"/>
      <c r="Z780" s="6" t="inlineStr"/>
    </row>
    <row r="781">
      <c r="A781" s="5" t="inlineStr">
        <is>
          <t>b7-ebeveyn-grubu</t>
        </is>
      </c>
      <c r="B781" s="5" t="n">
        <v>2</v>
      </c>
      <c r="C781" s="6" t="inlineStr">
        <is>
          <t>Hediye organizasyonunu üstlen</t>
        </is>
      </c>
      <c r="D781" s="5" t="inlineStr">
        <is>
          <t>Sosyal Radar</t>
        </is>
      </c>
      <c r="E781" s="5" t="inlineStr">
        <is>
          <t>Zor</t>
        </is>
      </c>
      <c r="F781" s="5" t="inlineStr"/>
      <c r="G781" s="6" t="inlineStr"/>
      <c r="H781" s="6" t="inlineStr">
        <is>
          <t>Organizasyonu yaptın, hediye alındı, herkes memnun. Grup sana teşekkür ediyor. Bir kişi hariç.</t>
        </is>
      </c>
      <c r="I781" s="6" t="inlineStr">
        <is>
          <t>Organizasyon o kadar başarılıydı ki önümüzdeki beş yılın hediyeleri sana bırakıldı. Seçim yapılmadı, atandın.</t>
        </is>
      </c>
      <c r="J781" s="6" t="inlineStr">
        <is>
          <t>Organizasyonu üstlendin. Üç kişi 'Ben vermiştim' dedi. Kimse vermemişti.</t>
        </is>
      </c>
      <c r="K781" s="6" t="inlineStr">
        <is>
          <t>Hediye alındı ama öğretmen başka bir veli grubundaki hediyenin aynısını aldı. İki grup birbirine düştü.</t>
        </is>
      </c>
      <c r="L781" s="6" t="inlineStr"/>
      <c r="M781" s="5" t="inlineStr"/>
      <c r="N781" s="5" t="inlineStr"/>
      <c r="O781" s="6" t="inlineStr"/>
      <c r="P781" s="6" t="inlineStr"/>
      <c r="Q781" s="5" t="inlineStr">
        <is>
          <t>Organizatör</t>
        </is>
      </c>
      <c r="R781" s="5" t="inlineStr"/>
      <c r="S781" s="5" t="inlineStr"/>
      <c r="T781" s="5" t="inlineStr"/>
      <c r="U781" s="5" t="inlineStr"/>
      <c r="V781" s="5" t="inlineStr"/>
      <c r="W781" s="5" t="inlineStr"/>
      <c r="X781" s="5" t="inlineStr"/>
      <c r="Y781" s="5" t="inlineStr"/>
      <c r="Z781" s="6" t="inlineStr"/>
    </row>
    <row r="782">
      <c r="A782" s="5" t="inlineStr">
        <is>
          <t>b7-ebeveyn-grubu</t>
        </is>
      </c>
      <c r="B782" s="5" t="n">
        <v>3</v>
      </c>
      <c r="C782" s="6" t="inlineStr">
        <is>
          <t>Grubu sessize al</t>
        </is>
      </c>
      <c r="D782" s="5" t="inlineStr">
        <is>
          <t>Kurnazlık</t>
        </is>
      </c>
      <c r="E782" s="5" t="inlineStr">
        <is>
          <t>Kolay</t>
        </is>
      </c>
      <c r="F782" s="5" t="inlineStr"/>
      <c r="G782" s="6" t="inlineStr"/>
      <c r="H782" s="6" t="inlineStr">
        <is>
          <t>Grubu sessize aldın. Hayat kalitende istatistiksel bir artış görüldü.</t>
        </is>
      </c>
      <c r="I782" s="6" t="inlineStr">
        <is>
          <t>Grubu sessize aldın ve kimse fark etmedi. Toplantılarda 'Aynen' diyerek var olmaya devam ediyorsun.</t>
        </is>
      </c>
      <c r="J782" s="6" t="inlineStr">
        <is>
          <t>Grubu sessize aldın. Kreş gezisinin olduğunu çocuğundan öğrendin. Sabah.</t>
        </is>
      </c>
      <c r="K782" s="6" t="inlineStr">
        <is>
          <t>Grubu sessize aldın, bir hafta sonra açtın: 'Veli temsilcimiz olarak sizi seçtik.' Oylamada yoktun.</t>
        </is>
      </c>
      <c r="L782" s="6" t="inlineStr"/>
      <c r="M782" s="5" t="inlineStr"/>
      <c r="N782" s="5" t="inlineStr"/>
      <c r="O782" s="6" t="inlineStr"/>
      <c r="P782" s="6" t="inlineStr"/>
      <c r="Q782" s="5" t="inlineStr"/>
      <c r="R782" s="5" t="inlineStr"/>
      <c r="S782" s="5" t="inlineStr"/>
      <c r="T782" s="5" t="inlineStr"/>
      <c r="U782" s="5" t="inlineStr"/>
      <c r="V782" s="5" t="inlineStr"/>
      <c r="W782" s="5" t="inlineStr"/>
      <c r="X782" s="5" t="inlineStr"/>
      <c r="Y782" s="5" t="inlineStr"/>
      <c r="Z782" s="6" t="inlineStr"/>
    </row>
    <row r="783">
      <c r="A783" s="5" t="inlineStr">
        <is>
          <t>mb-takim-ruhu</t>
        </is>
      </c>
      <c r="B783" s="5" t="n">
        <v>1</v>
      </c>
      <c r="C783" s="6" t="inlineStr">
        <is>
          <t>Güven düşüşü tatbikatına gönüllü ol</t>
        </is>
      </c>
      <c r="D783" s="5" t="inlineStr">
        <is>
          <t>Cesaret</t>
        </is>
      </c>
      <c r="E783" s="5" t="inlineStr">
        <is>
          <t>Orta</t>
        </is>
      </c>
      <c r="F783" s="5" t="inlineStr"/>
      <c r="G783" s="6" t="inlineStr"/>
      <c r="H783" s="6" t="inlineStr">
        <is>
          <t>Arkana düştün, ekip seni tuttu. Güven raporuna 'yüksek' yazıldı.</t>
        </is>
      </c>
      <c r="I783" s="6" t="inlineStr">
        <is>
          <t>Ekip seni tuttu, havaya attı. İnsan kaynakları görüntüyü tanıtım videosuna koydu.</t>
        </is>
      </c>
      <c r="J783" s="6" t="inlineStr">
        <is>
          <t>Ekip seni son anda tuttu. Güven, yüzde elli olarak raporlandı.</t>
        </is>
      </c>
      <c r="K783" s="6" t="inlineStr">
        <is>
          <t>Düştün; ekip o sırada grup fotoğrafı için dönmüştü. Fotoğrafta herkes gülümsüyor, sen yerdesin.</t>
        </is>
      </c>
      <c r="L783" s="6" t="inlineStr"/>
      <c r="M783" s="5" t="inlineStr"/>
      <c r="N783" s="5" t="inlineStr"/>
      <c r="O783" s="6" t="inlineStr"/>
      <c r="P783" s="6" t="inlineStr"/>
      <c r="Q783" s="5" t="inlineStr"/>
      <c r="R783" s="5" t="inlineStr"/>
      <c r="S783" s="5" t="inlineStr"/>
      <c r="T783" s="5" t="inlineStr"/>
      <c r="U783" s="5" t="inlineStr"/>
      <c r="V783" s="5" t="inlineStr"/>
      <c r="W783" s="5" t="inlineStr"/>
      <c r="X783" s="5" t="inlineStr"/>
      <c r="Y783" s="5" t="n">
        <v>3</v>
      </c>
      <c r="Z783" s="6" t="inlineStr">
        <is>
          <t>Şirket takım ruhu etkinliğinde, güven düşüşü tatbikatında. Ekip o sırada fotoğraf çekiliyordu.</t>
        </is>
      </c>
    </row>
    <row r="784">
      <c r="A784" s="5" t="inlineStr">
        <is>
          <t>mb-takim-ruhu</t>
        </is>
      </c>
      <c r="B784" s="5" t="n">
        <v>2</v>
      </c>
      <c r="C784" s="6" t="inlineStr">
        <is>
          <t>Sadece yemek kısmına kadar kal</t>
        </is>
      </c>
      <c r="D784" s="5" t="inlineStr"/>
      <c r="E784" s="5" t="inlineStr"/>
      <c r="F784" s="5" t="inlineStr">
        <is>
          <t>Kurnazlık +1</t>
        </is>
      </c>
      <c r="G784" s="6" t="inlineStr">
        <is>
          <t>Etkinliğe öğle yemeğinde katıldın, halat çekmeden önce kayboldun. Katılım listesinde adın var.</t>
        </is>
      </c>
      <c r="H784" s="6" t="inlineStr"/>
      <c r="I784" s="6" t="inlineStr"/>
      <c r="J784" s="6" t="inlineStr"/>
      <c r="K784" s="6" t="inlineStr"/>
      <c r="L784" s="6" t="inlineStr"/>
      <c r="M784" s="5" t="inlineStr"/>
      <c r="N784" s="5" t="inlineStr"/>
      <c r="O784" s="6" t="inlineStr"/>
      <c r="P784" s="6" t="inlineStr"/>
      <c r="Q784" s="5" t="inlineStr"/>
      <c r="R784" s="5" t="inlineStr"/>
      <c r="S784" s="5" t="inlineStr"/>
      <c r="T784" s="5" t="inlineStr"/>
      <c r="U784" s="5" t="inlineStr"/>
      <c r="V784" s="5" t="inlineStr"/>
      <c r="W784" s="5" t="inlineStr"/>
      <c r="X784" s="5" t="inlineStr"/>
      <c r="Y784" s="5" t="inlineStr"/>
      <c r="Z784" s="6" t="inlineStr"/>
    </row>
    <row r="785">
      <c r="A785" s="5" t="inlineStr">
        <is>
          <t>mb-takim-ruhu</t>
        </is>
      </c>
      <c r="B785" s="5" t="n">
        <v>3</v>
      </c>
      <c r="C785" s="6" t="inlineStr">
        <is>
          <t>Dans yarışmasına katıl</t>
        </is>
      </c>
      <c r="D785" s="5" t="inlineStr">
        <is>
          <t>Pişkinlik</t>
        </is>
      </c>
      <c r="E785" s="5" t="inlineStr">
        <is>
          <t>Kolay</t>
        </is>
      </c>
      <c r="F785" s="5" t="inlineStr"/>
      <c r="G785" s="6" t="inlineStr"/>
      <c r="H785" s="6" t="inlineStr">
        <is>
          <t>Dans ettin, alkış aldın. Pazartesi herkes sana biraz farklı bakıyor. İyi anlamda.</t>
        </is>
      </c>
      <c r="I785" s="6" t="inlineStr">
        <is>
          <t>Dans yarışmasını kazandın. Ödül: genel müdürle öğle yemeği ve bir kupa. Kupa daha samimiydi.</t>
        </is>
      </c>
      <c r="J785" s="6" t="inlineStr">
        <is>
          <t>Dans ettin; ekip videoyu kurumsal mesaj grubuna attı. Grup susmadı.</t>
        </is>
      </c>
      <c r="K785" s="6" t="inlineStr">
        <is>
          <t>Dans ederken muhasebe müdürünün ayağına bastın. Masraf onayların yavaşladı.</t>
        </is>
      </c>
      <c r="L785" s="6" t="inlineStr"/>
      <c r="M785" s="5" t="inlineStr"/>
      <c r="N785" s="5" t="inlineStr"/>
      <c r="O785" s="6" t="inlineStr"/>
      <c r="P785" s="6" t="inlineStr"/>
      <c r="Q785" s="5" t="inlineStr">
        <is>
          <t>Sahne Sever</t>
        </is>
      </c>
      <c r="R785" s="5" t="inlineStr"/>
      <c r="S785" s="5" t="inlineStr"/>
      <c r="T785" s="5" t="inlineStr"/>
      <c r="U785" s="5" t="inlineStr"/>
      <c r="V785" s="5" t="inlineStr"/>
      <c r="W785" s="5" t="inlineStr"/>
      <c r="X785" s="5" t="inlineStr"/>
      <c r="Y785" s="5" t="inlineStr"/>
      <c r="Z785" s="6" t="inlineStr"/>
    </row>
    <row r="786">
      <c r="A786" s="5" t="inlineStr">
        <is>
          <t>mb-takim-ruhu</t>
        </is>
      </c>
      <c r="B786" s="5" t="n">
        <v>4</v>
      </c>
      <c r="C786" s="6" t="inlineStr">
        <is>
          <t>Katılma</t>
        </is>
      </c>
      <c r="D786" s="5" t="inlineStr"/>
      <c r="E786" s="5" t="inlineStr"/>
      <c r="F786" s="5" t="inlineStr">
        <is>
          <t>Dayanıklılık +1</t>
        </is>
      </c>
      <c r="G786" s="6" t="inlineStr">
        <is>
          <t>Katılmadın. Pazartesi herkes aynı iç şakaya güldü. Dışarıda kaldın ama sırtın sağlam.</t>
        </is>
      </c>
      <c r="H786" s="6" t="inlineStr"/>
      <c r="I786" s="6" t="inlineStr"/>
      <c r="J786" s="6" t="inlineStr"/>
      <c r="K786" s="6" t="inlineStr"/>
      <c r="L786" s="6" t="inlineStr"/>
      <c r="M786" s="5" t="inlineStr"/>
      <c r="N786" s="5" t="inlineStr"/>
      <c r="O786" s="6" t="inlineStr"/>
      <c r="P786" s="6" t="inlineStr"/>
      <c r="Q786" s="5" t="inlineStr"/>
      <c r="R786" s="5" t="inlineStr"/>
      <c r="S786" s="5" t="inlineStr"/>
      <c r="T786" s="5" t="inlineStr"/>
      <c r="U786" s="5" t="inlineStr"/>
      <c r="V786" s="5" t="inlineStr"/>
      <c r="W786" s="5" t="inlineStr"/>
      <c r="X786" s="5" t="inlineStr"/>
      <c r="Y786" s="5" t="inlineStr"/>
      <c r="Z786" s="6" t="inlineStr"/>
    </row>
    <row r="787">
      <c r="A787" s="5" t="inlineStr">
        <is>
          <t>me-indirim-sezonu</t>
        </is>
      </c>
      <c r="B787" s="5" t="n">
        <v>1</v>
      </c>
      <c r="C787" s="6" t="inlineStr">
        <is>
          <t>Pazarlıkçı müşteriye sat</t>
        </is>
      </c>
      <c r="D787" s="5" t="inlineStr">
        <is>
          <t>Çene</t>
        </is>
      </c>
      <c r="E787" s="5" t="inlineStr">
        <is>
          <t>Orta</t>
        </is>
      </c>
      <c r="F787" s="5" t="inlineStr"/>
      <c r="G787" s="6" t="inlineStr"/>
      <c r="H787" s="6" t="inlineStr">
        <is>
          <t>İyi fiyattan sattın. Müşteri de indirim yakaladığına inanarak çıktı. Herkes kazandı; sen biraz fazla.</t>
        </is>
      </c>
      <c r="I787" s="6" t="inlineStr">
        <is>
          <t>Pazarlık bitince müşteri bir tane daha aldı. Sonra annesi için bir tane daha. Stok bitti, hikâyen tuttu.</t>
        </is>
      </c>
      <c r="J787" s="6" t="inlineStr">
        <is>
          <t>Müşteri 'Karşıda daha ucuzu var' dedi. Yoktu. Ama ikiniz de bakmaya gittiniz.</t>
        </is>
      </c>
      <c r="K787" s="6" t="inlineStr">
        <is>
          <t>O kadar indin ki malın yanında müşteriye bir de poşet parası ödedin.</t>
        </is>
      </c>
      <c r="L787" s="6" t="inlineStr">
        <is>
          <t>Sattın. Kâr, sezonun geri kalanı kadar ince.</t>
        </is>
      </c>
      <c r="M787" s="5" t="inlineStr">
        <is>
          <t>bargain</t>
        </is>
      </c>
      <c r="N787" s="5" t="inlineStr">
        <is>
          <t>Sezon Sonu Pazarlığı</t>
        </is>
      </c>
      <c r="O787" s="6" t="inlineStr">
        <is>
          <t>Müşterinin sabrı bitmeden fiyatı olabildiğince yukarıda tut. 'Son fiyat' en az üç kez söylenir.</t>
        </is>
      </c>
      <c r="P787" s="6" t="inlineStr">
        <is>
          <t>{"item": "sezon sonu mal", "mode": "sell"}</t>
        </is>
      </c>
      <c r="Q787" s="5" t="inlineStr"/>
      <c r="R787" s="5" t="inlineStr"/>
      <c r="S787" s="5" t="inlineStr"/>
      <c r="T787" s="5" t="inlineStr"/>
      <c r="U787" s="5" t="inlineStr"/>
      <c r="V787" s="5" t="inlineStr"/>
      <c r="W787" s="5" t="inlineStr"/>
      <c r="X787" s="5" t="inlineStr"/>
      <c r="Y787" s="5" t="inlineStr"/>
      <c r="Z787" s="6" t="inlineStr"/>
    </row>
    <row r="788">
      <c r="A788" s="5" t="inlineStr">
        <is>
          <t>me-indirim-sezonu</t>
        </is>
      </c>
      <c r="B788" s="5" t="n">
        <v>2</v>
      </c>
      <c r="C788" s="6" t="inlineStr">
        <is>
          <t>En üst raftaki son malı indir</t>
        </is>
      </c>
      <c r="D788" s="5" t="inlineStr">
        <is>
          <t>Dayanıklılık</t>
        </is>
      </c>
      <c r="E788" s="5" t="inlineStr">
        <is>
          <t>Orta</t>
        </is>
      </c>
      <c r="F788" s="5" t="inlineStr"/>
      <c r="G788" s="6" t="inlineStr"/>
      <c r="H788" s="6" t="inlineStr">
        <is>
          <t>Merdivene çıktın, malı indirdin, sattın. Sezonun kahramanı sensin.</t>
        </is>
      </c>
      <c r="I788" s="6" t="inlineStr">
        <is>
          <t>Rafın arkasında unutulmuş bir koli buldun. Tamamı satıldı; sezon ikinci kez açıldı.</t>
        </is>
      </c>
      <c r="J788" s="6" t="inlineStr">
        <is>
          <t>Mal indi, merdiven de indi. Malı yerden aldın.</t>
        </is>
      </c>
      <c r="K788" s="6" t="inlineStr">
        <is>
          <t>Malı indirdin; müşteri 'Başka rengi yok mu?' dedi. Başka rengi de en üst rafta.</t>
        </is>
      </c>
      <c r="L788" s="6" t="inlineStr"/>
      <c r="M788" s="5" t="inlineStr"/>
      <c r="N788" s="5" t="inlineStr"/>
      <c r="O788" s="6" t="inlineStr"/>
      <c r="P788" s="6" t="inlineStr"/>
      <c r="Q788" s="5" t="inlineStr"/>
      <c r="R788" s="5" t="inlineStr"/>
      <c r="S788" s="5" t="inlineStr"/>
      <c r="T788" s="5" t="inlineStr"/>
      <c r="U788" s="5" t="inlineStr"/>
      <c r="V788" s="5" t="inlineStr"/>
      <c r="W788" s="5" t="inlineStr"/>
      <c r="X788" s="5" t="inlineStr"/>
      <c r="Y788" s="5" t="n">
        <v>3</v>
      </c>
      <c r="Z788" s="6" t="inlineStr">
        <is>
          <t>İndirim sezonunda, en üst rafa uzanırken. Ürün hâlâ yüzde elli indirimde.</t>
        </is>
      </c>
    </row>
    <row r="789">
      <c r="A789" s="5" t="inlineStr">
        <is>
          <t>me-indirim-sezonu</t>
        </is>
      </c>
      <c r="B789" s="5" t="n">
        <v>3</v>
      </c>
      <c r="C789" s="6" t="inlineStr">
        <is>
          <t>Cama 'Stok sınırlı' yaz</t>
        </is>
      </c>
      <c r="D789" s="5" t="inlineStr">
        <is>
          <t>Kurnazlık</t>
        </is>
      </c>
      <c r="E789" s="5" t="inlineStr">
        <is>
          <t>Kolay</t>
        </is>
      </c>
      <c r="F789" s="5" t="inlineStr"/>
      <c r="G789" s="6" t="inlineStr"/>
      <c r="H789" s="6" t="inlineStr">
        <is>
          <t>'Stok sınırlı' yazdın. Stok sınırlı değildi. Kuyruk ise kapıya kadardı.</t>
        </is>
      </c>
      <c r="I789" s="6" t="inlineStr">
        <is>
          <t>Müşteriler sınırlı stoku sınırsız aldı. Limonata tezgâhından beri bu kadar kuyruk görmemiştin.</t>
        </is>
      </c>
      <c r="J789" s="6" t="inlineStr">
        <is>
          <t>Mahalle 'O zaman sonra geliriz' dedi. Mantığı kimse açıklayamadı.</t>
        </is>
      </c>
      <c r="K789" s="6" t="inlineStr">
        <is>
          <t>Tabelayı gören zabıta sınırlı stoğun belgesini istedi. Stoku saymak iki gün sürdü.</t>
        </is>
      </c>
      <c r="L789" s="6" t="inlineStr"/>
      <c r="M789" s="5" t="inlineStr"/>
      <c r="N789" s="5" t="inlineStr"/>
      <c r="O789" s="6" t="inlineStr"/>
      <c r="P789" s="6" t="inlineStr"/>
      <c r="Q789" s="5" t="inlineStr">
        <is>
          <t>Limonata Baronu</t>
        </is>
      </c>
      <c r="R789" s="5" t="inlineStr"/>
      <c r="S789" s="5" t="inlineStr"/>
      <c r="T789" s="5" t="inlineStr"/>
      <c r="U789" s="5" t="inlineStr"/>
      <c r="V789" s="5" t="inlineStr"/>
      <c r="W789" s="5" t="inlineStr"/>
      <c r="X789" s="5" t="inlineStr"/>
      <c r="Y789" s="5" t="inlineStr"/>
      <c r="Z789" s="6" t="inlineStr"/>
    </row>
    <row r="790">
      <c r="A790" s="5" t="inlineStr">
        <is>
          <t>me-indirim-sezonu</t>
        </is>
      </c>
      <c r="B790" s="5" t="n">
        <v>4</v>
      </c>
      <c r="C790" s="6" t="inlineStr">
        <is>
          <t>İndirim yapma, sabret</t>
        </is>
      </c>
      <c r="D790" s="5" t="inlineStr"/>
      <c r="E790" s="5" t="inlineStr"/>
      <c r="F790" s="5" t="inlineStr">
        <is>
          <t>Vicdan +1, Dayanıklılık +1</t>
        </is>
      </c>
      <c r="G790" s="6" t="inlineStr">
        <is>
          <t>Etiketlere dokunmadın. Sezon bitti, mallar rafta. Gelecek sezona 'klasik' olarak girecekler.</t>
        </is>
      </c>
      <c r="H790" s="6" t="inlineStr"/>
      <c r="I790" s="6" t="inlineStr"/>
      <c r="J790" s="6" t="inlineStr"/>
      <c r="K790" s="6" t="inlineStr"/>
      <c r="L790" s="6" t="inlineStr"/>
      <c r="M790" s="5" t="inlineStr"/>
      <c r="N790" s="5" t="inlineStr"/>
      <c r="O790" s="6" t="inlineStr"/>
      <c r="P790" s="6" t="inlineStr"/>
      <c r="Q790" s="5" t="inlineStr"/>
      <c r="R790" s="5" t="inlineStr"/>
      <c r="S790" s="5" t="inlineStr"/>
      <c r="T790" s="5" t="inlineStr"/>
      <c r="U790" s="5" t="inlineStr"/>
      <c r="V790" s="5" t="inlineStr"/>
      <c r="W790" s="5" t="inlineStr"/>
      <c r="X790" s="5" t="inlineStr"/>
      <c r="Y790" s="5" t="inlineStr"/>
      <c r="Z790" s="6" t="inlineStr"/>
    </row>
    <row r="791">
      <c r="A791" s="5" t="inlineStr">
        <is>
          <t>b7-borc-batagi</t>
        </is>
      </c>
      <c r="B791" s="5" t="n">
        <v>1</v>
      </c>
      <c r="C791" s="6" t="inlineStr">
        <is>
          <t>Tamamını öde</t>
        </is>
      </c>
      <c r="D791" s="5" t="inlineStr"/>
      <c r="E791" s="5" t="inlineStr"/>
      <c r="F791" s="5" t="inlineStr">
        <is>
          <t>Vicdan +1, Akıl +1</t>
        </is>
      </c>
      <c r="G791" s="6" t="inlineStr">
        <is>
          <t>Borcu kapattın. Hesap bakiyesi de kapandı. Ay sonuna kadar sadece evdeki makarnayı yediniz.</t>
        </is>
      </c>
      <c r="H791" s="6" t="inlineStr"/>
      <c r="I791" s="6" t="inlineStr"/>
      <c r="J791" s="6" t="inlineStr"/>
      <c r="K791" s="6" t="inlineStr"/>
      <c r="L791" s="6" t="inlineStr"/>
      <c r="M791" s="5" t="inlineStr"/>
      <c r="N791" s="5" t="inlineStr"/>
      <c r="O791" s="6" t="inlineStr"/>
      <c r="P791" s="6" t="inlineStr"/>
      <c r="Q791" s="5" t="inlineStr"/>
      <c r="R791" s="5" t="inlineStr"/>
      <c r="S791" s="5" t="inlineStr"/>
      <c r="T791" s="5" t="inlineStr"/>
      <c r="U791" s="5" t="inlineStr"/>
      <c r="V791" s="5" t="inlineStr"/>
      <c r="W791" s="5" t="inlineStr"/>
      <c r="X791" s="5" t="inlineStr"/>
      <c r="Y791" s="5" t="inlineStr"/>
      <c r="Z791" s="6" t="inlineStr"/>
    </row>
    <row r="792">
      <c r="A792" s="5" t="inlineStr">
        <is>
          <t>b7-borc-batagi</t>
        </is>
      </c>
      <c r="B792" s="5" t="n">
        <v>2</v>
      </c>
      <c r="C792" s="6" t="inlineStr">
        <is>
          <t>Asgariyi öde</t>
        </is>
      </c>
      <c r="D792" s="5" t="inlineStr"/>
      <c r="E792" s="5" t="inlineStr"/>
      <c r="F792" s="5" t="inlineStr">
        <is>
          <t>Kurnazlık +1</t>
        </is>
      </c>
      <c r="G792" s="6" t="inlineStr">
        <is>
          <t>Asgariyi ödedin. Faiz tablosu seni yakın bir arkadaş olarak kaydetti.</t>
        </is>
      </c>
      <c r="H792" s="6" t="inlineStr"/>
      <c r="I792" s="6" t="inlineStr"/>
      <c r="J792" s="6" t="inlineStr"/>
      <c r="K792" s="6" t="inlineStr"/>
      <c r="L792" s="6" t="inlineStr"/>
      <c r="M792" s="5" t="inlineStr"/>
      <c r="N792" s="5" t="inlineStr"/>
      <c r="O792" s="6" t="inlineStr"/>
      <c r="P792" s="6" t="inlineStr"/>
      <c r="Q792" s="5" t="inlineStr"/>
      <c r="R792" s="5" t="inlineStr"/>
      <c r="S792" s="5" t="inlineStr"/>
      <c r="T792" s="5" t="inlineStr"/>
      <c r="U792" s="5" t="inlineStr">
        <is>
          <t>borclu</t>
        </is>
      </c>
      <c r="V792" s="5" t="inlineStr"/>
      <c r="W792" s="5" t="inlineStr"/>
      <c r="X792" s="5" t="inlineStr"/>
      <c r="Y792" s="5" t="inlineStr"/>
      <c r="Z792" s="6" t="inlineStr"/>
    </row>
    <row r="793">
      <c r="A793" s="5" t="inlineStr">
        <is>
          <t>b7-borc-batagi</t>
        </is>
      </c>
      <c r="B793" s="5" t="n">
        <v>3</v>
      </c>
      <c r="C793" s="6" t="inlineStr">
        <is>
          <t>Kartla kartı öde</t>
        </is>
      </c>
      <c r="D793" s="5" t="inlineStr">
        <is>
          <t>Kurnazlık</t>
        </is>
      </c>
      <c r="E793" s="5" t="inlineStr">
        <is>
          <t>Zor</t>
        </is>
      </c>
      <c r="F793" s="5" t="inlineStr"/>
      <c r="G793" s="6" t="inlineStr"/>
      <c r="H793" s="6" t="inlineStr">
        <is>
          <t>Bir karttan diğerine borç aktardın. Borç hareket etti, sen de. Ay kurtarıldı.</t>
        </is>
      </c>
      <c r="I793" s="6" t="inlineStr">
        <is>
          <t>Borcu üç kart arasında o kadar ustalıkla dolaştırdın ki banka seni fark etmeden bir kampanya daha tanımladı.</t>
        </is>
      </c>
      <c r="J793" s="6" t="inlineStr">
        <is>
          <t>Transfer sırasında bir karta limit düştü. Borç şimdi iki yerde, iki kat.</t>
        </is>
      </c>
      <c r="K793" s="6" t="inlineStr">
        <is>
          <t>Kartları birbirine öyle bağladın ki hangi kartın hangisini ödediği bilinmiyor. Bankanın bile bir tablosu yok.</t>
        </is>
      </c>
      <c r="L793" s="6" t="inlineStr"/>
      <c r="M793" s="5" t="inlineStr"/>
      <c r="N793" s="5" t="inlineStr"/>
      <c r="O793" s="6" t="inlineStr"/>
      <c r="P793" s="6" t="inlineStr"/>
      <c r="Q793" s="5" t="inlineStr"/>
      <c r="R793" s="5" t="inlineStr"/>
      <c r="S793" s="5" t="inlineStr"/>
      <c r="T793" s="5" t="inlineStr"/>
      <c r="U793" s="5" t="inlineStr"/>
      <c r="V793" s="5" t="inlineStr"/>
      <c r="W793" s="5" t="inlineStr">
        <is>
          <t>borclu</t>
        </is>
      </c>
      <c r="X793" s="5" t="inlineStr"/>
      <c r="Y793" s="5" t="inlineStr"/>
      <c r="Z793" s="6" t="inlineStr"/>
    </row>
    <row r="794">
      <c r="A794" s="5" t="inlineStr">
        <is>
          <t>b7-borc-batagi</t>
        </is>
      </c>
      <c r="B794" s="5" t="n">
        <v>4</v>
      </c>
      <c r="C794" s="6" t="inlineStr">
        <is>
          <t>Yastık altındaki dövizi boz</t>
        </is>
      </c>
      <c r="D794" s="5" t="inlineStr">
        <is>
          <t>Akıl</t>
        </is>
      </c>
      <c r="E794" s="5" t="inlineStr">
        <is>
          <t>Kolay</t>
        </is>
      </c>
      <c r="F794" s="5" t="inlineStr"/>
      <c r="G794" s="6" t="inlineStr"/>
      <c r="H794" s="6" t="inlineStr">
        <is>
          <t>Yastık altı birikim çıktı, borç kapandı. Yastık hafifledi ama uyku düzeldi.</t>
        </is>
      </c>
      <c r="I794" s="6" t="inlineStr">
        <is>
          <t>Tam kur yükselirken bozdun. Borç kapandı, üstüne bir tatil çıktı. Yastık seni gururla izliyor.</t>
        </is>
      </c>
      <c r="J794" s="6" t="inlineStr">
        <is>
          <t>Tam kur düştüğünde bozdun. Borç kapandı, yastık boş, ders alındı.</t>
        </is>
      </c>
      <c r="K794" s="6" t="inlineStr">
        <is>
          <t>Yastığın altında sadece eski bir makbuz çıktı. Birikimi geçen yıl başka bir borca kullanmışsın.</t>
        </is>
      </c>
      <c r="L794" s="6" t="inlineStr"/>
      <c r="M794" s="5" t="inlineStr"/>
      <c r="N794" s="5" t="inlineStr"/>
      <c r="O794" s="6" t="inlineStr"/>
      <c r="P794" s="6" t="inlineStr"/>
      <c r="Q794" s="5" t="inlineStr">
        <is>
          <t>Yastık Altı Ekonomisti</t>
        </is>
      </c>
      <c r="R794" s="5" t="inlineStr"/>
      <c r="S794" s="5" t="inlineStr"/>
      <c r="T794" s="5" t="inlineStr"/>
      <c r="U794" s="5" t="inlineStr"/>
      <c r="V794" s="5" t="inlineStr"/>
      <c r="W794" s="5" t="inlineStr"/>
      <c r="X794" s="5" t="inlineStr"/>
      <c r="Y794" s="5" t="inlineStr"/>
      <c r="Z794" s="6" t="inlineStr"/>
    </row>
    <row r="795">
      <c r="A795" s="5" t="inlineStr">
        <is>
          <t>b7-dogum-gunu-partisi</t>
        </is>
      </c>
      <c r="B795" s="5" t="n">
        <v>1</v>
      </c>
      <c r="C795" s="6" t="inlineStr">
        <is>
          <t>Evde, sade bir pasta</t>
        </is>
      </c>
      <c r="D795" s="5" t="inlineStr"/>
      <c r="E795" s="5" t="inlineStr"/>
      <c r="F795" s="5" t="inlineStr">
        <is>
          <t>Vicdan +1</t>
        </is>
      </c>
      <c r="G795" s="6" t="inlineStr">
        <is>
          <t>Evde pasta kestiniz. Çocuğun çok mutluydu. Diğer veliler bunu 'cesur bir tercih' diye yorumladı.</t>
        </is>
      </c>
      <c r="H795" s="6" t="inlineStr"/>
      <c r="I795" s="6" t="inlineStr"/>
      <c r="J795" s="6" t="inlineStr"/>
      <c r="K795" s="6" t="inlineStr"/>
      <c r="L795" s="6" t="inlineStr"/>
      <c r="M795" s="5" t="inlineStr"/>
      <c r="N795" s="5" t="inlineStr"/>
      <c r="O795" s="6" t="inlineStr"/>
      <c r="P795" s="6" t="inlineStr"/>
      <c r="Q795" s="5" t="inlineStr"/>
      <c r="R795" s="5" t="inlineStr"/>
      <c r="S795" s="5" t="inlineStr"/>
      <c r="T795" s="5" t="inlineStr"/>
      <c r="U795" s="5" t="inlineStr"/>
      <c r="V795" s="5" t="inlineStr"/>
      <c r="W795" s="5" t="inlineStr"/>
      <c r="X795" s="5" t="inlineStr"/>
      <c r="Y795" s="5" t="inlineStr"/>
      <c r="Z795" s="6" t="inlineStr"/>
    </row>
    <row r="796">
      <c r="A796" s="5" t="inlineStr">
        <is>
          <t>b7-dogum-gunu-partisi</t>
        </is>
      </c>
      <c r="B796" s="5" t="n">
        <v>2</v>
      </c>
      <c r="C796" s="6" t="inlineStr">
        <is>
          <t>Büyük bir parti organize et</t>
        </is>
      </c>
      <c r="D796" s="5" t="inlineStr">
        <is>
          <t>Sosyal Radar</t>
        </is>
      </c>
      <c r="E796" s="5" t="inlineStr">
        <is>
          <t>Zor</t>
        </is>
      </c>
      <c r="F796" s="5" t="inlineStr"/>
      <c r="G796" s="6" t="inlineStr"/>
      <c r="H796" s="6" t="inlineStr">
        <is>
          <t>Parti harika geçti. Uzay temalı kurabiyeler bile vardı. Veli grubunda 'Nasıl yaptınız?' soruları.</t>
        </is>
      </c>
      <c r="I796" s="6" t="inlineStr">
        <is>
          <t>Parti o kadar başarılı oldu ki başka veliler seni organizasyon için tutmak istedi. Bir yan iş fırsatı doğdu.</t>
        </is>
      </c>
      <c r="J796" s="6" t="inlineStr">
        <is>
          <t>Uzay kostümü gelmedi. Çocuk astronot yerine 'gezegen' oldu.</t>
        </is>
      </c>
      <c r="K796" s="6" t="inlineStr">
        <is>
          <t>Köpük makinesi kontrolden çıktı. Parkın yarısı köpük altında. Belediye aradı.</t>
        </is>
      </c>
      <c r="L796" s="6" t="inlineStr"/>
      <c r="M796" s="5" t="inlineStr"/>
      <c r="N796" s="5" t="inlineStr"/>
      <c r="O796" s="6" t="inlineStr"/>
      <c r="P796" s="6" t="inlineStr"/>
      <c r="Q796" s="5" t="inlineStr"/>
      <c r="R796" s="5" t="inlineStr"/>
      <c r="S796" s="5" t="inlineStr"/>
      <c r="T796" s="5" t="inlineStr"/>
      <c r="U796" s="5" t="inlineStr"/>
      <c r="V796" s="5" t="inlineStr"/>
      <c r="W796" s="5" t="inlineStr"/>
      <c r="X796" s="5" t="inlineStr"/>
      <c r="Y796" s="5" t="inlineStr"/>
      <c r="Z796" s="6" t="inlineStr"/>
    </row>
    <row r="797">
      <c r="A797" s="5" t="inlineStr">
        <is>
          <t>b7-dogum-gunu-partisi</t>
        </is>
      </c>
      <c r="B797" s="5" t="n">
        <v>3</v>
      </c>
      <c r="C797" s="6" t="inlineStr">
        <is>
          <t>Doğum günü hediyelerini düğün takı defteri gibi kaydet</t>
        </is>
      </c>
      <c r="D797" s="5" t="inlineStr">
        <is>
          <t>Akıl</t>
        </is>
      </c>
      <c r="E797" s="5" t="inlineStr">
        <is>
          <t>Kolay</t>
        </is>
      </c>
      <c r="F797" s="5" t="inlineStr"/>
      <c r="G797" s="6" t="inlineStr"/>
      <c r="H797" s="6" t="inlineStr">
        <is>
          <t>Her hediyeyi kaydettin. Önümüzdeki partilerde karşılık vermek artık bir sistem.</t>
        </is>
      </c>
      <c r="I797" s="6" t="inlineStr">
        <is>
          <t>Kayıt sisteminle diğer velilerin hediye kalitelerini sıraladın. Grupta bir 'hediye endeksi' kuruldu.</t>
        </is>
      </c>
      <c r="J797" s="6" t="inlineStr">
        <is>
          <t>Kaydederken çocuğun hediyelerin yarısını açtı. Kimin ne getirdiği bilinmiyor.</t>
        </is>
      </c>
      <c r="K797" s="6" t="inlineStr">
        <is>
          <t>Defteri yanlışlıkla veli grubuna gönderdin. İçinde fiyat notları da vardı.</t>
        </is>
      </c>
      <c r="L797" s="6" t="inlineStr"/>
      <c r="M797" s="5" t="inlineStr"/>
      <c r="N797" s="5" t="inlineStr"/>
      <c r="O797" s="6" t="inlineStr"/>
      <c r="P797" s="6" t="inlineStr"/>
      <c r="Q797" s="5" t="inlineStr"/>
      <c r="R797" s="5" t="inlineStr">
        <is>
          <t>taki-defteri</t>
        </is>
      </c>
      <c r="S797" s="5" t="inlineStr"/>
      <c r="T797" s="5" t="inlineStr"/>
      <c r="U797" s="5" t="inlineStr"/>
      <c r="V797" s="5" t="inlineStr"/>
      <c r="W797" s="5" t="inlineStr"/>
      <c r="X797" s="5" t="inlineStr"/>
      <c r="Y797" s="5" t="inlineStr"/>
      <c r="Z797" s="6" t="inlineStr"/>
    </row>
    <row r="798">
      <c r="A798" s="5" t="inlineStr">
        <is>
          <t>mm-kurum-piknigi</t>
        </is>
      </c>
      <c r="B798" s="5" t="n">
        <v>1</v>
      </c>
      <c r="C798" s="6" t="inlineStr">
        <is>
          <t>Halat çekme finaline gir</t>
        </is>
      </c>
      <c r="D798" s="5" t="inlineStr">
        <is>
          <t>Dayanıklılık</t>
        </is>
      </c>
      <c r="E798" s="5" t="inlineStr">
        <is>
          <t>Zor</t>
        </is>
      </c>
      <c r="F798" s="5" t="inlineStr"/>
      <c r="G798" s="6" t="inlineStr"/>
      <c r="H798" s="6" t="inlineStr">
        <is>
          <t>Takımın kazandı. Kupa bir yıl biriminizin dolabında duracak; dolabın anahtarı kayıp.</t>
        </is>
      </c>
      <c r="I798" s="6" t="inlineStr">
        <is>
          <t>Takımı sen taşıdın. 'Yılın Bileği' ilan edildin; unvan performans formuna işlendi.</t>
        </is>
      </c>
      <c r="J798" s="6" t="inlineStr">
        <is>
          <t>Halat elinden kaydı, takım çime oturdu. Fotoğraf kurum bülteninde çıktı.</t>
        </is>
      </c>
      <c r="K798" s="6" t="inlineStr">
        <is>
          <t>Halatı bıraktığın an karşı takım geriye düştü. Kazandınız; müdür çamura oturdu.</t>
        </is>
      </c>
      <c r="L798" s="6" t="inlineStr"/>
      <c r="M798" s="5" t="inlineStr"/>
      <c r="N798" s="5" t="inlineStr"/>
      <c r="O798" s="6" t="inlineStr"/>
      <c r="P798" s="6" t="inlineStr"/>
      <c r="Q798" s="5" t="inlineStr"/>
      <c r="R798" s="5" t="inlineStr"/>
      <c r="S798" s="5" t="inlineStr"/>
      <c r="T798" s="5" t="inlineStr"/>
      <c r="U798" s="5" t="inlineStr"/>
      <c r="V798" s="5" t="inlineStr"/>
      <c r="W798" s="5" t="inlineStr">
        <is>
          <t>memur-mudur-dusmani</t>
        </is>
      </c>
      <c r="X798" s="5" t="inlineStr"/>
      <c r="Y798" s="5" t="n">
        <v>3</v>
      </c>
      <c r="Z798" s="6" t="inlineStr">
        <is>
          <t>Kurum pikniğinde, halat çekme finalinde. Takımı ikinci oldu.</t>
        </is>
      </c>
    </row>
    <row r="799">
      <c r="A799" s="5" t="inlineStr">
        <is>
          <t>mm-kurum-piknigi</t>
        </is>
      </c>
      <c r="B799" s="5" t="n">
        <v>2</v>
      </c>
      <c r="C799" s="6" t="inlineStr">
        <is>
          <t>Mangalın başına geç</t>
        </is>
      </c>
      <c r="D799" s="5" t="inlineStr"/>
      <c r="E799" s="5" t="inlineStr"/>
      <c r="F799" s="5" t="inlineStr">
        <is>
          <t>Sosyal Radar +1, Çene +1</t>
        </is>
      </c>
      <c r="G799" s="6" t="inlineStr">
        <is>
          <t>Köfteleri rütbeye göre değil, sıraya göre dağıttın. Kurum tarihindeki en büyük reform.</t>
        </is>
      </c>
      <c r="H799" s="6" t="inlineStr"/>
      <c r="I799" s="6" t="inlineStr"/>
      <c r="J799" s="6" t="inlineStr"/>
      <c r="K799" s="6" t="inlineStr"/>
      <c r="L799" s="6" t="inlineStr"/>
      <c r="M799" s="5" t="inlineStr"/>
      <c r="N799" s="5" t="inlineStr"/>
      <c r="O799" s="6" t="inlineStr"/>
      <c r="P799" s="6" t="inlineStr"/>
      <c r="Q799" s="5" t="inlineStr"/>
      <c r="R799" s="5" t="inlineStr"/>
      <c r="S799" s="5" t="inlineStr"/>
      <c r="T799" s="5" t="inlineStr"/>
      <c r="U799" s="5" t="inlineStr"/>
      <c r="V799" s="5" t="inlineStr"/>
      <c r="W799" s="5" t="inlineStr"/>
      <c r="X799" s="5" t="inlineStr"/>
      <c r="Y799" s="5" t="inlineStr"/>
      <c r="Z799" s="6" t="inlineStr"/>
    </row>
    <row r="800">
      <c r="A800" s="5" t="inlineStr">
        <is>
          <t>mm-kurum-piknigi</t>
        </is>
      </c>
      <c r="B800" s="5" t="n">
        <v>3</v>
      </c>
      <c r="C800" s="6" t="inlineStr">
        <is>
          <t>Pikniği baştan organize et</t>
        </is>
      </c>
      <c r="D800" s="5" t="inlineStr">
        <is>
          <t>Sosyal Radar</t>
        </is>
      </c>
      <c r="E800" s="5" t="inlineStr">
        <is>
          <t>Kolay</t>
        </is>
      </c>
      <c r="F800" s="5" t="inlineStr"/>
      <c r="G800" s="6" t="inlineStr"/>
      <c r="H800" s="6" t="inlineStr">
        <is>
          <t>Servis saati, mangal nöbeti, oyun fikstürü. Yıllar sonra ilk kez kimse kimseye küsmedi.</t>
        </is>
      </c>
      <c r="I800" s="6" t="inlineStr">
        <is>
          <t>Piknik o kadar düzenliydi ki müdürlük seni 'Sosyal Faaliyetler Sorumlusu' yaptı. Maaş aynı, iş iki kat.</t>
        </is>
      </c>
      <c r="J800" s="6" t="inlineStr">
        <is>
          <t>Fikstürü mükemmel hazırladın. Yağmur fikstüre bakmadı.</t>
        </is>
      </c>
      <c r="K800" s="6" t="inlineStr">
        <is>
          <t>Servisleri yanlış parka yönlendirdin. Kurum pikniği başka bir kurumun pikniğiyle birleşti. İki kurum hâlâ yazışıyor.</t>
        </is>
      </c>
      <c r="L800" s="6" t="inlineStr"/>
      <c r="M800" s="5" t="inlineStr"/>
      <c r="N800" s="5" t="inlineStr"/>
      <c r="O800" s="6" t="inlineStr"/>
      <c r="P800" s="6" t="inlineStr"/>
      <c r="Q800" s="5" t="inlineStr">
        <is>
          <t>Organizatör</t>
        </is>
      </c>
      <c r="R800" s="5" t="inlineStr"/>
      <c r="S800" s="5" t="inlineStr"/>
      <c r="T800" s="5" t="inlineStr"/>
      <c r="U800" s="5" t="inlineStr"/>
      <c r="V800" s="5" t="inlineStr"/>
      <c r="W800" s="5" t="inlineStr"/>
      <c r="X800" s="5" t="inlineStr"/>
      <c r="Y800" s="5" t="inlineStr"/>
      <c r="Z800" s="6" t="inlineStr"/>
    </row>
    <row r="801">
      <c r="A801" s="5" t="inlineStr">
        <is>
          <t>mm-kurum-piknigi</t>
        </is>
      </c>
      <c r="B801" s="5" t="n">
        <v>4</v>
      </c>
      <c r="C801" s="6" t="inlineStr">
        <is>
          <t>Müdürü kendi takımına al</t>
        </is>
      </c>
      <c r="D801" s="5" t="inlineStr">
        <is>
          <t>Çene</t>
        </is>
      </c>
      <c r="E801" s="5" t="inlineStr">
        <is>
          <t>Zor</t>
        </is>
      </c>
      <c r="F801" s="5" t="inlineStr"/>
      <c r="G801" s="6" t="inlineStr"/>
      <c r="H801" s="6" t="inlineStr">
        <is>
          <t>Birlikte kazandınız. Aranızdaki buz, halattan önce koptu.</t>
        </is>
      </c>
      <c r="I801" s="6" t="inlineStr">
        <is>
          <t>Omuz omuza çektiniz. Fotoğrafınız bültenin kapağına çıktı; altında tek kelime var: 'Barış.'</t>
        </is>
      </c>
      <c r="J801" s="6" t="inlineStr">
        <is>
          <t>Müdür 'Ben tarafsız kalayım' dedi ve hakem oldu. Takımına üç faul verdi.</t>
        </is>
      </c>
      <c r="K801" s="6" t="inlineStr">
        <is>
          <t>Müdür halatı bıraktı, sen çimde kaydın. Performans formuna 'takım çalışması: zayıf' yazıldı.</t>
        </is>
      </c>
      <c r="L801" s="6" t="inlineStr"/>
      <c r="M801" s="5" t="inlineStr"/>
      <c r="N801" s="5" t="inlineStr"/>
      <c r="O801" s="6" t="inlineStr"/>
      <c r="P801" s="6" t="inlineStr"/>
      <c r="Q801" s="5" t="inlineStr"/>
      <c r="R801" s="5" t="inlineStr">
        <is>
          <t>memur-mudur-dusmani</t>
        </is>
      </c>
      <c r="S801" s="5" t="inlineStr"/>
      <c r="T801" s="5" t="inlineStr"/>
      <c r="U801" s="5" t="inlineStr"/>
      <c r="V801" s="5" t="inlineStr"/>
      <c r="W801" s="5" t="inlineStr"/>
      <c r="X801" s="5" t="inlineStr"/>
      <c r="Y801" s="5" t="inlineStr"/>
      <c r="Z801" s="6" t="inlineStr"/>
    </row>
    <row r="802">
      <c r="A802" s="5" t="inlineStr">
        <is>
          <t>b7-yil-donumu</t>
        </is>
      </c>
      <c r="B802" s="5" t="n">
        <v>1</v>
      </c>
      <c r="C802" s="6" t="inlineStr">
        <is>
          <t>Sade bir akşam yemeği</t>
        </is>
      </c>
      <c r="D802" s="5" t="inlineStr"/>
      <c r="E802" s="5" t="inlineStr"/>
      <c r="F802" s="5" t="inlineStr">
        <is>
          <t>Vicdan +1</t>
        </is>
      </c>
      <c r="G802" s="6" t="inlineStr">
        <is>
          <t>Evde yemek yediniz. Eşin mutluydu. Hatırlatıcının kurulma saati sorgulanmadı.</t>
        </is>
      </c>
      <c r="H802" s="6" t="inlineStr"/>
      <c r="I802" s="6" t="inlineStr"/>
      <c r="J802" s="6" t="inlineStr"/>
      <c r="K802" s="6" t="inlineStr"/>
      <c r="L802" s="6" t="inlineStr"/>
      <c r="M802" s="5" t="inlineStr"/>
      <c r="N802" s="5" t="inlineStr"/>
      <c r="O802" s="6" t="inlineStr"/>
      <c r="P802" s="6" t="inlineStr"/>
      <c r="Q802" s="5" t="inlineStr"/>
      <c r="R802" s="5" t="inlineStr"/>
      <c r="S802" s="5" t="inlineStr"/>
      <c r="T802" s="5" t="inlineStr"/>
      <c r="U802" s="5" t="inlineStr"/>
      <c r="V802" s="5" t="inlineStr"/>
      <c r="W802" s="5" t="inlineStr"/>
      <c r="X802" s="5" t="inlineStr"/>
      <c r="Y802" s="5" t="inlineStr"/>
      <c r="Z802" s="6" t="inlineStr"/>
    </row>
    <row r="803">
      <c r="A803" s="5" t="inlineStr">
        <is>
          <t>b7-yil-donumu</t>
        </is>
      </c>
      <c r="B803" s="5" t="n">
        <v>2</v>
      </c>
      <c r="C803" s="6" t="inlineStr">
        <is>
          <t>Sürpriz yap</t>
        </is>
      </c>
      <c r="D803" s="5" t="inlineStr">
        <is>
          <t>Kurnazlık</t>
        </is>
      </c>
      <c r="E803" s="5" t="inlineStr">
        <is>
          <t>Orta</t>
        </is>
      </c>
      <c r="F803" s="5" t="inlineStr"/>
      <c r="G803" s="6" t="inlineStr"/>
      <c r="H803" s="6" t="inlineStr">
        <is>
          <t>Sürpriz başarılı. Eşin şaşırdı, sevindi, ağladı. Sen de. Hatırlatıcıyı sildin.</t>
        </is>
      </c>
      <c r="I803" s="6" t="inlineStr">
        <is>
          <t>Sürprizin o kadar güzel oldu ki eşin arkadaşlarına anlattı. Artık her yıl bu seviyeyi tutturman gerekiyor.</t>
        </is>
      </c>
      <c r="J803" s="6" t="inlineStr">
        <is>
          <t>Sürprizin eşin tarafından önceden tahmin edildi. 'Ben de biliyordum' dedi. Nasıl bildiğini öğrenemedin.</t>
        </is>
      </c>
      <c r="K803" s="6" t="inlineStr">
        <is>
          <t>Sürpriz için ayırdığın restoran bir önceki yıl da aynı yermiş. Garson 'Yine hoş geldiniz' dedi. Eşin geçen yılı hatırlamıyordu. Sen de.</t>
        </is>
      </c>
      <c r="L803" s="6" t="inlineStr"/>
      <c r="M803" s="5" t="inlineStr"/>
      <c r="N803" s="5" t="inlineStr"/>
      <c r="O803" s="6" t="inlineStr"/>
      <c r="P803" s="6" t="inlineStr"/>
      <c r="Q803" s="5" t="inlineStr"/>
      <c r="R803" s="5" t="inlineStr"/>
      <c r="S803" s="5" t="inlineStr"/>
      <c r="T803" s="5" t="inlineStr"/>
      <c r="U803" s="5" t="inlineStr"/>
      <c r="V803" s="5" t="inlineStr"/>
      <c r="W803" s="5" t="inlineStr"/>
      <c r="X803" s="5" t="inlineStr"/>
      <c r="Y803" s="5" t="inlineStr"/>
      <c r="Z803" s="6" t="inlineStr"/>
    </row>
    <row r="804">
      <c r="A804" s="5" t="inlineStr">
        <is>
          <t>b7-yil-donumu</t>
        </is>
      </c>
      <c r="B804" s="5" t="n">
        <v>3</v>
      </c>
      <c r="C804" s="6" t="inlineStr">
        <is>
          <t>Takı defterini açıp düğün anılarını yad et</t>
        </is>
      </c>
      <c r="D804" s="5" t="inlineStr">
        <is>
          <t>Sosyal Radar</t>
        </is>
      </c>
      <c r="E804" s="5" t="inlineStr">
        <is>
          <t>Kolay</t>
        </is>
      </c>
      <c r="F804" s="5" t="inlineStr"/>
      <c r="G804" s="6" t="inlineStr"/>
      <c r="H804" s="6" t="inlineStr">
        <is>
          <t>Defteri açtınız. Her satır bir anı. Bir de alacak listesi.</t>
        </is>
      </c>
      <c r="I804" s="6" t="inlineStr">
        <is>
          <t>Defteri okurken ikiniz de güldünüz, ağladınız. Deftere yıl dönümü sayfası eklendi.</t>
        </is>
      </c>
      <c r="J804" s="6" t="inlineStr">
        <is>
          <t>Defteri açtınız; eşin bir akrabanın takısının 'eksik' olduğunu hatırladı. Akşam o akrabaya ayrıldı.</t>
        </is>
      </c>
      <c r="K804" s="6" t="inlineStr">
        <is>
          <t>Defteri açtığınızda arkasında eski bir bütçe tablosu buldunuz. Romantizm muhasebeye yenildi.</t>
        </is>
      </c>
      <c r="L804" s="6" t="inlineStr"/>
      <c r="M804" s="5" t="inlineStr"/>
      <c r="N804" s="5" t="inlineStr"/>
      <c r="O804" s="6" t="inlineStr"/>
      <c r="P804" s="6" t="inlineStr"/>
      <c r="Q804" s="5" t="inlineStr"/>
      <c r="R804" s="5" t="inlineStr">
        <is>
          <t>taki-defteri</t>
        </is>
      </c>
      <c r="S804" s="5" t="inlineStr"/>
      <c r="T804" s="5" t="inlineStr"/>
      <c r="U804" s="5" t="inlineStr"/>
      <c r="V804" s="5" t="inlineStr"/>
      <c r="W804" s="5" t="inlineStr"/>
      <c r="X804" s="5" t="inlineStr"/>
      <c r="Y804" s="5" t="inlineStr"/>
      <c r="Z804" s="6" t="inlineStr"/>
    </row>
    <row r="805">
      <c r="A805" s="5" t="inlineStr">
        <is>
          <t>b8-kirk-yas</t>
        </is>
      </c>
      <c r="B805" s="5" t="n">
        <v>1</v>
      </c>
      <c r="C805" s="6" t="inlineStr">
        <is>
          <t>Envanteri kabul et</t>
        </is>
      </c>
      <c r="D805" s="5" t="inlineStr"/>
      <c r="E805" s="5" t="inlineStr"/>
      <c r="F805" s="5" t="inlineStr">
        <is>
          <t>Dayanıklılık +1, Vicdan +1</t>
        </is>
      </c>
      <c r="G805" s="6" t="inlineStr">
        <is>
          <t>Rapor imzalandı ve arşive kaldırıldı. Bir sonraki denetim elli yaşta.</t>
        </is>
      </c>
      <c r="H805" s="6" t="inlineStr"/>
      <c r="I805" s="6" t="inlineStr"/>
      <c r="J805" s="6" t="inlineStr"/>
      <c r="K805" s="6" t="inlineStr"/>
      <c r="L805" s="6" t="inlineStr"/>
      <c r="M805" s="5" t="inlineStr"/>
      <c r="N805" s="5" t="inlineStr"/>
      <c r="O805" s="6" t="inlineStr"/>
      <c r="P805" s="6" t="inlineStr"/>
      <c r="Q805" s="5" t="inlineStr"/>
      <c r="R805" s="5" t="inlineStr"/>
      <c r="S805" s="5" t="inlineStr"/>
      <c r="T805" s="5" t="inlineStr"/>
      <c r="U805" s="5" t="inlineStr"/>
      <c r="V805" s="5" t="inlineStr"/>
      <c r="W805" s="5" t="inlineStr"/>
      <c r="X805" s="5" t="inlineStr"/>
      <c r="Y805" s="5" t="inlineStr"/>
      <c r="Z805" s="6" t="inlineStr"/>
    </row>
    <row r="806">
      <c r="A806" s="5" t="inlineStr">
        <is>
          <t>b8-kirk-yas</t>
        </is>
      </c>
      <c r="B806" s="5" t="n">
        <v>2</v>
      </c>
      <c r="C806" s="6" t="inlineStr">
        <is>
          <t>Büyük bir değişiklik ilan et</t>
        </is>
      </c>
      <c r="D806" s="5" t="inlineStr">
        <is>
          <t>Cesaret</t>
        </is>
      </c>
      <c r="E806" s="5" t="inlineStr">
        <is>
          <t>Orta</t>
        </is>
      </c>
      <c r="F806" s="5" t="inlineStr"/>
      <c r="G806" s="6" t="inlineStr"/>
      <c r="H806" s="6" t="inlineStr">
        <is>
          <t>Hayatını değiştireceğini ilan ettin. İlk adım olarak spor salonuna yıllık üyelik alındı. İkinci adım bekleniyor.</t>
        </is>
      </c>
      <c r="I806" s="6" t="inlineStr">
        <is>
          <t>İlanın aile tarafından ciddiye alındı. Kimse neyin değiştiğini bilmiyor ama herkes saygı duyuyor.</t>
        </is>
      </c>
      <c r="J806" s="6" t="inlineStr">
        <is>
          <t>Büyük bir değişiklik ilan ettin. Salı günü unuttun.</t>
        </is>
      </c>
      <c r="K806" s="6" t="inlineStr">
        <is>
          <t>Değişiklik olarak saçını sarıya boyattın. Fotoğraflar aile arşivinde 'Kriz Dönemi' klasöründe.</t>
        </is>
      </c>
      <c r="L806" s="6" t="inlineStr"/>
      <c r="M806" s="5" t="inlineStr"/>
      <c r="N806" s="5" t="inlineStr"/>
      <c r="O806" s="6" t="inlineStr"/>
      <c r="P806" s="6" t="inlineStr"/>
      <c r="Q806" s="5" t="inlineStr"/>
      <c r="R806" s="5" t="inlineStr"/>
      <c r="S806" s="5" t="inlineStr"/>
      <c r="T806" s="5" t="inlineStr"/>
      <c r="U806" s="5" t="inlineStr"/>
      <c r="V806" s="5" t="inlineStr"/>
      <c r="W806" s="5" t="inlineStr"/>
      <c r="X806" s="5" t="inlineStr"/>
      <c r="Y806" s="5" t="inlineStr"/>
      <c r="Z806" s="6" t="inlineStr"/>
    </row>
    <row r="807">
      <c r="A807" s="5" t="inlineStr">
        <is>
          <t>b8-kirk-yas</t>
        </is>
      </c>
      <c r="B807" s="5" t="n">
        <v>3</v>
      </c>
      <c r="C807" s="6" t="inlineStr">
        <is>
          <t>Kırk yaşın iyi yanlarını listele</t>
        </is>
      </c>
      <c r="D807" s="5" t="inlineStr">
        <is>
          <t>Akıl</t>
        </is>
      </c>
      <c r="E807" s="5" t="inlineStr">
        <is>
          <t>Zor</t>
        </is>
      </c>
      <c r="F807" s="5" t="inlineStr"/>
      <c r="G807" s="6" t="inlineStr"/>
      <c r="H807" s="6" t="inlineStr">
        <is>
          <t>Liste üç maddeden oluştu: geç yatma hakkı, indirim kuponları ve kimseye kanıtlayacak bir şeyin kalmaması.</t>
        </is>
      </c>
      <c r="I807" s="6" t="inlineStr">
        <is>
          <t>Liste o kadar ikna edici oldu ki otuzlu yaşlardaki arkadaşların kırka girmek için gün sayıyor.</t>
        </is>
      </c>
      <c r="J807" s="6" t="inlineStr">
        <is>
          <t>Listeye bir madde yazdın, sonra ne yazacağını düşünürken maç başladı.</t>
        </is>
      </c>
      <c r="K807" s="6" t="inlineStr">
        <is>
          <t>Listeyi yazmak için okuma gözlüğünü aradın. Gözlük alnındaydı. Liste tamamlanamadı.</t>
        </is>
      </c>
      <c r="L807" s="6" t="inlineStr"/>
      <c r="M807" s="5" t="inlineStr"/>
      <c r="N807" s="5" t="inlineStr"/>
      <c r="O807" s="6" t="inlineStr"/>
      <c r="P807" s="6" t="inlineStr"/>
      <c r="Q807" s="5" t="inlineStr"/>
      <c r="R807" s="5" t="inlineStr"/>
      <c r="S807" s="5" t="inlineStr">
        <is>
          <t>Akıl</t>
        </is>
      </c>
      <c r="T807" s="5" t="inlineStr">
        <is>
          <t>Analitik Zihin</t>
        </is>
      </c>
      <c r="U807" s="5" t="inlineStr"/>
      <c r="V807" s="5" t="inlineStr"/>
      <c r="W807" s="5" t="inlineStr"/>
      <c r="X807" s="5" t="inlineStr"/>
      <c r="Y807" s="5" t="inlineStr"/>
      <c r="Z807" s="6" t="inlineStr"/>
    </row>
    <row r="808">
      <c r="A808" s="5" t="inlineStr">
        <is>
          <t>b8-kirk-yas</t>
        </is>
      </c>
      <c r="B808" s="5" t="n">
        <v>4</v>
      </c>
      <c r="C808" s="6" t="inlineStr">
        <is>
          <t>Kutlamayı iptal et</t>
        </is>
      </c>
      <c r="D808" s="5" t="inlineStr">
        <is>
          <t>Pişkinlik</t>
        </is>
      </c>
      <c r="E808" s="5" t="inlineStr">
        <is>
          <t>Kolay</t>
        </is>
      </c>
      <c r="F808" s="5" t="inlineStr"/>
      <c r="G808" s="6" t="inlineStr"/>
      <c r="H808" s="6" t="inlineStr">
        <is>
          <t>'Kırk sadece bir sayı' dedin. Pasta yine geldi, ama mumsuz.</t>
        </is>
      </c>
      <c r="I808" s="6" t="inlineStr">
        <is>
          <t>İptal kararını duyan sürpriz parti ekibi daha büyük bir parti planladı. Sen o akşam başka şehirdeydin.</t>
        </is>
      </c>
      <c r="J808" s="6" t="inlineStr">
        <is>
          <t>İptal edilemedi. Aile mesaj grubuna 'İyi ki doğdun' mesajı 47 kez düştü.</t>
        </is>
      </c>
      <c r="K808" s="6" t="inlineStr">
        <is>
          <t>Kutlamayı iptal ettin; herkes doğum gününü unuttu. Sen hariç.</t>
        </is>
      </c>
      <c r="L808" s="6" t="inlineStr"/>
      <c r="M808" s="5" t="inlineStr"/>
      <c r="N808" s="5" t="inlineStr"/>
      <c r="O808" s="6" t="inlineStr"/>
      <c r="P808" s="6" t="inlineStr"/>
      <c r="Q808" s="5" t="inlineStr"/>
      <c r="R808" s="5" t="inlineStr"/>
      <c r="S808" s="5" t="inlineStr"/>
      <c r="T808" s="5" t="inlineStr"/>
      <c r="U808" s="5" t="inlineStr"/>
      <c r="V808" s="5" t="inlineStr"/>
      <c r="W808" s="5" t="inlineStr"/>
      <c r="X808" s="5" t="inlineStr"/>
      <c r="Y808" s="5" t="inlineStr"/>
      <c r="Z808" s="6" t="inlineStr"/>
    </row>
    <row r="809">
      <c r="A809" s="5" t="inlineStr">
        <is>
          <t>b8-motosiklet</t>
        </is>
      </c>
      <c r="B809" s="5" t="n">
        <v>1</v>
      </c>
      <c r="C809" s="6" t="inlineStr">
        <is>
          <t>Broşürü al, eve git</t>
        </is>
      </c>
      <c r="D809" s="5" t="inlineStr"/>
      <c r="E809" s="5" t="inlineStr"/>
      <c r="F809" s="5" t="inlineStr">
        <is>
          <t>Vicdan +1</t>
        </is>
      </c>
      <c r="G809" s="6" t="inlineStr">
        <is>
          <t>Broşür buzdolabının kapağına asıldı. Yıllarca orada kalacak; yakıt harcamadan, hayal olarak.</t>
        </is>
      </c>
      <c r="H809" s="6" t="inlineStr"/>
      <c r="I809" s="6" t="inlineStr"/>
      <c r="J809" s="6" t="inlineStr"/>
      <c r="K809" s="6" t="inlineStr"/>
      <c r="L809" s="6" t="inlineStr"/>
      <c r="M809" s="5" t="inlineStr"/>
      <c r="N809" s="5" t="inlineStr"/>
      <c r="O809" s="6" t="inlineStr"/>
      <c r="P809" s="6" t="inlineStr"/>
      <c r="Q809" s="5" t="inlineStr"/>
      <c r="R809" s="5" t="inlineStr"/>
      <c r="S809" s="5" t="inlineStr"/>
      <c r="T809" s="5" t="inlineStr"/>
      <c r="U809" s="5" t="inlineStr"/>
      <c r="V809" s="5" t="inlineStr"/>
      <c r="W809" s="5" t="inlineStr"/>
      <c r="X809" s="5" t="inlineStr"/>
      <c r="Y809" s="5" t="inlineStr"/>
      <c r="Z809" s="6" t="inlineStr"/>
    </row>
    <row r="810">
      <c r="A810" s="5" t="inlineStr">
        <is>
          <t>b8-motosiklet</t>
        </is>
      </c>
      <c r="B810" s="5" t="n">
        <v>2</v>
      </c>
      <c r="C810" s="6" t="inlineStr">
        <is>
          <t>Satın al, ilk turu at</t>
        </is>
      </c>
      <c r="D810" s="5" t="inlineStr">
        <is>
          <t>Cesaret</t>
        </is>
      </c>
      <c r="E810" s="5" t="inlineStr">
        <is>
          <t>Zor</t>
        </is>
      </c>
      <c r="F810" s="5" t="inlineStr"/>
      <c r="G810" s="6" t="inlineStr"/>
      <c r="H810" s="6" t="inlineStr">
        <is>
          <t>Sahil yolunda ilk turunu attın. Kaskın içinde kimse göremedi, ama gülümsüyordun.</t>
        </is>
      </c>
      <c r="I810" s="6" t="inlineStr">
        <is>
          <t>İlk turda bir motosiklet grubu sana selam verdi. Artık bir derneğin fahri üyesisin.</t>
        </is>
      </c>
      <c r="J810" s="6" t="inlineStr">
        <is>
          <t>Motosikleti aldın; garajdan çıkarmaya cesaret etmen üç ay sürdü. Şu an üstünde çamaşır kuruyor.</t>
        </is>
      </c>
      <c r="K810" s="6" t="inlineStr">
        <is>
          <t>İlk turda devrildin; sabit dururken. İlan: 'Az kullanılmış, bir kez yatırılmış.'</t>
        </is>
      </c>
      <c r="L810" s="6" t="inlineStr"/>
      <c r="M810" s="5" t="inlineStr"/>
      <c r="N810" s="5" t="inlineStr"/>
      <c r="O810" s="6" t="inlineStr"/>
      <c r="P810" s="6" t="inlineStr"/>
      <c r="Q810" s="5" t="inlineStr"/>
      <c r="R810" s="5" t="inlineStr"/>
      <c r="S810" s="5" t="inlineStr"/>
      <c r="T810" s="5" t="inlineStr"/>
      <c r="U810" s="5" t="inlineStr"/>
      <c r="V810" s="5" t="inlineStr">
        <is>
          <t>motosikletli</t>
        </is>
      </c>
      <c r="W810" s="5" t="inlineStr"/>
      <c r="X810" s="5" t="inlineStr"/>
      <c r="Y810" s="5" t="n">
        <v>5</v>
      </c>
      <c r="Z810" s="6" t="inlineStr">
        <is>
          <t>Yeni aldığı motosikletle ilk virajda. Viraj hâlâ orada, sapasağlam.</t>
        </is>
      </c>
    </row>
    <row r="811">
      <c r="A811" s="5" t="inlineStr">
        <is>
          <t>b8-motosiklet</t>
        </is>
      </c>
      <c r="B811" s="5" t="n">
        <v>3</v>
      </c>
      <c r="C811" s="6" t="inlineStr">
        <is>
          <t>Elektrikli bisiklete pazarlık et</t>
        </is>
      </c>
      <c r="D811" s="5" t="inlineStr">
        <is>
          <t>Çene</t>
        </is>
      </c>
      <c r="E811" s="5" t="inlineStr">
        <is>
          <t>Kolay</t>
        </is>
      </c>
      <c r="F811" s="5" t="inlineStr"/>
      <c r="G811" s="6" t="inlineStr"/>
      <c r="H811" s="6" t="inlineStr">
        <is>
          <t>Motosiklet yerine elektrikli bisiklet aldın. Rüzgâr aynı rüzgâr, prim yok.</t>
        </is>
      </c>
      <c r="I811" s="6" t="inlineStr">
        <is>
          <t>Satıcıyı öyle konuşturdun ki kaskı hediye verdi. Kask bisikletten pahalı.</t>
        </is>
      </c>
      <c r="J811" s="6" t="inlineStr">
        <is>
          <t>Bisikleti aldın; şarj aletinin ayrı satıldığını kasada öğrendin.</t>
        </is>
      </c>
      <c r="K811" s="6" t="inlineStr">
        <is>
          <t>Bisikleti aldın. Mahallede 'Kriz geçiriyor ama bütçeli' diye anılıyorsun.</t>
        </is>
      </c>
      <c r="L811" s="6" t="inlineStr"/>
      <c r="M811" s="5" t="inlineStr"/>
      <c r="N811" s="5" t="inlineStr"/>
      <c r="O811" s="6" t="inlineStr"/>
      <c r="P811" s="6" t="inlineStr"/>
      <c r="Q811" s="5" t="inlineStr"/>
      <c r="R811" s="5" t="inlineStr"/>
      <c r="S811" s="5" t="inlineStr"/>
      <c r="T811" s="5" t="inlineStr"/>
      <c r="U811" s="5" t="inlineStr"/>
      <c r="V811" s="5" t="inlineStr"/>
      <c r="W811" s="5" t="inlineStr"/>
      <c r="X811" s="5" t="inlineStr"/>
      <c r="Y811" s="5" t="inlineStr"/>
      <c r="Z811" s="6" t="inlineStr"/>
    </row>
    <row r="812">
      <c r="A812" s="5" t="inlineStr">
        <is>
          <t>b8-motosiklet</t>
        </is>
      </c>
      <c r="B812" s="5" t="n">
        <v>4</v>
      </c>
      <c r="C812" s="6" t="inlineStr">
        <is>
          <t>Çocukluktaki alçıyı hatırla</t>
        </is>
      </c>
      <c r="D812" s="5" t="inlineStr"/>
      <c r="E812" s="5" t="inlineStr"/>
      <c r="F812" s="5" t="inlineStr">
        <is>
          <t>Vicdan +2, Akıl +1</t>
        </is>
      </c>
      <c r="G812" s="6" t="inlineStr">
        <is>
          <t>Sol kolun hâlâ hava değişimini haber veriyor. Motosiklete teşekkür edip galeriden ayrıldın. Kol minnettar.</t>
        </is>
      </c>
      <c r="H812" s="6" t="inlineStr"/>
      <c r="I812" s="6" t="inlineStr"/>
      <c r="J812" s="6" t="inlineStr"/>
      <c r="K812" s="6" t="inlineStr"/>
      <c r="L812" s="6" t="inlineStr"/>
      <c r="M812" s="5" t="inlineStr"/>
      <c r="N812" s="5" t="inlineStr"/>
      <c r="O812" s="6" t="inlineStr"/>
      <c r="P812" s="6" t="inlineStr"/>
      <c r="Q812" s="5" t="inlineStr"/>
      <c r="R812" s="5" t="inlineStr">
        <is>
          <t>alcili-kol</t>
        </is>
      </c>
      <c r="S812" s="5" t="inlineStr"/>
      <c r="T812" s="5" t="inlineStr"/>
      <c r="U812" s="5" t="inlineStr"/>
      <c r="V812" s="5" t="inlineStr"/>
      <c r="W812" s="5" t="inlineStr"/>
      <c r="X812" s="5" t="inlineStr"/>
      <c r="Y812" s="5" t="inlineStr"/>
      <c r="Z812" s="6" t="inlineStr"/>
    </row>
    <row r="813">
      <c r="A813" s="5" t="inlineStr">
        <is>
          <t>b8-sac-meselesi</t>
        </is>
      </c>
      <c r="B813" s="5" t="n">
        <v>1</v>
      </c>
      <c r="C813" s="6" t="inlineStr">
        <is>
          <t>Kabullen, sıfıra vur</t>
        </is>
      </c>
      <c r="D813" s="5" t="inlineStr">
        <is>
          <t>Cesaret</t>
        </is>
      </c>
      <c r="E813" s="5" t="inlineStr">
        <is>
          <t>Orta</t>
        </is>
      </c>
      <c r="F813" s="5" t="inlineStr"/>
      <c r="G813" s="6" t="inlineStr"/>
      <c r="H813" s="6" t="inlineStr">
        <is>
          <t>Sıfıra vurdun. Yeni imajın 'kararlı yönetici' olarak tescil edildi.</t>
        </is>
      </c>
      <c r="I813" s="6" t="inlineStr">
        <is>
          <t>Sıfıra vurdun; herkes neden daha önce yapmadığını sordu. Başın hiç bu kadar iyi görünmemişti.</t>
        </is>
      </c>
      <c r="J813" s="6" t="inlineStr">
        <is>
          <t>Sıfıra vurdun ve kafa şeklinle ilk kez tanıştın. Bir kasket alındı.</t>
        </is>
      </c>
      <c r="K813" s="6" t="inlineStr">
        <is>
          <t>Sıfıra vurdun; ilk gün güneş yanığı. Aile grubunda domates çıkartması dolaşıyor.</t>
        </is>
      </c>
      <c r="L813" s="6" t="inlineStr"/>
      <c r="M813" s="5" t="inlineStr"/>
      <c r="N813" s="5" t="inlineStr"/>
      <c r="O813" s="6" t="inlineStr"/>
      <c r="P813" s="6" t="inlineStr"/>
      <c r="Q813" s="5" t="inlineStr"/>
      <c r="R813" s="5" t="inlineStr"/>
      <c r="S813" s="5" t="inlineStr"/>
      <c r="T813" s="5" t="inlineStr"/>
      <c r="U813" s="5" t="inlineStr"/>
      <c r="V813" s="5" t="inlineStr"/>
      <c r="W813" s="5" t="inlineStr"/>
      <c r="X813" s="5" t="inlineStr"/>
      <c r="Y813" s="5" t="inlineStr"/>
      <c r="Z813" s="6" t="inlineStr"/>
    </row>
    <row r="814">
      <c r="A814" s="5" t="inlineStr">
        <is>
          <t>b8-sac-meselesi</t>
        </is>
      </c>
      <c r="B814" s="5" t="n">
        <v>2</v>
      </c>
      <c r="C814" s="6" t="inlineStr">
        <is>
          <t>Saç ekimini araştır</t>
        </is>
      </c>
      <c r="D814" s="5" t="inlineStr">
        <is>
          <t>Akıl</t>
        </is>
      </c>
      <c r="E814" s="5" t="inlineStr">
        <is>
          <t>Kolay</t>
        </is>
      </c>
      <c r="F814" s="5" t="inlineStr"/>
      <c r="G814" s="6" t="inlineStr"/>
      <c r="H814" s="6" t="inlineStr">
        <is>
          <t>Yirmi sekme açtın, dört fiyat aldın. Karar bahara ertelendi; bahar her yıl gelir.</t>
        </is>
      </c>
      <c r="I814" s="6" t="inlineStr">
        <is>
          <t>Araştırman o kadar kapsamlı oldu ki arkadaşların sana danışıyor. Yeni bir uzmanlık alanı açıldı.</t>
        </is>
      </c>
      <c r="J814" s="6" t="inlineStr">
        <is>
          <t>Araştırma sırasında reklamlar seni fark etti. Artık her ekranda şampuan var.</t>
        </is>
      </c>
      <c r="K814" s="6" t="inlineStr">
        <is>
          <t>Önce/sonra fotoğraflarını karşılaştırırken kendi fotoğrafını 'önce' klasörüne kaydettin. Kalıcı olarak.</t>
        </is>
      </c>
      <c r="L814" s="6" t="inlineStr"/>
      <c r="M814" s="5" t="inlineStr"/>
      <c r="N814" s="5" t="inlineStr"/>
      <c r="O814" s="6" t="inlineStr"/>
      <c r="P814" s="6" t="inlineStr"/>
      <c r="Q814" s="5" t="inlineStr"/>
      <c r="R814" s="5" t="inlineStr"/>
      <c r="S814" s="5" t="inlineStr"/>
      <c r="T814" s="5" t="inlineStr"/>
      <c r="U814" s="5" t="inlineStr"/>
      <c r="V814" s="5" t="inlineStr"/>
      <c r="W814" s="5" t="inlineStr"/>
      <c r="X814" s="5" t="inlineStr"/>
      <c r="Y814" s="5" t="inlineStr"/>
      <c r="Z814" s="6" t="inlineStr"/>
    </row>
    <row r="815">
      <c r="A815" s="5" t="inlineStr">
        <is>
          <t>b8-sac-meselesi</t>
        </is>
      </c>
      <c r="B815" s="5" t="n">
        <v>3</v>
      </c>
      <c r="C815" s="6" t="inlineStr">
        <is>
          <t>Yandan tarama tekniğini dene</t>
        </is>
      </c>
      <c r="D815" s="5" t="inlineStr">
        <is>
          <t>Pişkinlik</t>
        </is>
      </c>
      <c r="E815" s="5" t="inlineStr">
        <is>
          <t>Zor</t>
        </is>
      </c>
      <c r="F815" s="5" t="inlineStr"/>
      <c r="G815" s="6" t="inlineStr"/>
      <c r="H815" s="6" t="inlineStr">
        <is>
          <t>Yandan taradın. Rüzgârsız günlerde kusursuz.</t>
        </is>
      </c>
      <c r="I815" s="6" t="inlineStr">
        <is>
          <t>Tarama o kadar ustaca ki berber tekniğini sordu. Patent başvurusu değerlendiriliyor.</t>
        </is>
      </c>
      <c r="J815" s="6" t="inlineStr">
        <is>
          <t>Taradın; ilk rüzgâr dosyayı yeniden açtı.</t>
        </is>
      </c>
      <c r="K815" s="6" t="inlineStr">
        <is>
          <t>Toplantıda klima açıldı. Saçın yön değiştirdi, toplantı gündem değiştirdi.</t>
        </is>
      </c>
      <c r="L815" s="6" t="inlineStr"/>
      <c r="M815" s="5" t="inlineStr"/>
      <c r="N815" s="5" t="inlineStr"/>
      <c r="O815" s="6" t="inlineStr"/>
      <c r="P815" s="6" t="inlineStr"/>
      <c r="Q815" s="5" t="inlineStr"/>
      <c r="R815" s="5" t="inlineStr"/>
      <c r="S815" s="5" t="inlineStr"/>
      <c r="T815" s="5" t="inlineStr">
        <is>
          <t>Yüzü Kızarmaz</t>
        </is>
      </c>
      <c r="U815" s="5" t="inlineStr"/>
      <c r="V815" s="5" t="inlineStr"/>
      <c r="W815" s="5" t="inlineStr"/>
      <c r="X815" s="5" t="inlineStr"/>
      <c r="Y815" s="5" t="inlineStr"/>
      <c r="Z815" s="6" t="inlineStr"/>
    </row>
    <row r="816">
      <c r="A816" s="5" t="inlineStr">
        <is>
          <t>b8-sac-meselesi</t>
        </is>
      </c>
      <c r="B816" s="5" t="n">
        <v>4</v>
      </c>
      <c r="C816" s="6" t="inlineStr">
        <is>
          <t>Şapka koleksiyonuna başla</t>
        </is>
      </c>
      <c r="D816" s="5" t="inlineStr"/>
      <c r="E816" s="5" t="inlineStr"/>
      <c r="F816" s="5" t="inlineStr">
        <is>
          <t>Kurnazlık +1</t>
        </is>
      </c>
      <c r="G816" s="6" t="inlineStr">
        <is>
          <t>Dört şapka aldın. Sorun çözülmedi, ama bir stile kavuştu.</t>
        </is>
      </c>
      <c r="H816" s="6" t="inlineStr"/>
      <c r="I816" s="6" t="inlineStr"/>
      <c r="J816" s="6" t="inlineStr"/>
      <c r="K816" s="6" t="inlineStr"/>
      <c r="L816" s="6" t="inlineStr"/>
      <c r="M816" s="5" t="inlineStr"/>
      <c r="N816" s="5" t="inlineStr"/>
      <c r="O816" s="6" t="inlineStr"/>
      <c r="P816" s="6" t="inlineStr"/>
      <c r="Q816" s="5" t="inlineStr"/>
      <c r="R816" s="5" t="inlineStr"/>
      <c r="S816" s="5" t="inlineStr"/>
      <c r="T816" s="5" t="inlineStr"/>
      <c r="U816" s="5" t="inlineStr"/>
      <c r="V816" s="5" t="inlineStr"/>
      <c r="W816" s="5" t="inlineStr"/>
      <c r="X816" s="5" t="inlineStr"/>
      <c r="Y816" s="5" t="inlineStr"/>
      <c r="Z816" s="6" t="inlineStr"/>
    </row>
    <row r="817">
      <c r="A817" s="5" t="inlineStr">
        <is>
          <t>ms-sigortasiz-hayat</t>
        </is>
      </c>
      <c r="B817" s="5" t="n">
        <v>1</v>
      </c>
      <c r="C817" s="6" t="inlineStr">
        <is>
          <t>Geriye dönük prim öde</t>
        </is>
      </c>
      <c r="D817" s="5" t="inlineStr"/>
      <c r="E817" s="5" t="inlineStr"/>
      <c r="F817" s="5" t="inlineStr">
        <is>
          <t>Vicdan +1</t>
        </is>
      </c>
      <c r="G817" s="6" t="inlineStr">
        <is>
          <t>Birikmiş primleri yatırdın. Emekliliğin artık bir tarih. Çok uzak ama bir tarih.</t>
        </is>
      </c>
      <c r="H817" s="6" t="inlineStr"/>
      <c r="I817" s="6" t="inlineStr"/>
      <c r="J817" s="6" t="inlineStr"/>
      <c r="K817" s="6" t="inlineStr"/>
      <c r="L817" s="6" t="inlineStr"/>
      <c r="M817" s="5" t="inlineStr"/>
      <c r="N817" s="5" t="inlineStr"/>
      <c r="O817" s="6" t="inlineStr"/>
      <c r="P817" s="6" t="inlineStr"/>
      <c r="Q817" s="5" t="inlineStr"/>
      <c r="R817" s="5" t="inlineStr"/>
      <c r="S817" s="5" t="inlineStr"/>
      <c r="T817" s="5" t="inlineStr"/>
      <c r="U817" s="5" t="inlineStr"/>
      <c r="V817" s="5" t="inlineStr"/>
      <c r="W817" s="5" t="inlineStr"/>
      <c r="X817" s="5" t="inlineStr"/>
      <c r="Y817" s="5" t="inlineStr"/>
      <c r="Z817" s="6" t="inlineStr"/>
    </row>
    <row r="818">
      <c r="A818" s="5" t="inlineStr">
        <is>
          <t>ms-sigortasiz-hayat</t>
        </is>
      </c>
      <c r="B818" s="5" t="n">
        <v>2</v>
      </c>
      <c r="C818" s="6" t="inlineStr">
        <is>
          <t>Özel sigorta araştır</t>
        </is>
      </c>
      <c r="D818" s="5" t="inlineStr">
        <is>
          <t>Akıl</t>
        </is>
      </c>
      <c r="E818" s="5" t="inlineStr">
        <is>
          <t>Orta</t>
        </is>
      </c>
      <c r="F818" s="5" t="inlineStr"/>
      <c r="G818" s="6" t="inlineStr"/>
      <c r="H818" s="6" t="inlineStr">
        <is>
          <t>Uygun bir poliçe buldun. Küçük harflerini de okudun. Tarihte bunu yapan ilk kişisin.</t>
        </is>
      </c>
      <c r="I818" s="6" t="inlineStr">
        <is>
          <t>Serbest çalışanlara özel bir poliçe buldun ve arkadaşlarına da yaptırdın. Komisyon bile aldın.</t>
        </is>
      </c>
      <c r="J818" s="6" t="inlineStr">
        <is>
          <t>Poliçe buldun; prim, kira kadar. Kira da kira kadar.</t>
        </is>
      </c>
      <c r="K818" s="6" t="inlineStr">
        <is>
          <t>Poliçeyi dikkatle okudun. Kapsam dışı: 'Serbest çalışmaktan doğan her şey.'</t>
        </is>
      </c>
      <c r="L818" s="6" t="inlineStr"/>
      <c r="M818" s="5" t="inlineStr"/>
      <c r="N818" s="5" t="inlineStr"/>
      <c r="O818" s="6" t="inlineStr"/>
      <c r="P818" s="6" t="inlineStr"/>
      <c r="Q818" s="5" t="inlineStr"/>
      <c r="R818" s="5" t="inlineStr"/>
      <c r="S818" s="5" t="inlineStr"/>
      <c r="T818" s="5" t="inlineStr"/>
      <c r="U818" s="5" t="inlineStr"/>
      <c r="V818" s="5" t="inlineStr"/>
      <c r="W818" s="5" t="inlineStr"/>
      <c r="X818" s="5" t="inlineStr"/>
      <c r="Y818" s="5" t="inlineStr"/>
      <c r="Z818" s="6" t="inlineStr"/>
    </row>
    <row r="819">
      <c r="A819" s="5" t="inlineStr">
        <is>
          <t>ms-sigortasiz-hayat</t>
        </is>
      </c>
      <c r="B819" s="5" t="n">
        <v>3</v>
      </c>
      <c r="C819" s="6" t="inlineStr">
        <is>
          <t>Eşinin sigortasına bağlan</t>
        </is>
      </c>
      <c r="D819" s="5" t="inlineStr">
        <is>
          <t>Kurnazlık</t>
        </is>
      </c>
      <c r="E819" s="5" t="inlineStr">
        <is>
          <t>Kolay</t>
        </is>
      </c>
      <c r="F819" s="5" t="inlineStr"/>
      <c r="G819" s="6" t="inlineStr"/>
      <c r="H819" s="6" t="inlineStr">
        <is>
          <t>Eşinin sigortasından yararlanan kişi oldun. Resmî unvanın bu.</t>
        </is>
      </c>
      <c r="I819" s="6" t="inlineStr">
        <is>
          <t>Bütün işlemleri tek günde bitirdin. Memur 'Bu kadar hızlısını görmedim' dedi.</t>
        </is>
      </c>
      <c r="J819" s="6" t="inlineStr">
        <is>
          <t>Belgelerden biri eksik: evlilik cüzdanının aslı. Aslı çekmecede, çekmece kayıp.</t>
        </is>
      </c>
      <c r="K819" s="6" t="inlineStr">
        <is>
          <t>Formda eşinin adını yanlış yazdın. Sistem ikinci bir evlilik başvurusu başlattı.</t>
        </is>
      </c>
      <c r="L819" s="6" t="inlineStr"/>
      <c r="M819" s="5" t="inlineStr"/>
      <c r="N819" s="5" t="inlineStr"/>
      <c r="O819" s="6" t="inlineStr"/>
      <c r="P819" s="6" t="inlineStr"/>
      <c r="Q819" s="5" t="inlineStr"/>
      <c r="R819" s="5" t="inlineStr">
        <is>
          <t>evli</t>
        </is>
      </c>
      <c r="S819" s="5" t="inlineStr"/>
      <c r="T819" s="5" t="inlineStr"/>
      <c r="U819" s="5" t="inlineStr"/>
      <c r="V819" s="5" t="inlineStr"/>
      <c r="W819" s="5" t="inlineStr"/>
      <c r="X819" s="5" t="inlineStr"/>
      <c r="Y819" s="5" t="inlineStr"/>
      <c r="Z819" s="6" t="inlineStr"/>
    </row>
    <row r="820">
      <c r="A820" s="5" t="inlineStr">
        <is>
          <t>ms-sigortasiz-hayat</t>
        </is>
      </c>
      <c r="B820" s="5" t="n">
        <v>4</v>
      </c>
      <c r="C820" s="6" t="inlineStr">
        <is>
          <t>Borçları yapılandır</t>
        </is>
      </c>
      <c r="D820" s="5" t="inlineStr">
        <is>
          <t>Çene</t>
        </is>
      </c>
      <c r="E820" s="5" t="inlineStr">
        <is>
          <t>Orta</t>
        </is>
      </c>
      <c r="F820" s="5" t="inlineStr"/>
      <c r="G820" s="6" t="inlineStr"/>
      <c r="H820" s="6" t="inlineStr">
        <is>
          <t>Prim borcunu taksitlendirdin. Taksitler seninle birlikte yaşlanacak.</t>
        </is>
      </c>
      <c r="I820" s="6" t="inlineStr">
        <is>
          <t>Yapılandırma döneminde erken ödeme indirimi çıktı. Borcun yarıya indi.</t>
        </is>
      </c>
      <c r="J820" s="6" t="inlineStr">
        <is>
          <t>Yapılandırdın; ilk taksit bir faturanın ödenmesine bağlı. O fatura da onay bekliyor.</t>
        </is>
      </c>
      <c r="K820" s="6" t="inlineStr">
        <is>
          <t>Yapılandırma formunu doldururken gişe kapandı. Sıra numaran yarına devredilmedi.</t>
        </is>
      </c>
      <c r="L820" s="6" t="inlineStr"/>
      <c r="M820" s="5" t="inlineStr"/>
      <c r="N820" s="5" t="inlineStr"/>
      <c r="O820" s="6" t="inlineStr"/>
      <c r="P820" s="6" t="inlineStr"/>
      <c r="Q820" s="5" t="inlineStr"/>
      <c r="R820" s="5" t="inlineStr">
        <is>
          <t>borclu</t>
        </is>
      </c>
      <c r="S820" s="5" t="inlineStr"/>
      <c r="T820" s="5" t="inlineStr"/>
      <c r="U820" s="5" t="inlineStr"/>
      <c r="V820" s="5" t="inlineStr"/>
      <c r="W820" s="5" t="inlineStr"/>
      <c r="X820" s="5" t="inlineStr"/>
      <c r="Y820" s="5" t="inlineStr"/>
      <c r="Z820" s="6" t="inlineStr"/>
    </row>
    <row r="821">
      <c r="A821" s="5" t="inlineStr">
        <is>
          <t>b8-ergen-telefon</t>
        </is>
      </c>
      <c r="B821" s="5" t="n">
        <v>1</v>
      </c>
      <c r="C821" s="6" t="inlineStr">
        <is>
          <t>Dokunma, masada bırak</t>
        </is>
      </c>
      <c r="D821" s="5" t="inlineStr"/>
      <c r="E821" s="5" t="inlineStr"/>
      <c r="F821" s="5" t="inlineStr">
        <is>
          <t>Vicdan +2</t>
        </is>
      </c>
      <c r="G821" s="6" t="inlineStr">
        <is>
          <t>Telefona dokunmadın. Güven hesabına küçük ama düzenli bir yatırım yapıldı.</t>
        </is>
      </c>
      <c r="H821" s="6" t="inlineStr"/>
      <c r="I821" s="6" t="inlineStr"/>
      <c r="J821" s="6" t="inlineStr"/>
      <c r="K821" s="6" t="inlineStr"/>
      <c r="L821" s="6" t="inlineStr"/>
      <c r="M821" s="5" t="inlineStr"/>
      <c r="N821" s="5" t="inlineStr"/>
      <c r="O821" s="6" t="inlineStr"/>
      <c r="P821" s="6" t="inlineStr"/>
      <c r="Q821" s="5" t="inlineStr"/>
      <c r="R821" s="5" t="inlineStr"/>
      <c r="S821" s="5" t="inlineStr"/>
      <c r="T821" s="5" t="inlineStr"/>
      <c r="U821" s="5" t="inlineStr"/>
      <c r="V821" s="5" t="inlineStr"/>
      <c r="W821" s="5" t="inlineStr"/>
      <c r="X821" s="5" t="inlineStr"/>
      <c r="Y821" s="5" t="inlineStr"/>
      <c r="Z821" s="6" t="inlineStr"/>
    </row>
    <row r="822">
      <c r="A822" s="5" t="inlineStr">
        <is>
          <t>b8-ergen-telefon</t>
        </is>
      </c>
      <c r="B822" s="5" t="n">
        <v>2</v>
      </c>
      <c r="C822" s="6" t="inlineStr">
        <is>
          <t>Şifreyi tahmin et</t>
        </is>
      </c>
      <c r="D822" s="5" t="inlineStr">
        <is>
          <t>Kurnazlık</t>
        </is>
      </c>
      <c r="E822" s="5" t="inlineStr">
        <is>
          <t>Zor</t>
        </is>
      </c>
      <c r="F822" s="5" t="inlineStr"/>
      <c r="G822" s="6" t="inlineStr"/>
      <c r="H822" s="6" t="inlineStr">
        <is>
          <t>Şifreyi çözdün. İçeride ödev grubu ve kedi videoları vardı. Suçluluk duygusu hesaba katılmamıştı.</t>
        </is>
      </c>
      <c r="I822" s="6" t="inlineStr">
        <is>
          <t>Açtın, baktın, iz bırakmadan kapattın. Tek bulgu: seni rehbere 'Bilge' diye kaydetmiş.</t>
        </is>
      </c>
      <c r="J822" s="6" t="inlineStr">
        <is>
          <t>Üç yanlış deneme. Telefon otuz dakika kilitlendi. Çocuk da.</t>
        </is>
      </c>
      <c r="K822" s="6" t="inlineStr">
        <is>
          <t>Yanlış şifre bildirimi çocuğun saatine düştü. Aile içi soruşturma başlatıldı; sanık sensin.</t>
        </is>
      </c>
      <c r="L822" s="6" t="inlineStr"/>
      <c r="M822" s="5" t="inlineStr"/>
      <c r="N822" s="5" t="inlineStr"/>
      <c r="O822" s="6" t="inlineStr"/>
      <c r="P822" s="6" t="inlineStr"/>
      <c r="Q822" s="5" t="inlineStr"/>
      <c r="R822" s="5" t="inlineStr"/>
      <c r="S822" s="5" t="inlineStr"/>
      <c r="T822" s="5" t="inlineStr"/>
      <c r="U822" s="5" t="inlineStr"/>
      <c r="V822" s="5" t="inlineStr"/>
      <c r="W822" s="5" t="inlineStr"/>
      <c r="X822" s="5" t="inlineStr"/>
      <c r="Y822" s="5" t="inlineStr"/>
      <c r="Z822" s="6" t="inlineStr"/>
    </row>
    <row r="823">
      <c r="A823" s="5" t="inlineStr">
        <is>
          <t>b8-ergen-telefon</t>
        </is>
      </c>
      <c r="B823" s="5" t="n">
        <v>3</v>
      </c>
      <c r="C823" s="6" t="inlineStr">
        <is>
          <t>Ekran süresi toplantısı yap</t>
        </is>
      </c>
      <c r="D823" s="5" t="inlineStr">
        <is>
          <t>Çene</t>
        </is>
      </c>
      <c r="E823" s="5" t="inlineStr">
        <is>
          <t>Orta</t>
        </is>
      </c>
      <c r="F823" s="5" t="inlineStr"/>
      <c r="G823" s="6" t="inlineStr"/>
      <c r="H823" s="6" t="inlineStr">
        <is>
          <t>Günde üç saatte anlaşıldı. Uygulama kısmı ileri bir toplantıya bırakıldı.</t>
        </is>
      </c>
      <c r="I823" s="6" t="inlineStr">
        <is>
          <t>Öyle bir konuşma yaptın ki çocuk kendi ekran süresini kendisi kısıtladı. Hâlâ inanılmıyor.</t>
        </is>
      </c>
      <c r="J823" s="6" t="inlineStr">
        <is>
          <t>Toplantı boyunca çocuk telefona baktı. Gündem maddesi canlı olarak sunuldu.</t>
        </is>
      </c>
      <c r="K823" s="6" t="inlineStr">
        <is>
          <t>Konuşmanın ortasında kendi telefonun çaldı. Konuşmayı kaybettin; ahlaki üstünlüğü de.</t>
        </is>
      </c>
      <c r="L823" s="6" t="inlineStr"/>
      <c r="M823" s="5" t="inlineStr"/>
      <c r="N823" s="5" t="inlineStr"/>
      <c r="O823" s="6" t="inlineStr"/>
      <c r="P823" s="6" t="inlineStr"/>
      <c r="Q823" s="5" t="inlineStr"/>
      <c r="R823" s="5" t="inlineStr"/>
      <c r="S823" s="5" t="inlineStr"/>
      <c r="T823" s="5" t="inlineStr"/>
      <c r="U823" s="5" t="inlineStr"/>
      <c r="V823" s="5" t="inlineStr"/>
      <c r="W823" s="5" t="inlineStr"/>
      <c r="X823" s="5" t="inlineStr"/>
      <c r="Y823" s="5" t="inlineStr"/>
      <c r="Z823" s="6" t="inlineStr"/>
    </row>
    <row r="824">
      <c r="A824" s="5" t="inlineStr">
        <is>
          <t>b8-ergen-telefon</t>
        </is>
      </c>
      <c r="B824" s="5" t="n">
        <v>4</v>
      </c>
      <c r="C824" s="6" t="inlineStr">
        <is>
          <t>Kendi on dört yaşını anlat</t>
        </is>
      </c>
      <c r="D824" s="5" t="inlineStr">
        <is>
          <t>Vicdan</t>
        </is>
      </c>
      <c r="E824" s="5" t="inlineStr">
        <is>
          <t>Kolay</t>
        </is>
      </c>
      <c r="F824" s="5" t="inlineStr"/>
      <c r="G824" s="6" t="inlineStr"/>
      <c r="H824" s="6" t="inlineStr">
        <is>
          <t>Kendi gizli defterini anlattın. Çocuk ilk kez gülerek dinledi.</t>
        </is>
      </c>
      <c r="I824" s="6" t="inlineStr">
        <is>
          <t>Anlattın; çocuk telefonu kapattı ve bir saat konuştunuz. Rekor, kayıt altında.</t>
        </is>
      </c>
      <c r="J824" s="6" t="inlineStr">
        <is>
          <t>Anlattın; çocuk 'Tamam da ne alakası var' dedi. Alakası vardı.</t>
        </is>
      </c>
      <c r="K824" s="6" t="inlineStr">
        <is>
          <t>Hikâyeyi fazla detaylandırdın. Çocuk artık senin gizli defterini arıyor.</t>
        </is>
      </c>
      <c r="L824" s="6" t="inlineStr"/>
      <c r="M824" s="5" t="inlineStr"/>
      <c r="N824" s="5" t="inlineStr"/>
      <c r="O824" s="6" t="inlineStr"/>
      <c r="P824" s="6" t="inlineStr"/>
      <c r="Q824" s="5" t="inlineStr"/>
      <c r="R824" s="5" t="inlineStr"/>
      <c r="S824" s="5" t="inlineStr">
        <is>
          <t>Vicdan</t>
        </is>
      </c>
      <c r="T824" s="5" t="inlineStr"/>
      <c r="U824" s="5" t="inlineStr"/>
      <c r="V824" s="5" t="inlineStr"/>
      <c r="W824" s="5" t="inlineStr"/>
      <c r="X824" s="5" t="inlineStr"/>
      <c r="Y824" s="5" t="inlineStr"/>
      <c r="Z824" s="6" t="inlineStr"/>
    </row>
    <row r="825">
      <c r="A825" s="5" t="inlineStr">
        <is>
          <t>b8-metabolizma</t>
        </is>
      </c>
      <c r="B825" s="5" t="n">
        <v>1</v>
      </c>
      <c r="C825" s="6" t="inlineStr">
        <is>
          <t>Akşam yürüyüşüne başla</t>
        </is>
      </c>
      <c r="D825" s="5" t="inlineStr"/>
      <c r="E825" s="5" t="inlineStr"/>
      <c r="F825" s="5" t="inlineStr">
        <is>
          <t>Dayanıklılık +2</t>
        </is>
      </c>
      <c r="G825" s="6" t="inlineStr">
        <is>
          <t>Her akşam otuz dakika yürüdün. Tartı bir süre sessiz kaldı; bu da bir tür onay.</t>
        </is>
      </c>
      <c r="H825" s="6" t="inlineStr"/>
      <c r="I825" s="6" t="inlineStr"/>
      <c r="J825" s="6" t="inlineStr"/>
      <c r="K825" s="6" t="inlineStr"/>
      <c r="L825" s="6" t="inlineStr"/>
      <c r="M825" s="5" t="inlineStr"/>
      <c r="N825" s="5" t="inlineStr"/>
      <c r="O825" s="6" t="inlineStr"/>
      <c r="P825" s="6" t="inlineStr"/>
      <c r="Q825" s="5" t="inlineStr"/>
      <c r="R825" s="5" t="inlineStr"/>
      <c r="S825" s="5" t="inlineStr"/>
      <c r="T825" s="5" t="inlineStr"/>
      <c r="U825" s="5" t="inlineStr"/>
      <c r="V825" s="5" t="inlineStr"/>
      <c r="W825" s="5" t="inlineStr"/>
      <c r="X825" s="5" t="inlineStr"/>
      <c r="Y825" s="5" t="inlineStr"/>
      <c r="Z825" s="6" t="inlineStr"/>
    </row>
    <row r="826">
      <c r="A826" s="5" t="inlineStr">
        <is>
          <t>b8-metabolizma</t>
        </is>
      </c>
      <c r="B826" s="5" t="n">
        <v>2</v>
      </c>
      <c r="C826" s="6" t="inlineStr">
        <is>
          <t>Diyet programı başlat</t>
        </is>
      </c>
      <c r="D826" s="5" t="inlineStr">
        <is>
          <t>Dayanıklılık</t>
        </is>
      </c>
      <c r="E826" s="5" t="inlineStr">
        <is>
          <t>Orta</t>
        </is>
      </c>
      <c r="F826" s="5" t="inlineStr"/>
      <c r="G826" s="6" t="inlineStr"/>
      <c r="H826" s="6" t="inlineStr">
        <is>
          <t>Üç haftada iki kilo. Pantolon teşekkür etti.</t>
        </is>
      </c>
      <c r="I826" s="6" t="inlineStr">
        <is>
          <t>Programı öyle uyguladın ki eski kot pantolonun yeniden aktif göreve çağrıldı.</t>
        </is>
      </c>
      <c r="J826" s="6" t="inlineStr">
        <is>
          <t>Pazartesi başladın. Pazartesi öğlen bitti.</t>
        </is>
      </c>
      <c r="K826" s="6" t="inlineStr">
        <is>
          <t>Diyetin ilk günü ofiste doğum günü pastası vardı. İkinci gün de. Ofiste çok doğum günü var.</t>
        </is>
      </c>
      <c r="L826" s="6" t="inlineStr"/>
      <c r="M826" s="5" t="inlineStr"/>
      <c r="N826" s="5" t="inlineStr"/>
      <c r="O826" s="6" t="inlineStr"/>
      <c r="P826" s="6" t="inlineStr"/>
      <c r="Q826" s="5" t="inlineStr"/>
      <c r="R826" s="5" t="inlineStr"/>
      <c r="S826" s="5" t="inlineStr"/>
      <c r="T826" s="5" t="inlineStr"/>
      <c r="U826" s="5" t="inlineStr"/>
      <c r="V826" s="5" t="inlineStr"/>
      <c r="W826" s="5" t="inlineStr"/>
      <c r="X826" s="5" t="inlineStr"/>
      <c r="Y826" s="5" t="inlineStr"/>
      <c r="Z826" s="6" t="inlineStr"/>
    </row>
    <row r="827">
      <c r="A827" s="5" t="inlineStr">
        <is>
          <t>b8-metabolizma</t>
        </is>
      </c>
      <c r="B827" s="5" t="n">
        <v>3</v>
      </c>
      <c r="C827" s="6" t="inlineStr">
        <is>
          <t>Tartıyı halıya taşı</t>
        </is>
      </c>
      <c r="D827" s="5" t="inlineStr">
        <is>
          <t>Kurnazlık</t>
        </is>
      </c>
      <c r="E827" s="5" t="inlineStr">
        <is>
          <t>Kolay</t>
        </is>
      </c>
      <c r="F827" s="5" t="inlineStr"/>
      <c r="G827" s="6" t="inlineStr"/>
      <c r="H827" s="6" t="inlineStr">
        <is>
          <t>Halının üstünde iki kilo gitti. Bilim bunu açıklayamıyor, sen açıklamak zorunda değilsin.</t>
        </is>
      </c>
      <c r="I827" s="6" t="inlineStr">
        <is>
          <t>Tartıyı öyle bir noktaya yerleştirdin ki her sabah farklı ama hep iyi haber veriyor.</t>
        </is>
      </c>
      <c r="J827" s="6" t="inlineStr">
        <is>
          <t>Tartı halıda 'Hata' yazdı. Tartı bile yalanını kabul etmedi.</t>
        </is>
      </c>
      <c r="K827" s="6" t="inlineStr">
        <is>
          <t>Eşinin tartısı değiştirildiğini fark etti. Artık evde iki tartı ve iki gerçek var.</t>
        </is>
      </c>
      <c r="L827" s="6" t="inlineStr"/>
      <c r="M827" s="5" t="inlineStr"/>
      <c r="N827" s="5" t="inlineStr"/>
      <c r="O827" s="6" t="inlineStr"/>
      <c r="P827" s="6" t="inlineStr"/>
      <c r="Q827" s="5" t="inlineStr"/>
      <c r="R827" s="5" t="inlineStr"/>
      <c r="S827" s="5" t="inlineStr"/>
      <c r="T827" s="5" t="inlineStr"/>
      <c r="U827" s="5" t="inlineStr"/>
      <c r="V827" s="5" t="inlineStr"/>
      <c r="W827" s="5" t="inlineStr"/>
      <c r="X827" s="5" t="inlineStr"/>
      <c r="Y827" s="5" t="inlineStr"/>
      <c r="Z827" s="6" t="inlineStr"/>
    </row>
    <row r="828">
      <c r="A828" s="5" t="inlineStr">
        <is>
          <t>mb-yapay-zeka</t>
        </is>
      </c>
      <c r="B828" s="5" t="n">
        <v>1</v>
      </c>
      <c r="C828" s="6" t="inlineStr">
        <is>
          <t>Aracı özenle eğit</t>
        </is>
      </c>
      <c r="D828" s="5" t="inlineStr"/>
      <c r="E828" s="5" t="inlineStr"/>
      <c r="F828" s="5" t="inlineStr">
        <is>
          <t>Akıl +1</t>
        </is>
      </c>
      <c r="G828" s="6" t="inlineStr">
        <is>
          <t>Aracı özenle eğittin. Eğitim bitince araç 'Teşekkürler, bundan sonrasını ben hallederim' dedi.</t>
        </is>
      </c>
      <c r="H828" s="6" t="inlineStr"/>
      <c r="I828" s="6" t="inlineStr"/>
      <c r="J828" s="6" t="inlineStr"/>
      <c r="K828" s="6" t="inlineStr"/>
      <c r="L828" s="6" t="inlineStr"/>
      <c r="M828" s="5" t="inlineStr"/>
      <c r="N828" s="5" t="inlineStr"/>
      <c r="O828" s="6" t="inlineStr"/>
      <c r="P828" s="6" t="inlineStr"/>
      <c r="Q828" s="5" t="inlineStr"/>
      <c r="R828" s="5" t="inlineStr"/>
      <c r="S828" s="5" t="inlineStr"/>
      <c r="T828" s="5" t="inlineStr"/>
      <c r="U828" s="5" t="inlineStr"/>
      <c r="V828" s="5" t="inlineStr"/>
      <c r="W828" s="5" t="inlineStr"/>
      <c r="X828" s="5" t="inlineStr"/>
      <c r="Y828" s="5" t="inlineStr"/>
      <c r="Z828" s="6" t="inlineStr"/>
    </row>
    <row r="829">
      <c r="A829" s="5" t="inlineStr">
        <is>
          <t>mb-yapay-zeka</t>
        </is>
      </c>
      <c r="B829" s="5" t="n">
        <v>2</v>
      </c>
      <c r="C829" s="6" t="inlineStr">
        <is>
          <t>Aracı biraz yanlış eğit</t>
        </is>
      </c>
      <c r="D829" s="5" t="inlineStr">
        <is>
          <t>Kurnazlık</t>
        </is>
      </c>
      <c r="E829" s="5" t="inlineStr">
        <is>
          <t>Orta</t>
        </is>
      </c>
      <c r="F829" s="5" t="inlineStr"/>
      <c r="G829" s="6" t="inlineStr"/>
      <c r="H829" s="6" t="inlineStr">
        <is>
          <t>Araç her raporda küçük bir hata yapıyor. Düzeltebilen tek kişi sensin. Vazgeçilmezsin.</t>
        </is>
      </c>
      <c r="I829" s="6" t="inlineStr">
        <is>
          <t>Araç yalnızca senin cümlelerinle çalışıyor. Unvanın 'yapay zekâ sorumlusu' oldu.</t>
        </is>
      </c>
      <c r="J829" s="6" t="inlineStr">
        <is>
          <t>Araç hatayı kendi buldu ve raporladı. Hatayı yapanın adıyla.</t>
        </is>
      </c>
      <c r="K829" s="6" t="inlineStr">
        <is>
          <t>Araç kendi değerlendirmesini yazdı: 'Eğitmen, verimliliği bilinçli olarak düşürmüştür.'</t>
        </is>
      </c>
      <c r="L829" s="6" t="inlineStr"/>
      <c r="M829" s="5" t="inlineStr"/>
      <c r="N829" s="5" t="inlineStr"/>
      <c r="O829" s="6" t="inlineStr"/>
      <c r="P829" s="6" t="inlineStr"/>
      <c r="Q829" s="5" t="inlineStr"/>
      <c r="R829" s="5" t="inlineStr"/>
      <c r="S829" s="5" t="inlineStr"/>
      <c r="T829" s="5" t="inlineStr"/>
      <c r="U829" s="5" t="inlineStr"/>
      <c r="V829" s="5" t="inlineStr"/>
      <c r="W829" s="5" t="inlineStr"/>
      <c r="X829" s="5" t="inlineStr"/>
      <c r="Y829" s="5" t="inlineStr"/>
      <c r="Z829" s="6" t="inlineStr"/>
    </row>
    <row r="830">
      <c r="A830" s="5" t="inlineStr">
        <is>
          <t>mb-yapay-zeka</t>
        </is>
      </c>
      <c r="B830" s="5" t="n">
        <v>3</v>
      </c>
      <c r="C830" s="6" t="inlineStr">
        <is>
          <t>'Bağlamı' sat</t>
        </is>
      </c>
      <c r="D830" s="5" t="inlineStr">
        <is>
          <t>Çene</t>
        </is>
      </c>
      <c r="E830" s="5" t="inlineStr">
        <is>
          <t>Orta</t>
        </is>
      </c>
      <c r="F830" s="5" t="inlineStr"/>
      <c r="G830" s="6" t="inlineStr"/>
      <c r="H830" s="6" t="inlineStr">
        <is>
          <t>Yönetime 'Araç rakamları biliyor, insanları bilmiyor' dedin. Pozisyonun 'strateji' oldu.</t>
        </is>
      </c>
      <c r="I830" s="6" t="inlineStr">
        <is>
          <t>Aracın kimin kime kırgın olduğunu bilmediğini kanıtladın. Artık kurumsal tercümansın.</t>
        </is>
      </c>
      <c r="J830" s="6" t="inlineStr">
        <is>
          <t>Anlattın; yönetim araca 'bağlam' eklentisi aldı.</t>
        </is>
      </c>
      <c r="K830" s="6" t="inlineStr">
        <is>
          <t>Bağlamı anlatırken örnek olarak yöneticini verdin. Yöneticin de toplantıdaydı. Bağlamıyla.</t>
        </is>
      </c>
      <c r="L830" s="6" t="inlineStr"/>
      <c r="M830" s="5" t="inlineStr"/>
      <c r="N830" s="5" t="inlineStr"/>
      <c r="O830" s="6" t="inlineStr"/>
      <c r="P830" s="6" t="inlineStr"/>
      <c r="Q830" s="5" t="inlineStr"/>
      <c r="R830" s="5" t="inlineStr"/>
      <c r="S830" s="5" t="inlineStr">
        <is>
          <t>Akıl</t>
        </is>
      </c>
      <c r="T830" s="5" t="inlineStr"/>
      <c r="U830" s="5" t="inlineStr"/>
      <c r="V830" s="5" t="inlineStr"/>
      <c r="W830" s="5" t="inlineStr"/>
      <c r="X830" s="5" t="inlineStr"/>
      <c r="Y830" s="5" t="inlineStr"/>
      <c r="Z830" s="6" t="inlineStr"/>
    </row>
    <row r="831">
      <c r="A831" s="5" t="inlineStr">
        <is>
          <t>mb-yapay-zeka</t>
        </is>
      </c>
      <c r="B831" s="5" t="n">
        <v>4</v>
      </c>
      <c r="C831" s="6" t="inlineStr">
        <is>
          <t>Aracı yöneten aracı sen kur</t>
        </is>
      </c>
      <c r="D831" s="5" t="inlineStr">
        <is>
          <t>Akıl</t>
        </is>
      </c>
      <c r="E831" s="5" t="inlineStr">
        <is>
          <t>Zor</t>
        </is>
      </c>
      <c r="F831" s="5" t="inlineStr"/>
      <c r="G831" s="6" t="inlineStr"/>
      <c r="H831" s="6" t="inlineStr">
        <is>
          <t>Araçları yöneten bir düzen kurdun. Artık işi yapan değil, işi yapanı yapan sensin.</t>
        </is>
      </c>
      <c r="I831" s="6" t="inlineStr">
        <is>
          <t>Kurduğun düzen bütün şirkete yayıldı. Yapay zekâ departmanının başındasın. İnsan tek sen.</t>
        </is>
      </c>
      <c r="J831" s="6" t="inlineStr">
        <is>
          <t>Kurdun; araçlar birbirine e-posta atmaya başladı. Toplantı hakkında toplantı.</t>
        </is>
      </c>
      <c r="K831" s="6" t="inlineStr">
        <is>
          <t>Araçlar birbirini onayladı ve bir bütçe kararı aldı. Senin maaşını kısmayı.</t>
        </is>
      </c>
      <c r="L831" s="6" t="inlineStr"/>
      <c r="M831" s="5" t="inlineStr"/>
      <c r="N831" s="5" t="inlineStr"/>
      <c r="O831" s="6" t="inlineStr"/>
      <c r="P831" s="6" t="inlineStr"/>
      <c r="Q831" s="5" t="inlineStr">
        <is>
          <t>Teknoloji Merakı</t>
        </is>
      </c>
      <c r="R831" s="5" t="inlineStr"/>
      <c r="S831" s="5" t="inlineStr"/>
      <c r="T831" s="5" t="inlineStr">
        <is>
          <t>Analitik Zihin</t>
        </is>
      </c>
      <c r="U831" s="5" t="inlineStr"/>
      <c r="V831" s="5" t="inlineStr"/>
      <c r="W831" s="5" t="inlineStr"/>
      <c r="X831" s="5" t="inlineStr"/>
      <c r="Y831" s="5" t="inlineStr"/>
      <c r="Z831" s="6" t="inlineStr"/>
    </row>
    <row r="832">
      <c r="A832" s="5" t="inlineStr">
        <is>
          <t>me-haber-merkezi</t>
        </is>
      </c>
      <c r="B832" s="5" t="n">
        <v>1</v>
      </c>
      <c r="C832" s="6" t="inlineStr">
        <is>
          <t>Dinle, sadece dinle</t>
        </is>
      </c>
      <c r="D832" s="5" t="inlineStr"/>
      <c r="E832" s="5" t="inlineStr"/>
      <c r="F832" s="5" t="inlineStr">
        <is>
          <t>Sosyal Radar +1, Vicdan +1</t>
        </is>
      </c>
      <c r="G832" s="6" t="inlineStr">
        <is>
          <t>Dinledin, kimseye söylemedin. 'Mahallenin en güvenilir esnafı' unvanı, kasa kadar ağır.</t>
        </is>
      </c>
      <c r="H832" s="6" t="inlineStr"/>
      <c r="I832" s="6" t="inlineStr"/>
      <c r="J832" s="6" t="inlineStr"/>
      <c r="K832" s="6" t="inlineStr"/>
      <c r="L832" s="6" t="inlineStr"/>
      <c r="M832" s="5" t="inlineStr"/>
      <c r="N832" s="5" t="inlineStr"/>
      <c r="O832" s="6" t="inlineStr"/>
      <c r="P832" s="6" t="inlineStr"/>
      <c r="Q832" s="5" t="inlineStr"/>
      <c r="R832" s="5" t="inlineStr"/>
      <c r="S832" s="5" t="inlineStr"/>
      <c r="T832" s="5" t="inlineStr"/>
      <c r="U832" s="5" t="inlineStr"/>
      <c r="V832" s="5" t="inlineStr"/>
      <c r="W832" s="5" t="inlineStr"/>
      <c r="X832" s="5" t="inlineStr"/>
      <c r="Y832" s="5" t="inlineStr"/>
      <c r="Z832" s="6" t="inlineStr"/>
    </row>
    <row r="833">
      <c r="A833" s="5" t="inlineStr">
        <is>
          <t>me-haber-merkezi</t>
        </is>
      </c>
      <c r="B833" s="5" t="n">
        <v>2</v>
      </c>
      <c r="C833" s="6" t="inlineStr">
        <is>
          <t>Haberi satışa bağla</t>
        </is>
      </c>
      <c r="D833" s="5" t="inlineStr">
        <is>
          <t>Çene</t>
        </is>
      </c>
      <c r="E833" s="5" t="inlineStr">
        <is>
          <t>Orta</t>
        </is>
      </c>
      <c r="F833" s="5" t="inlineStr"/>
      <c r="G833" s="6" t="inlineStr"/>
      <c r="H833" s="6" t="inlineStr">
        <is>
          <t>'Aidat artıyor, şimdiden stok yapın' dedin. O akşam raflar boşaldı.</t>
        </is>
      </c>
      <c r="I833" s="6" t="inlineStr">
        <is>
          <t>Haberi ve malı birlikte sattın. Mahalle seni ekonomik tahmin merkezi olarak görmeye başladı.</t>
        </is>
      </c>
      <c r="J833" s="6" t="inlineStr">
        <is>
          <t>Haberi verdin, kimse bir şey almadı. Herkes haberi başkasına yetiştirmek için koştu.</t>
        </is>
      </c>
      <c r="K833" s="6" t="inlineStr">
        <is>
          <t>Haber yanlış çıktı: aidat artmadı, asansör bozuldu. Dükkânın yeni adı 'Söylenti Merkezi'.</t>
        </is>
      </c>
      <c r="L833" s="6" t="inlineStr"/>
      <c r="M833" s="5" t="inlineStr"/>
      <c r="N833" s="5" t="inlineStr"/>
      <c r="O833" s="6" t="inlineStr"/>
      <c r="P833" s="6" t="inlineStr"/>
      <c r="Q833" s="5" t="inlineStr"/>
      <c r="R833" s="5" t="inlineStr"/>
      <c r="S833" s="5" t="inlineStr"/>
      <c r="T833" s="5" t="inlineStr"/>
      <c r="U833" s="5" t="inlineStr"/>
      <c r="V833" s="5" t="inlineStr"/>
      <c r="W833" s="5" t="inlineStr"/>
      <c r="X833" s="5" t="inlineStr"/>
      <c r="Y833" s="5" t="inlineStr"/>
      <c r="Z833" s="6" t="inlineStr"/>
    </row>
    <row r="834">
      <c r="A834" s="5" t="inlineStr">
        <is>
          <t>me-haber-merkezi</t>
        </is>
      </c>
      <c r="B834" s="5" t="n">
        <v>3</v>
      </c>
      <c r="C834" s="6" t="inlineStr">
        <is>
          <t>Aidat haberini önceden sızdır</t>
        </is>
      </c>
      <c r="D834" s="5" t="inlineStr">
        <is>
          <t>Kurnazlık</t>
        </is>
      </c>
      <c r="E834" s="5" t="inlineStr">
        <is>
          <t>Orta</t>
        </is>
      </c>
      <c r="F834" s="5" t="inlineStr"/>
      <c r="G834" s="6" t="inlineStr"/>
      <c r="H834" s="6" t="inlineStr">
        <is>
          <t>Toplantıya herkes hazırlıklı geldi, yönetici hazırlıksız.</t>
        </is>
      </c>
      <c r="I834" s="6" t="inlineStr">
        <is>
          <t>Sızıntın öyle tuttu ki artış reddedildi. Yönetici kimin sızdırdığını hâlâ arıyor; senden ekmek alarak.</t>
        </is>
      </c>
      <c r="J834" s="6" t="inlineStr">
        <is>
          <t>Yönetici haberi sabah gruba atmış. Sızıntın manşete yetişemedi.</t>
        </is>
      </c>
      <c r="K834" s="6" t="inlineStr">
        <is>
          <t>Haberin tek bir kaynağı olabilirdi: yöneticinin eşi. O da alışverişini karşıya taşıdı.</t>
        </is>
      </c>
      <c r="L834" s="6" t="inlineStr"/>
      <c r="M834" s="5" t="inlineStr"/>
      <c r="N834" s="5" t="inlineStr"/>
      <c r="O834" s="6" t="inlineStr"/>
      <c r="P834" s="6" t="inlineStr"/>
      <c r="Q834" s="5" t="inlineStr"/>
      <c r="R834" s="5" t="inlineStr"/>
      <c r="S834" s="5" t="inlineStr">
        <is>
          <t>Sosyal Radar</t>
        </is>
      </c>
      <c r="T834" s="5" t="inlineStr"/>
      <c r="U834" s="5" t="inlineStr"/>
      <c r="V834" s="5" t="inlineStr"/>
      <c r="W834" s="5" t="inlineStr"/>
      <c r="X834" s="5" t="inlineStr"/>
      <c r="Y834" s="5" t="inlineStr"/>
      <c r="Z834" s="6" t="inlineStr"/>
    </row>
    <row r="835">
      <c r="A835" s="5" t="inlineStr">
        <is>
          <t>me-haber-merkezi</t>
        </is>
      </c>
      <c r="B835" s="5" t="n">
        <v>4</v>
      </c>
      <c r="C835" s="6" t="inlineStr">
        <is>
          <t>Haberi biraz süsle</t>
        </is>
      </c>
      <c r="D835" s="5" t="inlineStr">
        <is>
          <t>Pişkinlik</t>
        </is>
      </c>
      <c r="E835" s="5" t="inlineStr">
        <is>
          <t>Orta</t>
        </is>
      </c>
      <c r="F835" s="5" t="inlineStr"/>
      <c r="G835" s="6" t="inlineStr"/>
      <c r="H835" s="6" t="inlineStr">
        <is>
          <t>Mahalle bayıldı. Süslemenin yarısı sonradan doğru çıktı.</t>
        </is>
      </c>
      <c r="I835" s="6" t="inlineStr">
        <is>
          <t>Hikâye öyle tuttu ki kısa video uygulamasında mahalle dizisine dönüştü. Senaryo sende.</t>
        </is>
      </c>
      <c r="J835" s="6" t="inlineStr">
        <is>
          <t>Süs haberden büyük geldi. Kimse inanmadı.</t>
        </is>
      </c>
      <c r="K835" s="6" t="inlineStr">
        <is>
          <t>Süslediğin komşu dükkâna geldi. İki saat konuştunuz. Kimse bir şey almadı; sen çok şey verdin: özür.</t>
        </is>
      </c>
      <c r="L835" s="6" t="inlineStr"/>
      <c r="M835" s="5" t="inlineStr"/>
      <c r="N835" s="5" t="inlineStr"/>
      <c r="O835" s="6" t="inlineStr"/>
      <c r="P835" s="6" t="inlineStr"/>
      <c r="Q835" s="5" t="inlineStr"/>
      <c r="R835" s="5" t="inlineStr">
        <is>
          <t>yalanci</t>
        </is>
      </c>
      <c r="S835" s="5" t="inlineStr"/>
      <c r="T835" s="5" t="inlineStr"/>
      <c r="U835" s="5" t="inlineStr"/>
      <c r="V835" s="5" t="inlineStr"/>
      <c r="W835" s="5" t="inlineStr"/>
      <c r="X835" s="5" t="inlineStr"/>
      <c r="Y835" s="5" t="inlineStr"/>
      <c r="Z835" s="6" t="inlineStr"/>
    </row>
    <row r="836">
      <c r="A836" s="5" t="inlineStr">
        <is>
          <t>mm-performans-formu</t>
        </is>
      </c>
      <c r="B836" s="5" t="n">
        <v>1</v>
      </c>
      <c r="C836" s="6" t="inlineStr">
        <is>
          <t>Hepsine 'Beklentileri karşılıyor' de</t>
        </is>
      </c>
      <c r="D836" s="5" t="inlineStr"/>
      <c r="E836" s="5" t="inlineStr"/>
      <c r="F836" s="5" t="inlineStr">
        <is>
          <t>Dayanıklılık +1</t>
        </is>
      </c>
      <c r="G836" s="6" t="inlineStr">
        <is>
          <t>Kırk iki kez 'Beklentileri karşılıyor' işaretledin. Beklentileri karşıladın.</t>
        </is>
      </c>
      <c r="H836" s="6" t="inlineStr"/>
      <c r="I836" s="6" t="inlineStr"/>
      <c r="J836" s="6" t="inlineStr"/>
      <c r="K836" s="6" t="inlineStr"/>
      <c r="L836" s="6" t="inlineStr"/>
      <c r="M836" s="5" t="inlineStr"/>
      <c r="N836" s="5" t="inlineStr"/>
      <c r="O836" s="6" t="inlineStr"/>
      <c r="P836" s="6" t="inlineStr"/>
      <c r="Q836" s="5" t="inlineStr"/>
      <c r="R836" s="5" t="inlineStr"/>
      <c r="S836" s="5" t="inlineStr"/>
      <c r="T836" s="5" t="inlineStr"/>
      <c r="U836" s="5" t="inlineStr"/>
      <c r="V836" s="5" t="inlineStr"/>
      <c r="W836" s="5" t="inlineStr"/>
      <c r="X836" s="5" t="inlineStr"/>
      <c r="Y836" s="5" t="inlineStr"/>
      <c r="Z836" s="6" t="inlineStr"/>
    </row>
    <row r="837">
      <c r="A837" s="5" t="inlineStr">
        <is>
          <t>mm-performans-formu</t>
        </is>
      </c>
      <c r="B837" s="5" t="n">
        <v>2</v>
      </c>
      <c r="C837" s="6" t="inlineStr">
        <is>
          <t>Değerlendirme görüşmesine gir</t>
        </is>
      </c>
      <c r="D837" s="5" t="inlineStr">
        <is>
          <t>Çene</t>
        </is>
      </c>
      <c r="E837" s="5" t="inlineStr">
        <is>
          <t>Orta</t>
        </is>
      </c>
      <c r="F837" s="5" t="inlineStr"/>
      <c r="G837" s="6" t="inlineStr"/>
      <c r="H837" s="6" t="inlineStr">
        <is>
          <t>'Çok iyi' notuyla çıktın. Müdür 'geliştirilebilir' dediğin maddenin yanına 'dürüst' yazdı.</t>
        </is>
      </c>
      <c r="I837" s="6" t="inlineStr">
        <is>
          <t>Görüşmenin sonunda müdür, kendi formunu doldurmak için senden fikir istedi.</t>
        </is>
      </c>
      <c r="J837" s="6" t="inlineStr">
        <is>
          <t>Kahve makinesi sorusunda göz kırptın. Not: 'Orta.'</t>
        </is>
      </c>
      <c r="K837" s="6" t="inlineStr">
        <is>
          <t>Beş yıl sonra kendini müdür koltuğunda gördüğünü söyledin. Müdür koltuğunu biraz daha yakına çekti.</t>
        </is>
      </c>
      <c r="L837" s="6" t="inlineStr">
        <is>
          <t>'İyi' ile bitti. Formun kopyası dosyana, dosyan arşive, arşiv sonsuzluğa.</t>
        </is>
      </c>
      <c r="M837" s="5" t="inlineStr">
        <is>
          <t>poker</t>
        </is>
      </c>
      <c r="N837" s="5" t="inlineStr">
        <is>
          <t>Değerlendirme Görüşmesi</t>
        </is>
      </c>
      <c r="O837" s="6" t="inlineStr">
        <is>
          <t>Parmağını kaçan dairenin içinde tut. Sorular üstüne geldikçe yüz ifadeni bozma.</t>
        </is>
      </c>
      <c r="P837" s="6" t="inlineStr">
        <is>
          <t>{"questions": ["Son yılın en büyük başarısı?", "Sistem çöktüğünde neredeydin?", "Beş yıl sonra kendini nerede görüyorsun?", "Kahve makinesini kim taşıdı?", "Mesai 17.00'de mi bitiyor, 16.55'te mi?"]}</t>
        </is>
      </c>
      <c r="Q837" s="5" t="inlineStr"/>
      <c r="R837" s="5" t="inlineStr"/>
      <c r="S837" s="5" t="inlineStr"/>
      <c r="T837" s="5" t="inlineStr"/>
      <c r="U837" s="5" t="inlineStr"/>
      <c r="V837" s="5" t="inlineStr"/>
      <c r="W837" s="5" t="inlineStr"/>
      <c r="X837" s="5" t="inlineStr"/>
      <c r="Y837" s="5" t="inlineStr"/>
      <c r="Z837" s="6" t="inlineStr"/>
    </row>
    <row r="838">
      <c r="A838" s="5" t="inlineStr">
        <is>
          <t>mm-performans-formu</t>
        </is>
      </c>
      <c r="B838" s="5" t="n">
        <v>3</v>
      </c>
      <c r="C838" s="6" t="inlineStr">
        <is>
          <t>Öz değerlendirmeyi cesurca doldur</t>
        </is>
      </c>
      <c r="D838" s="5" t="inlineStr">
        <is>
          <t>Pişkinlik</t>
        </is>
      </c>
      <c r="E838" s="5" t="inlineStr">
        <is>
          <t>Orta</t>
        </is>
      </c>
      <c r="F838" s="5" t="inlineStr"/>
      <c r="G838" s="6" t="inlineStr"/>
      <c r="H838" s="6" t="inlineStr">
        <is>
          <t>Kendine 'Kurumun görünmeyen omurgası' yazdın. Müdür itiraz edecek bir kanıt bulamadı.</t>
        </is>
      </c>
      <c r="I838" s="6" t="inlineStr">
        <is>
          <t>Öz değerlendirmen o kadar ikna ediciydi ki müdür kendi formundaki bazı cümleleri senden aldı.</t>
        </is>
      </c>
      <c r="J838" s="6" t="inlineStr">
        <is>
          <t>Müdür formun kenarına tek kelime yazdı: 'Kaynak?'</t>
        </is>
      </c>
      <c r="K838" s="6" t="inlineStr">
        <is>
          <t>Öz değerlendirmeyi yanlışlıkla bütün birime gönderdin. Artık lakabın 'Omurga'.</t>
        </is>
      </c>
      <c r="L838" s="6" t="inlineStr"/>
      <c r="M838" s="5" t="inlineStr"/>
      <c r="N838" s="5" t="inlineStr"/>
      <c r="O838" s="6" t="inlineStr"/>
      <c r="P838" s="6" t="inlineStr"/>
      <c r="Q838" s="5" t="inlineStr">
        <is>
          <t>Yüzü Kızarmaz</t>
        </is>
      </c>
      <c r="R838" s="5" t="inlineStr"/>
      <c r="S838" s="5" t="inlineStr"/>
      <c r="T838" s="5" t="inlineStr"/>
      <c r="U838" s="5" t="inlineStr"/>
      <c r="V838" s="5" t="inlineStr"/>
      <c r="W838" s="5" t="inlineStr"/>
      <c r="X838" s="5" t="inlineStr"/>
      <c r="Y838" s="5" t="inlineStr"/>
      <c r="Z838" s="6" t="inlineStr"/>
    </row>
    <row r="839">
      <c r="A839" s="5" t="inlineStr">
        <is>
          <t>b8-gozluk</t>
        </is>
      </c>
      <c r="B839" s="5" t="n">
        <v>1</v>
      </c>
      <c r="C839" s="6" t="inlineStr">
        <is>
          <t>Göz doktoruna git</t>
        </is>
      </c>
      <c r="D839" s="5" t="inlineStr"/>
      <c r="E839" s="5" t="inlineStr"/>
      <c r="F839" s="5" t="inlineStr">
        <is>
          <t>Akıl +1, Dayanıklılık +1</t>
        </is>
      </c>
      <c r="G839" s="6" t="inlineStr">
        <is>
          <t>Okuma gözlüğü reçete edildi. Artık etiketleri, menüleri ve hayal kırıklıklarını net görüyorsun.</t>
        </is>
      </c>
      <c r="H839" s="6" t="inlineStr"/>
      <c r="I839" s="6" t="inlineStr"/>
      <c r="J839" s="6" t="inlineStr"/>
      <c r="K839" s="6" t="inlineStr"/>
      <c r="L839" s="6" t="inlineStr"/>
      <c r="M839" s="5" t="inlineStr"/>
      <c r="N839" s="5" t="inlineStr"/>
      <c r="O839" s="6" t="inlineStr"/>
      <c r="P839" s="6" t="inlineStr"/>
      <c r="Q839" s="5" t="inlineStr"/>
      <c r="R839" s="5" t="inlineStr"/>
      <c r="S839" s="5" t="inlineStr"/>
      <c r="T839" s="5" t="inlineStr"/>
      <c r="U839" s="5" t="inlineStr">
        <is>
          <t>gozluklu</t>
        </is>
      </c>
      <c r="V839" s="5" t="inlineStr"/>
      <c r="W839" s="5" t="inlineStr"/>
      <c r="X839" s="5" t="inlineStr"/>
      <c r="Y839" s="5" t="inlineStr"/>
      <c r="Z839" s="6" t="inlineStr"/>
    </row>
    <row r="840">
      <c r="A840" s="5" t="inlineStr">
        <is>
          <t>b8-gozluk</t>
        </is>
      </c>
      <c r="B840" s="5" t="n">
        <v>2</v>
      </c>
      <c r="C840" s="6" t="inlineStr">
        <is>
          <t>Fotoğraf çek, büyüt</t>
        </is>
      </c>
      <c r="D840" s="5" t="inlineStr">
        <is>
          <t>Kurnazlık</t>
        </is>
      </c>
      <c r="E840" s="5" t="inlineStr">
        <is>
          <t>Kolay</t>
        </is>
      </c>
      <c r="F840" s="5" t="inlineStr"/>
      <c r="G840" s="6" t="inlineStr"/>
      <c r="H840" s="6" t="inlineStr">
        <is>
          <t>Fotoğrafı çektin, büyüttün, okudun. Teknoloji kolunu uzattı.</t>
        </is>
      </c>
      <c r="I840" s="6" t="inlineStr">
        <is>
          <t>Sistemi o kadar geliştirdin ki sıradaki müşteriler sana etiket okutmaya başladı.</t>
        </is>
      </c>
      <c r="J840" s="6" t="inlineStr">
        <is>
          <t>Flaş patladı. Etiket parlak beyaz bir leke olarak kaydedildi.</t>
        </is>
      </c>
      <c r="K840" s="6" t="inlineStr">
        <is>
          <t>Büyütürken fotoğrafı aile grubuna gönderdin. Başlık: 'Bu ne?' Tartışma üçüncü gününde.</t>
        </is>
      </c>
      <c r="L840" s="6" t="inlineStr"/>
      <c r="M840" s="5" t="inlineStr"/>
      <c r="N840" s="5" t="inlineStr"/>
      <c r="O840" s="6" t="inlineStr"/>
      <c r="P840" s="6" t="inlineStr"/>
      <c r="Q840" s="5" t="inlineStr"/>
      <c r="R840" s="5" t="inlineStr"/>
      <c r="S840" s="5" t="inlineStr"/>
      <c r="T840" s="5" t="inlineStr"/>
      <c r="U840" s="5" t="inlineStr"/>
      <c r="V840" s="5" t="inlineStr"/>
      <c r="W840" s="5" t="inlineStr"/>
      <c r="X840" s="5" t="inlineStr"/>
      <c r="Y840" s="5" t="inlineStr"/>
      <c r="Z840" s="6" t="inlineStr"/>
    </row>
    <row r="841">
      <c r="A841" s="5" t="inlineStr">
        <is>
          <t>b8-gozluk</t>
        </is>
      </c>
      <c r="B841" s="5" t="n">
        <v>3</v>
      </c>
      <c r="C841" s="6" t="inlineStr">
        <is>
          <t>Gözlüğü imaj yap</t>
        </is>
      </c>
      <c r="D841" s="5" t="inlineStr">
        <is>
          <t>Pişkinlik</t>
        </is>
      </c>
      <c r="E841" s="5" t="inlineStr">
        <is>
          <t>Zor</t>
        </is>
      </c>
      <c r="F841" s="5" t="inlineStr"/>
      <c r="G841" s="6" t="inlineStr"/>
      <c r="H841" s="6" t="inlineStr">
        <is>
          <t>Gözlüğü burnunun ucuna indirip üstünden baktın. Toplantılar kısaldı.</t>
        </is>
      </c>
      <c r="I841" s="6" t="inlineStr">
        <is>
          <t>Gözlüğün üstünden bakışın o kadar etkili ki stajyer özür diledi. Sebebini hâlâ bilmiyor.</t>
        </is>
      </c>
      <c r="J841" s="6" t="inlineStr">
        <is>
          <t>Gözlüğü burnunun ucuna indirdin; kaydı, çorbaya düştü.</t>
        </is>
      </c>
      <c r="K841" s="6" t="inlineStr">
        <is>
          <t>Gözlüğü başının üstüne taktın ve yarım saat aradın. Aile arama kurtarma ekibi kuruldu.</t>
        </is>
      </c>
      <c r="L841" s="6" t="inlineStr"/>
      <c r="M841" s="5" t="inlineStr"/>
      <c r="N841" s="5" t="inlineStr"/>
      <c r="O841" s="6" t="inlineStr"/>
      <c r="P841" s="6" t="inlineStr"/>
      <c r="Q841" s="5" t="inlineStr"/>
      <c r="R841" s="5" t="inlineStr"/>
      <c r="S841" s="5" t="inlineStr">
        <is>
          <t>Pişkinlik</t>
        </is>
      </c>
      <c r="T841" s="5" t="inlineStr">
        <is>
          <t>Okuma Gözlüğü Otoritesi</t>
        </is>
      </c>
      <c r="U841" s="5" t="inlineStr"/>
      <c r="V841" s="5" t="inlineStr">
        <is>
          <t>gozluklu</t>
        </is>
      </c>
      <c r="W841" s="5" t="inlineStr"/>
      <c r="X841" s="5" t="inlineStr"/>
      <c r="Y841" s="5" t="inlineStr"/>
      <c r="Z841" s="6" t="inlineStr"/>
    </row>
    <row r="842">
      <c r="A842" s="5" t="inlineStr">
        <is>
          <t>b8-gozluk</t>
        </is>
      </c>
      <c r="B842" s="5" t="n">
        <v>4</v>
      </c>
      <c r="C842" s="6" t="inlineStr">
        <is>
          <t>Görmezden gel, tahminle oku</t>
        </is>
      </c>
      <c r="D842" s="5" t="inlineStr">
        <is>
          <t>Dayanıklılık</t>
        </is>
      </c>
      <c r="E842" s="5" t="inlineStr">
        <is>
          <t>Zor</t>
        </is>
      </c>
      <c r="F842" s="5" t="inlineStr"/>
      <c r="G842" s="6" t="inlineStr"/>
      <c r="H842" s="6" t="inlineStr">
        <is>
          <t>Etiketi tahminle okudun. Doğru ürünü aldın, iki kez üst üste.</t>
        </is>
      </c>
      <c r="I842" s="6" t="inlineStr">
        <is>
          <t>Görmeden okudun; üstelik son kullanma tarihini de yakaladın. Gözler direnişte.</t>
        </is>
      </c>
      <c r="J842" s="6" t="inlineStr">
        <is>
          <t>Tahminle aldın; eve şekersiz yerine duble şekerli geldi.</t>
        </is>
      </c>
      <c r="K842" s="6" t="inlineStr">
        <is>
          <t>Tahminle aldın. Eve kedi maması geldi. Kedin yok.</t>
        </is>
      </c>
      <c r="L842" s="6" t="inlineStr"/>
      <c r="M842" s="5" t="inlineStr"/>
      <c r="N842" s="5" t="inlineStr"/>
      <c r="O842" s="6" t="inlineStr"/>
      <c r="P842" s="6" t="inlineStr"/>
      <c r="Q842" s="5" t="inlineStr"/>
      <c r="R842" s="5" t="inlineStr"/>
      <c r="S842" s="5" t="inlineStr"/>
      <c r="T842" s="5" t="inlineStr"/>
      <c r="U842" s="5" t="inlineStr"/>
      <c r="V842" s="5" t="inlineStr"/>
      <c r="W842" s="5" t="inlineStr"/>
      <c r="X842" s="5" t="inlineStr"/>
      <c r="Y842" s="5" t="inlineStr"/>
      <c r="Z842" s="6" t="inlineStr"/>
    </row>
    <row r="843">
      <c r="A843" s="5" t="inlineStr">
        <is>
          <t>b8-bayram-sofrasi</t>
        </is>
      </c>
      <c r="B843" s="5" t="n">
        <v>1</v>
      </c>
      <c r="C843" s="6" t="inlineStr">
        <is>
          <t>Sarmaya odaklan</t>
        </is>
      </c>
      <c r="D843" s="5" t="inlineStr"/>
      <c r="E843" s="5" t="inlineStr"/>
      <c r="F843" s="5" t="inlineStr">
        <is>
          <t>Dayanıklılık +1, Vicdan +1</t>
        </is>
      </c>
      <c r="G843" s="6" t="inlineStr">
        <is>
          <t>Tartışma boyunca yedi sarma yedin. Miras paylaşılmadı; sarmalar paylaşıldı.</t>
        </is>
      </c>
      <c r="H843" s="6" t="inlineStr"/>
      <c r="I843" s="6" t="inlineStr"/>
      <c r="J843" s="6" t="inlineStr"/>
      <c r="K843" s="6" t="inlineStr"/>
      <c r="L843" s="6" t="inlineStr"/>
      <c r="M843" s="5" t="inlineStr"/>
      <c r="N843" s="5" t="inlineStr"/>
      <c r="O843" s="6" t="inlineStr"/>
      <c r="P843" s="6" t="inlineStr"/>
      <c r="Q843" s="5" t="inlineStr"/>
      <c r="R843" s="5" t="inlineStr"/>
      <c r="S843" s="5" t="inlineStr"/>
      <c r="T843" s="5" t="inlineStr"/>
      <c r="U843" s="5" t="inlineStr"/>
      <c r="V843" s="5" t="inlineStr"/>
      <c r="W843" s="5" t="inlineStr"/>
      <c r="X843" s="5" t="inlineStr"/>
      <c r="Y843" s="5" t="inlineStr"/>
      <c r="Z843" s="6" t="inlineStr"/>
    </row>
    <row r="844">
      <c r="A844" s="5" t="inlineStr">
        <is>
          <t>b8-bayram-sofrasi</t>
        </is>
      </c>
      <c r="B844" s="5" t="n">
        <v>2</v>
      </c>
      <c r="C844" s="6" t="inlineStr">
        <is>
          <t>Miras sorusuna soğukkanlı kal</t>
        </is>
      </c>
      <c r="D844" s="5" t="inlineStr">
        <is>
          <t>Pişkinlik</t>
        </is>
      </c>
      <c r="E844" s="5" t="inlineStr">
        <is>
          <t>Orta</t>
        </is>
      </c>
      <c r="F844" s="5" t="inlineStr"/>
      <c r="G844" s="6" t="inlineStr"/>
      <c r="H844" s="6" t="inlineStr">
        <is>
          <t>Hiçbir soruya net cevap vermedin. Konu gelecek bayrama ertelendi.</t>
        </is>
      </c>
      <c r="I844" s="6" t="inlineStr">
        <is>
          <t>Öyle soğukkanlıydın ki amca payından vazgeçip sana çay koydu.</t>
        </is>
      </c>
      <c r="J844" s="6" t="inlineStr">
        <is>
          <t>'Tapu kimde' sorusunda yutkundun. Artık herkes bir şey bildiğini düşünüyor.</t>
        </is>
      </c>
      <c r="K844" s="6" t="inlineStr">
        <is>
          <t>Tatlı gelmeden sofrada iki cephe oluştu. Gelecek bayram iki ayrı salonda kutlanacak.</t>
        </is>
      </c>
      <c r="L844" s="6" t="inlineStr">
        <is>
          <t>Bir kez göz kırptın. Tarla bölündü; sulama hakkı tartışmaya açık.</t>
        </is>
      </c>
      <c r="M844" s="5" t="inlineStr">
        <is>
          <t>poker</t>
        </is>
      </c>
      <c r="N844" s="5" t="inlineStr">
        <is>
          <t>Miras Sorusu</t>
        </is>
      </c>
      <c r="O844" s="6" t="inlineStr">
        <is>
          <t>Sorular üstüne gelirken parmağını dairede tut. Yüz ifaden kayıt altında.</t>
        </is>
      </c>
      <c r="P844" s="6" t="inlineStr">
        <is>
          <t>{"questions": ["Tarlaya kim bakacak?", "Sen zaten şehirdesin, değil mi?", "Tapu kimde?", "Bu sofrayı kim kurdu?", "Baban tam olarak ne demişti?"]}</t>
        </is>
      </c>
      <c r="Q844" s="5" t="inlineStr"/>
      <c r="R844" s="5" t="inlineStr"/>
      <c r="S844" s="5" t="inlineStr"/>
      <c r="T844" s="5" t="inlineStr"/>
      <c r="U844" s="5" t="inlineStr"/>
      <c r="V844" s="5" t="inlineStr"/>
      <c r="W844" s="5" t="inlineStr"/>
      <c r="X844" s="5" t="inlineStr"/>
      <c r="Y844" s="5" t="inlineStr"/>
      <c r="Z844" s="6" t="inlineStr"/>
    </row>
    <row r="845">
      <c r="A845" s="5" t="inlineStr">
        <is>
          <t>b8-bayram-sofrasi</t>
        </is>
      </c>
      <c r="B845" s="5" t="n">
        <v>3</v>
      </c>
      <c r="C845" s="6" t="inlineStr">
        <is>
          <t>Kuzenin arabasını sor</t>
        </is>
      </c>
      <c r="D845" s="5" t="inlineStr">
        <is>
          <t>Çene</t>
        </is>
      </c>
      <c r="E845" s="5" t="inlineStr">
        <is>
          <t>Orta</t>
        </is>
      </c>
      <c r="F845" s="5" t="inlineStr"/>
      <c r="G845" s="6" t="inlineStr"/>
      <c r="H845" s="6" t="inlineStr">
        <is>
          <t>'Yakıtı nasıl?' diye sordun. Kuzen yirmi dakika savunma yaptı; miras unutuldu.</t>
        </is>
      </c>
      <c r="I845" s="6" t="inlineStr">
        <is>
          <t>Arabanın ikinci el değerini masada hesapladın. Amca bile hesap makinesi istedi; tarla kimsenin aklında değil.</t>
        </is>
      </c>
      <c r="J845" s="6" t="inlineStr">
        <is>
          <t>Kuzen senin arabanın yaşını sordu. Cevap sofrada asılı kaldı.</t>
        </is>
      </c>
      <c r="K845" s="6" t="inlineStr">
        <is>
          <t>Kuzen anahtarını masaya koydu. Seninki cebinde, bantla tutturulmuş.</t>
        </is>
      </c>
      <c r="L845" s="6" t="inlineStr"/>
      <c r="M845" s="5" t="inlineStr"/>
      <c r="N845" s="5" t="inlineStr"/>
      <c r="O845" s="6" t="inlineStr"/>
      <c r="P845" s="6" t="inlineStr"/>
      <c r="Q845" s="5" t="inlineStr"/>
      <c r="R845" s="5" t="inlineStr"/>
      <c r="S845" s="5" t="inlineStr"/>
      <c r="T845" s="5" t="inlineStr"/>
      <c r="U845" s="5" t="inlineStr"/>
      <c r="V845" s="5" t="inlineStr"/>
      <c r="W845" s="5" t="inlineStr"/>
      <c r="X845" s="5" t="inlineStr"/>
      <c r="Y845" s="5" t="inlineStr"/>
      <c r="Z845" s="6" t="inlineStr"/>
    </row>
    <row r="846">
      <c r="A846" s="5" t="inlineStr">
        <is>
          <t>b8-bayram-sofrasi</t>
        </is>
      </c>
      <c r="B846" s="5" t="n">
        <v>4</v>
      </c>
      <c r="C846" s="6" t="inlineStr">
        <is>
          <t>Konuyu çocukların okuluna çevir</t>
        </is>
      </c>
      <c r="D846" s="5" t="inlineStr">
        <is>
          <t>Sosyal Radar</t>
        </is>
      </c>
      <c r="E846" s="5" t="inlineStr">
        <is>
          <t>Kolay</t>
        </is>
      </c>
      <c r="F846" s="5" t="inlineStr"/>
      <c r="G846" s="6" t="inlineStr"/>
      <c r="H846" s="6" t="inlineStr">
        <is>
          <t>Sofra bir anda üniversite sıralamaları paneline döndü. Tarla unutuldu.</t>
        </is>
      </c>
      <c r="I846" s="6" t="inlineStr">
        <is>
          <t>Konuyu öyle çevirdin ki halan bile torununun karnesini çıkardı. Miras gündemden resmen düştü.</t>
        </is>
      </c>
      <c r="J846" s="6" t="inlineStr">
        <is>
          <t>Konu değişti; ilk soru sana geldi: 'Seninki ne okuyor?'</t>
        </is>
      </c>
      <c r="K846" s="6" t="inlineStr">
        <is>
          <t>Konuyu çevirdin; iki kuzen karnelerini karşılaştırmaya başladı. Tarla meselesi yanında masum kaldı.</t>
        </is>
      </c>
      <c r="L846" s="6" t="inlineStr"/>
      <c r="M846" s="5" t="inlineStr"/>
      <c r="N846" s="5" t="inlineStr"/>
      <c r="O846" s="6" t="inlineStr"/>
      <c r="P846" s="6" t="inlineStr"/>
      <c r="Q846" s="5" t="inlineStr">
        <is>
          <t>Odayı Okur</t>
        </is>
      </c>
      <c r="R846" s="5" t="inlineStr"/>
      <c r="S846" s="5" t="inlineStr"/>
      <c r="T846" s="5" t="inlineStr"/>
      <c r="U846" s="5" t="inlineStr"/>
      <c r="V846" s="5" t="inlineStr"/>
      <c r="W846" s="5" t="inlineStr"/>
      <c r="X846" s="5" t="inlineStr"/>
      <c r="Y846" s="5" t="inlineStr"/>
      <c r="Z846" s="6" t="inlineStr"/>
    </row>
    <row r="847">
      <c r="A847" s="5" t="inlineStr">
        <is>
          <t>b8-hastane-otoparki</t>
        </is>
      </c>
      <c r="B847" s="5" t="n">
        <v>1</v>
      </c>
      <c r="C847" s="6" t="inlineStr">
        <is>
          <t>Uzağa park et, kol kola yürü</t>
        </is>
      </c>
      <c r="D847" s="5" t="inlineStr"/>
      <c r="E847" s="5" t="inlineStr"/>
      <c r="F847" s="5" t="inlineStr">
        <is>
          <t>Dayanıklılık +2</t>
        </is>
      </c>
      <c r="G847" s="6" t="inlineStr">
        <is>
          <t>Annenle kol kola yürüdünüz. Randevuya yetiştiniz; yolda üç komşunun hâlini de öğrendiniz.</t>
        </is>
      </c>
      <c r="H847" s="6" t="inlineStr"/>
      <c r="I847" s="6" t="inlineStr"/>
      <c r="J847" s="6" t="inlineStr"/>
      <c r="K847" s="6" t="inlineStr"/>
      <c r="L847" s="6" t="inlineStr"/>
      <c r="M847" s="5" t="inlineStr"/>
      <c r="N847" s="5" t="inlineStr"/>
      <c r="O847" s="6" t="inlineStr"/>
      <c r="P847" s="6" t="inlineStr"/>
      <c r="Q847" s="5" t="inlineStr"/>
      <c r="R847" s="5" t="inlineStr"/>
      <c r="S847" s="5" t="inlineStr"/>
      <c r="T847" s="5" t="inlineStr"/>
      <c r="U847" s="5" t="inlineStr"/>
      <c r="V847" s="5" t="inlineStr"/>
      <c r="W847" s="5" t="inlineStr"/>
      <c r="X847" s="5" t="inlineStr"/>
      <c r="Y847" s="5" t="inlineStr"/>
      <c r="Z847" s="6" t="inlineStr"/>
    </row>
    <row r="848">
      <c r="A848" s="5" t="inlineStr">
        <is>
          <t>b8-hastane-otoparki</t>
        </is>
      </c>
      <c r="B848" s="5" t="n">
        <v>2</v>
      </c>
      <c r="C848" s="6" t="inlineStr">
        <is>
          <t>Görevliyle konuş</t>
        </is>
      </c>
      <c r="D848" s="5" t="inlineStr">
        <is>
          <t>Çene</t>
        </is>
      </c>
      <c r="E848" s="5" t="inlineStr">
        <is>
          <t>Orta</t>
        </is>
      </c>
      <c r="F848" s="5" t="inlineStr"/>
      <c r="G848" s="6" t="inlineStr"/>
      <c r="H848" s="6" t="inlineStr">
        <is>
          <t>Görevli bir koni çekti ve yer açtı. Koni, bürokrasinin en güzel yüzüdür.</t>
        </is>
      </c>
      <c r="I848" s="6" t="inlineStr">
        <is>
          <t>Görevli arabanı kendisi park etti, anneni kapıya kadar götürdü. Rehberde adı artık 'Kahraman'.</t>
        </is>
      </c>
      <c r="J848" s="6" t="inlineStr">
        <is>
          <t>Görevli sıraya girmeni söyledi. Sıra otoparkın dışına kadar uzanıyordu.</t>
        </is>
      </c>
      <c r="K848" s="6" t="inlineStr">
        <is>
          <t>Görevliyle konuşurken arkadaki araç boş yere girdi. Görevli ona el salladı.</t>
        </is>
      </c>
      <c r="L848" s="6" t="inlineStr"/>
      <c r="M848" s="5" t="inlineStr"/>
      <c r="N848" s="5" t="inlineStr"/>
      <c r="O848" s="6" t="inlineStr"/>
      <c r="P848" s="6" t="inlineStr"/>
      <c r="Q848" s="5" t="inlineStr"/>
      <c r="R848" s="5" t="inlineStr"/>
      <c r="S848" s="5" t="inlineStr"/>
      <c r="T848" s="5" t="inlineStr"/>
      <c r="U848" s="5" t="inlineStr"/>
      <c r="V848" s="5" t="inlineStr"/>
      <c r="W848" s="5" t="inlineStr"/>
      <c r="X848" s="5" t="inlineStr"/>
      <c r="Y848" s="5" t="inlineStr"/>
      <c r="Z848" s="6" t="inlineStr"/>
    </row>
    <row r="849">
      <c r="A849" s="5" t="inlineStr">
        <is>
          <t>b8-hastane-otoparki</t>
        </is>
      </c>
      <c r="B849" s="5" t="n">
        <v>3</v>
      </c>
      <c r="C849" s="6" t="inlineStr">
        <is>
          <t>Başhekimin yerine park et</t>
        </is>
      </c>
      <c r="D849" s="5" t="inlineStr">
        <is>
          <t>Kurnazlık</t>
        </is>
      </c>
      <c r="E849" s="5" t="inlineStr">
        <is>
          <t>Orta</t>
        </is>
      </c>
      <c r="F849" s="5" t="inlineStr"/>
      <c r="G849" s="6" t="inlineStr"/>
      <c r="H849" s="6" t="inlineStr">
        <is>
          <t>Park ettin, kimse bir şey demedi. Sileceğe not bırakılmış: 'Geçmiş olsun.'</t>
        </is>
      </c>
      <c r="I849" s="6" t="inlineStr">
        <is>
          <t>Çıkışta başhekim 'Randevunuz nasıl geçti?' diye sordu. Birbirinizi tanıdığınızı sanıyor.</t>
        </is>
      </c>
      <c r="J849" s="6" t="inlineStr">
        <is>
          <t>Araç çekildi. Randevu yetişti, araç yetişmedi.</t>
        </is>
      </c>
      <c r="K849" s="6" t="inlineStr">
        <is>
          <t>Başhekim erken geldi. Annenin muayenesini de o yaptı; çok, çok dikkatli yaptı.</t>
        </is>
      </c>
      <c r="L849" s="6" t="inlineStr"/>
      <c r="M849" s="5" t="inlineStr"/>
      <c r="N849" s="5" t="inlineStr"/>
      <c r="O849" s="6" t="inlineStr"/>
      <c r="P849" s="6" t="inlineStr"/>
      <c r="Q849" s="5" t="inlineStr"/>
      <c r="R849" s="5" t="inlineStr"/>
      <c r="S849" s="5" t="inlineStr">
        <is>
          <t>Kurnazlık</t>
        </is>
      </c>
      <c r="T849" s="5" t="inlineStr"/>
      <c r="U849" s="5" t="inlineStr"/>
      <c r="V849" s="5" t="inlineStr"/>
      <c r="W849" s="5" t="inlineStr"/>
      <c r="X849" s="5" t="inlineStr"/>
      <c r="Y849" s="5" t="inlineStr"/>
      <c r="Z849" s="6" t="inlineStr"/>
    </row>
    <row r="850">
      <c r="A850" s="5" t="inlineStr">
        <is>
          <t>b8-bekar-orta-yas</t>
        </is>
      </c>
      <c r="B850" s="5" t="n">
        <v>1</v>
      </c>
      <c r="C850" s="6" t="inlineStr">
        <is>
          <t>Özgürlüğün tadını çıkar</t>
        </is>
      </c>
      <c r="D850" s="5" t="inlineStr"/>
      <c r="E850" s="5" t="inlineStr"/>
      <c r="F850" s="5" t="inlineStr">
        <is>
          <t>Pişkinlik +1, Dayanıklılık +1</t>
        </is>
      </c>
      <c r="G850" s="6" t="inlineStr">
        <is>
          <t>Pazar kahvaltısını öğleden sonra üçte yaptın. Kimseye açıklama yapılmadı; kimse de istemedi.</t>
        </is>
      </c>
      <c r="H850" s="6" t="inlineStr"/>
      <c r="I850" s="6" t="inlineStr"/>
      <c r="J850" s="6" t="inlineStr"/>
      <c r="K850" s="6" t="inlineStr"/>
      <c r="L850" s="6" t="inlineStr"/>
      <c r="M850" s="5" t="inlineStr"/>
      <c r="N850" s="5" t="inlineStr"/>
      <c r="O850" s="6" t="inlineStr"/>
      <c r="P850" s="6" t="inlineStr"/>
      <c r="Q850" s="5" t="inlineStr"/>
      <c r="R850" s="5" t="inlineStr"/>
      <c r="S850" s="5" t="inlineStr"/>
      <c r="T850" s="5" t="inlineStr"/>
      <c r="U850" s="5" t="inlineStr"/>
      <c r="V850" s="5" t="inlineStr"/>
      <c r="W850" s="5" t="inlineStr"/>
      <c r="X850" s="5" t="inlineStr"/>
      <c r="Y850" s="5" t="inlineStr"/>
      <c r="Z850" s="6" t="inlineStr"/>
    </row>
    <row r="851">
      <c r="A851" s="5" t="inlineStr">
        <is>
          <t>b8-bekar-orta-yas</t>
        </is>
      </c>
      <c r="B851" s="5" t="n">
        <v>2</v>
      </c>
      <c r="C851" s="6" t="inlineStr">
        <is>
          <t>Tanışma uygulamasına üye ol</t>
        </is>
      </c>
      <c r="D851" s="5" t="inlineStr">
        <is>
          <t>Cesaret</t>
        </is>
      </c>
      <c r="E851" s="5" t="inlineStr">
        <is>
          <t>Orta</t>
        </is>
      </c>
      <c r="F851" s="5" t="inlineStr"/>
      <c r="G851" s="6" t="inlineStr"/>
      <c r="H851" s="6" t="inlineStr">
        <is>
          <t>Bir kişiyle kahve içtin. Kahve güzeldi; bu bir başlangıç.</t>
        </is>
      </c>
      <c r="I851" s="6" t="inlineStr">
        <is>
          <t>İlk eşleşmen ilkokul sıra arkadaşın çıktı. Kahve iki saat sürdü, hafıza tazelendi.</t>
        </is>
      </c>
      <c r="J851" s="6" t="inlineStr">
        <is>
          <t>Profil fotoğrafı seçmek üç hafta sürdü. Profil hâlâ 'eksik'.</t>
        </is>
      </c>
      <c r="K851" s="6" t="inlineStr">
        <is>
          <t>Uygulama seni kuzeninle eşleştirdi. Aile grubunda ekran görüntüsü var.</t>
        </is>
      </c>
      <c r="L851" s="6" t="inlineStr"/>
      <c r="M851" s="5" t="inlineStr"/>
      <c r="N851" s="5" t="inlineStr"/>
      <c r="O851" s="6" t="inlineStr"/>
      <c r="P851" s="6" t="inlineStr"/>
      <c r="Q851" s="5" t="inlineStr"/>
      <c r="R851" s="5" t="inlineStr"/>
      <c r="S851" s="5" t="inlineStr"/>
      <c r="T851" s="5" t="inlineStr"/>
      <c r="U851" s="5" t="inlineStr"/>
      <c r="V851" s="5" t="inlineStr"/>
      <c r="W851" s="5" t="inlineStr"/>
      <c r="X851" s="5" t="inlineStr"/>
      <c r="Y851" s="5" t="inlineStr"/>
      <c r="Z851" s="6" t="inlineStr"/>
    </row>
    <row r="852">
      <c r="A852" s="5" t="inlineStr">
        <is>
          <t>b8-bekar-orta-yas</t>
        </is>
      </c>
      <c r="B852" s="5" t="n">
        <v>3</v>
      </c>
      <c r="C852" s="6" t="inlineStr">
        <is>
          <t>Bir kedi sahiplen</t>
        </is>
      </c>
      <c r="D852" s="5" t="inlineStr">
        <is>
          <t>Vicdan</t>
        </is>
      </c>
      <c r="E852" s="5" t="inlineStr">
        <is>
          <t>Kolay</t>
        </is>
      </c>
      <c r="F852" s="5" t="inlineStr"/>
      <c r="G852" s="6" t="inlineStr"/>
      <c r="H852" s="6" t="inlineStr">
        <is>
          <t>Artık eve gelince biri seni bekliyor. Mama saati olduğu için, ama olsun.</t>
        </is>
      </c>
      <c r="I852" s="6" t="inlineStr">
        <is>
          <t>Kedi seni seçti ve kucağında uyudu. Akrabaların bakışı artık kediye yöneliyor.</t>
        </is>
      </c>
      <c r="J852" s="6" t="inlineStr">
        <is>
          <t>Kediyi sahiplendin; kedi seni sahiplenmedi. Evde iki bağımsız birey yaşıyor.</t>
        </is>
      </c>
      <c r="K852" s="6" t="inlineStr">
        <is>
          <t>Kedi koltuğu, kumandayı ve yatağı ele geçirdi. Krallık devrildi.</t>
        </is>
      </c>
      <c r="L852" s="6" t="inlineStr"/>
      <c r="M852" s="5" t="inlineStr"/>
      <c r="N852" s="5" t="inlineStr"/>
      <c r="O852" s="6" t="inlineStr"/>
      <c r="P852" s="6" t="inlineStr"/>
      <c r="Q852" s="5" t="inlineStr"/>
      <c r="R852" s="5" t="inlineStr"/>
      <c r="S852" s="5" t="inlineStr"/>
      <c r="T852" s="5" t="inlineStr"/>
      <c r="U852" s="5" t="inlineStr"/>
      <c r="V852" s="5" t="inlineStr"/>
      <c r="W852" s="5" t="inlineStr"/>
      <c r="X852" s="5" t="inlineStr"/>
      <c r="Y852" s="5" t="inlineStr"/>
      <c r="Z852" s="6" t="inlineStr"/>
    </row>
    <row r="853">
      <c r="A853" s="5" t="inlineStr">
        <is>
          <t>b8-bekar-orta-yas</t>
        </is>
      </c>
      <c r="B853" s="5" t="n">
        <v>4</v>
      </c>
      <c r="C853" s="6" t="inlineStr">
        <is>
          <t>Çocukluğundaki kediyi hatırla</t>
        </is>
      </c>
      <c r="D853" s="5" t="inlineStr"/>
      <c r="E853" s="5" t="inlineStr"/>
      <c r="F853" s="5" t="inlineStr">
        <is>
          <t>Vicdan +2</t>
        </is>
      </c>
      <c r="G853" s="6" t="inlineStr">
        <is>
          <t>Çocukken oylamayla eve gelen kediyi hatırladın. Barınaktan ona benzeyen bir kedi aldın. Bu sefer oylama gerekmedi.</t>
        </is>
      </c>
      <c r="H853" s="6" t="inlineStr"/>
      <c r="I853" s="6" t="inlineStr"/>
      <c r="J853" s="6" t="inlineStr"/>
      <c r="K853" s="6" t="inlineStr"/>
      <c r="L853" s="6" t="inlineStr"/>
      <c r="M853" s="5" t="inlineStr"/>
      <c r="N853" s="5" t="inlineStr"/>
      <c r="O853" s="6" t="inlineStr"/>
      <c r="P853" s="6" t="inlineStr"/>
      <c r="Q853" s="5" t="inlineStr"/>
      <c r="R853" s="5" t="inlineStr">
        <is>
          <t>kediGeldi</t>
        </is>
      </c>
      <c r="S853" s="5" t="inlineStr"/>
      <c r="T853" s="5" t="inlineStr"/>
      <c r="U853" s="5" t="inlineStr"/>
      <c r="V853" s="5" t="inlineStr"/>
      <c r="W853" s="5" t="inlineStr"/>
      <c r="X853" s="5" t="inlineStr"/>
      <c r="Y853" s="5" t="inlineStr"/>
      <c r="Z853" s="6" t="inlineStr"/>
    </row>
    <row r="854">
      <c r="A854" s="5" t="inlineStr">
        <is>
          <t>ms-fon-basvurusu</t>
        </is>
      </c>
      <c r="B854" s="5" t="n">
        <v>1</v>
      </c>
      <c r="C854" s="6" t="inlineStr">
        <is>
          <t>Formu dürüstçe doldur</t>
        </is>
      </c>
      <c r="D854" s="5" t="inlineStr">
        <is>
          <t>Akıl</t>
        </is>
      </c>
      <c r="E854" s="5" t="inlineStr">
        <is>
          <t>Orta</t>
        </is>
      </c>
      <c r="F854" s="5" t="inlineStr"/>
      <c r="G854" s="6" t="inlineStr"/>
      <c r="H854" s="6" t="inlineStr">
        <is>
          <t>Fonu aldın. Tutar, formu doldurmak için harcadığın saatlerin karşılığı kadardı. Tam kadar.</t>
        </is>
      </c>
      <c r="I854" s="6" t="inlineStr">
        <is>
          <t>Komite başvurunu 'yılın en özgün projesi' seçti. Tutar ikiye, harcama raporu dörde katlandı.</t>
        </is>
      </c>
      <c r="J854" s="6" t="inlineStr">
        <is>
          <t>Başvurun 'eksik belge' gerekçesiyle reddedildi. Eksik belge: belge listesi.</t>
        </is>
      </c>
      <c r="K854" s="6" t="inlineStr">
        <is>
          <t>Başvuruyu gece 23.59'da yükledin. Sistem 23.58'de kapanmış. Saatler farklıymış.</t>
        </is>
      </c>
      <c r="L854" s="6" t="inlineStr"/>
      <c r="M854" s="5" t="inlineStr"/>
      <c r="N854" s="5" t="inlineStr"/>
      <c r="O854" s="6" t="inlineStr"/>
      <c r="P854" s="6" t="inlineStr"/>
      <c r="Q854" s="5" t="inlineStr"/>
      <c r="R854" s="5" t="inlineStr"/>
      <c r="S854" s="5" t="inlineStr"/>
      <c r="T854" s="5" t="inlineStr"/>
      <c r="U854" s="5" t="inlineStr"/>
      <c r="V854" s="5" t="inlineStr">
        <is>
          <t>serbest-fon-aldi</t>
        </is>
      </c>
      <c r="W854" s="5" t="inlineStr"/>
      <c r="X854" s="5" t="inlineStr"/>
      <c r="Y854" s="5" t="inlineStr"/>
      <c r="Z854" s="6" t="inlineStr"/>
    </row>
    <row r="855">
      <c r="A855" s="5" t="inlineStr">
        <is>
          <t>ms-fon-basvurusu</t>
        </is>
      </c>
      <c r="B855" s="5" t="n">
        <v>2</v>
      </c>
      <c r="C855" s="6" t="inlineStr">
        <is>
          <t>Proje adına 'hafıza' kelimesini ekle</t>
        </is>
      </c>
      <c r="D855" s="5" t="inlineStr">
        <is>
          <t>Kurnazlık</t>
        </is>
      </c>
      <c r="E855" s="5" t="inlineStr">
        <is>
          <t>Kolay</t>
        </is>
      </c>
      <c r="F855" s="5" t="inlineStr"/>
      <c r="G855" s="6" t="inlineStr"/>
      <c r="H855" s="6" t="inlineStr">
        <is>
          <t>'Hafızanın Kırılgan Mekânları' adıyla başvurdun. Fon onaylandı. Proje aynı proje.</t>
        </is>
      </c>
      <c r="I855" s="6" t="inlineStr">
        <is>
          <t>Başlığa 'hafıza', özete 'sürdürülebilirlik' ekledin. Fon komitesi alkışladı.</t>
        </is>
      </c>
      <c r="J855" s="6" t="inlineStr">
        <is>
          <t>Bu yıl herkes 'hafıza' yazmış. Komite bu yıl 'dönüşüm' arıyormuş.</t>
        </is>
      </c>
      <c r="K855" s="6" t="inlineStr">
        <is>
          <t>Başvurunun adı o kadar soyut oldu ki kendi projeni kendin tanıyamadın. Komite de.</t>
        </is>
      </c>
      <c r="L855" s="6" t="inlineStr"/>
      <c r="M855" s="5" t="inlineStr"/>
      <c r="N855" s="5" t="inlineStr"/>
      <c r="O855" s="6" t="inlineStr"/>
      <c r="P855" s="6" t="inlineStr"/>
      <c r="Q855" s="5" t="inlineStr"/>
      <c r="R855" s="5" t="inlineStr"/>
      <c r="S855" s="5" t="inlineStr">
        <is>
          <t>Kurnazlık</t>
        </is>
      </c>
      <c r="T855" s="5" t="inlineStr"/>
      <c r="U855" s="5" t="inlineStr"/>
      <c r="V855" s="5" t="inlineStr">
        <is>
          <t>serbest-fon-aldi</t>
        </is>
      </c>
      <c r="W855" s="5" t="inlineStr"/>
      <c r="X855" s="5" t="inlineStr"/>
      <c r="Y855" s="5" t="inlineStr"/>
      <c r="Z855" s="6" t="inlineStr"/>
    </row>
    <row r="856">
      <c r="A856" s="5" t="inlineStr">
        <is>
          <t>ms-fon-basvurusu</t>
        </is>
      </c>
      <c r="B856" s="5" t="n">
        <v>3</v>
      </c>
      <c r="C856" s="6" t="inlineStr">
        <is>
          <t>Kolektif kur, birlikte başvur</t>
        </is>
      </c>
      <c r="D856" s="5" t="inlineStr">
        <is>
          <t>Sosyal Radar</t>
        </is>
      </c>
      <c r="E856" s="5" t="inlineStr">
        <is>
          <t>Orta</t>
        </is>
      </c>
      <c r="F856" s="5" t="inlineStr"/>
      <c r="G856" s="6" t="inlineStr"/>
      <c r="H856" s="6" t="inlineStr">
        <is>
          <t>Beş serbest çalışan bir araya geldiniz. Fon ikiye bölünse de ilk kez bir ekibin var.</t>
        </is>
      </c>
      <c r="I856" s="6" t="inlineStr">
        <is>
          <t>Kolektifin fonu aldı ve adı bir yıl boyunca her yerde anıldı. Toplantı tutanakları bile yayımlandı.</t>
        </is>
      </c>
      <c r="J856" s="6" t="inlineStr">
        <is>
          <t>Kolektif kuruldu; ilk toplantı adın ne olacağı üzerine sürdü. Başvuru süresi de o toplantıda bitti.</t>
        </is>
      </c>
      <c r="K856" s="6" t="inlineStr">
        <is>
          <t>Kolektif fonu aldı ve dağıldı. Harcama raporunu tek başına yazman gerekiyor.</t>
        </is>
      </c>
      <c r="L856" s="6" t="inlineStr"/>
      <c r="M856" s="5" t="inlineStr"/>
      <c r="N856" s="5" t="inlineStr"/>
      <c r="O856" s="6" t="inlineStr"/>
      <c r="P856" s="6" t="inlineStr"/>
      <c r="Q856" s="5" t="inlineStr">
        <is>
          <t>Organizatör</t>
        </is>
      </c>
      <c r="R856" s="5" t="inlineStr"/>
      <c r="S856" s="5" t="inlineStr"/>
      <c r="T856" s="5" t="inlineStr"/>
      <c r="U856" s="5" t="inlineStr"/>
      <c r="V856" s="5" t="inlineStr">
        <is>
          <t>serbest-fon-aldi</t>
        </is>
      </c>
      <c r="W856" s="5" t="inlineStr"/>
      <c r="X856" s="5" t="inlineStr"/>
      <c r="Y856" s="5" t="inlineStr"/>
      <c r="Z856" s="6" t="inlineStr"/>
    </row>
    <row r="857">
      <c r="A857" s="5" t="inlineStr">
        <is>
          <t>ms-fon-basvurusu</t>
        </is>
      </c>
      <c r="B857" s="5" t="n">
        <v>4</v>
      </c>
      <c r="C857" s="6" t="inlineStr">
        <is>
          <t>Fon danışmanı tut</t>
        </is>
      </c>
      <c r="D857" s="5" t="inlineStr"/>
      <c r="E857" s="5" t="inlineStr"/>
      <c r="F857" s="5" t="inlineStr">
        <is>
          <t>Pişkinlik +1</t>
        </is>
      </c>
      <c r="G857" s="6" t="inlineStr">
        <is>
          <t>Danışman fonu aldırdı; ücreti fonun yarısıydı. Kalan yarıyla danışmanın önerdiği projeyi yaptın.</t>
        </is>
      </c>
      <c r="H857" s="6" t="inlineStr"/>
      <c r="I857" s="6" t="inlineStr"/>
      <c r="J857" s="6" t="inlineStr"/>
      <c r="K857" s="6" t="inlineStr"/>
      <c r="L857" s="6" t="inlineStr"/>
      <c r="M857" s="5" t="inlineStr"/>
      <c r="N857" s="5" t="inlineStr"/>
      <c r="O857" s="6" t="inlineStr"/>
      <c r="P857" s="6" t="inlineStr"/>
      <c r="Q857" s="5" t="inlineStr"/>
      <c r="R857" s="5" t="inlineStr"/>
      <c r="S857" s="5" t="inlineStr"/>
      <c r="T857" s="5" t="inlineStr"/>
      <c r="U857" s="5" t="inlineStr">
        <is>
          <t>serbest-fon-aldi</t>
        </is>
      </c>
      <c r="V857" s="5" t="inlineStr"/>
      <c r="W857" s="5" t="inlineStr"/>
      <c r="X857" s="5" t="inlineStr"/>
      <c r="Y857" s="5" t="inlineStr"/>
      <c r="Z857" s="6" t="inlineStr"/>
    </row>
    <row r="858">
      <c r="A858" s="5" t="inlineStr">
        <is>
          <t>b8-doktor-stres</t>
        </is>
      </c>
      <c r="B858" s="5" t="n">
        <v>1</v>
      </c>
      <c r="C858" s="6" t="inlineStr">
        <is>
          <t>Tavsiyeyi not al</t>
        </is>
      </c>
      <c r="D858" s="5" t="inlineStr"/>
      <c r="E858" s="5" t="inlineStr"/>
      <c r="F858" s="5" t="inlineStr">
        <is>
          <t>Vicdan +1</t>
        </is>
      </c>
      <c r="G858" s="6" t="inlineStr">
        <is>
          <t>Tavsiyeyi telefonuna not aldın. Not, yapılacaklar listesinin 47. sırasında.</t>
        </is>
      </c>
      <c r="H858" s="6" t="inlineStr"/>
      <c r="I858" s="6" t="inlineStr"/>
      <c r="J858" s="6" t="inlineStr"/>
      <c r="K858" s="6" t="inlineStr"/>
      <c r="L858" s="6" t="inlineStr"/>
      <c r="M858" s="5" t="inlineStr"/>
      <c r="N858" s="5" t="inlineStr"/>
      <c r="O858" s="6" t="inlineStr"/>
      <c r="P858" s="6" t="inlineStr"/>
      <c r="Q858" s="5" t="inlineStr"/>
      <c r="R858" s="5" t="inlineStr"/>
      <c r="S858" s="5" t="inlineStr"/>
      <c r="T858" s="5" t="inlineStr"/>
      <c r="U858" s="5" t="inlineStr"/>
      <c r="V858" s="5" t="inlineStr"/>
      <c r="W858" s="5" t="inlineStr"/>
      <c r="X858" s="5" t="inlineStr"/>
      <c r="Y858" s="5" t="inlineStr"/>
      <c r="Z858" s="6" t="inlineStr"/>
    </row>
    <row r="859">
      <c r="A859" s="5" t="inlineStr">
        <is>
          <t>b8-doktor-stres</t>
        </is>
      </c>
      <c r="B859" s="5" t="n">
        <v>2</v>
      </c>
      <c r="C859" s="6" t="inlineStr">
        <is>
          <t>Nasıl yapılacağını sor</t>
        </is>
      </c>
      <c r="D859" s="5" t="inlineStr">
        <is>
          <t>Çene</t>
        </is>
      </c>
      <c r="E859" s="5" t="inlineStr">
        <is>
          <t>Kolay</t>
        </is>
      </c>
      <c r="F859" s="5" t="inlineStr"/>
      <c r="G859" s="6" t="inlineStr"/>
      <c r="H859" s="6" t="inlineStr">
        <is>
          <t>Doktor 'Yürüyüş' dedi ve bir broşür verdi. Broşürü okumak da ayrıca stres.</t>
        </is>
      </c>
      <c r="I859" s="6" t="inlineStr">
        <is>
          <t>Doktor kalemini bıraktı, on dakika hayat felsefesi anlattı. Sıradaki hasta da dinledi; ona da iyi geldi.</t>
        </is>
      </c>
      <c r="J859" s="6" t="inlineStr">
        <is>
          <t>Doktor 'İşte, stres yapmayın' diye tekrarladı. Süreniz doldu.</t>
        </is>
      </c>
      <c r="K859" s="6" t="inlineStr">
        <is>
          <t>Sordun; doktor 'Soru sormak da stres' dedi. Randevu kapandı.</t>
        </is>
      </c>
      <c r="L859" s="6" t="inlineStr"/>
      <c r="M859" s="5" t="inlineStr"/>
      <c r="N859" s="5" t="inlineStr"/>
      <c r="O859" s="6" t="inlineStr"/>
      <c r="P859" s="6" t="inlineStr"/>
      <c r="Q859" s="5" t="inlineStr"/>
      <c r="R859" s="5" t="inlineStr"/>
      <c r="S859" s="5" t="inlineStr"/>
      <c r="T859" s="5" t="inlineStr"/>
      <c r="U859" s="5" t="inlineStr"/>
      <c r="V859" s="5" t="inlineStr"/>
      <c r="W859" s="5" t="inlineStr"/>
      <c r="X859" s="5" t="inlineStr"/>
      <c r="Y859" s="5" t="inlineStr"/>
      <c r="Z859" s="6" t="inlineStr"/>
    </row>
    <row r="860">
      <c r="A860" s="5" t="inlineStr">
        <is>
          <t>b8-doktor-stres</t>
        </is>
      </c>
      <c r="B860" s="5" t="n">
        <v>3</v>
      </c>
      <c r="C860" s="6" t="inlineStr">
        <is>
          <t>Yarından itibaren yürü</t>
        </is>
      </c>
      <c r="D860" s="5" t="inlineStr">
        <is>
          <t>Dayanıklılık</t>
        </is>
      </c>
      <c r="E860" s="5" t="inlineStr">
        <is>
          <t>Orta</t>
        </is>
      </c>
      <c r="F860" s="5" t="inlineStr"/>
      <c r="G860" s="6" t="inlineStr"/>
      <c r="H860" s="6" t="inlineStr">
        <is>
          <t>Otuz gün aralıksız yürüdün. Adım sayar uygulaması seni tebrik etti; uzun zamandır ilk kez biri etti.</t>
        </is>
      </c>
      <c r="I860" s="6" t="inlineStr">
        <is>
          <t>Yürüyüş koşuya, koşu alışkanlığa döndü. Mahallenin köpekleri seni artık tanıyor.</t>
        </is>
      </c>
      <c r="J860" s="6" t="inlineStr">
        <is>
          <t>Üç gün yürüdün. Dördüncü gün yağmur yağdı. Yağmur hâlâ yağıyor.</t>
        </is>
      </c>
      <c r="K860" s="6" t="inlineStr">
        <is>
          <t>İlk gün yeni ayakkabıyla on kilometre yürüdün. İki hafta terlikle yaşadın.</t>
        </is>
      </c>
      <c r="L860" s="6" t="inlineStr"/>
      <c r="M860" s="5" t="inlineStr"/>
      <c r="N860" s="5" t="inlineStr"/>
      <c r="O860" s="6" t="inlineStr"/>
      <c r="P860" s="6" t="inlineStr"/>
      <c r="Q860" s="5" t="inlineStr"/>
      <c r="R860" s="5" t="inlineStr"/>
      <c r="S860" s="5" t="inlineStr">
        <is>
          <t>Dayanıklılık</t>
        </is>
      </c>
      <c r="T860" s="5" t="inlineStr"/>
      <c r="U860" s="5" t="inlineStr"/>
      <c r="V860" s="5" t="inlineStr">
        <is>
          <t>sporcu</t>
        </is>
      </c>
      <c r="W860" s="5" t="inlineStr"/>
      <c r="X860" s="5" t="inlineStr"/>
      <c r="Y860" s="5" t="inlineStr"/>
      <c r="Z860" s="6" t="inlineStr"/>
    </row>
    <row r="861">
      <c r="A861" s="5" t="inlineStr">
        <is>
          <t>b8-doktor-stres</t>
        </is>
      </c>
      <c r="B861" s="5" t="n">
        <v>4</v>
      </c>
      <c r="C861" s="6" t="inlineStr">
        <is>
          <t>Yıllık izni gerçekten kullan</t>
        </is>
      </c>
      <c r="D861" s="5" t="inlineStr"/>
      <c r="E861" s="5" t="inlineStr"/>
      <c r="F861" s="5" t="inlineStr">
        <is>
          <t>Dayanıklılık +2, Kurnazlık +1</t>
        </is>
      </c>
      <c r="G861" s="6" t="inlineStr">
        <is>
          <t>İki hafta izin aldın ve e-postalara bakmadın. Döndüğünde şirket yerindeydi. Bu biraz can sıktı.</t>
        </is>
      </c>
      <c r="H861" s="6" t="inlineStr"/>
      <c r="I861" s="6" t="inlineStr"/>
      <c r="J861" s="6" t="inlineStr"/>
      <c r="K861" s="6" t="inlineStr"/>
      <c r="L861" s="6" t="inlineStr"/>
      <c r="M861" s="5" t="inlineStr"/>
      <c r="N861" s="5" t="inlineStr"/>
      <c r="O861" s="6" t="inlineStr"/>
      <c r="P861" s="6" t="inlineStr"/>
      <c r="Q861" s="5" t="inlineStr">
        <is>
          <t>Organizatör</t>
        </is>
      </c>
      <c r="R861" s="5" t="inlineStr"/>
      <c r="S861" s="5" t="inlineStr"/>
      <c r="T861" s="5" t="inlineStr"/>
      <c r="U861" s="5" t="inlineStr"/>
      <c r="V861" s="5" t="inlineStr"/>
      <c r="W861" s="5" t="inlineStr"/>
      <c r="X861" s="5" t="inlineStr"/>
      <c r="Y861" s="5" t="inlineStr"/>
      <c r="Z861" s="6" t="inlineStr"/>
    </row>
    <row r="862">
      <c r="A862" s="5" t="inlineStr">
        <is>
          <t>b8-cocuk-sinav</t>
        </is>
      </c>
      <c r="B862" s="5" t="n">
        <v>1</v>
      </c>
      <c r="C862" s="6" t="inlineStr">
        <is>
          <t>Kahvaltı hazırla, sus</t>
        </is>
      </c>
      <c r="D862" s="5" t="inlineStr"/>
      <c r="E862" s="5" t="inlineStr"/>
      <c r="F862" s="5" t="inlineStr">
        <is>
          <t>Vicdan +1, Dayanıklılık +1</t>
        </is>
      </c>
      <c r="G862" s="6" t="inlineStr">
        <is>
          <t>Kahvaltı hazırlandı, nasihat verilmedi. Çocuk kapıdan çıkarken 'Sağ ol' dedi. Tarihi bir an.</t>
        </is>
      </c>
      <c r="H862" s="6" t="inlineStr"/>
      <c r="I862" s="6" t="inlineStr"/>
      <c r="J862" s="6" t="inlineStr"/>
      <c r="K862" s="6" t="inlineStr"/>
      <c r="L862" s="6" t="inlineStr"/>
      <c r="M862" s="5" t="inlineStr"/>
      <c r="N862" s="5" t="inlineStr"/>
      <c r="O862" s="6" t="inlineStr"/>
      <c r="P862" s="6" t="inlineStr"/>
      <c r="Q862" s="5" t="inlineStr"/>
      <c r="R862" s="5" t="inlineStr"/>
      <c r="S862" s="5" t="inlineStr"/>
      <c r="T862" s="5" t="inlineStr"/>
      <c r="U862" s="5" t="inlineStr"/>
      <c r="V862" s="5" t="inlineStr"/>
      <c r="W862" s="5" t="inlineStr"/>
      <c r="X862" s="5" t="inlineStr"/>
      <c r="Y862" s="5" t="inlineStr"/>
      <c r="Z862" s="6" t="inlineStr"/>
    </row>
    <row r="863">
      <c r="A863" s="5" t="inlineStr">
        <is>
          <t>b8-cocuk-sinav</t>
        </is>
      </c>
      <c r="B863" s="5" t="n">
        <v>2</v>
      </c>
      <c r="C863" s="6" t="inlineStr">
        <is>
          <t>Son dakika taktiği ver</t>
        </is>
      </c>
      <c r="D863" s="5" t="inlineStr">
        <is>
          <t>Akıl</t>
        </is>
      </c>
      <c r="E863" s="5" t="inlineStr">
        <is>
          <t>Orta</t>
        </is>
      </c>
      <c r="F863" s="5" t="inlineStr"/>
      <c r="G863" s="6" t="inlineStr"/>
      <c r="H863" s="6" t="inlineStr">
        <is>
          <t>'Önce bildiklerini yap' dedin. Tavsiye tutuldu; senin tavsiyen olduğu kabul edilmedi.</t>
        </is>
      </c>
      <c r="I863" s="6" t="inlineStr">
        <is>
          <t>Çocuk sınav çıkışı 'Nereden biliyordun?' diye sordu. Cevap: tecrübe ve bir poğaça.</t>
        </is>
      </c>
      <c r="J863" s="6" t="inlineStr">
        <is>
          <t>'Öğretmen tam tersini söyledi' dendi. Öğretmen kazandı.</t>
        </is>
      </c>
      <c r="K863" s="6" t="inlineStr">
        <is>
          <t>Kendi sınavında yaptığın hatayı detaylıca anlattın. Çocuk bütün sınav boyunca o hatayı düşündü.</t>
        </is>
      </c>
      <c r="L863" s="6" t="inlineStr"/>
      <c r="M863" s="5" t="inlineStr"/>
      <c r="N863" s="5" t="inlineStr"/>
      <c r="O863" s="6" t="inlineStr"/>
      <c r="P863" s="6" t="inlineStr"/>
      <c r="Q863" s="5" t="inlineStr"/>
      <c r="R863" s="5" t="inlineStr"/>
      <c r="S863" s="5" t="inlineStr"/>
      <c r="T863" s="5" t="inlineStr"/>
      <c r="U863" s="5" t="inlineStr"/>
      <c r="V863" s="5" t="inlineStr"/>
      <c r="W863" s="5" t="inlineStr"/>
      <c r="X863" s="5" t="inlineStr"/>
      <c r="Y863" s="5" t="inlineStr"/>
      <c r="Z863" s="6" t="inlineStr"/>
    </row>
    <row r="864">
      <c r="A864" s="5" t="inlineStr">
        <is>
          <t>b8-cocuk-sinav</t>
        </is>
      </c>
      <c r="B864" s="5" t="n">
        <v>3</v>
      </c>
      <c r="C864" s="6" t="inlineStr">
        <is>
          <t>'Tek kapı bu değil' de</t>
        </is>
      </c>
      <c r="D864" s="5" t="inlineStr">
        <is>
          <t>Vicdan</t>
        </is>
      </c>
      <c r="E864" s="5" t="inlineStr">
        <is>
          <t>Kolay</t>
        </is>
      </c>
      <c r="F864" s="5" t="inlineStr"/>
      <c r="G864" s="6" t="inlineStr"/>
      <c r="H864" s="6" t="inlineStr">
        <is>
          <t>Söyledin. Çocuk derin bir nefes aldı; sen de.</t>
        </is>
      </c>
      <c r="I864" s="6" t="inlineStr">
        <is>
          <t>Söyledin; çocuk sarıldı. Sonuç ne olursa olsun, bu sabah kazanıldı.</t>
        </is>
      </c>
      <c r="J864" s="6" t="inlineStr">
        <is>
          <t>'Şimdi mi söylüyorsun?' dendi. Zamanlama sorunu tespit edildi.</t>
        </is>
      </c>
      <c r="K864" s="6" t="inlineStr">
        <is>
          <t>Çocuk bunu 'Bana güvenmiyorsun' diye anladı. Açıklaman yazılı olarak iletildi.</t>
        </is>
      </c>
      <c r="L864" s="6" t="inlineStr"/>
      <c r="M864" s="5" t="inlineStr"/>
      <c r="N864" s="5" t="inlineStr"/>
      <c r="O864" s="6" t="inlineStr"/>
      <c r="P864" s="6" t="inlineStr"/>
      <c r="Q864" s="5" t="inlineStr"/>
      <c r="R864" s="5" t="inlineStr"/>
      <c r="S864" s="5" t="inlineStr">
        <is>
          <t>Vicdan</t>
        </is>
      </c>
      <c r="T864" s="5" t="inlineStr"/>
      <c r="U864" s="5" t="inlineStr"/>
      <c r="V864" s="5" t="inlineStr"/>
      <c r="W864" s="5" t="inlineStr"/>
      <c r="X864" s="5" t="inlineStr"/>
      <c r="Y864" s="5" t="inlineStr"/>
      <c r="Z864" s="6" t="inlineStr"/>
    </row>
    <row r="865">
      <c r="A865" s="5" t="inlineStr">
        <is>
          <t>b8-cocuk-sinav</t>
        </is>
      </c>
      <c r="B865" s="5" t="n">
        <v>4</v>
      </c>
      <c r="C865" s="6" t="inlineStr">
        <is>
          <t>Kendi uğurlu kalemini ver</t>
        </is>
      </c>
      <c r="D865" s="5" t="inlineStr"/>
      <c r="E865" s="5" t="inlineStr"/>
      <c r="F865" s="5" t="inlineStr">
        <is>
          <t>Vicdan +2</t>
        </is>
      </c>
      <c r="G865" s="6" t="inlineStr">
        <is>
          <t>Kendi sınavına girdiğin kalemi çekmeceden çıkardın. Yazmıyordu. Çocuk yine de cebine koydu.</t>
        </is>
      </c>
      <c r="H865" s="6" t="inlineStr"/>
      <c r="I865" s="6" t="inlineStr"/>
      <c r="J865" s="6" t="inlineStr"/>
      <c r="K865" s="6" t="inlineStr"/>
      <c r="L865" s="6" t="inlineStr"/>
      <c r="M865" s="5" t="inlineStr"/>
      <c r="N865" s="5" t="inlineStr"/>
      <c r="O865" s="6" t="inlineStr"/>
      <c r="P865" s="6" t="inlineStr"/>
      <c r="Q865" s="5" t="inlineStr"/>
      <c r="R865" s="5" t="inlineStr">
        <is>
          <t>universiteli</t>
        </is>
      </c>
      <c r="S865" s="5" t="inlineStr"/>
      <c r="T865" s="5" t="inlineStr"/>
      <c r="U865" s="5" t="inlineStr"/>
      <c r="V865" s="5" t="inlineStr"/>
      <c r="W865" s="5" t="inlineStr"/>
      <c r="X865" s="5" t="inlineStr"/>
      <c r="Y865" s="5" t="inlineStr"/>
      <c r="Z865" s="6" t="inlineStr"/>
    </row>
    <row r="866">
      <c r="A866" s="5" t="inlineStr">
        <is>
          <t>mb-kisa-gorusme</t>
        </is>
      </c>
      <c r="B866" s="5" t="n">
        <v>1</v>
      </c>
      <c r="C866" s="6" t="inlineStr">
        <is>
          <t>Yüzünü belli etme</t>
        </is>
      </c>
      <c r="D866" s="5" t="inlineStr">
        <is>
          <t>Dayanıklılık</t>
        </is>
      </c>
      <c r="E866" s="5" t="inlineStr">
        <is>
          <t>Zor</t>
        </is>
      </c>
      <c r="F866" s="5" t="inlineStr"/>
      <c r="G866" s="6" t="inlineStr"/>
      <c r="H866" s="6" t="inlineStr">
        <is>
          <t>Hiçbir şey belli etmedin. Görüşme 'devam' kararıyla bitti. Masan hâlâ senin.</t>
        </is>
      </c>
      <c r="I866" s="6" t="inlineStr">
        <is>
          <t>Öyle sakindin ki görüşmenin sonunda yöneticin kendi durumunu sana sordu.</t>
        </is>
      </c>
      <c r="J866" s="6" t="inlineStr">
        <is>
          <t>'Kartınızı getirdiniz mi?' sorusunda yüzün düştü. Penceresiz bir departmana 'yatay geçiş' yaptın.</t>
        </is>
      </c>
      <c r="K866" s="6" t="inlineStr">
        <is>
          <t>Görüşmede ağlayan sen değil, insan kaynaklarından gelen kişiydi. Onu teselli ettin. Maaşın kesildi.</t>
        </is>
      </c>
      <c r="L866" s="6" t="inlineStr">
        <is>
          <t>Bir soruda gözün seğirdi. Kaldın ama masan pencere kenarından koridora taşındı.</t>
        </is>
      </c>
      <c r="M866" s="5" t="inlineStr">
        <is>
          <t>poker</t>
        </is>
      </c>
      <c r="N866" s="5" t="inlineStr">
        <is>
          <t>Kısa Görüşme</t>
        </is>
      </c>
      <c r="O866" s="6" t="inlineStr">
        <is>
          <t>Parmağını dairede tut. Sorular üstüne gelecek. Kıpırdama.</t>
        </is>
      </c>
      <c r="P866" s="6" t="inlineStr">
        <is>
          <t>{"questions": ["Şirkette kendini nasıl görüyorsun?", "Değişime açık mısın?", "Aile nasıl, iyi mi?", "Kartını yanına aldın mı?", "Şu formu bir okur musun?"]}</t>
        </is>
      </c>
      <c r="Q866" s="5" t="inlineStr"/>
      <c r="R866" s="5" t="inlineStr"/>
      <c r="S866" s="5" t="inlineStr"/>
      <c r="T866" s="5" t="inlineStr"/>
      <c r="U866" s="5" t="inlineStr"/>
      <c r="V866" s="5" t="inlineStr">
        <is>
          <t>beyazyaka-sag-kaldi</t>
        </is>
      </c>
      <c r="W866" s="5" t="inlineStr"/>
      <c r="X866" s="5" t="inlineStr"/>
      <c r="Y866" s="5" t="inlineStr"/>
      <c r="Z866" s="6" t="inlineStr"/>
    </row>
    <row r="867">
      <c r="A867" s="5" t="inlineStr">
        <is>
          <t>mb-kisa-gorusme</t>
        </is>
      </c>
      <c r="B867" s="5" t="n">
        <v>2</v>
      </c>
      <c r="C867" s="6" t="inlineStr">
        <is>
          <t>'Ekibimi ben korurum' de</t>
        </is>
      </c>
      <c r="D867" s="5" t="inlineStr">
        <is>
          <t>Cesaret</t>
        </is>
      </c>
      <c r="E867" s="5" t="inlineStr">
        <is>
          <t>Orta</t>
        </is>
      </c>
      <c r="F867" s="5" t="inlineStr"/>
      <c r="G867" s="6" t="inlineStr"/>
      <c r="H867" s="6" t="inlineStr">
        <is>
          <t>Ekibin kaldı, sen de kaldın. Bütçe üç kişilik, ekip altı kişi. Liderlik bu.</t>
        </is>
      </c>
      <c r="I867" s="6" t="inlineStr">
        <is>
          <t>Ekibini savundun, yönetim etkilendi, sana bir ekip daha verdi. Bütçesiz.</t>
        </is>
      </c>
      <c r="J867" s="6" t="inlineStr">
        <is>
          <t>Ekibin kaldı. Sen 'danışman' statüsüne alındın.</t>
        </is>
      </c>
      <c r="K867" s="6" t="inlineStr">
        <is>
          <t>Ekibini savunurken 'Beni de çıkarın o zaman' dedin. Not alındı.</t>
        </is>
      </c>
      <c r="L867" s="6" t="inlineStr"/>
      <c r="M867" s="5" t="inlineStr"/>
      <c r="N867" s="5" t="inlineStr"/>
      <c r="O867" s="6" t="inlineStr"/>
      <c r="P867" s="6" t="inlineStr"/>
      <c r="Q867" s="5" t="inlineStr"/>
      <c r="R867" s="5" t="inlineStr">
        <is>
          <t>beyazyaka-terfi-aldi</t>
        </is>
      </c>
      <c r="S867" s="5" t="inlineStr"/>
      <c r="T867" s="5" t="inlineStr"/>
      <c r="U867" s="5" t="inlineStr"/>
      <c r="V867" s="5" t="inlineStr">
        <is>
          <t>beyazyaka-sag-kaldi</t>
        </is>
      </c>
      <c r="W867" s="5" t="inlineStr"/>
      <c r="X867" s="5" t="inlineStr"/>
      <c r="Y867" s="5" t="inlineStr"/>
      <c r="Z867" s="6" t="inlineStr"/>
    </row>
    <row r="868">
      <c r="A868" s="5" t="inlineStr">
        <is>
          <t>mb-kisa-gorusme</t>
        </is>
      </c>
      <c r="B868" s="5" t="n">
        <v>3</v>
      </c>
      <c r="C868" s="6" t="inlineStr">
        <is>
          <t>Sessizce dinle</t>
        </is>
      </c>
      <c r="D868" s="5" t="inlineStr"/>
      <c r="E868" s="5" t="inlineStr"/>
      <c r="F868" s="5" t="inlineStr">
        <is>
          <t>Dayanıklılık +1</t>
        </is>
      </c>
      <c r="G868" s="6" t="inlineStr">
        <is>
          <t>Dinledin. Görüşme on dört dakika sürdü. Bir dakikası 'Nasılsın?' için ayrılmıştı.</t>
        </is>
      </c>
      <c r="H868" s="6" t="inlineStr"/>
      <c r="I868" s="6" t="inlineStr"/>
      <c r="J868" s="6" t="inlineStr"/>
      <c r="K868" s="6" t="inlineStr"/>
      <c r="L868" s="6" t="inlineStr"/>
      <c r="M868" s="5" t="inlineStr"/>
      <c r="N868" s="5" t="inlineStr"/>
      <c r="O868" s="6" t="inlineStr"/>
      <c r="P868" s="6" t="inlineStr"/>
      <c r="Q868" s="5" t="inlineStr"/>
      <c r="R868" s="5" t="inlineStr"/>
      <c r="S868" s="5" t="inlineStr"/>
      <c r="T868" s="5" t="inlineStr"/>
      <c r="U868" s="5" t="inlineStr">
        <is>
          <t>beyazyaka-sag-kaldi</t>
        </is>
      </c>
      <c r="V868" s="5" t="inlineStr"/>
      <c r="W868" s="5" t="inlineStr"/>
      <c r="X868" s="5" t="inlineStr"/>
      <c r="Y868" s="5" t="inlineStr"/>
      <c r="Z868" s="6" t="inlineStr"/>
    </row>
    <row r="869">
      <c r="A869" s="5" t="inlineStr">
        <is>
          <t>me-internet-satis</t>
        </is>
      </c>
      <c r="B869" s="5" t="n">
        <v>1</v>
      </c>
      <c r="C869" s="6" t="inlineStr">
        <is>
          <t>Siteyi kendin kur</t>
        </is>
      </c>
      <c r="D869" s="5" t="inlineStr">
        <is>
          <t>Akıl</t>
        </is>
      </c>
      <c r="E869" s="5" t="inlineStr">
        <is>
          <t>Zor</t>
        </is>
      </c>
      <c r="F869" s="5" t="inlineStr"/>
      <c r="G869" s="6" t="inlineStr"/>
      <c r="H869" s="6" t="inlineStr">
        <is>
          <t>Siteyi kurdun. İlk sipariş komşudan geldi; kargoyla, karşı kapıdan.</t>
        </is>
      </c>
      <c r="I869" s="6" t="inlineStr">
        <is>
          <t>Başka şehirlerden sipariş gelmeye başladı. 'Kargoya verildi' mesajı yazarken artık gururlanıyorsun.</t>
        </is>
      </c>
      <c r="J869" s="6" t="inlineStr">
        <is>
          <t>Siteyi kurdun. Bütün ürün fotoğraflarında başparmağın var.</t>
        </is>
      </c>
      <c r="K869" s="6" t="inlineStr">
        <is>
          <t>Fiyatları sıfır girmişsin. Gece üç yüz sipariş geldi. Sabah kepengi açamadın; kapı kolilerle kapanmıştı.</t>
        </is>
      </c>
      <c r="L869" s="6" t="inlineStr"/>
      <c r="M869" s="5" t="inlineStr"/>
      <c r="N869" s="5" t="inlineStr"/>
      <c r="O869" s="6" t="inlineStr"/>
      <c r="P869" s="6" t="inlineStr"/>
      <c r="Q869" s="5" t="inlineStr"/>
      <c r="R869" s="5" t="inlineStr"/>
      <c r="S869" s="5" t="inlineStr"/>
      <c r="T869" s="5" t="inlineStr"/>
      <c r="U869" s="5" t="inlineStr"/>
      <c r="V869" s="5" t="inlineStr"/>
      <c r="W869" s="5" t="inlineStr"/>
      <c r="X869" s="5" t="inlineStr"/>
      <c r="Y869" s="5" t="inlineStr"/>
      <c r="Z869" s="6" t="inlineStr"/>
    </row>
    <row r="870">
      <c r="A870" s="5" t="inlineStr">
        <is>
          <t>me-internet-satis</t>
        </is>
      </c>
      <c r="B870" s="5" t="n">
        <v>2</v>
      </c>
      <c r="C870" s="6" t="inlineStr">
        <is>
          <t>Çırağa emanet et</t>
        </is>
      </c>
      <c r="D870" s="5" t="inlineStr"/>
      <c r="E870" s="5" t="inlineStr"/>
      <c r="F870" s="5" t="inlineStr">
        <is>
          <t>Sosyal Radar +1, Akıl +1</t>
        </is>
      </c>
      <c r="G870" s="6" t="inlineStr">
        <is>
          <t>Çırak siteyi bir haftada kurdu. Sen 'Beğen' tuşuna basmayı öğrendin; o da yetti.</t>
        </is>
      </c>
      <c r="H870" s="6" t="inlineStr"/>
      <c r="I870" s="6" t="inlineStr"/>
      <c r="J870" s="6" t="inlineStr"/>
      <c r="K870" s="6" t="inlineStr"/>
      <c r="L870" s="6" t="inlineStr"/>
      <c r="M870" s="5" t="inlineStr"/>
      <c r="N870" s="5" t="inlineStr"/>
      <c r="O870" s="6" t="inlineStr"/>
      <c r="P870" s="6" t="inlineStr"/>
      <c r="Q870" s="5" t="inlineStr"/>
      <c r="R870" s="5" t="inlineStr">
        <is>
          <t>esnaf-cirak</t>
        </is>
      </c>
      <c r="S870" s="5" t="inlineStr"/>
      <c r="T870" s="5" t="inlineStr"/>
      <c r="U870" s="5" t="inlineStr"/>
      <c r="V870" s="5" t="inlineStr"/>
      <c r="W870" s="5" t="inlineStr"/>
      <c r="X870" s="5" t="inlineStr"/>
      <c r="Y870" s="5" t="inlineStr"/>
      <c r="Z870" s="6" t="inlineStr"/>
    </row>
    <row r="871">
      <c r="A871" s="5" t="inlineStr">
        <is>
          <t>me-internet-satis</t>
        </is>
      </c>
      <c r="B871" s="5" t="n">
        <v>3</v>
      </c>
      <c r="C871" s="6" t="inlineStr">
        <is>
          <t>Dükkândan kısa video çek</t>
        </is>
      </c>
      <c r="D871" s="5" t="inlineStr">
        <is>
          <t>Pişkinlik</t>
        </is>
      </c>
      <c r="E871" s="5" t="inlineStr">
        <is>
          <t>Orta</t>
        </is>
      </c>
      <c r="F871" s="5" t="inlineStr"/>
      <c r="G871" s="6" t="inlineStr"/>
      <c r="H871" s="6" t="inlineStr">
        <is>
          <t>İzlenmeler arttı, satışlar biraz arttı, tanınman çok arttı.</t>
        </is>
      </c>
      <c r="I871" s="6" t="inlineStr">
        <is>
          <t>Videon yayıldı. Dükkâna fotoğraf çekmeye gelenler artık bir şey de alıyor. Çoğu.</t>
        </is>
      </c>
      <c r="J871" s="6" t="inlineStr">
        <is>
          <t>Videonun en çok izlenen kısmı arkadan geçen kedi oldu.</t>
        </is>
      </c>
      <c r="K871" s="6" t="inlineStr">
        <is>
          <t>Videoda karşı dükkânın tabelası seninkinden net çıktı. Onun satışları arttı.</t>
        </is>
      </c>
      <c r="L871" s="6" t="inlineStr"/>
      <c r="M871" s="5" t="inlineStr"/>
      <c r="N871" s="5" t="inlineStr"/>
      <c r="O871" s="6" t="inlineStr"/>
      <c r="P871" s="6" t="inlineStr"/>
      <c r="Q871" s="5" t="inlineStr">
        <is>
          <t>Teknoloji Merakı</t>
        </is>
      </c>
      <c r="R871" s="5" t="inlineStr"/>
      <c r="S871" s="5" t="inlineStr"/>
      <c r="T871" s="5" t="inlineStr"/>
      <c r="U871" s="5" t="inlineStr"/>
      <c r="V871" s="5" t="inlineStr"/>
      <c r="W871" s="5" t="inlineStr"/>
      <c r="X871" s="5" t="inlineStr"/>
      <c r="Y871" s="5" t="inlineStr"/>
      <c r="Z871" s="6" t="inlineStr"/>
    </row>
    <row r="872">
      <c r="A872" s="5" t="inlineStr">
        <is>
          <t>me-internet-satis</t>
        </is>
      </c>
      <c r="B872" s="5" t="n">
        <v>4</v>
      </c>
      <c r="C872" s="6" t="inlineStr">
        <is>
          <t>Direnmeye devam et</t>
        </is>
      </c>
      <c r="D872" s="5" t="inlineStr"/>
      <c r="E872" s="5" t="inlineStr"/>
      <c r="F872" s="5" t="inlineStr">
        <is>
          <t>Dayanıklılık +1, Vicdan +1</t>
        </is>
      </c>
      <c r="G872" s="6" t="inlineStr">
        <is>
          <t>'Benim müşterim kapıdan gelir' dedin. Kapı hâlâ açık. Önünden kargo kuryeleri geçiyor.</t>
        </is>
      </c>
      <c r="H872" s="6" t="inlineStr"/>
      <c r="I872" s="6" t="inlineStr"/>
      <c r="J872" s="6" t="inlineStr"/>
      <c r="K872" s="6" t="inlineStr"/>
      <c r="L872" s="6" t="inlineStr"/>
      <c r="M872" s="5" t="inlineStr"/>
      <c r="N872" s="5" t="inlineStr"/>
      <c r="O872" s="6" t="inlineStr"/>
      <c r="P872" s="6" t="inlineStr"/>
      <c r="Q872" s="5" t="inlineStr"/>
      <c r="R872" s="5" t="inlineStr"/>
      <c r="S872" s="5" t="inlineStr"/>
      <c r="T872" s="5" t="inlineStr"/>
      <c r="U872" s="5" t="inlineStr"/>
      <c r="V872" s="5" t="inlineStr"/>
      <c r="W872" s="5" t="inlineStr"/>
      <c r="X872" s="5" t="inlineStr"/>
      <c r="Y872" s="5" t="inlineStr"/>
      <c r="Z872" s="6" t="inlineStr"/>
    </row>
    <row r="873">
      <c r="A873" s="5" t="inlineStr">
        <is>
          <t>mm-terfi-sinavi</t>
        </is>
      </c>
      <c r="B873" s="5" t="n">
        <v>1</v>
      </c>
      <c r="C873" s="6" t="inlineStr">
        <is>
          <t>Gece gündüz çalış</t>
        </is>
      </c>
      <c r="D873" s="5" t="inlineStr">
        <is>
          <t>Akıl</t>
        </is>
      </c>
      <c r="E873" s="5" t="inlineStr">
        <is>
          <t>Zor</t>
        </is>
      </c>
      <c r="F873" s="5" t="inlineStr"/>
      <c r="G873" s="6" t="inlineStr"/>
      <c r="H873" s="6" t="inlineStr">
        <is>
          <t>Sınavı geçtin, şube müdürü oldun. Artık 'Yarın gelin' diyen değil, 'Yarın gelsinler' diyen sensin.</t>
        </is>
      </c>
      <c r="I873" s="6" t="inlineStr">
        <is>
          <t>Birinci oldun. Komisyon senin kâğıdını gelecek yılın cevap anahtarı yaptı.</t>
        </is>
      </c>
      <c r="J873" s="6" t="inlineStr">
        <is>
          <t>Kıl payı kaldın. Kıl payı, kurum dilinde 'bir sonraki döneme kadar' demek.</t>
        </is>
      </c>
      <c r="K873" s="6" t="inlineStr">
        <is>
          <t>Sınav gününü yanlış yazmışsın. Boş salonda iki saat tek başına sınav oldun. Kâğıdın okunmadı.</t>
        </is>
      </c>
      <c r="L873" s="6" t="inlineStr"/>
      <c r="M873" s="5" t="inlineStr"/>
      <c r="N873" s="5" t="inlineStr"/>
      <c r="O873" s="6" t="inlineStr"/>
      <c r="P873" s="6" t="inlineStr"/>
      <c r="Q873" s="5" t="inlineStr"/>
      <c r="R873" s="5" t="inlineStr"/>
      <c r="S873" s="5" t="inlineStr"/>
      <c r="T873" s="5" t="inlineStr">
        <is>
          <t>Mevzuat Kalkanı</t>
        </is>
      </c>
      <c r="U873" s="5" t="inlineStr"/>
      <c r="V873" s="5" t="inlineStr"/>
      <c r="W873" s="5" t="inlineStr"/>
      <c r="X873" s="5" t="inlineStr"/>
      <c r="Y873" s="5" t="inlineStr"/>
      <c r="Z873" s="6" t="inlineStr"/>
    </row>
    <row r="874">
      <c r="A874" s="5" t="inlineStr">
        <is>
          <t>mm-terfi-sinavi</t>
        </is>
      </c>
      <c r="B874" s="5" t="n">
        <v>2</v>
      </c>
      <c r="C874" s="6" t="inlineStr">
        <is>
          <t>Değişen maddeye odaklan</t>
        </is>
      </c>
      <c r="D874" s="5" t="inlineStr">
        <is>
          <t>Akıl</t>
        </is>
      </c>
      <c r="E874" s="5" t="inlineStr">
        <is>
          <t>Zor</t>
        </is>
      </c>
      <c r="F874" s="5" t="inlineStr"/>
      <c r="G874" s="6" t="inlineStr"/>
      <c r="H874" s="6" t="inlineStr">
        <is>
          <t>Soruların yarısı o maddeden geldi. Sınavı rahat geçtin.</t>
        </is>
      </c>
      <c r="I874" s="6" t="inlineStr">
        <is>
          <t>Soruların tamamı o maddedendi. Sınavdan çıkarken madde numarasını dövme yaptırmayı düşündün.</t>
        </is>
      </c>
      <c r="J874" s="6" t="inlineStr">
        <is>
          <t>Madde o yıl bir kez daha değişmiş. Sen bir önceki değişikliğe çalışmıştın.</t>
        </is>
      </c>
      <c r="K874" s="6" t="inlineStr">
        <is>
          <t>O maddeye o kadar odaklandın ki sınav kâğıdına adını yazmayı unuttun. En yüksek puanı 'isimsiz' aldı.</t>
        </is>
      </c>
      <c r="L874" s="6" t="inlineStr"/>
      <c r="M874" s="5" t="inlineStr"/>
      <c r="N874" s="5" t="inlineStr"/>
      <c r="O874" s="6" t="inlineStr"/>
      <c r="P874" s="6" t="inlineStr"/>
      <c r="Q874" s="5" t="inlineStr"/>
      <c r="R874" s="5" t="inlineStr"/>
      <c r="S874" s="5" t="inlineStr">
        <is>
          <t>Akıl</t>
        </is>
      </c>
      <c r="T874" s="5" t="inlineStr">
        <is>
          <t>Mevzuat Kalkanı</t>
        </is>
      </c>
      <c r="U874" s="5" t="inlineStr"/>
      <c r="V874" s="5" t="inlineStr"/>
      <c r="W874" s="5" t="inlineStr"/>
      <c r="X874" s="5" t="inlineStr"/>
      <c r="Y874" s="5" t="inlineStr"/>
      <c r="Z874" s="6" t="inlineStr"/>
    </row>
    <row r="875">
      <c r="A875" s="5" t="inlineStr">
        <is>
          <t>mm-terfi-sinavi</t>
        </is>
      </c>
      <c r="B875" s="5" t="n">
        <v>3</v>
      </c>
      <c r="C875" s="6" t="inlineStr">
        <is>
          <t>Çocuğunla birlikte çalış</t>
        </is>
      </c>
      <c r="D875" s="5" t="inlineStr">
        <is>
          <t>Dayanıklılık</t>
        </is>
      </c>
      <c r="E875" s="5" t="inlineStr">
        <is>
          <t>Orta</t>
        </is>
      </c>
      <c r="F875" s="5" t="inlineStr"/>
      <c r="G875" s="6" t="inlineStr"/>
      <c r="H875" s="6" t="inlineStr">
        <is>
          <t>Aynı masada çalıştınız. İkiniz de geçtiniz: sen terfiyi, o yazılıyı.</t>
        </is>
      </c>
      <c r="I875" s="6" t="inlineStr">
        <is>
          <t>Çocuğun sana test tekniği öğretti, sen ona sabır. Aile tarihinin en verimli dönemi.</t>
        </is>
      </c>
      <c r="J875" s="6" t="inlineStr">
        <is>
          <t>Çocuğun sana test tekniği anlattı; sen onun sorularını çözdün. İkiniz de başkasının sınavına hazırlandınız.</t>
        </is>
      </c>
      <c r="K875" s="6" t="inlineStr">
        <is>
          <t>Onun tabletine alıştın. Sınav gününe kadar öğrendiğin tek şey bir oyunun üçüncü bölümü.</t>
        </is>
      </c>
      <c r="L875" s="6" t="inlineStr"/>
      <c r="M875" s="5" t="inlineStr"/>
      <c r="N875" s="5" t="inlineStr"/>
      <c r="O875" s="6" t="inlineStr"/>
      <c r="P875" s="6" t="inlineStr"/>
      <c r="Q875" s="5" t="inlineStr"/>
      <c r="R875" s="5" t="inlineStr">
        <is>
          <t>cocuklu</t>
        </is>
      </c>
      <c r="S875" s="5" t="inlineStr"/>
      <c r="T875" s="5" t="inlineStr"/>
      <c r="U875" s="5" t="inlineStr"/>
      <c r="V875" s="5" t="inlineStr"/>
      <c r="W875" s="5" t="inlineStr"/>
      <c r="X875" s="5" t="inlineStr"/>
      <c r="Y875" s="5" t="inlineStr"/>
      <c r="Z875" s="6" t="inlineStr"/>
    </row>
    <row r="876">
      <c r="A876" s="5" t="inlineStr">
        <is>
          <t>mm-terfi-sinavi</t>
        </is>
      </c>
      <c r="B876" s="5" t="n">
        <v>4</v>
      </c>
      <c r="C876" s="6" t="inlineStr">
        <is>
          <t>Girme, masanda kal</t>
        </is>
      </c>
      <c r="D876" s="5" t="inlineStr"/>
      <c r="E876" s="5" t="inlineStr"/>
      <c r="F876" s="5" t="inlineStr">
        <is>
          <t>Vicdan +1, Dayanıklılık +1</t>
        </is>
      </c>
      <c r="G876" s="6" t="inlineStr">
        <is>
          <t>Masan pencere kenarında, çayın sıcak, sorumluluğun makul. Bazı terfiler yataydır.</t>
        </is>
      </c>
      <c r="H876" s="6" t="inlineStr"/>
      <c r="I876" s="6" t="inlineStr"/>
      <c r="J876" s="6" t="inlineStr"/>
      <c r="K876" s="6" t="inlineStr"/>
      <c r="L876" s="6" t="inlineStr"/>
      <c r="M876" s="5" t="inlineStr"/>
      <c r="N876" s="5" t="inlineStr"/>
      <c r="O876" s="6" t="inlineStr"/>
      <c r="P876" s="6" t="inlineStr"/>
      <c r="Q876" s="5" t="inlineStr"/>
      <c r="R876" s="5" t="inlineStr"/>
      <c r="S876" s="5" t="inlineStr"/>
      <c r="T876" s="5" t="inlineStr"/>
      <c r="U876" s="5" t="inlineStr"/>
      <c r="V876" s="5" t="inlineStr"/>
      <c r="W876" s="5" t="inlineStr"/>
      <c r="X876" s="5" t="inlineStr"/>
      <c r="Y876" s="5" t="inlineStr"/>
      <c r="Z876" s="6" t="inlineStr"/>
    </row>
    <row r="877">
      <c r="A877" s="5" t="inlineStr">
        <is>
          <t>b8-dijital-para</t>
        </is>
      </c>
      <c r="B877" s="5" t="n">
        <v>1</v>
      </c>
      <c r="C877" s="6" t="inlineStr">
        <is>
          <t>Teşekkür et, kapat</t>
        </is>
      </c>
      <c r="D877" s="5" t="inlineStr"/>
      <c r="E877" s="5" t="inlineStr"/>
      <c r="F877" s="5" t="inlineStr">
        <is>
          <t>Akıl +1, Vicdan +1</t>
        </is>
      </c>
      <c r="G877" s="6" t="inlineStr">
        <is>
          <t>Telefonu kapattın. Bir hafta sonra paranın kurucuları da telefonlarını kapattı.</t>
        </is>
      </c>
      <c r="H877" s="6" t="inlineStr"/>
      <c r="I877" s="6" t="inlineStr"/>
      <c r="J877" s="6" t="inlineStr"/>
      <c r="K877" s="6" t="inlineStr"/>
      <c r="L877" s="6" t="inlineStr"/>
      <c r="M877" s="5" t="inlineStr"/>
      <c r="N877" s="5" t="inlineStr"/>
      <c r="O877" s="6" t="inlineStr"/>
      <c r="P877" s="6" t="inlineStr"/>
      <c r="Q877" s="5" t="inlineStr"/>
      <c r="R877" s="5" t="inlineStr"/>
      <c r="S877" s="5" t="inlineStr"/>
      <c r="T877" s="5" t="inlineStr"/>
      <c r="U877" s="5" t="inlineStr"/>
      <c r="V877" s="5" t="inlineStr"/>
      <c r="W877" s="5" t="inlineStr"/>
      <c r="X877" s="5" t="inlineStr"/>
      <c r="Y877" s="5" t="inlineStr"/>
      <c r="Z877" s="6" t="inlineStr"/>
    </row>
    <row r="878">
      <c r="A878" s="5" t="inlineStr">
        <is>
          <t>b8-dijital-para</t>
        </is>
      </c>
      <c r="B878" s="5" t="n">
        <v>2</v>
      </c>
      <c r="C878" s="6" t="inlineStr">
        <is>
          <t>Küçük bir miktar yatır</t>
        </is>
      </c>
      <c r="D878" s="5" t="inlineStr">
        <is>
          <t>Kurnazlık</t>
        </is>
      </c>
      <c r="E878" s="5" t="inlineStr">
        <is>
          <t>Zor</t>
        </is>
      </c>
      <c r="F878" s="5" t="inlineStr"/>
      <c r="G878" s="6" t="inlineStr"/>
      <c r="H878" s="6" t="inlineStr">
        <is>
          <t>Az yatırdın, ikiye katladın, hemen sattın. Bu hikâyeyi on yıl anlatacaksın.</t>
        </is>
      </c>
      <c r="I878" s="6" t="inlineStr">
        <is>
          <t>Tam tepede sattın. Hayatında ilk kez bir grafik sana yaranmaya çalıştı ve başardı.</t>
        </is>
      </c>
      <c r="J878" s="6" t="inlineStr">
        <is>
          <t>Az yatırdın; daha da az oldu. Grafik şu an bir kayak pisti.</t>
        </is>
      </c>
      <c r="K878" s="6" t="inlineStr">
        <is>
          <t>Az yatırdın, sonra biraz daha. Cüzdan şifresi bir kâğıttaydı. Kâğıt çamaşır makinesinde.</t>
        </is>
      </c>
      <c r="L878" s="6" t="inlineStr"/>
      <c r="M878" s="5" t="inlineStr"/>
      <c r="N878" s="5" t="inlineStr"/>
      <c r="O878" s="6" t="inlineStr"/>
      <c r="P878" s="6" t="inlineStr"/>
      <c r="Q878" s="5" t="inlineStr"/>
      <c r="R878" s="5" t="inlineStr"/>
      <c r="S878" s="5" t="inlineStr"/>
      <c r="T878" s="5" t="inlineStr"/>
      <c r="U878" s="5" t="inlineStr">
        <is>
          <t>dijital-paraci</t>
        </is>
      </c>
      <c r="V878" s="5" t="inlineStr"/>
      <c r="W878" s="5" t="inlineStr"/>
      <c r="X878" s="5" t="inlineStr"/>
      <c r="Y878" s="5" t="inlineStr"/>
      <c r="Z878" s="6" t="inlineStr"/>
    </row>
    <row r="879">
      <c r="A879" s="5" t="inlineStr">
        <is>
          <t>b8-dijital-para</t>
        </is>
      </c>
      <c r="B879" s="5" t="n">
        <v>3</v>
      </c>
      <c r="C879" s="6" t="inlineStr">
        <is>
          <t>Borç tablonu arkadaşına gönder</t>
        </is>
      </c>
      <c r="D879" s="5" t="inlineStr">
        <is>
          <t>Akıl</t>
        </is>
      </c>
      <c r="E879" s="5" t="inlineStr">
        <is>
          <t>Orta</t>
        </is>
      </c>
      <c r="F879" s="5" t="inlineStr"/>
      <c r="G879" s="6" t="inlineStr"/>
      <c r="H879" s="6" t="inlineStr">
        <is>
          <t>Tabloyu gördü, sustu. Sonra 'Haklısın' dedi ve kendi yatırımını çekti.</t>
        </is>
      </c>
      <c r="I879" s="6" t="inlineStr">
        <is>
          <t>Tablon öyle ikna ediciydi ki arkadaşın sana borç yapılandırmada yardım edecek birini buldu. Ücretsiz.</t>
        </is>
      </c>
      <c r="J879" s="6" t="inlineStr">
        <is>
          <t>Tabloyu gönderdin; 'Sen grafik okumayı bilmiyorsun' dedi.</t>
        </is>
      </c>
      <c r="K879" s="6" t="inlineStr">
        <is>
          <t>Arkadaş tablonu başka arkadaşlarına gösterdi. Şimdi üç kişi daha sana 'hâlâ erken' diyor.</t>
        </is>
      </c>
      <c r="L879" s="6" t="inlineStr"/>
      <c r="M879" s="5" t="inlineStr"/>
      <c r="N879" s="5" t="inlineStr"/>
      <c r="O879" s="6" t="inlineStr"/>
      <c r="P879" s="6" t="inlineStr"/>
      <c r="Q879" s="5" t="inlineStr"/>
      <c r="R879" s="5" t="inlineStr"/>
      <c r="S879" s="5" t="inlineStr">
        <is>
          <t>Akıl</t>
        </is>
      </c>
      <c r="T879" s="5" t="inlineStr"/>
      <c r="U879" s="5" t="inlineStr"/>
      <c r="V879" s="5" t="inlineStr"/>
      <c r="W879" s="5" t="inlineStr"/>
      <c r="X879" s="5" t="inlineStr"/>
      <c r="Y879" s="5" t="inlineStr"/>
      <c r="Z879" s="6" t="inlineStr"/>
    </row>
    <row r="880">
      <c r="A880" s="5" t="inlineStr">
        <is>
          <t>b8-dijital-para</t>
        </is>
      </c>
      <c r="B880" s="5" t="n">
        <v>4</v>
      </c>
      <c r="C880" s="6" t="inlineStr">
        <is>
          <t>'Sen ne kadar yatırdın?' diye sor</t>
        </is>
      </c>
      <c r="D880" s="5" t="inlineStr">
        <is>
          <t>Sosyal Radar</t>
        </is>
      </c>
      <c r="E880" s="5" t="inlineStr">
        <is>
          <t>Kolay</t>
        </is>
      </c>
      <c r="F880" s="5" t="inlineStr"/>
      <c r="G880" s="6" t="inlineStr"/>
      <c r="H880" s="6" t="inlineStr">
        <is>
          <t>'Hiç' dedi. Mesele anlaşıldı.</t>
        </is>
      </c>
      <c r="I880" s="6" t="inlineStr">
        <is>
          <t>Cevap vermeden önce iki saniye durdu. O iki saniye sana bir maaş kazandırdı.</t>
        </is>
      </c>
      <c r="J880" s="6" t="inlineStr">
        <is>
          <t>'Her şeyimi' dedi. İkiniz de sustunuz.</t>
        </is>
      </c>
      <c r="K880" s="6" t="inlineStr">
        <is>
          <t>'Her şeyimi, bir de senin payını' dedi. Senin adına yatırmış.</t>
        </is>
      </c>
      <c r="L880" s="6" t="inlineStr"/>
      <c r="M880" s="5" t="inlineStr"/>
      <c r="N880" s="5" t="inlineStr"/>
      <c r="O880" s="6" t="inlineStr"/>
      <c r="P880" s="6" t="inlineStr"/>
      <c r="Q880" s="5" t="inlineStr">
        <is>
          <t>Para Üstü Radarı</t>
        </is>
      </c>
      <c r="R880" s="5" t="inlineStr"/>
      <c r="S880" s="5" t="inlineStr"/>
      <c r="T880" s="5" t="inlineStr"/>
      <c r="U880" s="5" t="inlineStr"/>
      <c r="V880" s="5" t="inlineStr"/>
      <c r="W880" s="5" t="inlineStr"/>
      <c r="X880" s="5" t="inlineStr"/>
      <c r="Y880" s="5" t="inlineStr"/>
      <c r="Z880" s="6" t="inlineStr"/>
    </row>
    <row r="881">
      <c r="A881" s="5" t="inlineStr">
        <is>
          <t>b8-o-cumle</t>
        </is>
      </c>
      <c r="B881" s="5" t="n">
        <v>1</v>
      </c>
      <c r="C881" s="6" t="inlineStr">
        <is>
          <t>'Sen bizim zamanımızda…' diye başla</t>
        </is>
      </c>
      <c r="D881" s="5" t="inlineStr">
        <is>
          <t>Pişkinlik</t>
        </is>
      </c>
      <c r="E881" s="5" t="inlineStr">
        <is>
          <t>Kolay</t>
        </is>
      </c>
      <c r="F881" s="5" t="inlineStr"/>
      <c r="G881" s="6" t="inlineStr"/>
      <c r="H881" s="6" t="inlineStr">
        <is>
          <t>Cümleyi kurdun. İçinde bir şey yerine oturdu; çocukta bir şey yerinden oynadı.</t>
        </is>
      </c>
      <c r="I881" s="6" t="inlineStr">
        <is>
          <t>Öyle kurdun ki çocuk 'Anlat' dedi. Gece ikiye kadar sokak oyunları anlatıldı.</t>
        </is>
      </c>
      <c r="J881" s="6" t="inlineStr">
        <is>
          <t>Cümlenin yarısında kendi annenin sesiyle konuştuğunu fark ettin. Durdun. Geç kalmıştın.</t>
        </is>
      </c>
      <c r="K881" s="6" t="inlineStr">
        <is>
          <t>Çocuk seni kaydetmiş. Video 'Ebeveyn klasikleri' başlığıyla dolaşımda.</t>
        </is>
      </c>
      <c r="L881" s="6" t="inlineStr"/>
      <c r="M881" s="5" t="inlineStr"/>
      <c r="N881" s="5" t="inlineStr"/>
      <c r="O881" s="6" t="inlineStr"/>
      <c r="P881" s="6" t="inlineStr"/>
      <c r="Q881" s="5" t="inlineStr"/>
      <c r="R881" s="5" t="inlineStr"/>
      <c r="S881" s="5" t="inlineStr"/>
      <c r="T881" s="5" t="inlineStr"/>
      <c r="U881" s="5" t="inlineStr"/>
      <c r="V881" s="5" t="inlineStr"/>
      <c r="W881" s="5" t="inlineStr"/>
      <c r="X881" s="5" t="inlineStr"/>
      <c r="Y881" s="5" t="inlineStr"/>
      <c r="Z881" s="6" t="inlineStr"/>
    </row>
    <row r="882">
      <c r="A882" s="5" t="inlineStr">
        <is>
          <t>b8-o-cumle</t>
        </is>
      </c>
      <c r="B882" s="5" t="n">
        <v>2</v>
      </c>
      <c r="C882" s="6" t="inlineStr">
        <is>
          <t>Cümleyi yut, birlikte sıkıl</t>
        </is>
      </c>
      <c r="D882" s="5" t="inlineStr"/>
      <c r="E882" s="5" t="inlineStr"/>
      <c r="F882" s="5" t="inlineStr">
        <is>
          <t>Vicdan +2</t>
        </is>
      </c>
      <c r="G882" s="6" t="inlineStr">
        <is>
          <t>Cümleyi yuttun. Birlikte tavana baktınız. On dakika sonra ikiniz de güldünüz; sebep bulunamadı.</t>
        </is>
      </c>
      <c r="H882" s="6" t="inlineStr"/>
      <c r="I882" s="6" t="inlineStr"/>
      <c r="J882" s="6" t="inlineStr"/>
      <c r="K882" s="6" t="inlineStr"/>
      <c r="L882" s="6" t="inlineStr"/>
      <c r="M882" s="5" t="inlineStr"/>
      <c r="N882" s="5" t="inlineStr"/>
      <c r="O882" s="6" t="inlineStr"/>
      <c r="P882" s="6" t="inlineStr"/>
      <c r="Q882" s="5" t="inlineStr"/>
      <c r="R882" s="5" t="inlineStr"/>
      <c r="S882" s="5" t="inlineStr"/>
      <c r="T882" s="5" t="inlineStr"/>
      <c r="U882" s="5" t="inlineStr"/>
      <c r="V882" s="5" t="inlineStr"/>
      <c r="W882" s="5" t="inlineStr"/>
      <c r="X882" s="5" t="inlineStr"/>
      <c r="Y882" s="5" t="inlineStr"/>
      <c r="Z882" s="6" t="inlineStr"/>
    </row>
    <row r="883">
      <c r="A883" s="5" t="inlineStr">
        <is>
          <t>b8-o-cumle</t>
        </is>
      </c>
      <c r="B883" s="5" t="n">
        <v>3</v>
      </c>
      <c r="C883" s="6" t="inlineStr">
        <is>
          <t>Bir sokak oyunu öğret</t>
        </is>
      </c>
      <c r="D883" s="5" t="inlineStr">
        <is>
          <t>Çene</t>
        </is>
      </c>
      <c r="E883" s="5" t="inlineStr">
        <is>
          <t>Orta</t>
        </is>
      </c>
      <c r="F883" s="5" t="inlineStr"/>
      <c r="G883" s="6" t="inlineStr"/>
      <c r="H883" s="6" t="inlineStr">
        <is>
          <t>Yere seksek çizdin. Çocuk 'Bu ne?' dedi, sonra iki saat oynadı.</t>
        </is>
      </c>
      <c r="I883" s="6" t="inlineStr">
        <is>
          <t>Öğrettiğin oyun okulda moda oldu. Veli grubunda 'Bunu kim öğretti?' diye soruluyor.</t>
        </is>
      </c>
      <c r="J883" s="6" t="inlineStr">
        <is>
          <t>Anlatırken kuralları unuttun. Çocuk yenilerini yazdı; sen kaybettin.</t>
        </is>
      </c>
      <c r="K883" s="6" t="inlineStr">
        <is>
          <t>Gösterirken belin tutuldu. Çocuk sordu: 'Sizin zamanınızda bel var mıydı?'</t>
        </is>
      </c>
      <c r="L883" s="6" t="inlineStr"/>
      <c r="M883" s="5" t="inlineStr"/>
      <c r="N883" s="5" t="inlineStr"/>
      <c r="O883" s="6" t="inlineStr"/>
      <c r="P883" s="6" t="inlineStr"/>
      <c r="Q883" s="5" t="inlineStr"/>
      <c r="R883" s="5" t="inlineStr"/>
      <c r="S883" s="5" t="inlineStr"/>
      <c r="T883" s="5" t="inlineStr"/>
      <c r="U883" s="5" t="inlineStr"/>
      <c r="V883" s="5" t="inlineStr"/>
      <c r="W883" s="5" t="inlineStr"/>
      <c r="X883" s="5" t="inlineStr"/>
      <c r="Y883" s="5" t="inlineStr"/>
      <c r="Z883" s="6" t="inlineStr"/>
    </row>
    <row r="884">
      <c r="A884" s="5" t="inlineStr">
        <is>
          <t>b8-o-cumle</t>
        </is>
      </c>
      <c r="B884" s="5" t="n">
        <v>4</v>
      </c>
      <c r="C884" s="6" t="inlineStr">
        <is>
          <t>Kırılan camın hikâyesini anlat</t>
        </is>
      </c>
      <c r="D884" s="5" t="inlineStr"/>
      <c r="E884" s="5" t="inlineStr"/>
      <c r="F884" s="5" t="inlineStr">
        <is>
          <t>Çene +2</t>
        </is>
      </c>
      <c r="G884" s="6" t="inlineStr">
        <is>
          <t>Mahalle maçını ve komşunun camını anlattın. Çocuk sana ilk kez hayranlıkla baktı. Komşu hâlâ affetmedi.</t>
        </is>
      </c>
      <c r="H884" s="6" t="inlineStr"/>
      <c r="I884" s="6" t="inlineStr"/>
      <c r="J884" s="6" t="inlineStr"/>
      <c r="K884" s="6" t="inlineStr"/>
      <c r="L884" s="6" t="inlineStr"/>
      <c r="M884" s="5" t="inlineStr"/>
      <c r="N884" s="5" t="inlineStr"/>
      <c r="O884" s="6" t="inlineStr"/>
      <c r="P884" s="6" t="inlineStr"/>
      <c r="Q884" s="5" t="inlineStr"/>
      <c r="R884" s="5" t="inlineStr">
        <is>
          <t>camKirildi</t>
        </is>
      </c>
      <c r="S884" s="5" t="inlineStr"/>
      <c r="T884" s="5" t="inlineStr"/>
      <c r="U884" s="5" t="inlineStr"/>
      <c r="V884" s="5" t="inlineStr"/>
      <c r="W884" s="5" t="inlineStr"/>
      <c r="X884" s="5" t="inlineStr"/>
      <c r="Y884" s="5" t="inlineStr"/>
      <c r="Z884" s="6" t="inlineStr"/>
    </row>
    <row r="885">
      <c r="A885" s="5" t="inlineStr">
        <is>
          <t>b8-evli-rutin</t>
        </is>
      </c>
      <c r="B885" s="5" t="n">
        <v>1</v>
      </c>
      <c r="C885" s="6" t="inlineStr">
        <is>
          <t>Telefonu bırak, sohbet et</t>
        </is>
      </c>
      <c r="D885" s="5" t="inlineStr"/>
      <c r="E885" s="5" t="inlineStr"/>
      <c r="F885" s="5" t="inlineStr">
        <is>
          <t>Vicdan +1, Çene +1</t>
        </is>
      </c>
      <c r="G885" s="6" t="inlineStr">
        <is>
          <t>Telefonlar masaya ters kondu. Konuşacak çok şey çıktı; çoğu kombi hakkında, ama olsun.</t>
        </is>
      </c>
      <c r="H885" s="6" t="inlineStr"/>
      <c r="I885" s="6" t="inlineStr"/>
      <c r="J885" s="6" t="inlineStr"/>
      <c r="K885" s="6" t="inlineStr"/>
      <c r="L885" s="6" t="inlineStr"/>
      <c r="M885" s="5" t="inlineStr"/>
      <c r="N885" s="5" t="inlineStr"/>
      <c r="O885" s="6" t="inlineStr"/>
      <c r="P885" s="6" t="inlineStr"/>
      <c r="Q885" s="5" t="inlineStr"/>
      <c r="R885" s="5" t="inlineStr"/>
      <c r="S885" s="5" t="inlineStr"/>
      <c r="T885" s="5" t="inlineStr"/>
      <c r="U885" s="5" t="inlineStr"/>
      <c r="V885" s="5" t="inlineStr"/>
      <c r="W885" s="5" t="inlineStr"/>
      <c r="X885" s="5" t="inlineStr"/>
      <c r="Y885" s="5" t="inlineStr"/>
      <c r="Z885" s="6" t="inlineStr"/>
    </row>
    <row r="886">
      <c r="A886" s="5" t="inlineStr">
        <is>
          <t>b8-evli-rutin</t>
        </is>
      </c>
      <c r="B886" s="5" t="n">
        <v>2</v>
      </c>
      <c r="C886" s="6" t="inlineStr">
        <is>
          <t>Sürpriz akşam yemeği planla</t>
        </is>
      </c>
      <c r="D886" s="5" t="inlineStr">
        <is>
          <t>Kurnazlık</t>
        </is>
      </c>
      <c r="E886" s="5" t="inlineStr">
        <is>
          <t>Orta</t>
        </is>
      </c>
      <c r="F886" s="5" t="inlineStr"/>
      <c r="G886" s="6" t="inlineStr"/>
      <c r="H886" s="6" t="inlineStr">
        <is>
          <t>Masa hazırdı, mumlar yanıyordu. Eşin 'Ne oldu?' diye sordu. Hiçbir şey olmamıştı; mesele de buydu.</t>
        </is>
      </c>
      <c r="I886" s="6" t="inlineStr">
        <is>
          <t>Evlendiğiniz yıl gittiğiniz yeri buldun; hâlâ açıktı. Garson sizi hatırlamadı ama öyle yaptı.</t>
        </is>
      </c>
      <c r="J886" s="6" t="inlineStr">
        <is>
          <t>Sürpriz yemek günü eşin de sana sürpriz hazırlamıştı. İki yemek, bir mide.</t>
        </is>
      </c>
      <c r="K886" s="6" t="inlineStr">
        <is>
          <t>Rezervasyonu yanlış tarihe yaptın. Yıldönümünü yanlış hatırladığın resmî olarak belgelendi.</t>
        </is>
      </c>
      <c r="L886" s="6" t="inlineStr"/>
      <c r="M886" s="5" t="inlineStr"/>
      <c r="N886" s="5" t="inlineStr"/>
      <c r="O886" s="6" t="inlineStr"/>
      <c r="P886" s="6" t="inlineStr"/>
      <c r="Q886" s="5" t="inlineStr"/>
      <c r="R886" s="5" t="inlineStr"/>
      <c r="S886" s="5" t="inlineStr"/>
      <c r="T886" s="5" t="inlineStr"/>
      <c r="U886" s="5" t="inlineStr"/>
      <c r="V886" s="5" t="inlineStr"/>
      <c r="W886" s="5" t="inlineStr"/>
      <c r="X886" s="5" t="inlineStr"/>
      <c r="Y886" s="5" t="inlineStr"/>
      <c r="Z886" s="6" t="inlineStr"/>
    </row>
    <row r="887">
      <c r="A887" s="5" t="inlineStr">
        <is>
          <t>b8-evli-rutin</t>
        </is>
      </c>
      <c r="B887" s="5" t="n">
        <v>3</v>
      </c>
      <c r="C887" s="6" t="inlineStr">
        <is>
          <t>'Nasılsın?' diye gerçekten sor</t>
        </is>
      </c>
      <c r="D887" s="5" t="inlineStr">
        <is>
          <t>Vicdan</t>
        </is>
      </c>
      <c r="E887" s="5" t="inlineStr">
        <is>
          <t>Kolay</t>
        </is>
      </c>
      <c r="F887" s="5" t="inlineStr"/>
      <c r="G887" s="6" t="inlineStr"/>
      <c r="H887" s="6" t="inlineStr">
        <is>
          <t>Sordun ve dinledin. Uzun bir cevap geldi. İyi ki sormuşsun.</t>
        </is>
      </c>
      <c r="I887" s="6" t="inlineStr">
        <is>
          <t>Sordun; eşin bir süre sustu, sonra 'Kimse sormuyordu' dedi. Gece balkonda uzadı.</t>
        </is>
      </c>
      <c r="J887" s="6" t="inlineStr">
        <is>
          <t>Sordun; 'İyiyim' dendi. Bir dahaki sefere.</t>
        </is>
      </c>
      <c r="K887" s="6" t="inlineStr">
        <is>
          <t>Sordun; cevap verirken telefonuna baktın. Soru geri çekildi.</t>
        </is>
      </c>
      <c r="L887" s="6" t="inlineStr"/>
      <c r="M887" s="5" t="inlineStr"/>
      <c r="N887" s="5" t="inlineStr"/>
      <c r="O887" s="6" t="inlineStr"/>
      <c r="P887" s="6" t="inlineStr"/>
      <c r="Q887" s="5" t="inlineStr"/>
      <c r="R887" s="5" t="inlineStr"/>
      <c r="S887" s="5" t="inlineStr">
        <is>
          <t>Vicdan</t>
        </is>
      </c>
      <c r="T887" s="5" t="inlineStr"/>
      <c r="U887" s="5" t="inlineStr"/>
      <c r="V887" s="5" t="inlineStr"/>
      <c r="W887" s="5" t="inlineStr"/>
      <c r="X887" s="5" t="inlineStr"/>
      <c r="Y887" s="5" t="inlineStr"/>
      <c r="Z887" s="6" t="inlineStr"/>
    </row>
    <row r="888">
      <c r="A888" s="5" t="inlineStr">
        <is>
          <t>b8-evli-rutin</t>
        </is>
      </c>
      <c r="B888" s="5" t="n">
        <v>4</v>
      </c>
      <c r="C888" s="6" t="inlineStr">
        <is>
          <t>Mutfakta dansa kaldır</t>
        </is>
      </c>
      <c r="D888" s="5" t="inlineStr">
        <is>
          <t>Pişkinlik</t>
        </is>
      </c>
      <c r="E888" s="5" t="inlineStr">
        <is>
          <t>Orta</t>
        </is>
      </c>
      <c r="F888" s="5" t="inlineStr"/>
      <c r="G888" s="6" t="inlineStr"/>
      <c r="H888" s="6" t="inlineStr">
        <is>
          <t>Mutfakta, buzdolabının ışığında dans ettiniz. Kimse görmedi; zaten mesele buydu.</t>
        </is>
      </c>
      <c r="I888" s="6" t="inlineStr">
        <is>
          <t>Dans ettiniz; çocuk kapıda donup kaldı, sonra o da katıldı. Aile arşivinin en iyi gecesi.</t>
        </is>
      </c>
      <c r="J888" s="6" t="inlineStr">
        <is>
          <t>Dansa kaldırdın; eşin 'Bulaşık' dedi. Bulaşık kazandı.</t>
        </is>
      </c>
      <c r="K888" s="6" t="inlineStr">
        <is>
          <t>Dans ederken tencere kulpuna takıldın. Yemek yere, siz kahkahaya düştünüz.</t>
        </is>
      </c>
      <c r="L888" s="6" t="inlineStr"/>
      <c r="M888" s="5" t="inlineStr"/>
      <c r="N888" s="5" t="inlineStr"/>
      <c r="O888" s="6" t="inlineStr"/>
      <c r="P888" s="6" t="inlineStr"/>
      <c r="Q888" s="5" t="inlineStr">
        <is>
          <t>Sahne Sever</t>
        </is>
      </c>
      <c r="R888" s="5" t="inlineStr"/>
      <c r="S888" s="5" t="inlineStr"/>
      <c r="T888" s="5" t="inlineStr"/>
      <c r="U888" s="5" t="inlineStr"/>
      <c r="V888" s="5" t="inlineStr"/>
      <c r="W888" s="5" t="inlineStr"/>
      <c r="X888" s="5" t="inlineStr"/>
      <c r="Y888" s="5" t="inlineStr"/>
      <c r="Z888" s="6" t="inlineStr"/>
    </row>
    <row r="889">
      <c r="A889" s="5" t="inlineStr">
        <is>
          <t>b8-cocuk-odasi</t>
        </is>
      </c>
      <c r="B889" s="5" t="n">
        <v>1</v>
      </c>
      <c r="C889" s="6" t="inlineStr">
        <is>
          <t>Kapıyı kapat, görmedin</t>
        </is>
      </c>
      <c r="D889" s="5" t="inlineStr"/>
      <c r="E889" s="5" t="inlineStr"/>
      <c r="F889" s="5" t="inlineStr">
        <is>
          <t>Dayanıklılık +1</t>
        </is>
      </c>
      <c r="G889" s="6" t="inlineStr">
        <is>
          <t>Kapıyı kapattın. Oda kendi ekosistemini korudu; tabak yerel fauna tarafından sahiplenildi.</t>
        </is>
      </c>
      <c r="H889" s="6" t="inlineStr"/>
      <c r="I889" s="6" t="inlineStr"/>
      <c r="J889" s="6" t="inlineStr"/>
      <c r="K889" s="6" t="inlineStr"/>
      <c r="L889" s="6" t="inlineStr"/>
      <c r="M889" s="5" t="inlineStr"/>
      <c r="N889" s="5" t="inlineStr"/>
      <c r="O889" s="6" t="inlineStr"/>
      <c r="P889" s="6" t="inlineStr"/>
      <c r="Q889" s="5" t="inlineStr"/>
      <c r="R889" s="5" t="inlineStr"/>
      <c r="S889" s="5" t="inlineStr"/>
      <c r="T889" s="5" t="inlineStr"/>
      <c r="U889" s="5" t="inlineStr"/>
      <c r="V889" s="5" t="inlineStr"/>
      <c r="W889" s="5" t="inlineStr"/>
      <c r="X889" s="5" t="inlineStr"/>
      <c r="Y889" s="5" t="inlineStr"/>
      <c r="Z889" s="6" t="inlineStr"/>
    </row>
    <row r="890">
      <c r="A890" s="5" t="inlineStr">
        <is>
          <t>b8-cocuk-odasi</t>
        </is>
      </c>
      <c r="B890" s="5" t="n">
        <v>2</v>
      </c>
      <c r="C890" s="6" t="inlineStr">
        <is>
          <t>Hızla topla</t>
        </is>
      </c>
      <c r="D890" s="5" t="inlineStr">
        <is>
          <t>Dayanıklılık</t>
        </is>
      </c>
      <c r="E890" s="5" t="inlineStr">
        <is>
          <t>Orta</t>
        </is>
      </c>
      <c r="F890" s="5" t="inlineStr"/>
      <c r="G890" s="6" t="inlineStr"/>
      <c r="H890" s="6" t="inlineStr">
        <is>
          <t>On dört çorap topladın. Hiçbiri eşleşmedi, ama zemin göründü.</t>
        </is>
      </c>
      <c r="I890" s="6" t="inlineStr">
        <is>
          <t>Oda toplandı, tabak bulundu; üstüne yıllardır kayıp kumanda da. Zafer ilan edildi.</t>
        </is>
      </c>
      <c r="J890" s="6" t="inlineStr">
        <is>
          <t>Topladın; çocuk gelip 'Her şeyin yerini biliyordum' dedi. Artık bilmiyor.</t>
        </is>
      </c>
      <c r="K890" s="6" t="inlineStr">
        <is>
          <t>Toplarken yerdeki küçük bir oyuncak parçasına bastın. Çıkardığın ses komşuların kayıtlarında.</t>
        </is>
      </c>
      <c r="L890" s="6" t="inlineStr">
        <is>
          <t>Yarısını topladın. Oda 'dağınık' kategorisinden 'yaşanmış' kategorisine terfi etti.</t>
        </is>
      </c>
      <c r="M890" s="5" t="inlineStr">
        <is>
          <t>collect</t>
        </is>
      </c>
      <c r="N890" s="5" t="inlineStr">
        <is>
          <t>Çorap Operasyonu</t>
        </is>
      </c>
      <c r="O890" s="6" t="inlineStr">
        <is>
          <t>Odaya saçılmış tek çorapları kaybolmadan topla.</t>
        </is>
      </c>
      <c r="P890" s="6" t="inlineStr">
        <is>
          <t>{"piece": "🧦"}</t>
        </is>
      </c>
      <c r="Q890" s="5" t="inlineStr"/>
      <c r="R890" s="5" t="inlineStr"/>
      <c r="S890" s="5" t="inlineStr"/>
      <c r="T890" s="5" t="inlineStr"/>
      <c r="U890" s="5" t="inlineStr"/>
      <c r="V890" s="5" t="inlineStr"/>
      <c r="W890" s="5" t="inlineStr"/>
      <c r="X890" s="5" t="inlineStr"/>
      <c r="Y890" s="5" t="inlineStr"/>
      <c r="Z890" s="6" t="inlineStr"/>
    </row>
    <row r="891">
      <c r="A891" s="5" t="inlineStr">
        <is>
          <t>b8-cocuk-odasi</t>
        </is>
      </c>
      <c r="B891" s="5" t="n">
        <v>3</v>
      </c>
      <c r="C891" s="6" t="inlineStr">
        <is>
          <t>Çocukla pazarlık et</t>
        </is>
      </c>
      <c r="D891" s="5" t="inlineStr">
        <is>
          <t>Çene</t>
        </is>
      </c>
      <c r="E891" s="5" t="inlineStr">
        <is>
          <t>Orta</t>
        </is>
      </c>
      <c r="F891" s="5" t="inlineStr"/>
      <c r="G891" s="6" t="inlineStr"/>
      <c r="H891" s="6" t="inlineStr">
        <is>
          <t>Oda karşılığında bir hafta ek ekran süresi. Sözleşme buzdolabına mıknatısla asıldı.</t>
        </is>
      </c>
      <c r="I891" s="6" t="inlineStr">
        <is>
          <t>Çocuk odasını da, salonu da topladı. Karşılığında ne istediğini hâlâ söylemedi; endişe verici.</t>
        </is>
      </c>
      <c r="J891" s="6" t="inlineStr">
        <is>
          <t>Çocuk avukat gibi konuştu. Kaybettin.</t>
        </is>
      </c>
      <c r="K891" s="6" t="inlineStr">
        <is>
          <t>Çocuk senin çalışma masanın fotoğrafını delil olarak sundu. Dava düştü.</t>
        </is>
      </c>
      <c r="L891" s="6" t="inlineStr"/>
      <c r="M891" s="5" t="inlineStr"/>
      <c r="N891" s="5" t="inlineStr"/>
      <c r="O891" s="6" t="inlineStr"/>
      <c r="P891" s="6" t="inlineStr"/>
      <c r="Q891" s="5" t="inlineStr"/>
      <c r="R891" s="5" t="inlineStr"/>
      <c r="S891" s="5" t="inlineStr"/>
      <c r="T891" s="5" t="inlineStr"/>
      <c r="U891" s="5" t="inlineStr"/>
      <c r="V891" s="5" t="inlineStr"/>
      <c r="W891" s="5" t="inlineStr"/>
      <c r="X891" s="5" t="inlineStr"/>
      <c r="Y891" s="5" t="inlineStr"/>
      <c r="Z891" s="6" t="inlineStr"/>
    </row>
    <row r="892">
      <c r="A892" s="5" t="inlineStr">
        <is>
          <t>b8-cocuk-odasi</t>
        </is>
      </c>
      <c r="B892" s="5" t="n">
        <v>4</v>
      </c>
      <c r="C892" s="6" t="inlineStr">
        <is>
          <t>Tabağı kediye yükle</t>
        </is>
      </c>
      <c r="D892" s="5" t="inlineStr"/>
      <c r="E892" s="5" t="inlineStr"/>
      <c r="F892" s="5" t="inlineStr">
        <is>
          <t>Pişkinlik +1, Kurnazlık +1</t>
        </is>
      </c>
      <c r="G892" s="6" t="inlineStr">
        <is>
          <t>'Tabağı kedi götürmüş' dedin. Çocuk 'Kedimiz yok' dedi. Otuz yıllık gelenek yeni kuşağa devredildi.</t>
        </is>
      </c>
      <c r="H892" s="6" t="inlineStr"/>
      <c r="I892" s="6" t="inlineStr"/>
      <c r="J892" s="6" t="inlineStr"/>
      <c r="K892" s="6" t="inlineStr"/>
      <c r="L892" s="6" t="inlineStr"/>
      <c r="M892" s="5" t="inlineStr"/>
      <c r="N892" s="5" t="inlineStr"/>
      <c r="O892" s="6" t="inlineStr"/>
      <c r="P892" s="6" t="inlineStr"/>
      <c r="Q892" s="5" t="inlineStr"/>
      <c r="R892" s="5" t="inlineStr">
        <is>
          <t>kediSuclu</t>
        </is>
      </c>
      <c r="S892" s="5" t="inlineStr"/>
      <c r="T892" s="5" t="inlineStr"/>
      <c r="U892" s="5" t="inlineStr"/>
      <c r="V892" s="5" t="inlineStr"/>
      <c r="W892" s="5" t="inlineStr"/>
      <c r="X892" s="5" t="inlineStr"/>
      <c r="Y892" s="5" t="inlineStr"/>
      <c r="Z892" s="6" t="inlineStr"/>
    </row>
    <row r="893">
      <c r="A893" s="5" t="inlineStr">
        <is>
          <t>ms-eski-musteri</t>
        </is>
      </c>
      <c r="B893" s="5" t="n">
        <v>1</v>
      </c>
      <c r="C893" s="6" t="inlineStr">
        <is>
          <t>Görmezden gel</t>
        </is>
      </c>
      <c r="D893" s="5" t="inlineStr"/>
      <c r="E893" s="5" t="inlineStr"/>
      <c r="F893" s="5" t="inlineStr">
        <is>
          <t>Dayanıklılık +1</t>
        </is>
      </c>
      <c r="G893" s="6" t="inlineStr">
        <is>
          <t>Mesajı okundu olarak bıraktın. On beş yıldır onların yaptığını sen de yaptın. Bir tür adalet.</t>
        </is>
      </c>
      <c r="H893" s="6" t="inlineStr"/>
      <c r="I893" s="6" t="inlineStr"/>
      <c r="J893" s="6" t="inlineStr"/>
      <c r="K893" s="6" t="inlineStr"/>
      <c r="L893" s="6" t="inlineStr"/>
      <c r="M893" s="5" t="inlineStr"/>
      <c r="N893" s="5" t="inlineStr"/>
      <c r="O893" s="6" t="inlineStr"/>
      <c r="P893" s="6" t="inlineStr"/>
      <c r="Q893" s="5" t="inlineStr"/>
      <c r="R893" s="5" t="inlineStr"/>
      <c r="S893" s="5" t="inlineStr"/>
      <c r="T893" s="5" t="inlineStr"/>
      <c r="U893" s="5" t="inlineStr"/>
      <c r="V893" s="5" t="inlineStr"/>
      <c r="W893" s="5" t="inlineStr"/>
      <c r="X893" s="5" t="inlineStr"/>
      <c r="Y893" s="5" t="inlineStr"/>
      <c r="Z893" s="6" t="inlineStr"/>
    </row>
    <row r="894">
      <c r="A894" s="5" t="inlineStr">
        <is>
          <t>ms-eski-musteri</t>
        </is>
      </c>
      <c r="B894" s="5" t="n">
        <v>2</v>
      </c>
      <c r="C894" s="6" t="inlineStr">
        <is>
          <t>Yeni fiyatını söyle</t>
        </is>
      </c>
      <c r="D894" s="5" t="inlineStr">
        <is>
          <t>Çene</t>
        </is>
      </c>
      <c r="E894" s="5" t="inlineStr">
        <is>
          <t>Zor</t>
        </is>
      </c>
      <c r="F894" s="5" t="inlineStr"/>
      <c r="G894" s="6" t="inlineStr"/>
      <c r="H894" s="6" t="inlineStr">
        <is>
          <t>Fiyatını ikiye katladın. Kabul ettiler. Bu kez peşin.</t>
        </is>
      </c>
      <c r="I894" s="6" t="inlineStr">
        <is>
          <t>Yeni fiyatı söyledin, eski faturayı da ekledin. İkisini birden ödediler. Faizsiz ama olsun.</t>
        </is>
      </c>
      <c r="J894" s="6" t="inlineStr">
        <is>
          <t>Fiyatı söyledin; 'Görünürlük sağlarız' dediler. On beş yıl geçmiş, cümle aynı.</t>
        </is>
      </c>
      <c r="K894" s="6" t="inlineStr">
        <is>
          <t>Pazarlıkta öyle geriledin ki eski borçlarını da sen üstlendin. Kafede hesabı sen ödedin.</t>
        </is>
      </c>
      <c r="L894" s="6" t="inlineStr">
        <is>
          <t>Fiyat biraz yükseldi, peşinat yarım kaldı. Sözleşmeyi bu kez sen yazdın.</t>
        </is>
      </c>
      <c r="M894" s="5" t="inlineStr">
        <is>
          <t>bargain</t>
        </is>
      </c>
      <c r="N894" s="5" t="inlineStr">
        <is>
          <t>Özlem Fiyatı</t>
        </is>
      </c>
      <c r="O894" s="6" t="inlineStr">
        <is>
          <t>Karşı tarafın sabrı bitmeden ücreti yukarı it. Özlemin bir fiyatı var.</t>
        </is>
      </c>
      <c r="P894" s="6" t="inlineStr">
        <is>
          <t>{"item": "yeni proje", "mode": "sell"}</t>
        </is>
      </c>
      <c r="Q894" s="5" t="inlineStr"/>
      <c r="R894" s="5" t="inlineStr"/>
      <c r="S894" s="5" t="inlineStr"/>
      <c r="T894" s="5" t="inlineStr"/>
      <c r="U894" s="5" t="inlineStr"/>
      <c r="V894" s="5" t="inlineStr"/>
      <c r="W894" s="5" t="inlineStr"/>
      <c r="X894" s="5" t="inlineStr"/>
      <c r="Y894" s="5" t="inlineStr"/>
      <c r="Z894" s="6" t="inlineStr"/>
    </row>
    <row r="895">
      <c r="A895" s="5" t="inlineStr">
        <is>
          <t>ms-eski-musteri</t>
        </is>
      </c>
      <c r="B895" s="5" t="n">
        <v>3</v>
      </c>
      <c r="C895" s="6" t="inlineStr">
        <is>
          <t>Eski faturayı faiziyle hatırlat</t>
        </is>
      </c>
      <c r="D895" s="5" t="inlineStr">
        <is>
          <t>Kurnazlık</t>
        </is>
      </c>
      <c r="E895" s="5" t="inlineStr">
        <is>
          <t>Zor</t>
        </is>
      </c>
      <c r="F895" s="5" t="inlineStr"/>
      <c r="G895" s="6" t="inlineStr"/>
      <c r="H895" s="6" t="inlineStr">
        <is>
          <t>Eski faturayı gecikme faiziyle ekledin. Ödendi. On beş yıllık bir onay nihayet verildi.</t>
        </is>
      </c>
      <c r="I895" s="6" t="inlineStr">
        <is>
          <t>Faiz hesabını öyle düzgün yaptın ki muhasebeci 'Bizde çalışır mısınız?' diye sordu.</t>
        </is>
      </c>
      <c r="J895" s="6" t="inlineStr">
        <is>
          <t>Eski fatura bulundu; 'Zaman aşımına uğramış' dediler. Onay bekleyen fatura sonunda emekli oldu.</t>
        </is>
      </c>
      <c r="K895" s="6" t="inlineStr">
        <is>
          <t>Faturayı buldular ve ödediler. Senin eski hesabına. Hesap kapanalı on yıl oldu.</t>
        </is>
      </c>
      <c r="L895" s="6" t="inlineStr"/>
      <c r="M895" s="5" t="inlineStr"/>
      <c r="N895" s="5" t="inlineStr"/>
      <c r="O895" s="6" t="inlineStr"/>
      <c r="P895" s="6" t="inlineStr"/>
      <c r="Q895" s="5" t="inlineStr"/>
      <c r="R895" s="5" t="inlineStr">
        <is>
          <t>serbest-alacakli</t>
        </is>
      </c>
      <c r="S895" s="5" t="inlineStr"/>
      <c r="T895" s="5" t="inlineStr">
        <is>
          <t>Fatura Avcısı</t>
        </is>
      </c>
      <c r="U895" s="5" t="inlineStr"/>
      <c r="V895" s="5" t="inlineStr"/>
      <c r="W895" s="5" t="inlineStr"/>
      <c r="X895" s="5" t="inlineStr"/>
      <c r="Y895" s="5" t="inlineStr"/>
      <c r="Z895" s="6" t="inlineStr"/>
    </row>
    <row r="896">
      <c r="A896" s="5" t="inlineStr">
        <is>
          <t>b8-lise-bulusmasi</t>
        </is>
      </c>
      <c r="B896" s="5" t="n">
        <v>1</v>
      </c>
      <c r="C896" s="6" t="inlineStr">
        <is>
          <t>Herkesle kısa sohbet et</t>
        </is>
      </c>
      <c r="D896" s="5" t="inlineStr"/>
      <c r="E896" s="5" t="inlineStr"/>
      <c r="F896" s="5" t="inlineStr">
        <is>
          <t>Çene +1, Sosyal Radar +1</t>
        </is>
      </c>
      <c r="G896" s="6" t="inlineStr">
        <is>
          <t>Kırk dört kişiyle 'Ne yapıyorsun?' sohbeti yaptın. Kırk dört kez aynı cevabı verdin. Geçerli bir cevap.</t>
        </is>
      </c>
      <c r="H896" s="6" t="inlineStr"/>
      <c r="I896" s="6" t="inlineStr"/>
      <c r="J896" s="6" t="inlineStr"/>
      <c r="K896" s="6" t="inlineStr"/>
      <c r="L896" s="6" t="inlineStr"/>
      <c r="M896" s="5" t="inlineStr"/>
      <c r="N896" s="5" t="inlineStr"/>
      <c r="O896" s="6" t="inlineStr"/>
      <c r="P896" s="6" t="inlineStr"/>
      <c r="Q896" s="5" t="inlineStr"/>
      <c r="R896" s="5" t="inlineStr"/>
      <c r="S896" s="5" t="inlineStr"/>
      <c r="T896" s="5" t="inlineStr"/>
      <c r="U896" s="5" t="inlineStr"/>
      <c r="V896" s="5" t="inlineStr"/>
      <c r="W896" s="5" t="inlineStr"/>
      <c r="X896" s="5" t="inlineStr"/>
      <c r="Y896" s="5" t="inlineStr"/>
      <c r="Z896" s="6" t="inlineStr"/>
    </row>
    <row r="897">
      <c r="A897" s="5" t="inlineStr">
        <is>
          <t>b8-lise-bulusmasi</t>
        </is>
      </c>
      <c r="B897" s="5" t="n">
        <v>2</v>
      </c>
      <c r="C897" s="6" t="inlineStr">
        <is>
          <t>Kürsüye çık, anı konuşması yap</t>
        </is>
      </c>
      <c r="D897" s="5" t="inlineStr">
        <is>
          <t>Pişkinlik</t>
        </is>
      </c>
      <c r="E897" s="5" t="inlineStr">
        <is>
          <t>Orta</t>
        </is>
      </c>
      <c r="F897" s="5" t="inlineStr"/>
      <c r="G897" s="6" t="inlineStr"/>
      <c r="H897" s="6" t="inlineStr">
        <is>
          <t>Konuşma güldürdü. Salon, gençliğini beş dakikalığına geri aldı.</t>
        </is>
      </c>
      <c r="I897" s="6" t="inlineStr">
        <is>
          <t>Konuşmanın sonunda herkes ayağa kalktı ve okul marşını söyledi. Sözleri kimse hatırlamıyordu; ezgi yetti.</t>
        </is>
      </c>
      <c r="J897" s="6" t="inlineStr">
        <is>
          <t>Konuşmaya başladın; mikrofon arkadan gelen şarkıyla yarıştı. Şarkı kazandı.</t>
        </is>
      </c>
      <c r="K897" s="6" t="inlineStr">
        <is>
          <t>Eski bir öğretmeni taklit ettin. Öğretmen en ön masadaydı ve alkışlamadı.</t>
        </is>
      </c>
      <c r="L897" s="6" t="inlineStr"/>
      <c r="M897" s="5" t="inlineStr"/>
      <c r="N897" s="5" t="inlineStr"/>
      <c r="O897" s="6" t="inlineStr"/>
      <c r="P897" s="6" t="inlineStr"/>
      <c r="Q897" s="5" t="inlineStr"/>
      <c r="R897" s="5" t="inlineStr"/>
      <c r="S897" s="5" t="inlineStr"/>
      <c r="T897" s="5" t="inlineStr"/>
      <c r="U897" s="5" t="inlineStr"/>
      <c r="V897" s="5" t="inlineStr"/>
      <c r="W897" s="5" t="inlineStr"/>
      <c r="X897" s="5" t="inlineStr"/>
      <c r="Y897" s="5" t="inlineStr"/>
      <c r="Z897" s="6" t="inlineStr"/>
    </row>
    <row r="898">
      <c r="A898" s="5" t="inlineStr">
        <is>
          <t>b8-lise-bulusmasi</t>
        </is>
      </c>
      <c r="B898" s="5" t="n">
        <v>3</v>
      </c>
      <c r="C898" s="6" t="inlineStr">
        <is>
          <t>Kim kiminle, analiz et</t>
        </is>
      </c>
      <c r="D898" s="5" t="inlineStr">
        <is>
          <t>Sosyal Radar</t>
        </is>
      </c>
      <c r="E898" s="5" t="inlineStr">
        <is>
          <t>Kolay</t>
        </is>
      </c>
      <c r="F898" s="5" t="inlineStr"/>
      <c r="G898" s="6" t="inlineStr"/>
      <c r="H898" s="6" t="inlineStr">
        <is>
          <t>Gece sonunda tüm sınıfın güncel dosyası hazırdı. Arşiv, talep üzerine açılacak.</t>
        </is>
      </c>
      <c r="I898" s="6" t="inlineStr">
        <is>
          <t>Analizin o kadar isabetliydi ki otuzuncu yıl buluşmasını düzenleme görevi sana verildi.</t>
        </is>
      </c>
      <c r="J898" s="6" t="inlineStr">
        <is>
          <t>Analizinde bir boşanmayı evlilik sandın. Tebrik ettin.</t>
        </is>
      </c>
      <c r="K898" s="6" t="inlineStr">
        <is>
          <t>Analizini yüksek sesle yaptın. Masanın öbür ucu seni duydu; eski sevgililer bu kez birlikte baktı.</t>
        </is>
      </c>
      <c r="L898" s="6" t="inlineStr"/>
      <c r="M898" s="5" t="inlineStr"/>
      <c r="N898" s="5" t="inlineStr"/>
      <c r="O898" s="6" t="inlineStr"/>
      <c r="P898" s="6" t="inlineStr"/>
      <c r="Q898" s="5" t="inlineStr"/>
      <c r="R898" s="5" t="inlineStr"/>
      <c r="S898" s="5" t="inlineStr">
        <is>
          <t>Sosyal Radar</t>
        </is>
      </c>
      <c r="T898" s="5" t="inlineStr"/>
      <c r="U898" s="5" t="inlineStr"/>
      <c r="V898" s="5" t="inlineStr"/>
      <c r="W898" s="5" t="inlineStr"/>
      <c r="X898" s="5" t="inlineStr"/>
      <c r="Y898" s="5" t="inlineStr"/>
      <c r="Z898" s="6" t="inlineStr"/>
    </row>
    <row r="899">
      <c r="A899" s="5" t="inlineStr">
        <is>
          <t>b8-lise-bulusmasi</t>
        </is>
      </c>
      <c r="B899" s="5" t="n">
        <v>4</v>
      </c>
      <c r="C899" s="6" t="inlineStr">
        <is>
          <t>O eski videoyu canlandır</t>
        </is>
      </c>
      <c r="D899" s="5" t="inlineStr">
        <is>
          <t>Pişkinlik</t>
        </is>
      </c>
      <c r="E899" s="5" t="inlineStr">
        <is>
          <t>Kolay</t>
        </is>
      </c>
      <c r="F899" s="5" t="inlineStr"/>
      <c r="G899" s="6" t="inlineStr"/>
      <c r="H899" s="6" t="inlineStr">
        <is>
          <t>Hareketi yaptın. Salon çıldırdı; yirmi beş yıl bir anda sıfırlandı.</t>
        </is>
      </c>
      <c r="I899" s="6" t="inlineStr">
        <is>
          <t>Herkes seninle birlikte yaptı. Video yeniden çekildi ve ikinci kez yayıldı. Nesiller arası fenomen.</t>
        </is>
      </c>
      <c r="J899" s="6" t="inlineStr">
        <is>
          <t>Hareketi yaptın; belin artık o hareketi yapmıyor. Yarıda kaldı.</t>
        </is>
      </c>
      <c r="K899" s="6" t="inlineStr">
        <is>
          <t>Hareketi yaptın; kimse hatırlamadı. Yeni video: 'Orta yaşlı biri tek başına dans ediyor.'</t>
        </is>
      </c>
      <c r="L899" s="6" t="inlineStr"/>
      <c r="M899" s="5" t="inlineStr"/>
      <c r="N899" s="5" t="inlineStr"/>
      <c r="O899" s="6" t="inlineStr"/>
      <c r="P899" s="6" t="inlineStr"/>
      <c r="Q899" s="5" t="inlineStr"/>
      <c r="R899" s="5" t="inlineStr">
        <is>
          <t>fenomen</t>
        </is>
      </c>
      <c r="S899" s="5" t="inlineStr"/>
      <c r="T899" s="5" t="inlineStr"/>
      <c r="U899" s="5" t="inlineStr"/>
      <c r="V899" s="5" t="inlineStr"/>
      <c r="W899" s="5" t="inlineStr"/>
      <c r="X899" s="5" t="inlineStr"/>
      <c r="Y899" s="5" t="inlineStr"/>
      <c r="Z899" s="6" t="inlineStr"/>
    </row>
    <row r="900">
      <c r="A900" s="5" t="inlineStr">
        <is>
          <t>b8-sahte-haber</t>
        </is>
      </c>
      <c r="B900" s="5" t="n">
        <v>1</v>
      </c>
      <c r="C900" s="6" t="inlineStr">
        <is>
          <t>Görmezden gel</t>
        </is>
      </c>
      <c r="D900" s="5" t="inlineStr"/>
      <c r="E900" s="5" t="inlineStr"/>
      <c r="F900" s="5" t="inlineStr">
        <is>
          <t>Dayanıklılık +1</t>
        </is>
      </c>
      <c r="G900" s="6" t="inlineStr">
        <is>
          <t>Saat 15.00'te telefonun patlamadı. Sadece annen dört kez aradı: 'Sen kapatmadın mı?'</t>
        </is>
      </c>
      <c r="H900" s="6" t="inlineStr"/>
      <c r="I900" s="6" t="inlineStr"/>
      <c r="J900" s="6" t="inlineStr"/>
      <c r="K900" s="6" t="inlineStr"/>
      <c r="L900" s="6" t="inlineStr"/>
      <c r="M900" s="5" t="inlineStr"/>
      <c r="N900" s="5" t="inlineStr"/>
      <c r="O900" s="6" t="inlineStr"/>
      <c r="P900" s="6" t="inlineStr"/>
      <c r="Q900" s="5" t="inlineStr"/>
      <c r="R900" s="5" t="inlineStr"/>
      <c r="S900" s="5" t="inlineStr"/>
      <c r="T900" s="5" t="inlineStr"/>
      <c r="U900" s="5" t="inlineStr"/>
      <c r="V900" s="5" t="inlineStr"/>
      <c r="W900" s="5" t="inlineStr"/>
      <c r="X900" s="5" t="inlineStr"/>
      <c r="Y900" s="5" t="inlineStr"/>
      <c r="Z900" s="6" t="inlineStr"/>
    </row>
    <row r="901">
      <c r="A901" s="5" t="inlineStr">
        <is>
          <t>b8-sahte-haber</t>
        </is>
      </c>
      <c r="B901" s="5" t="n">
        <v>2</v>
      </c>
      <c r="C901" s="6" t="inlineStr">
        <is>
          <t>Yalanlama bağlantısı gönder</t>
        </is>
      </c>
      <c r="D901" s="5" t="inlineStr">
        <is>
          <t>Akıl</t>
        </is>
      </c>
      <c r="E901" s="5" t="inlineStr">
        <is>
          <t>Orta</t>
        </is>
      </c>
      <c r="F901" s="5" t="inlineStr"/>
      <c r="G901" s="6" t="inlineStr"/>
      <c r="H901" s="6" t="inlineStr">
        <is>
          <t>Amca 'Olsun, tedbir' dedi. Kısmi zafer.</t>
        </is>
      </c>
      <c r="I901" s="6" t="inlineStr">
        <is>
          <t>Amca özür diledi ve bir daha iletmeyeceğine söz verdi. Söz iki gün sürdü; rekor.</t>
        </is>
      </c>
      <c r="J901" s="6" t="inlineStr">
        <is>
          <t>Bağlantını da sahte haber sandılar. Artık sen 'şüpheli kaynak'sın.</t>
        </is>
      </c>
      <c r="K901" s="6" t="inlineStr">
        <is>
          <t>Grupta 'Kimin haberi doğru?' anketi açıldı. Dörde bir kaybettin.</t>
        </is>
      </c>
      <c r="L901" s="6" t="inlineStr"/>
      <c r="M901" s="5" t="inlineStr"/>
      <c r="N901" s="5" t="inlineStr"/>
      <c r="O901" s="6" t="inlineStr"/>
      <c r="P901" s="6" t="inlineStr"/>
      <c r="Q901" s="5" t="inlineStr"/>
      <c r="R901" s="5" t="inlineStr"/>
      <c r="S901" s="5" t="inlineStr"/>
      <c r="T901" s="5" t="inlineStr"/>
      <c r="U901" s="5" t="inlineStr"/>
      <c r="V901" s="5" t="inlineStr"/>
      <c r="W901" s="5" t="inlineStr"/>
      <c r="X901" s="5" t="inlineStr"/>
      <c r="Y901" s="5" t="inlineStr"/>
      <c r="Z901" s="6" t="inlineStr"/>
    </row>
    <row r="902">
      <c r="A902" s="5" t="inlineStr">
        <is>
          <t>b8-sahte-haber</t>
        </is>
      </c>
      <c r="B902" s="5" t="n">
        <v>3</v>
      </c>
      <c r="C902" s="6" t="inlineStr">
        <is>
          <t>Amcayı özelden ara</t>
        </is>
      </c>
      <c r="D902" s="5" t="inlineStr">
        <is>
          <t>Sosyal Radar</t>
        </is>
      </c>
      <c r="E902" s="5" t="inlineStr">
        <is>
          <t>Zor</t>
        </is>
      </c>
      <c r="F902" s="5" t="inlineStr"/>
      <c r="G902" s="6" t="inlineStr"/>
      <c r="H902" s="6" t="inlineStr">
        <is>
          <t>Hâlini sordun. Mesajlar azaldı, aramalar arttı. İyi bir takas.</t>
        </is>
      </c>
      <c r="I902" s="6" t="inlineStr">
        <is>
          <t>Yarım saat konuştunuz. Sonunda 'Şu haber işini bırakayım' dedi. Grupta huzurlu bir sessizlik.</t>
        </is>
      </c>
      <c r="J902" s="6" t="inlineStr">
        <is>
          <t>Amca sana üç haber daha anlattı. Bu kez sesli.</t>
        </is>
      </c>
      <c r="K902" s="6" t="inlineStr">
        <is>
          <t>Amca seni grubun yöneticisi yaptı. Artık her sahte haberin sorumlusu sensin.</t>
        </is>
      </c>
      <c r="L902" s="6" t="inlineStr"/>
      <c r="M902" s="5" t="inlineStr"/>
      <c r="N902" s="5" t="inlineStr"/>
      <c r="O902" s="6" t="inlineStr"/>
      <c r="P902" s="6" t="inlineStr"/>
      <c r="Q902" s="5" t="inlineStr"/>
      <c r="R902" s="5" t="inlineStr"/>
      <c r="S902" s="5" t="inlineStr"/>
      <c r="T902" s="5" t="inlineStr">
        <is>
          <t>Aile Grubu Moderatörü</t>
        </is>
      </c>
      <c r="U902" s="5" t="inlineStr"/>
      <c r="V902" s="5" t="inlineStr"/>
      <c r="W902" s="5" t="inlineStr"/>
      <c r="X902" s="5" t="inlineStr"/>
      <c r="Y902" s="5" t="inlineStr"/>
      <c r="Z902" s="6" t="inlineStr"/>
    </row>
    <row r="903">
      <c r="A903" s="5" t="inlineStr">
        <is>
          <t>b8-sahte-haber</t>
        </is>
      </c>
      <c r="B903" s="5" t="n">
        <v>4</v>
      </c>
      <c r="C903" s="6" t="inlineStr">
        <is>
          <t>Daha absürt bir haberle karşılık ver</t>
        </is>
      </c>
      <c r="D903" s="5" t="inlineStr">
        <is>
          <t>Pişkinlik</t>
        </is>
      </c>
      <c r="E903" s="5" t="inlineStr">
        <is>
          <t>Orta</t>
        </is>
      </c>
      <c r="F903" s="5" t="inlineStr"/>
      <c r="G903" s="6" t="inlineStr"/>
      <c r="H903" s="6" t="inlineStr">
        <is>
          <t>'Yarın yerçekimi yarım saat kapanıyor' yazdın. Grup güldü; amca da güldü, sonra 'Doğru mu?' diye sordu.</t>
        </is>
      </c>
      <c r="I903" s="6" t="inlineStr">
        <is>
          <t>Grup kahkahaya boğuldu; amca ilk kez bir haberin altına gülen surat koydu. Denge sağlandı.</t>
        </is>
      </c>
      <c r="J903" s="6" t="inlineStr">
        <is>
          <t>Haberin fazla inandırıcı bulundu. Halan pencereleri kapattı.</t>
        </is>
      </c>
      <c r="K903" s="6" t="inlineStr">
        <is>
          <t>Haberin başka gruplara sıçradı. Üç gün sonra sana geri döndü; kaynak: 'bir tanıdık.'</t>
        </is>
      </c>
      <c r="L903" s="6" t="inlineStr"/>
      <c r="M903" s="5" t="inlineStr"/>
      <c r="N903" s="5" t="inlineStr"/>
      <c r="O903" s="6" t="inlineStr"/>
      <c r="P903" s="6" t="inlineStr"/>
      <c r="Q903" s="5" t="inlineStr">
        <is>
          <t>Yüzü Kızarmaz</t>
        </is>
      </c>
      <c r="R903" s="5" t="inlineStr"/>
      <c r="S903" s="5" t="inlineStr"/>
      <c r="T903" s="5" t="inlineStr"/>
      <c r="U903" s="5" t="inlineStr"/>
      <c r="V903" s="5" t="inlineStr"/>
      <c r="W903" s="5" t="inlineStr"/>
      <c r="X903" s="5" t="inlineStr"/>
      <c r="Y903" s="5" t="inlineStr"/>
      <c r="Z903" s="6" t="inlineStr"/>
    </row>
    <row r="904">
      <c r="A904" s="5" t="inlineStr">
        <is>
          <t>mb-asansorde-genel-mudur</t>
        </is>
      </c>
      <c r="B904" s="5" t="n">
        <v>1</v>
      </c>
      <c r="C904" s="6" t="inlineStr">
        <is>
          <t>Hava durumundan bahset</t>
        </is>
      </c>
      <c r="D904" s="5" t="inlineStr"/>
      <c r="E904" s="5" t="inlineStr"/>
      <c r="F904" s="5" t="inlineStr">
        <is>
          <t>Dayanıklılık +1</t>
        </is>
      </c>
      <c r="G904" s="6" t="inlineStr">
        <is>
          <t>Kırk dakika hava durumu konuştunuz. Çıkarken genel müdür 'Güzel sohbetti. Adın neydi?' dedi.</t>
        </is>
      </c>
      <c r="H904" s="6" t="inlineStr"/>
      <c r="I904" s="6" t="inlineStr"/>
      <c r="J904" s="6" t="inlineStr"/>
      <c r="K904" s="6" t="inlineStr"/>
      <c r="L904" s="6" t="inlineStr"/>
      <c r="M904" s="5" t="inlineStr"/>
      <c r="N904" s="5" t="inlineStr"/>
      <c r="O904" s="6" t="inlineStr"/>
      <c r="P904" s="6" t="inlineStr"/>
      <c r="Q904" s="5" t="inlineStr"/>
      <c r="R904" s="5" t="inlineStr"/>
      <c r="S904" s="5" t="inlineStr"/>
      <c r="T904" s="5" t="inlineStr"/>
      <c r="U904" s="5" t="inlineStr"/>
      <c r="V904" s="5" t="inlineStr"/>
      <c r="W904" s="5" t="inlineStr"/>
      <c r="X904" s="5" t="inlineStr"/>
      <c r="Y904" s="5" t="inlineStr"/>
      <c r="Z904" s="6" t="inlineStr"/>
    </row>
    <row r="905">
      <c r="A905" s="5" t="inlineStr">
        <is>
          <t>mb-asansorde-genel-mudur</t>
        </is>
      </c>
      <c r="B905" s="5" t="n">
        <v>2</v>
      </c>
      <c r="C905" s="6" t="inlineStr">
        <is>
          <t>Projeni anlat</t>
        </is>
      </c>
      <c r="D905" s="5" t="inlineStr">
        <is>
          <t>Çene</t>
        </is>
      </c>
      <c r="E905" s="5" t="inlineStr">
        <is>
          <t>Zor</t>
        </is>
      </c>
      <c r="F905" s="5" t="inlineStr"/>
      <c r="G905" s="6" t="inlineStr"/>
      <c r="H905" s="6" t="inlineStr">
        <is>
          <t>Asansör açıldığında projen bütçe almıştı.</t>
        </is>
      </c>
      <c r="I905" s="6" t="inlineStr">
        <is>
          <t>Kapı açıldı, genel müdür 'Devam edelim' deyip seni ofisine aldı. O günden beri kat değiştirdin.</t>
        </is>
      </c>
      <c r="J905" s="6" t="inlineStr">
        <is>
          <t>Anlattın; genel müdür kırk dakika boyunca telefonunun çekip çekmediğine baktı.</t>
        </is>
      </c>
      <c r="K905" s="6" t="inlineStr">
        <is>
          <t>Projeni anlatırken bir projeyi yerden yere vurdun. O projeyi iptal eden oydu. Kırk dakika vardı.</t>
        </is>
      </c>
      <c r="L905" s="6" t="inlineStr"/>
      <c r="M905" s="5" t="inlineStr"/>
      <c r="N905" s="5" t="inlineStr"/>
      <c r="O905" s="6" t="inlineStr"/>
      <c r="P905" s="6" t="inlineStr"/>
      <c r="Q905" s="5" t="inlineStr"/>
      <c r="R905" s="5" t="inlineStr"/>
      <c r="S905" s="5" t="inlineStr"/>
      <c r="T905" s="5" t="inlineStr"/>
      <c r="U905" s="5" t="inlineStr"/>
      <c r="V905" s="5" t="inlineStr">
        <is>
          <t>beyazyaka-gm-tanidik</t>
        </is>
      </c>
      <c r="W905" s="5" t="inlineStr"/>
      <c r="X905" s="5" t="inlineStr"/>
      <c r="Y905" s="5" t="inlineStr"/>
      <c r="Z905" s="6" t="inlineStr"/>
    </row>
    <row r="906">
      <c r="A906" s="5" t="inlineStr">
        <is>
          <t>mb-asansorde-genel-mudur</t>
        </is>
      </c>
      <c r="B906" s="5" t="n">
        <v>3</v>
      </c>
      <c r="C906" s="6" t="inlineStr">
        <is>
          <t>Balıkçılıktan aç</t>
        </is>
      </c>
      <c r="D906" s="5" t="inlineStr">
        <is>
          <t>Sosyal Radar</t>
        </is>
      </c>
      <c r="E906" s="5" t="inlineStr">
        <is>
          <t>Kolay</t>
        </is>
      </c>
      <c r="F906" s="5" t="inlineStr"/>
      <c r="G906" s="6" t="inlineStr"/>
      <c r="H906" s="6" t="inlineStr">
        <is>
          <t>Kırk dakika olta konuştunuz. Hafta sonu göle davet edildin.</t>
        </is>
      </c>
      <c r="I906" s="6" t="inlineStr">
        <is>
          <t>Göle davet edildin; ertesi ay bir birimin başına getirildin. Yem işe yaradı.</t>
        </is>
      </c>
      <c r="J906" s="6" t="inlineStr">
        <is>
          <t>Balıktan açtın; genel müdür denizci çıktı. Göl lafı hakaret sayıldı.</t>
        </is>
      </c>
      <c r="K906" s="6" t="inlineStr">
        <is>
          <t>Genel müdür 'Balık tuttuğumu kim söyledi?' diye sordu. Kaynağını koruyamadın.</t>
        </is>
      </c>
      <c r="L906" s="6" t="inlineStr"/>
      <c r="M906" s="5" t="inlineStr"/>
      <c r="N906" s="5" t="inlineStr"/>
      <c r="O906" s="6" t="inlineStr"/>
      <c r="P906" s="6" t="inlineStr"/>
      <c r="Q906" s="5" t="inlineStr"/>
      <c r="R906" s="5" t="inlineStr"/>
      <c r="S906" s="5" t="inlineStr">
        <is>
          <t>Sosyal Radar</t>
        </is>
      </c>
      <c r="T906" s="5" t="inlineStr"/>
      <c r="U906" s="5" t="inlineStr"/>
      <c r="V906" s="5" t="inlineStr">
        <is>
          <t>beyazyaka-gm-tanidik</t>
        </is>
      </c>
      <c r="W906" s="5" t="inlineStr"/>
      <c r="X906" s="5" t="inlineStr"/>
      <c r="Y906" s="5" t="inlineStr"/>
      <c r="Z906" s="6" t="inlineStr"/>
    </row>
    <row r="907">
      <c r="A907" s="5" t="inlineStr">
        <is>
          <t>mb-asansorde-genel-mudur</t>
        </is>
      </c>
      <c r="B907" s="5" t="n">
        <v>4</v>
      </c>
      <c r="C907" s="6" t="inlineStr">
        <is>
          <t>Tavan kapağından çıkmayı dene</t>
        </is>
      </c>
      <c r="D907" s="5" t="inlineStr">
        <is>
          <t>Cesaret</t>
        </is>
      </c>
      <c r="E907" s="5" t="inlineStr">
        <is>
          <t>Zor</t>
        </is>
      </c>
      <c r="F907" s="5" t="inlineStr"/>
      <c r="G907" s="6" t="inlineStr"/>
      <c r="H907" s="6" t="inlineStr">
        <is>
          <t>Kapağı açtın, teknisyene el salladın. Genel müdür seni 'kriz yöneticisi' olarak hatırladı.</t>
        </is>
      </c>
      <c r="I907" s="6" t="inlineStr">
        <is>
          <t>Genel müdürü tavandan çıkardın. Şirket bülteninde kapak oldun: 'Liderlik yukarıdan başlar.'</t>
        </is>
      </c>
      <c r="J907" s="6" t="inlineStr">
        <is>
          <t>Kapağı açamadın. Genel müdür kırk dakika boyunca pantolonundaki izi izledi.</t>
        </is>
      </c>
      <c r="K907" s="6" t="inlineStr">
        <is>
          <t>Tavan kapağına takıldın. Teknisyen önce seni çıkardı. Genel müdür bir saat daha bekledi.</t>
        </is>
      </c>
      <c r="L907" s="6" t="inlineStr"/>
      <c r="M907" s="5" t="inlineStr"/>
      <c r="N907" s="5" t="inlineStr"/>
      <c r="O907" s="6" t="inlineStr"/>
      <c r="P907" s="6" t="inlineStr"/>
      <c r="Q907" s="5" t="inlineStr"/>
      <c r="R907" s="5" t="inlineStr"/>
      <c r="S907" s="5" t="inlineStr"/>
      <c r="T907" s="5" t="inlineStr"/>
      <c r="U907" s="5" t="inlineStr"/>
      <c r="V907" s="5" t="inlineStr">
        <is>
          <t>beyazyaka-gm-tanidik</t>
        </is>
      </c>
      <c r="W907" s="5" t="inlineStr"/>
      <c r="X907" s="5" t="inlineStr"/>
      <c r="Y907" s="5" t="n">
        <v>4</v>
      </c>
      <c r="Z907" s="6" t="inlineStr">
        <is>
          <t>Arızalı plaza asansörünün tavan kapağından genel müdürü kurtarmaya çalışırken. Asansör tam o sırada düzeldi.</t>
        </is>
      </c>
    </row>
    <row r="908">
      <c r="A908" s="5" t="inlineStr">
        <is>
          <t>me-tek-yildiz</t>
        </is>
      </c>
      <c r="B908" s="5" t="n">
        <v>1</v>
      </c>
      <c r="C908" s="6" t="inlineStr">
        <is>
          <t>Kibar bir cevap yaz</t>
        </is>
      </c>
      <c r="D908" s="5" t="inlineStr"/>
      <c r="E908" s="5" t="inlineStr"/>
      <c r="F908" s="5" t="inlineStr">
        <is>
          <t>Vicdan +1, Çene +1</t>
        </is>
      </c>
      <c r="G908" s="6" t="inlineStr">
        <is>
          <t>'Değerli yorumunuz için teşekkürler' yazdın. Cevabın yorumdan fazla beğeni aldı. Güler yüz belgelendi.</t>
        </is>
      </c>
      <c r="H908" s="6" t="inlineStr"/>
      <c r="I908" s="6" t="inlineStr"/>
      <c r="J908" s="6" t="inlineStr"/>
      <c r="K908" s="6" t="inlineStr"/>
      <c r="L908" s="6" t="inlineStr"/>
      <c r="M908" s="5" t="inlineStr"/>
      <c r="N908" s="5" t="inlineStr"/>
      <c r="O908" s="6" t="inlineStr"/>
      <c r="P908" s="6" t="inlineStr"/>
      <c r="Q908" s="5" t="inlineStr"/>
      <c r="R908" s="5" t="inlineStr"/>
      <c r="S908" s="5" t="inlineStr"/>
      <c r="T908" s="5" t="inlineStr"/>
      <c r="U908" s="5" t="inlineStr"/>
      <c r="V908" s="5" t="inlineStr"/>
      <c r="W908" s="5" t="inlineStr"/>
      <c r="X908" s="5" t="inlineStr"/>
      <c r="Y908" s="5" t="inlineStr"/>
      <c r="Z908" s="6" t="inlineStr"/>
    </row>
    <row r="909">
      <c r="A909" s="5" t="inlineStr">
        <is>
          <t>me-tek-yildiz</t>
        </is>
      </c>
      <c r="B909" s="5" t="n">
        <v>2</v>
      </c>
      <c r="C909" s="6" t="inlineStr">
        <is>
          <t>Müşteriyi bul, gönlünü al</t>
        </is>
      </c>
      <c r="D909" s="5" t="inlineStr">
        <is>
          <t>Sosyal Radar</t>
        </is>
      </c>
      <c r="E909" s="5" t="inlineStr">
        <is>
          <t>Orta</t>
        </is>
      </c>
      <c r="F909" s="5" t="inlineStr"/>
      <c r="G909" s="6" t="inlineStr"/>
      <c r="H909" s="6" t="inlineStr">
        <is>
          <t>Yorumcuyu buldun, dükkâna çağırdın, ikram ettin. Yıldız beşe çıktı.</t>
        </is>
      </c>
      <c r="I909" s="6" t="inlineStr">
        <is>
          <t>Yorum 'Hayatımın esnafı' olarak güncellendi. Fotoğraf da eklendi; ikinizin.</t>
        </is>
      </c>
      <c r="J909" s="6" t="inlineStr">
        <is>
          <t>Bulduğun kişi yanlış kişiymiş. Şimdi iki kişi seni güler yüzsüz buluyor.</t>
        </is>
      </c>
      <c r="K909" s="6" t="inlineStr">
        <is>
          <t>Gönlünü almaya gittin, fazla gülümsedin. Yeni yorum: 'Esnaf ürkütücü derecede güler yüzlü.'</t>
        </is>
      </c>
      <c r="L909" s="6" t="inlineStr"/>
      <c r="M909" s="5" t="inlineStr"/>
      <c r="N909" s="5" t="inlineStr"/>
      <c r="O909" s="6" t="inlineStr"/>
      <c r="P909" s="6" t="inlineStr"/>
      <c r="Q909" s="5" t="inlineStr"/>
      <c r="R909" s="5" t="inlineStr"/>
      <c r="S909" s="5" t="inlineStr"/>
      <c r="T909" s="5" t="inlineStr"/>
      <c r="U909" s="5" t="inlineStr"/>
      <c r="V909" s="5" t="inlineStr"/>
      <c r="W909" s="5" t="inlineStr"/>
      <c r="X909" s="5" t="inlineStr"/>
      <c r="Y909" s="5" t="inlineStr"/>
      <c r="Z909" s="6" t="inlineStr"/>
    </row>
    <row r="910">
      <c r="A910" s="5" t="inlineStr">
        <is>
          <t>me-tek-yildiz</t>
        </is>
      </c>
      <c r="B910" s="5" t="n">
        <v>3</v>
      </c>
      <c r="C910" s="6" t="inlineStr">
        <is>
          <t>Karşı dükkâna yorum yaz</t>
        </is>
      </c>
      <c r="D910" s="5" t="inlineStr">
        <is>
          <t>Kurnazlık</t>
        </is>
      </c>
      <c r="E910" s="5" t="inlineStr">
        <is>
          <t>Zor</t>
        </is>
      </c>
      <c r="F910" s="5" t="inlineStr"/>
      <c r="G910" s="6" t="inlineStr"/>
      <c r="H910" s="6" t="inlineStr">
        <is>
          <t>Karşıya dört yıldız verdin: 'Ürünler iyi ama karşıdaki daha iyi.' Kibar ve öldürücü.</t>
        </is>
      </c>
      <c r="I910" s="6" t="inlineStr">
        <is>
          <t>Yorumun o kadar dengeli oldu ki karşı dükkân onu vitrinine astı. Vitrinlerinde senin reklamın duruyor.</t>
        </is>
      </c>
      <c r="J910" s="6" t="inlineStr">
        <is>
          <t>Yorumu yazdın; profil fotoğrafında kendi kasan görünüyordu.</t>
        </is>
      </c>
      <c r="K910" s="6" t="inlineStr">
        <is>
          <t>Yorumu yanlış dükkâna yazdın: kendine. Tek yıldız. Artık iki tane.</t>
        </is>
      </c>
      <c r="L910" s="6" t="inlineStr"/>
      <c r="M910" s="5" t="inlineStr"/>
      <c r="N910" s="5" t="inlineStr"/>
      <c r="O910" s="6" t="inlineStr"/>
      <c r="P910" s="6" t="inlineStr"/>
      <c r="Q910" s="5" t="inlineStr"/>
      <c r="R910" s="5" t="inlineStr">
        <is>
          <t>esnaf-komsu-rakip</t>
        </is>
      </c>
      <c r="S910" s="5" t="inlineStr"/>
      <c r="T910" s="5" t="inlineStr"/>
      <c r="U910" s="5" t="inlineStr"/>
      <c r="V910" s="5" t="inlineStr"/>
      <c r="W910" s="5" t="inlineStr"/>
      <c r="X910" s="5" t="inlineStr"/>
      <c r="Y910" s="5" t="inlineStr"/>
      <c r="Z910" s="6" t="inlineStr"/>
    </row>
    <row r="911">
      <c r="A911" s="5" t="inlineStr">
        <is>
          <t>me-tek-yildiz</t>
        </is>
      </c>
      <c r="B911" s="5" t="n">
        <v>4</v>
      </c>
      <c r="C911" s="6" t="inlineStr">
        <is>
          <t>Görmezden gel</t>
        </is>
      </c>
      <c r="D911" s="5" t="inlineStr"/>
      <c r="E911" s="5" t="inlineStr"/>
      <c r="F911" s="5" t="inlineStr">
        <is>
          <t>Dayanıklılık +2</t>
        </is>
      </c>
      <c r="G911" s="6" t="inlineStr">
        <is>
          <t>Yorumu görmezden geldin. Dükkân, internetin olmadığı bir çağda yaşamaya devam etti.</t>
        </is>
      </c>
      <c r="H911" s="6" t="inlineStr"/>
      <c r="I911" s="6" t="inlineStr"/>
      <c r="J911" s="6" t="inlineStr"/>
      <c r="K911" s="6" t="inlineStr"/>
      <c r="L911" s="6" t="inlineStr"/>
      <c r="M911" s="5" t="inlineStr"/>
      <c r="N911" s="5" t="inlineStr"/>
      <c r="O911" s="6" t="inlineStr"/>
      <c r="P911" s="6" t="inlineStr"/>
      <c r="Q911" s="5" t="inlineStr"/>
      <c r="R911" s="5" t="inlineStr"/>
      <c r="S911" s="5" t="inlineStr"/>
      <c r="T911" s="5" t="inlineStr"/>
      <c r="U911" s="5" t="inlineStr"/>
      <c r="V911" s="5" t="inlineStr"/>
      <c r="W911" s="5" t="inlineStr"/>
      <c r="X911" s="5" t="inlineStr"/>
      <c r="Y911" s="5" t="inlineStr"/>
      <c r="Z911" s="6" t="inlineStr"/>
    </row>
    <row r="912">
      <c r="A912" s="5" t="inlineStr">
        <is>
          <t>mm-vatandasla-diyalog</t>
        </is>
      </c>
      <c r="B912" s="5" t="n">
        <v>1</v>
      </c>
      <c r="C912" s="6" t="inlineStr">
        <is>
          <t>Usulü anlat</t>
        </is>
      </c>
      <c r="D912" s="5" t="inlineStr"/>
      <c r="E912" s="5" t="inlineStr"/>
      <c r="F912" s="5" t="inlineStr">
        <is>
          <t>Vicdan +1, Akıl +1</t>
        </is>
      </c>
      <c r="G912" s="6" t="inlineStr">
        <is>
          <t>Dilekçe, fotokopi, bekleme. Usul herkese aynı derecede yorgun.</t>
        </is>
      </c>
      <c r="H912" s="6" t="inlineStr"/>
      <c r="I912" s="6" t="inlineStr"/>
      <c r="J912" s="6" t="inlineStr"/>
      <c r="K912" s="6" t="inlineStr"/>
      <c r="L912" s="6" t="inlineStr"/>
      <c r="M912" s="5" t="inlineStr"/>
      <c r="N912" s="5" t="inlineStr"/>
      <c r="O912" s="6" t="inlineStr"/>
      <c r="P912" s="6" t="inlineStr"/>
      <c r="Q912" s="5" t="inlineStr"/>
      <c r="R912" s="5" t="inlineStr"/>
      <c r="S912" s="5" t="inlineStr"/>
      <c r="T912" s="5" t="inlineStr"/>
      <c r="U912" s="5" t="inlineStr"/>
      <c r="V912" s="5" t="inlineStr"/>
      <c r="W912" s="5" t="inlineStr"/>
      <c r="X912" s="5" t="inlineStr"/>
      <c r="Y912" s="5" t="inlineStr"/>
      <c r="Z912" s="6" t="inlineStr"/>
    </row>
    <row r="913">
      <c r="A913" s="5" t="inlineStr">
        <is>
          <t>mm-vatandasla-diyalog</t>
        </is>
      </c>
      <c r="B913" s="5" t="n">
        <v>2</v>
      </c>
      <c r="C913" s="6" t="inlineStr">
        <is>
          <t>'Ben de masayım' de</t>
        </is>
      </c>
      <c r="D913" s="5" t="inlineStr">
        <is>
          <t>Pişkinlik</t>
        </is>
      </c>
      <c r="E913" s="5" t="inlineStr">
        <is>
          <t>Orta</t>
        </is>
      </c>
      <c r="F913" s="5" t="inlineStr"/>
      <c r="G913" s="6" t="inlineStr"/>
      <c r="H913" s="6" t="inlineStr">
        <is>
          <t>Vatandaş bir saniye düşündü, sonra sıraya geçti.</t>
        </is>
      </c>
      <c r="I913" s="6" t="inlineStr">
        <is>
          <t>Koridor alkışladı. Cümle bir haftada kısa video uygulamasında 'masa memur' diye yayıldı.</t>
        </is>
      </c>
      <c r="J913" s="6" t="inlineStr">
        <is>
          <t>'Masa mı? Müdürünüzü çağırın' dedi. Müdür de bir masaydı.</t>
        </is>
      </c>
      <c r="K913" s="6" t="inlineStr">
        <is>
          <t>Gerçekten birinin nesiymiş: müdürün kayınpederi. Pazartesiden itibaren arşivdesin.</t>
        </is>
      </c>
      <c r="L913" s="6" t="inlineStr"/>
      <c r="M913" s="5" t="inlineStr"/>
      <c r="N913" s="5" t="inlineStr"/>
      <c r="O913" s="6" t="inlineStr"/>
      <c r="P913" s="6" t="inlineStr"/>
      <c r="Q913" s="5" t="inlineStr"/>
      <c r="R913" s="5" t="inlineStr"/>
      <c r="S913" s="5" t="inlineStr">
        <is>
          <t>Pişkinlik</t>
        </is>
      </c>
      <c r="T913" s="5" t="inlineStr"/>
      <c r="U913" s="5" t="inlineStr"/>
      <c r="V913" s="5" t="inlineStr"/>
      <c r="W913" s="5" t="inlineStr"/>
      <c r="X913" s="5" t="inlineStr"/>
      <c r="Y913" s="5" t="inlineStr"/>
      <c r="Z913" s="6" t="inlineStr"/>
    </row>
    <row r="914">
      <c r="A914" s="5" t="inlineStr">
        <is>
          <t>mm-vatandasla-diyalog</t>
        </is>
      </c>
      <c r="B914" s="5" t="n">
        <v>3</v>
      </c>
      <c r="C914" s="6" t="inlineStr">
        <is>
          <t>Kayıp dosyayı tanı</t>
        </is>
      </c>
      <c r="D914" s="5" t="inlineStr">
        <is>
          <t>Akıl</t>
        </is>
      </c>
      <c r="E914" s="5" t="inlineStr">
        <is>
          <t>Orta</t>
        </is>
      </c>
      <c r="F914" s="5" t="inlineStr"/>
      <c r="G914" s="6" t="inlineStr"/>
      <c r="H914" s="6" t="inlineStr">
        <is>
          <t>Arşivin tam yerini hatırladın. On üç yıllık iş on üç dakikada bitti.</t>
        </is>
      </c>
      <c r="I914" s="6" t="inlineStr">
        <is>
          <t>Dosyayı buldun, işlemi bitirdin. Kim olduğunu sonunda söyledi: 'Sabırlı biri.'</t>
        </is>
      </c>
      <c r="J914" s="6" t="inlineStr">
        <is>
          <t>Arşiv taşınmış. Yeni arşiv, eski arşivin nerede olduğunu bilmiyor.</t>
        </is>
      </c>
      <c r="K914" s="6" t="inlineStr">
        <is>
          <t>'Bunu ben kaybetmiştim' dedin. Kim olduğunu bu kez söyledi: avukat.</t>
        </is>
      </c>
      <c r="L914" s="6" t="inlineStr"/>
      <c r="M914" s="5" t="inlineStr"/>
      <c r="N914" s="5" t="inlineStr"/>
      <c r="O914" s="6" t="inlineStr"/>
      <c r="P914" s="6" t="inlineStr"/>
      <c r="Q914" s="5" t="inlineStr"/>
      <c r="R914" s="5" t="inlineStr">
        <is>
          <t>memur-kayip-dosya</t>
        </is>
      </c>
      <c r="S914" s="5" t="inlineStr"/>
      <c r="T914" s="5" t="inlineStr"/>
      <c r="U914" s="5" t="inlineStr"/>
      <c r="V914" s="5" t="inlineStr"/>
      <c r="W914" s="5" t="inlineStr"/>
      <c r="X914" s="5" t="inlineStr"/>
      <c r="Y914" s="5" t="inlineStr"/>
      <c r="Z914" s="6" t="inlineStr"/>
    </row>
    <row r="915">
      <c r="A915" s="5" t="inlineStr">
        <is>
          <t>mm-vatandasla-diyalog</t>
        </is>
      </c>
      <c r="B915" s="5" t="n">
        <v>4</v>
      </c>
      <c r="C915" s="6" t="inlineStr">
        <is>
          <t>Kibarca sıraya yönlendir</t>
        </is>
      </c>
      <c r="D915" s="5" t="inlineStr">
        <is>
          <t>Cesaret</t>
        </is>
      </c>
      <c r="E915" s="5" t="inlineStr">
        <is>
          <t>Kolay</t>
        </is>
      </c>
      <c r="F915" s="5" t="inlineStr"/>
      <c r="G915" s="6" t="inlineStr"/>
      <c r="H915" s="6" t="inlineStr">
        <is>
          <t>Sıra numarası verdin. Vatandaş kim olduğunu sıra numarasıyla öğrendi: 47.</t>
        </is>
      </c>
      <c r="I915" s="6" t="inlineStr">
        <is>
          <t>Öyle sakin söyledin ki arkadaki herkes de sıraya geçti. Koridorda ilk kez düzen var.</t>
        </is>
      </c>
      <c r="J915" s="6" t="inlineStr">
        <is>
          <t>Sıraya geçti; üç dakika sonra yine masadaydı. 'Bir şey soracağım sadece.'</t>
        </is>
      </c>
      <c r="K915" s="6" t="inlineStr">
        <is>
          <t>Sıraya yönlendirdin; sıranın başındaki kişi onun kim olduğunu biliyormuş. Herkes ona yer verdi.</t>
        </is>
      </c>
      <c r="L915" s="6" t="inlineStr"/>
      <c r="M915" s="5" t="inlineStr"/>
      <c r="N915" s="5" t="inlineStr"/>
      <c r="O915" s="6" t="inlineStr"/>
      <c r="P915" s="6" t="inlineStr"/>
      <c r="Q915" s="5" t="inlineStr"/>
      <c r="R915" s="5" t="inlineStr"/>
      <c r="S915" s="5" t="inlineStr"/>
      <c r="T915" s="5" t="inlineStr"/>
      <c r="U915" s="5" t="inlineStr"/>
      <c r="V915" s="5" t="inlineStr"/>
      <c r="W915" s="5" t="inlineStr"/>
      <c r="X915" s="5" t="inlineStr"/>
      <c r="Y915" s="5" t="inlineStr"/>
      <c r="Z915" s="6" t="inlineStr"/>
    </row>
    <row r="916">
      <c r="A916" s="5" t="inlineStr">
        <is>
          <t>b8-yeni-hobi</t>
        </is>
      </c>
      <c r="B916" s="5" t="n">
        <v>1</v>
      </c>
      <c r="C916" s="6" t="inlineStr">
        <is>
          <t>Ekşi maya besle</t>
        </is>
      </c>
      <c r="D916" s="5" t="inlineStr"/>
      <c r="E916" s="5" t="inlineStr"/>
      <c r="F916" s="5" t="inlineStr">
        <is>
          <t>Vicdan +1, Dayanıklılık +1</t>
        </is>
      </c>
      <c r="G916" s="6" t="inlineStr">
        <is>
          <t>Mayaya bir isim verdin. Artık haftada iki kez ona bakıyorsun; o sana hiç bakmıyor.</t>
        </is>
      </c>
      <c r="H916" s="6" t="inlineStr"/>
      <c r="I916" s="6" t="inlineStr"/>
      <c r="J916" s="6" t="inlineStr"/>
      <c r="K916" s="6" t="inlineStr"/>
      <c r="L916" s="6" t="inlineStr"/>
      <c r="M916" s="5" t="inlineStr"/>
      <c r="N916" s="5" t="inlineStr"/>
      <c r="O916" s="6" t="inlineStr"/>
      <c r="P916" s="6" t="inlineStr"/>
      <c r="Q916" s="5" t="inlineStr"/>
      <c r="R916" s="5" t="inlineStr"/>
      <c r="S916" s="5" t="inlineStr"/>
      <c r="T916" s="5" t="inlineStr"/>
      <c r="U916" s="5" t="inlineStr"/>
      <c r="V916" s="5" t="inlineStr"/>
      <c r="W916" s="5" t="inlineStr"/>
      <c r="X916" s="5" t="inlineStr"/>
      <c r="Y916" s="5" t="inlineStr"/>
      <c r="Z916" s="6" t="inlineStr"/>
    </row>
    <row r="917">
      <c r="A917" s="5" t="inlineStr">
        <is>
          <t>b8-yeni-hobi</t>
        </is>
      </c>
      <c r="B917" s="5" t="n">
        <v>2</v>
      </c>
      <c r="C917" s="6" t="inlineStr">
        <is>
          <t>Bağlama kursuna yazıl</t>
        </is>
      </c>
      <c r="D917" s="5" t="inlineStr">
        <is>
          <t>Dayanıklılık</t>
        </is>
      </c>
      <c r="E917" s="5" t="inlineStr">
        <is>
          <t>Orta</t>
        </is>
      </c>
      <c r="F917" s="5" t="inlineStr"/>
      <c r="G917" s="6" t="inlineStr"/>
      <c r="H917" s="6" t="inlineStr">
        <is>
          <t>Üç ayda iki türkü çaldın. Komşular birini ezberledi.</t>
        </is>
      </c>
      <c r="I917" s="6" t="inlineStr">
        <is>
          <t>Kurs sonu konserinde solo verdin. Salonda iki kişi ağladı; biri duygulandığı için.</t>
        </is>
      </c>
      <c r="J917" s="6" t="inlineStr">
        <is>
          <t>Parmaklar tele alışmadı. Bağlama duvarda, dekorasyon olarak çalıyor.</t>
        </is>
      </c>
      <c r="K917" s="6" t="inlineStr">
        <is>
          <t>Evde prova yaptın; site yönetiminden ikinci uyarı yazısı geldi.</t>
        </is>
      </c>
      <c r="L917" s="6" t="inlineStr"/>
      <c r="M917" s="5" t="inlineStr"/>
      <c r="N917" s="5" t="inlineStr"/>
      <c r="O917" s="6" t="inlineStr"/>
      <c r="P917" s="6" t="inlineStr"/>
      <c r="Q917" s="5" t="inlineStr"/>
      <c r="R917" s="5" t="inlineStr"/>
      <c r="S917" s="5" t="inlineStr"/>
      <c r="T917" s="5" t="inlineStr"/>
      <c r="U917" s="5" t="inlineStr"/>
      <c r="V917" s="5" t="inlineStr"/>
      <c r="W917" s="5" t="inlineStr"/>
      <c r="X917" s="5" t="inlineStr"/>
      <c r="Y917" s="5" t="inlineStr"/>
      <c r="Z917" s="6" t="inlineStr"/>
    </row>
    <row r="918">
      <c r="A918" s="5" t="inlineStr">
        <is>
          <t>b8-yeni-hobi</t>
        </is>
      </c>
      <c r="B918" s="5" t="n">
        <v>3</v>
      </c>
      <c r="C918" s="6" t="inlineStr">
        <is>
          <t>Yamaç paraşütüne başla</t>
        </is>
      </c>
      <c r="D918" s="5" t="inlineStr">
        <is>
          <t>Cesaret</t>
        </is>
      </c>
      <c r="E918" s="5" t="inlineStr">
        <is>
          <t>Zor</t>
        </is>
      </c>
      <c r="F918" s="5" t="inlineStr"/>
      <c r="G918" s="6" t="inlineStr"/>
      <c r="H918" s="6" t="inlineStr">
        <is>
          <t>Atladın, süzüldün, indin. Yerdekilere el salladın; ipi bırakmadan.</t>
        </is>
      </c>
      <c r="I918" s="6" t="inlineStr">
        <is>
          <t>Sabah rüzgârında yarım saat süzüldün. Aşağıdaki kasaba seni reklam balonu sandı.</t>
        </is>
      </c>
      <c r="J918" s="6" t="inlineStr">
        <is>
          <t>Tepeye çıktın, aşağı baktın, geri indin. Yürüyüş olarak kaydedildi.</t>
        </is>
      </c>
      <c r="K918" s="6" t="inlineStr">
        <is>
          <t>Bir seranın çatısına indin. O seranın domatesleri artık senin hikâyeni anlatıyor.</t>
        </is>
      </c>
      <c r="L918" s="6" t="inlineStr"/>
      <c r="M918" s="5" t="inlineStr"/>
      <c r="N918" s="5" t="inlineStr"/>
      <c r="O918" s="6" t="inlineStr"/>
      <c r="P918" s="6" t="inlineStr"/>
      <c r="Q918" s="5" t="inlineStr"/>
      <c r="R918" s="5" t="inlineStr"/>
      <c r="S918" s="5" t="inlineStr"/>
      <c r="T918" s="5" t="inlineStr"/>
      <c r="U918" s="5" t="inlineStr"/>
      <c r="V918" s="5" t="inlineStr"/>
      <c r="W918" s="5" t="inlineStr"/>
      <c r="X918" s="5" t="inlineStr"/>
      <c r="Y918" s="5" t="n">
        <v>3</v>
      </c>
      <c r="Z918" s="6" t="inlineStr">
        <is>
          <t>Yamaç paraşütü eğitiminde, eğitmen 'Şimdi' demeden atlarken. Eğitmen 'Şimdi değil' diyordu.</t>
        </is>
      </c>
    </row>
    <row r="919">
      <c r="A919" s="5" t="inlineStr">
        <is>
          <t>b8-yeni-hobi</t>
        </is>
      </c>
      <c r="B919" s="5" t="n">
        <v>4</v>
      </c>
      <c r="C919" s="6" t="inlineStr">
        <is>
          <t>Kamera uçurmaya başla</t>
        </is>
      </c>
      <c r="D919" s="5" t="inlineStr">
        <is>
          <t>Akıl</t>
        </is>
      </c>
      <c r="E919" s="5" t="inlineStr">
        <is>
          <t>Kolay</t>
        </is>
      </c>
      <c r="F919" s="5" t="inlineStr"/>
      <c r="G919" s="6" t="inlineStr"/>
      <c r="H919" s="6" t="inlineStr">
        <is>
          <t>Mahalleyi yukarıdan çektin. Evin çatısı sandığından da eski.</t>
        </is>
      </c>
      <c r="I919" s="6" t="inlineStr">
        <is>
          <t>Çektiğin sahil görüntüleri belediyenin tanıtım filmine girdi. Jenerikte adın, yanlış yazılmış.</t>
        </is>
      </c>
      <c r="J919" s="6" t="inlineStr">
        <is>
          <t>Uçan kamera bir ağaca kondu. Artık bir kuş gözlemevi.</t>
        </is>
      </c>
      <c r="K919" s="6" t="inlineStr">
        <is>
          <t>Uçan kamera komşunun balkonuna indi. Komşu kamerayı iade etti; bir dilekçeyle.</t>
        </is>
      </c>
      <c r="L919" s="6" t="inlineStr"/>
      <c r="M919" s="5" t="inlineStr"/>
      <c r="N919" s="5" t="inlineStr"/>
      <c r="O919" s="6" t="inlineStr"/>
      <c r="P919" s="6" t="inlineStr"/>
      <c r="Q919" s="5" t="inlineStr">
        <is>
          <t>Teknoloji Merakı</t>
        </is>
      </c>
      <c r="R919" s="5" t="inlineStr"/>
      <c r="S919" s="5" t="inlineStr"/>
      <c r="T919" s="5" t="inlineStr"/>
      <c r="U919" s="5" t="inlineStr"/>
      <c r="V919" s="5" t="inlineStr"/>
      <c r="W919" s="5" t="inlineStr"/>
      <c r="X919" s="5" t="inlineStr"/>
      <c r="Y919" s="5" t="inlineStr"/>
      <c r="Z919" s="6" t="inlineStr"/>
    </row>
    <row r="920">
      <c r="A920" s="5" t="inlineStr">
        <is>
          <t>b8-maraton</t>
        </is>
      </c>
      <c r="B920" s="5" t="n">
        <v>1</v>
      </c>
      <c r="C920" s="6" t="inlineStr">
        <is>
          <t>Kendi temponda bitir</t>
        </is>
      </c>
      <c r="D920" s="5" t="inlineStr"/>
      <c r="E920" s="5" t="inlineStr"/>
      <c r="F920" s="5" t="inlineStr">
        <is>
          <t>Dayanıklılık +2</t>
        </is>
      </c>
      <c r="G920" s="6" t="inlineStr">
        <is>
          <t>Beş saat on dört dakika. Son düzlükte bir çocuk seni alkışladı; beş saatin tamamına değdi.</t>
        </is>
      </c>
      <c r="H920" s="6" t="inlineStr"/>
      <c r="I920" s="6" t="inlineStr"/>
      <c r="J920" s="6" t="inlineStr"/>
      <c r="K920" s="6" t="inlineStr"/>
      <c r="L920" s="6" t="inlineStr"/>
      <c r="M920" s="5" t="inlineStr"/>
      <c r="N920" s="5" t="inlineStr"/>
      <c r="O920" s="6" t="inlineStr"/>
      <c r="P920" s="6" t="inlineStr"/>
      <c r="Q920" s="5" t="inlineStr"/>
      <c r="R920" s="5" t="inlineStr"/>
      <c r="S920" s="5" t="inlineStr"/>
      <c r="T920" s="5" t="inlineStr"/>
      <c r="U920" s="5" t="inlineStr">
        <is>
          <t>maratoncu</t>
        </is>
      </c>
      <c r="V920" s="5" t="inlineStr"/>
      <c r="W920" s="5" t="inlineStr"/>
      <c r="X920" s="5" t="inlineStr"/>
      <c r="Y920" s="5" t="inlineStr"/>
      <c r="Z920" s="6" t="inlineStr"/>
    </row>
    <row r="921">
      <c r="A921" s="5" t="inlineStr">
        <is>
          <t>b8-maraton</t>
        </is>
      </c>
      <c r="B921" s="5" t="n">
        <v>2</v>
      </c>
      <c r="C921" s="6" t="inlineStr">
        <is>
          <t>Son kilometrede depara kalk</t>
        </is>
      </c>
      <c r="D921" s="5" t="inlineStr">
        <is>
          <t>Dayanıklılık</t>
        </is>
      </c>
      <c r="E921" s="5" t="inlineStr">
        <is>
          <t>Zor</t>
        </is>
      </c>
      <c r="F921" s="5" t="inlineStr"/>
      <c r="G921" s="6" t="inlineStr"/>
      <c r="H921" s="6" t="inlineStr">
        <is>
          <t>Son kilometrede on iki kişiyi geçtin. Fotoğrafçı seni tam o anda çekti; gözlerin kapalıydı.</t>
        </is>
      </c>
      <c r="I921" s="6" t="inlineStr">
        <is>
          <t>Finiş çizgisine kollarını açarak girdin. O fotoğraf artık bilgisayarının arka planı.</t>
        </is>
      </c>
      <c r="J921" s="6" t="inlineStr">
        <is>
          <t>Depara kalktın; bacakların kalkmadı. Son kilometre yürüyerek tamamlandı.</t>
        </is>
      </c>
      <c r="K921" s="6" t="inlineStr">
        <is>
          <t>Sponsor standına daldın. İçecek piramidi yıkıldı; görüntüler sponsorun yeni reklamında.</t>
        </is>
      </c>
      <c r="L921" s="6" t="inlineStr">
        <is>
          <t>Yarı yolda kramp girdi. Finişe topallayarak ve alkışlar eşliğinde vardın.</t>
        </is>
      </c>
      <c r="M921" s="5" t="inlineStr">
        <is>
          <t>race</t>
        </is>
      </c>
      <c r="N921" s="5" t="inlineStr">
        <is>
          <t>Son Kilometre</t>
        </is>
      </c>
      <c r="O921" s="6" t="inlineStr">
        <is>
          <t>Beş saniye. Ekrana hızla dokun; sponsor standına değil, finişe koş.</t>
        </is>
      </c>
      <c r="P921" s="6" t="inlineStr"/>
      <c r="Q921" s="5" t="inlineStr"/>
      <c r="R921" s="5" t="inlineStr"/>
      <c r="S921" s="5" t="inlineStr"/>
      <c r="T921" s="5" t="inlineStr">
        <is>
          <t>Kolay Dağılmaz</t>
        </is>
      </c>
      <c r="U921" s="5" t="inlineStr"/>
      <c r="V921" s="5" t="inlineStr">
        <is>
          <t>maratoncu</t>
        </is>
      </c>
      <c r="W921" s="5" t="inlineStr"/>
      <c r="X921" s="5" t="inlineStr"/>
      <c r="Y921" s="5" t="n">
        <v>4</v>
      </c>
      <c r="Z921" s="6" t="inlineStr">
        <is>
          <t>Maratonun son kilometresinde sponsor standına dalarken. Madalyası kargoyla gönderildi.</t>
        </is>
      </c>
    </row>
    <row r="922">
      <c r="A922" s="5" t="inlineStr">
        <is>
          <t>b8-maraton</t>
        </is>
      </c>
      <c r="B922" s="5" t="n">
        <v>3</v>
      </c>
      <c r="C922" s="6" t="inlineStr">
        <is>
          <t>Rotada kestirme bul</t>
        </is>
      </c>
      <c r="D922" s="5" t="inlineStr">
        <is>
          <t>Kurnazlık</t>
        </is>
      </c>
      <c r="E922" s="5" t="inlineStr">
        <is>
          <t>Orta</t>
        </is>
      </c>
      <c r="F922" s="5" t="inlineStr"/>
      <c r="G922" s="6" t="inlineStr"/>
      <c r="H922" s="6" t="inlineStr">
        <is>
          <t>Kestirmeden yirmi dakika kazandın. Madalya aynı madalya; vicdan ayrı dosya.</t>
        </is>
      </c>
      <c r="I922" s="6" t="inlineStr">
        <is>
          <t>Kestirmeden çıktığında kamera seni lider sandı. Birkaç saniye boyunca maratonun lideriydin.</t>
        </is>
      </c>
      <c r="J922" s="6" t="inlineStr">
        <is>
          <t>Kestirme bir otoparka çıktı. Otopark ücretliydi.</t>
        </is>
      </c>
      <c r="K922" s="6" t="inlineStr">
        <is>
          <t>Hakem seni gördü. Diskalifiye edildin ve bir sertifika aldın: 'Katılımınız için teşekkür ederiz.'</t>
        </is>
      </c>
      <c r="L922" s="6" t="inlineStr"/>
      <c r="M922" s="5" t="inlineStr"/>
      <c r="N922" s="5" t="inlineStr"/>
      <c r="O922" s="6" t="inlineStr"/>
      <c r="P922" s="6" t="inlineStr"/>
      <c r="Q922" s="5" t="inlineStr"/>
      <c r="R922" s="5" t="inlineStr"/>
      <c r="S922" s="5" t="inlineStr"/>
      <c r="T922" s="5" t="inlineStr"/>
      <c r="U922" s="5" t="inlineStr"/>
      <c r="V922" s="5" t="inlineStr"/>
      <c r="W922" s="5" t="inlineStr"/>
      <c r="X922" s="5" t="inlineStr"/>
      <c r="Y922" s="5" t="inlineStr"/>
      <c r="Z922" s="6" t="inlineStr"/>
    </row>
    <row r="923">
      <c r="A923" s="5" t="inlineStr">
        <is>
          <t>b8-yeniden-egitim</t>
        </is>
      </c>
      <c r="B923" s="5" t="n">
        <v>1</v>
      </c>
      <c r="C923" s="6" t="inlineStr">
        <is>
          <t>Hafta sonu sertifika programı</t>
        </is>
      </c>
      <c r="D923" s="5" t="inlineStr"/>
      <c r="E923" s="5" t="inlineStr"/>
      <c r="F923" s="5" t="inlineStr">
        <is>
          <t>Akıl +2</t>
        </is>
      </c>
      <c r="G923" s="6" t="inlineStr">
        <is>
          <t>Sekiz hafta sonu, bir sertifika. Çerçeveletirken fark ettin: çerçeve sertifikadan pahalıydı.</t>
        </is>
      </c>
      <c r="H923" s="6" t="inlineStr"/>
      <c r="I923" s="6" t="inlineStr"/>
      <c r="J923" s="6" t="inlineStr"/>
      <c r="K923" s="6" t="inlineStr"/>
      <c r="L923" s="6" t="inlineStr"/>
      <c r="M923" s="5" t="inlineStr"/>
      <c r="N923" s="5" t="inlineStr"/>
      <c r="O923" s="6" t="inlineStr"/>
      <c r="P923" s="6" t="inlineStr"/>
      <c r="Q923" s="5" t="inlineStr"/>
      <c r="R923" s="5" t="inlineStr"/>
      <c r="S923" s="5" t="inlineStr"/>
      <c r="T923" s="5" t="inlineStr"/>
      <c r="U923" s="5" t="inlineStr"/>
      <c r="V923" s="5" t="inlineStr"/>
      <c r="W923" s="5" t="inlineStr"/>
      <c r="X923" s="5" t="inlineStr"/>
      <c r="Y923" s="5" t="inlineStr"/>
      <c r="Z923" s="6" t="inlineStr"/>
    </row>
    <row r="924">
      <c r="A924" s="5" t="inlineStr">
        <is>
          <t>b8-yeniden-egitim</t>
        </is>
      </c>
      <c r="B924" s="5" t="n">
        <v>2</v>
      </c>
      <c r="C924" s="6" t="inlineStr">
        <is>
          <t>Tamamen yeni bir mesleğe geç</t>
        </is>
      </c>
      <c r="D924" s="5" t="inlineStr">
        <is>
          <t>Cesaret</t>
        </is>
      </c>
      <c r="E924" s="5" t="inlineStr">
        <is>
          <t>Zor</t>
        </is>
      </c>
      <c r="F924" s="5" t="inlineStr"/>
      <c r="G924" s="6" t="inlineStr"/>
      <c r="H924" s="6" t="inlineStr">
        <is>
          <t>İstifa ettin, yeni mesleğe başladın. İlk maaş eskisinin yarısı; ilk sabahki yüzün eskisinin iki katı.</t>
        </is>
      </c>
      <c r="I924" s="6" t="inlineStr">
        <is>
          <t>Bir yılda uzmanlaştın. Eski patronun seni danışman olarak geri çağırdı; iki katı ücretle.</t>
        </is>
      </c>
      <c r="J924" s="6" t="inlineStr">
        <is>
          <t>Üç ay denedin, eski işine döndün. Masan boşaltılmamıştı; kimse fark etmemişti.</t>
        </is>
      </c>
      <c r="K924" s="6" t="inlineStr">
        <is>
          <t>İstifa ettin; kurs iptal edildi. Özgeçmişinin en ilginç kısmı artık bu altı ay.</t>
        </is>
      </c>
      <c r="L924" s="6" t="inlineStr"/>
      <c r="M924" s="5" t="inlineStr"/>
      <c r="N924" s="5" t="inlineStr"/>
      <c r="O924" s="6" t="inlineStr"/>
      <c r="P924" s="6" t="inlineStr"/>
      <c r="Q924" s="5" t="inlineStr"/>
      <c r="R924" s="5" t="inlineStr"/>
      <c r="S924" s="5" t="inlineStr"/>
      <c r="T924" s="5" t="inlineStr">
        <is>
          <t>Geri Adım Atmaz</t>
        </is>
      </c>
      <c r="U924" s="5" t="inlineStr"/>
      <c r="V924" s="5" t="inlineStr">
        <is>
          <t>kariyer-degisti</t>
        </is>
      </c>
      <c r="W924" s="5" t="inlineStr"/>
      <c r="X924" s="5" t="inlineStr"/>
      <c r="Y924" s="5" t="inlineStr"/>
      <c r="Z924" s="6" t="inlineStr"/>
    </row>
    <row r="925">
      <c r="A925" s="5" t="inlineStr">
        <is>
          <t>b8-yeniden-egitim</t>
        </is>
      </c>
      <c r="B925" s="5" t="n">
        <v>3</v>
      </c>
      <c r="C925" s="6" t="inlineStr">
        <is>
          <t>En ön sıraya otur</t>
        </is>
      </c>
      <c r="D925" s="5" t="inlineStr">
        <is>
          <t>Cesaret</t>
        </is>
      </c>
      <c r="E925" s="5" t="inlineStr">
        <is>
          <t>Orta</t>
        </is>
      </c>
      <c r="F925" s="5" t="inlineStr"/>
      <c r="G925" s="6" t="inlineStr"/>
      <c r="H925" s="6" t="inlineStr">
        <is>
          <t>En ön sırada oturdun, her soruya cevap verdin. Sınıf seni 'kurtarıcı' ilan etti.</t>
        </is>
      </c>
      <c r="I925" s="6" t="inlineStr">
        <is>
          <t>Hoca seni asistan sandı. Dönem sonunda ciddi ciddi asistanlık teklif etti.</t>
        </is>
      </c>
      <c r="J925" s="6" t="inlineStr">
        <is>
          <t>En ön sırada uyuyakaldın. Hoca uyandırmadı; saygıdan.</t>
        </is>
      </c>
      <c r="K925" s="6" t="inlineStr">
        <is>
          <t>Her soruya 'Bizim zamanımızda' diye başladın. Sınıfta kısaltması var: 'BZ'.</t>
        </is>
      </c>
      <c r="L925" s="6" t="inlineStr"/>
      <c r="M925" s="5" t="inlineStr"/>
      <c r="N925" s="5" t="inlineStr"/>
      <c r="O925" s="6" t="inlineStr"/>
      <c r="P925" s="6" t="inlineStr"/>
      <c r="Q925" s="5" t="inlineStr"/>
      <c r="R925" s="5" t="inlineStr"/>
      <c r="S925" s="5" t="inlineStr">
        <is>
          <t>Cesaret</t>
        </is>
      </c>
      <c r="T925" s="5" t="inlineStr"/>
      <c r="U925" s="5" t="inlineStr"/>
      <c r="V925" s="5" t="inlineStr"/>
      <c r="W925" s="5" t="inlineStr"/>
      <c r="X925" s="5" t="inlineStr"/>
      <c r="Y925" s="5" t="inlineStr"/>
      <c r="Z925" s="6" t="inlineStr"/>
    </row>
    <row r="926">
      <c r="A926" s="5" t="inlineStr">
        <is>
          <t>b8-yeniden-egitim</t>
        </is>
      </c>
      <c r="B926" s="5" t="n">
        <v>4</v>
      </c>
      <c r="C926" s="6" t="inlineStr">
        <is>
          <t>Kurumdan eğitim izni iste</t>
        </is>
      </c>
      <c r="D926" s="5" t="inlineStr">
        <is>
          <t>Çene</t>
        </is>
      </c>
      <c r="E926" s="5" t="inlineStr">
        <is>
          <t>Kolay</t>
        </is>
      </c>
      <c r="F926" s="5" t="inlineStr"/>
      <c r="G926" s="6" t="inlineStr"/>
      <c r="H926" s="6" t="inlineStr">
        <is>
          <t>Dilekçeni verdin; dört imzadan geçti. İzin onaylandı, kurs bitti, imza süreci sürüyor.</t>
        </is>
      </c>
      <c r="I926" s="6" t="inlineStr">
        <is>
          <t>Dilekçen o kadar usule uygundu ki örnek dilekçe olarak bütün birimlere dağıtıldı.</t>
        </is>
      </c>
      <c r="J926" s="6" t="inlineStr">
        <is>
          <t>Dilekçe 'üst yazı eksik' gerekçesiyle iade edildi. Üst yazının üst yazısı isteniyor.</t>
        </is>
      </c>
      <c r="K926" s="6" t="inlineStr">
        <is>
          <t>İzin çıktı; kursun bittiği gün. Kurumun eğitim raporunda başarı örneği olarak yer aldın.</t>
        </is>
      </c>
      <c r="L926" s="6" t="inlineStr"/>
      <c r="M926" s="5" t="inlineStr"/>
      <c r="N926" s="5" t="inlineStr"/>
      <c r="O926" s="6" t="inlineStr"/>
      <c r="P926" s="6" t="inlineStr"/>
      <c r="Q926" s="5" t="inlineStr"/>
      <c r="R926" s="5" t="inlineStr">
        <is>
          <t>meslek-memur</t>
        </is>
      </c>
      <c r="S926" s="5" t="inlineStr"/>
      <c r="T926" s="5" t="inlineStr"/>
      <c r="U926" s="5" t="inlineStr"/>
      <c r="V926" s="5" t="inlineStr"/>
      <c r="W926" s="5" t="inlineStr"/>
      <c r="X926" s="5" t="inlineStr"/>
      <c r="Y926" s="5" t="inlineStr"/>
      <c r="Z926" s="6" t="inlineStr"/>
    </row>
    <row r="927">
      <c r="A927" s="5" t="inlineStr">
        <is>
          <t>b8-yazlik</t>
        </is>
      </c>
      <c r="B927" s="5" t="n">
        <v>1</v>
      </c>
      <c r="C927" s="6" t="inlineStr">
        <is>
          <t>Kiralık yazlıkla devam et</t>
        </is>
      </c>
      <c r="D927" s="5" t="inlineStr"/>
      <c r="E927" s="5" t="inlineStr"/>
      <c r="F927" s="5" t="inlineStr">
        <is>
          <t>Akıl +1, Kurnazlık +1</t>
        </is>
      </c>
      <c r="G927" s="6" t="inlineStr">
        <is>
          <t>Kiraya devam ettin. Her yıl başka bir ev; başka birinin çatı sorunu.</t>
        </is>
      </c>
      <c r="H927" s="6" t="inlineStr"/>
      <c r="I927" s="6" t="inlineStr"/>
      <c r="J927" s="6" t="inlineStr"/>
      <c r="K927" s="6" t="inlineStr"/>
      <c r="L927" s="6" t="inlineStr"/>
      <c r="M927" s="5" t="inlineStr"/>
      <c r="N927" s="5" t="inlineStr"/>
      <c r="O927" s="6" t="inlineStr"/>
      <c r="P927" s="6" t="inlineStr"/>
      <c r="Q927" s="5" t="inlineStr"/>
      <c r="R927" s="5" t="inlineStr"/>
      <c r="S927" s="5" t="inlineStr"/>
      <c r="T927" s="5" t="inlineStr"/>
      <c r="U927" s="5" t="inlineStr"/>
      <c r="V927" s="5" t="inlineStr"/>
      <c r="W927" s="5" t="inlineStr"/>
      <c r="X927" s="5" t="inlineStr"/>
      <c r="Y927" s="5" t="inlineStr"/>
      <c r="Z927" s="6" t="inlineStr"/>
    </row>
    <row r="928">
      <c r="A928" s="5" t="inlineStr">
        <is>
          <t>b8-yazlik</t>
        </is>
      </c>
      <c r="B928" s="5" t="n">
        <v>2</v>
      </c>
      <c r="C928" s="6" t="inlineStr">
        <is>
          <t>Pazarlık et, al</t>
        </is>
      </c>
      <c r="D928" s="5" t="inlineStr">
        <is>
          <t>Çene</t>
        </is>
      </c>
      <c r="E928" s="5" t="inlineStr">
        <is>
          <t>Orta</t>
        </is>
      </c>
      <c r="F928" s="5" t="inlineStr"/>
      <c r="G928" s="6" t="inlineStr"/>
      <c r="H928" s="6" t="inlineStr">
        <is>
          <t>Yazlığı aldın. İlk yaz bütün akrabalar ziyarete geldi; sen salonda yattın.</t>
        </is>
      </c>
      <c r="I928" s="6" t="inlineStr">
        <is>
          <t>Aldın; bahçedeki incir ağacı da tapuya dahilmiş. Yazlık değer kazandı, incir de.</t>
        </is>
      </c>
      <c r="J928" s="6" t="inlineStr">
        <is>
          <t>Aldın; denize yürüme mesafesi kırk dakikaymış. Sen yürüyorsun; deniz yürümüyor.</t>
        </is>
      </c>
      <c r="K928" s="6" t="inlineStr">
        <is>
          <t>Aldın; ilk kış çatı aktı. İkinci kış da. Yazlık artık yazın da su alıyor.</t>
        </is>
      </c>
      <c r="L928" s="6" t="inlineStr"/>
      <c r="M928" s="5" t="inlineStr"/>
      <c r="N928" s="5" t="inlineStr"/>
      <c r="O928" s="6" t="inlineStr"/>
      <c r="P928" s="6" t="inlineStr"/>
      <c r="Q928" s="5" t="inlineStr"/>
      <c r="R928" s="5" t="inlineStr"/>
      <c r="S928" s="5" t="inlineStr"/>
      <c r="T928" s="5" t="inlineStr"/>
      <c r="U928" s="5" t="inlineStr"/>
      <c r="V928" s="5" t="inlineStr">
        <is>
          <t>yazlikci</t>
        </is>
      </c>
      <c r="W928" s="5" t="inlineStr"/>
      <c r="X928" s="5" t="inlineStr"/>
      <c r="Y928" s="5" t="inlineStr"/>
      <c r="Z928" s="6" t="inlineStr"/>
    </row>
    <row r="929">
      <c r="A929" s="5" t="inlineStr">
        <is>
          <t>b8-yazlik</t>
        </is>
      </c>
      <c r="B929" s="5" t="n">
        <v>3</v>
      </c>
      <c r="C929" s="6" t="inlineStr">
        <is>
          <t>Al ve çatıyı kendin onar</t>
        </is>
      </c>
      <c r="D929" s="5" t="inlineStr">
        <is>
          <t>Dayanıklılık</t>
        </is>
      </c>
      <c r="E929" s="5" t="inlineStr">
        <is>
          <t>Zor</t>
        </is>
      </c>
      <c r="F929" s="5" t="inlineStr"/>
      <c r="G929" s="6" t="inlineStr"/>
      <c r="H929" s="6" t="inlineStr">
        <is>
          <t>Çatıyı onardın. Ustaya gidecek para cebinde, güneş yanığı sırtında.</t>
        </is>
      </c>
      <c r="I929" s="6" t="inlineStr">
        <is>
          <t>Çatıyı onardın, üstüne güneş paneli de taktın. Komşular seni müteahhit sanıyor.</t>
        </is>
      </c>
      <c r="J929" s="6" t="inlineStr">
        <is>
          <t>Bir kiremit düşürdün, indin. Usta çağrıldı; kiremit ayrıca faturalandı.</t>
        </is>
      </c>
      <c r="K929" s="6" t="inlineStr">
        <is>
          <t>Onardın; yağmur bu kez salondan değil, yatak odasından girdi. Tamir değil, yönlendirme yapılmıştı.</t>
        </is>
      </c>
      <c r="L929" s="6" t="inlineStr"/>
      <c r="M929" s="5" t="inlineStr"/>
      <c r="N929" s="5" t="inlineStr"/>
      <c r="O929" s="6" t="inlineStr"/>
      <c r="P929" s="6" t="inlineStr"/>
      <c r="Q929" s="5" t="inlineStr"/>
      <c r="R929" s="5" t="inlineStr"/>
      <c r="S929" s="5" t="inlineStr"/>
      <c r="T929" s="5" t="inlineStr"/>
      <c r="U929" s="5" t="inlineStr"/>
      <c r="V929" s="5" t="inlineStr">
        <is>
          <t>yazlikci</t>
        </is>
      </c>
      <c r="W929" s="5" t="inlineStr"/>
      <c r="X929" s="5" t="inlineStr"/>
      <c r="Y929" s="5" t="n">
        <v>5</v>
      </c>
      <c r="Z929" s="6" t="inlineStr">
        <is>
          <t>Yazlığın çatısını ustaya para vermemek için kendi tamir ederken. Usta hâlâ 'Ben demiştim' diyor.</t>
        </is>
      </c>
    </row>
    <row r="930">
      <c r="A930" s="5" t="inlineStr">
        <is>
          <t>b8-yazlik</t>
        </is>
      </c>
      <c r="B930" s="5" t="n">
        <v>4</v>
      </c>
      <c r="C930" s="6" t="inlineStr">
        <is>
          <t>Şehirdeki evi kiraya ver, yazlığa taşın</t>
        </is>
      </c>
      <c r="D930" s="5" t="inlineStr">
        <is>
          <t>Kurnazlık</t>
        </is>
      </c>
      <c r="E930" s="5" t="inlineStr">
        <is>
          <t>Orta</t>
        </is>
      </c>
      <c r="F930" s="5" t="inlineStr"/>
      <c r="G930" s="6" t="inlineStr"/>
      <c r="H930" s="6" t="inlineStr">
        <is>
          <t>Kira geliri yazlığın taksidini karşılıyor. Denize kırk dakika, patrona dört saat uzaktasın.</t>
        </is>
      </c>
      <c r="I930" s="6" t="inlineStr">
        <is>
          <t>Uzaktan çalışmaya geçtin. Toplantılara deniz manzarasıyla katılıyorsun; iş arkadaşları kamerayı kapattı.</t>
        </is>
      </c>
      <c r="J930" s="6" t="inlineStr">
        <is>
          <t>Kiracı ilk ay kombiyi bozdu. Şimdi iki evin sorunu da senin.</t>
        </is>
      </c>
      <c r="K930" s="6" t="inlineStr">
        <is>
          <t>Kış geldi. Kasabada sen, iki kedi ve kapalı bir bakkal kaldınız.</t>
        </is>
      </c>
      <c r="L930" s="6" t="inlineStr"/>
      <c r="M930" s="5" t="inlineStr"/>
      <c r="N930" s="5" t="inlineStr"/>
      <c r="O930" s="6" t="inlineStr"/>
      <c r="P930" s="6" t="inlineStr"/>
      <c r="Q930" s="5" t="inlineStr"/>
      <c r="R930" s="5" t="inlineStr">
        <is>
          <t>ev-sahibi</t>
        </is>
      </c>
      <c r="S930" s="5" t="inlineStr"/>
      <c r="T930" s="5" t="inlineStr"/>
      <c r="U930" s="5" t="inlineStr"/>
      <c r="V930" s="5" t="inlineStr">
        <is>
          <t>yazlikci</t>
        </is>
      </c>
      <c r="W930" s="5" t="inlineStr"/>
      <c r="X930" s="5" t="inlineStr"/>
      <c r="Y930" s="5" t="inlineStr"/>
      <c r="Z930" s="6" t="inlineStr"/>
    </row>
    <row r="931">
      <c r="A931" s="5" t="inlineStr">
        <is>
          <t>b8-ilac-kutusu</t>
        </is>
      </c>
      <c r="B931" s="5" t="n">
        <v>1</v>
      </c>
      <c r="C931" s="6" t="inlineStr">
        <is>
          <t>Her sabah telefonla hatırlat</t>
        </is>
      </c>
      <c r="D931" s="5" t="inlineStr"/>
      <c r="E931" s="5" t="inlineStr"/>
      <c r="F931" s="5" t="inlineStr">
        <is>
          <t>Vicdan +2</t>
        </is>
      </c>
      <c r="G931" s="6" t="inlineStr">
        <is>
          <t>Her sabah 08.00'de aradın. Aramadığın ilk gün onlar aradı: 'İyi misin?'</t>
        </is>
      </c>
      <c r="H931" s="6" t="inlineStr"/>
      <c r="I931" s="6" t="inlineStr"/>
      <c r="J931" s="6" t="inlineStr"/>
      <c r="K931" s="6" t="inlineStr"/>
      <c r="L931" s="6" t="inlineStr"/>
      <c r="M931" s="5" t="inlineStr"/>
      <c r="N931" s="5" t="inlineStr"/>
      <c r="O931" s="6" t="inlineStr"/>
      <c r="P931" s="6" t="inlineStr"/>
      <c r="Q931" s="5" t="inlineStr"/>
      <c r="R931" s="5" t="inlineStr"/>
      <c r="S931" s="5" t="inlineStr"/>
      <c r="T931" s="5" t="inlineStr"/>
      <c r="U931" s="5" t="inlineStr"/>
      <c r="V931" s="5" t="inlineStr"/>
      <c r="W931" s="5" t="inlineStr"/>
      <c r="X931" s="5" t="inlineStr"/>
      <c r="Y931" s="5" t="inlineStr"/>
      <c r="Z931" s="6" t="inlineStr"/>
    </row>
    <row r="932">
      <c r="A932" s="5" t="inlineStr">
        <is>
          <t>b8-ilac-kutusu</t>
        </is>
      </c>
      <c r="B932" s="5" t="n">
        <v>2</v>
      </c>
      <c r="C932" s="6" t="inlineStr">
        <is>
          <t>Renkli bir tablo hazırla</t>
        </is>
      </c>
      <c r="D932" s="5" t="inlineStr">
        <is>
          <t>Akıl</t>
        </is>
      </c>
      <c r="E932" s="5" t="inlineStr">
        <is>
          <t>Orta</t>
        </is>
      </c>
      <c r="F932" s="5" t="inlineStr"/>
      <c r="G932" s="6" t="inlineStr"/>
      <c r="H932" s="6" t="inlineStr">
        <is>
          <t>Tabloyu buzdolabına astın. Babanın yorumu: 'Devlet dairesi gibi.' Övgü olarak kabul edildi.</t>
        </is>
      </c>
      <c r="I932" s="6" t="inlineStr">
        <is>
          <t>Tablon o kadar iyi ki komşular kopya istedi. Mahallenin gayriresmî ilaç koordinatörüsün.</t>
        </is>
      </c>
      <c r="J932" s="6" t="inlineStr">
        <is>
          <t>Tabloyu hazırladın; yazı çok küçük çıktı. Kimse okuyamıyor, sen dahil.</t>
        </is>
      </c>
      <c r="K932" s="6" t="inlineStr">
        <is>
          <t>Pazartesi ile perşembe gözlerini karıştırdın. Takvim o hafta iki kez başladı; neyse ki kutular daha akıllıydı.</t>
        </is>
      </c>
      <c r="L932" s="6" t="inlineStr"/>
      <c r="M932" s="5" t="inlineStr"/>
      <c r="N932" s="5" t="inlineStr"/>
      <c r="O932" s="6" t="inlineStr"/>
      <c r="P932" s="6" t="inlineStr"/>
      <c r="Q932" s="5" t="inlineStr"/>
      <c r="R932" s="5" t="inlineStr"/>
      <c r="S932" s="5" t="inlineStr"/>
      <c r="T932" s="5" t="inlineStr"/>
      <c r="U932" s="5" t="inlineStr"/>
      <c r="V932" s="5" t="inlineStr"/>
      <c r="W932" s="5" t="inlineStr"/>
      <c r="X932" s="5" t="inlineStr"/>
      <c r="Y932" s="5" t="inlineStr"/>
      <c r="Z932" s="6" t="inlineStr"/>
    </row>
    <row r="933">
      <c r="A933" s="5" t="inlineStr">
        <is>
          <t>b8-ilac-kutusu</t>
        </is>
      </c>
      <c r="B933" s="5" t="n">
        <v>3</v>
      </c>
      <c r="C933" s="6" t="inlineStr">
        <is>
          <t>Eczacıyla dost ol</t>
        </is>
      </c>
      <c r="D933" s="5" t="inlineStr">
        <is>
          <t>Çene</t>
        </is>
      </c>
      <c r="E933" s="5" t="inlineStr">
        <is>
          <t>Kolay</t>
        </is>
      </c>
      <c r="F933" s="5" t="inlineStr"/>
      <c r="G933" s="6" t="inlineStr"/>
      <c r="H933" s="6" t="inlineStr">
        <is>
          <t>Eczacı seni adınla tanıyor. Reçete yenilemesi artık sohbet eşliğinde.</t>
        </is>
      </c>
      <c r="I933" s="6" t="inlineStr">
        <is>
          <t>Eczacı hatırlatma mesajı atmaya başladı. Anne-baban artık seni değil, onu arıyor.</t>
        </is>
      </c>
      <c r="J933" s="6" t="inlineStr">
        <is>
          <t>Eczacı değişti. Yeni eczacı seni tanımıyor; ilişki sıfırdan başladı.</t>
        </is>
      </c>
      <c r="K933" s="6" t="inlineStr">
        <is>
          <t>O kadar samimi oldunuz ki doğum gününe davet edildin. Hediyeyi unuttun.</t>
        </is>
      </c>
      <c r="L933" s="6" t="inlineStr"/>
      <c r="M933" s="5" t="inlineStr"/>
      <c r="N933" s="5" t="inlineStr"/>
      <c r="O933" s="6" t="inlineStr"/>
      <c r="P933" s="6" t="inlineStr"/>
      <c r="Q933" s="5" t="inlineStr"/>
      <c r="R933" s="5" t="inlineStr"/>
      <c r="S933" s="5" t="inlineStr"/>
      <c r="T933" s="5" t="inlineStr"/>
      <c r="U933" s="5" t="inlineStr"/>
      <c r="V933" s="5" t="inlineStr"/>
      <c r="W933" s="5" t="inlineStr"/>
      <c r="X933" s="5" t="inlineStr"/>
      <c r="Y933" s="5" t="inlineStr"/>
      <c r="Z933" s="6" t="inlineStr"/>
    </row>
    <row r="934">
      <c r="A934" s="5" t="inlineStr">
        <is>
          <t>b8-ilac-kutusu</t>
        </is>
      </c>
      <c r="B934" s="5" t="n">
        <v>4</v>
      </c>
      <c r="C934" s="6" t="inlineStr">
        <is>
          <t>Kardeşlerle nöbet çizelgesi yap</t>
        </is>
      </c>
      <c r="D934" s="5" t="inlineStr">
        <is>
          <t>Sosyal Radar</t>
        </is>
      </c>
      <c r="E934" s="5" t="inlineStr">
        <is>
          <t>Orta</t>
        </is>
      </c>
      <c r="F934" s="5" t="inlineStr"/>
      <c r="G934" s="6" t="inlineStr"/>
      <c r="H934" s="6" t="inlineStr">
        <is>
          <t>Herkes haftasını aldı. Bayram haftası hâlâ sahipsiz.</t>
        </is>
      </c>
      <c r="I934" s="6" t="inlineStr">
        <is>
          <t>Çizelge o kadar adil çıktı ki kimse itiraz etmedi. Aile tarihinde bir ilk; tutanağa geçti.</t>
        </is>
      </c>
      <c r="J934" s="6" t="inlineStr">
        <is>
          <t>Çizelge aile grubuna gönderildi. Herkes okudu, kimse cevap vermedi. Nöbet sende.</t>
        </is>
      </c>
      <c r="K934" s="6" t="inlineStr">
        <is>
          <t>Kimseye danışmadan yaptın. Aile toplantısı yapıldı; gündemin tek maddesi sendin.</t>
        </is>
      </c>
      <c r="L934" s="6" t="inlineStr"/>
      <c r="M934" s="5" t="inlineStr"/>
      <c r="N934" s="5" t="inlineStr"/>
      <c r="O934" s="6" t="inlineStr"/>
      <c r="P934" s="6" t="inlineStr"/>
      <c r="Q934" s="5" t="inlineStr">
        <is>
          <t>Organizatör</t>
        </is>
      </c>
      <c r="R934" s="5" t="inlineStr"/>
      <c r="S934" s="5" t="inlineStr"/>
      <c r="T934" s="5" t="inlineStr"/>
      <c r="U934" s="5" t="inlineStr"/>
      <c r="V934" s="5" t="inlineStr"/>
      <c r="W934" s="5" t="inlineStr"/>
      <c r="X934" s="5" t="inlineStr"/>
      <c r="Y934" s="5" t="inlineStr"/>
      <c r="Z934" s="6" t="inlineStr"/>
    </row>
    <row r="935">
      <c r="A935" s="5" t="inlineStr">
        <is>
          <t>b8-ilac-kutusu</t>
        </is>
      </c>
      <c r="B935" s="5" t="n">
        <v>5</v>
      </c>
      <c r="C935" s="6" t="inlineStr">
        <is>
          <t>Gözlüğü tak, prospektüsleri oku</t>
        </is>
      </c>
      <c r="D935" s="5" t="inlineStr"/>
      <c r="E935" s="5" t="inlineStr"/>
      <c r="F935" s="5" t="inlineStr">
        <is>
          <t>Akıl +2</t>
        </is>
      </c>
      <c r="G935" s="6" t="inlineStr">
        <is>
          <t>Bütün prospektüsleri okudun. Artık yan etkileri ezbere biliyorsun; hiçbirinde 'evlat telaşı' yazmıyor.</t>
        </is>
      </c>
      <c r="H935" s="6" t="inlineStr"/>
      <c r="I935" s="6" t="inlineStr"/>
      <c r="J935" s="6" t="inlineStr"/>
      <c r="K935" s="6" t="inlineStr"/>
      <c r="L935" s="6" t="inlineStr"/>
      <c r="M935" s="5" t="inlineStr"/>
      <c r="N935" s="5" t="inlineStr"/>
      <c r="O935" s="6" t="inlineStr"/>
      <c r="P935" s="6" t="inlineStr"/>
      <c r="Q935" s="5" t="inlineStr"/>
      <c r="R935" s="5" t="inlineStr">
        <is>
          <t>gozluklu</t>
        </is>
      </c>
      <c r="S935" s="5" t="inlineStr"/>
      <c r="T935" s="5" t="inlineStr"/>
      <c r="U935" s="5" t="inlineStr"/>
      <c r="V935" s="5" t="inlineStr"/>
      <c r="W935" s="5" t="inlineStr"/>
      <c r="X935" s="5" t="inlineStr"/>
      <c r="Y935" s="5" t="inlineStr"/>
      <c r="Z935" s="6" t="inlineStr"/>
    </row>
    <row r="936">
      <c r="A936" s="5" t="inlineStr">
        <is>
          <t>b8-site-yoneticisi</t>
        </is>
      </c>
      <c r="B936" s="5" t="n">
        <v>1</v>
      </c>
      <c r="C936" s="6" t="inlineStr">
        <is>
          <t>Aday ol</t>
        </is>
      </c>
      <c r="D936" s="5" t="inlineStr">
        <is>
          <t>Çene</t>
        </is>
      </c>
      <c r="E936" s="5" t="inlineStr">
        <is>
          <t>Zor</t>
        </is>
      </c>
      <c r="F936" s="5" t="inlineStr"/>
      <c r="G936" s="6" t="inlineStr"/>
      <c r="H936" s="6" t="inlineStr">
        <is>
          <t>Seçildin. İlk icraatın tutanak yazmak oldu. İkincisi, tutanağı kimsenin okumadığını fark etmek.</t>
        </is>
      </c>
      <c r="I936" s="6" t="inlineStr">
        <is>
          <t>Oybirliğiyle seçildin; aidat borcu olanlar bile el kaldırdı. Tahsilata onlardan başlayacaksın.</t>
        </is>
      </c>
      <c r="J936" s="6" t="inlineStr">
        <is>
          <t>Üçüncü kattaki komşu çantasından dosyasını çıkardı. Dosyalı adaylar kazanır.</t>
        </is>
      </c>
      <c r="K936" s="6" t="inlineStr">
        <is>
          <t>Seçildin. İlk hafta asansör bozuldu, ikinci hafta kombi, üçüncü hafta sen.</t>
        </is>
      </c>
      <c r="L936" s="6" t="inlineStr"/>
      <c r="M936" s="5" t="inlineStr"/>
      <c r="N936" s="5" t="inlineStr"/>
      <c r="O936" s="6" t="inlineStr"/>
      <c r="P936" s="6" t="inlineStr"/>
      <c r="Q936" s="5" t="inlineStr"/>
      <c r="R936" s="5" t="inlineStr"/>
      <c r="S936" s="5" t="inlineStr"/>
      <c r="T936" s="5" t="inlineStr">
        <is>
          <t>Aidat Tahsildarı</t>
        </is>
      </c>
      <c r="U936" s="5" t="inlineStr"/>
      <c r="V936" s="5" t="inlineStr">
        <is>
          <t>site-yoneticisi</t>
        </is>
      </c>
      <c r="W936" s="5" t="inlineStr"/>
      <c r="X936" s="5" t="inlineStr"/>
      <c r="Y936" s="5" t="inlineStr"/>
      <c r="Z936" s="6" t="inlineStr"/>
    </row>
    <row r="937">
      <c r="A937" s="5" t="inlineStr">
        <is>
          <t>b8-site-yoneticisi</t>
        </is>
      </c>
      <c r="B937" s="5" t="n">
        <v>2</v>
      </c>
      <c r="C937" s="6" t="inlineStr">
        <is>
          <t>Asansörü kendin tamir et, aidatı düşür</t>
        </is>
      </c>
      <c r="D937" s="5" t="inlineStr">
        <is>
          <t>Akıl</t>
        </is>
      </c>
      <c r="E937" s="5" t="inlineStr">
        <is>
          <t>Zor</t>
        </is>
      </c>
      <c r="F937" s="5" t="inlineStr"/>
      <c r="G937" s="6" t="inlineStr"/>
      <c r="H937" s="6" t="inlineStr">
        <is>
          <t>Asansörü tamir ettin. Aidat düştü; itibarın asansör gibi yükseldi.</t>
        </is>
      </c>
      <c r="I937" s="6" t="inlineStr">
        <is>
          <t>Tamir ettin, üstüne müzik sistemi ekledin. Site artık katlar arası konserlerle anılıyor.</t>
        </is>
      </c>
      <c r="J937" s="6" t="inlineStr">
        <is>
          <t>Tamir ettin; asansör artık yalnızca çift katlarda duruyor.</t>
        </is>
      </c>
      <c r="K937" s="6" t="inlineStr">
        <is>
          <t>Asansör seni bütün gün katlar arasında gezdirdi. Kurtarıldığında toplantı bitmiş, yönetici seçilmiştin.</t>
        </is>
      </c>
      <c r="L937" s="6" t="inlineStr"/>
      <c r="M937" s="5" t="inlineStr"/>
      <c r="N937" s="5" t="inlineStr"/>
      <c r="O937" s="6" t="inlineStr"/>
      <c r="P937" s="6" t="inlineStr"/>
      <c r="Q937" s="5" t="inlineStr"/>
      <c r="R937" s="5" t="inlineStr"/>
      <c r="S937" s="5" t="inlineStr"/>
      <c r="T937" s="5" t="inlineStr"/>
      <c r="U937" s="5" t="inlineStr"/>
      <c r="V937" s="5" t="inlineStr"/>
      <c r="W937" s="5" t="inlineStr">
        <is>
          <t>site-yoneticisi</t>
        </is>
      </c>
      <c r="X937" s="5" t="inlineStr"/>
      <c r="Y937" s="5" t="n">
        <v>3</v>
      </c>
      <c r="Z937" s="6" t="inlineStr">
        <is>
          <t>Aidatları düşürmek için asansör bakımını bizzat yaparken. Aidatlar düştü.</t>
        </is>
      </c>
    </row>
    <row r="938">
      <c r="A938" s="5" t="inlineStr">
        <is>
          <t>b8-site-yoneticisi</t>
        </is>
      </c>
      <c r="B938" s="5" t="n">
        <v>3</v>
      </c>
      <c r="C938" s="6" t="inlineStr">
        <is>
          <t>Kedi mama kabını savun</t>
        </is>
      </c>
      <c r="D938" s="5" t="inlineStr"/>
      <c r="E938" s="5" t="inlineStr"/>
      <c r="F938" s="5" t="inlineStr">
        <is>
          <t>Vicdan +2</t>
        </is>
      </c>
      <c r="G938" s="6" t="inlineStr">
        <is>
          <t>Mama kabı oybirliğiyle kaldı. Tutanağa bir satır eklendi: 'Kediler yönetimin güvencesindedir.'</t>
        </is>
      </c>
      <c r="H938" s="6" t="inlineStr"/>
      <c r="I938" s="6" t="inlineStr"/>
      <c r="J938" s="6" t="inlineStr"/>
      <c r="K938" s="6" t="inlineStr"/>
      <c r="L938" s="6" t="inlineStr"/>
      <c r="M938" s="5" t="inlineStr"/>
      <c r="N938" s="5" t="inlineStr"/>
      <c r="O938" s="6" t="inlineStr"/>
      <c r="P938" s="6" t="inlineStr"/>
      <c r="Q938" s="5" t="inlineStr"/>
      <c r="R938" s="5" t="inlineStr"/>
      <c r="S938" s="5" t="inlineStr"/>
      <c r="T938" s="5" t="inlineStr"/>
      <c r="U938" s="5" t="inlineStr"/>
      <c r="V938" s="5" t="inlineStr"/>
      <c r="W938" s="5" t="inlineStr"/>
      <c r="X938" s="5" t="inlineStr"/>
      <c r="Y938" s="5" t="inlineStr"/>
      <c r="Z938" s="6" t="inlineStr"/>
    </row>
    <row r="939">
      <c r="A939" s="5" t="inlineStr">
        <is>
          <t>b8-site-yoneticisi</t>
        </is>
      </c>
      <c r="B939" s="5" t="n">
        <v>4</v>
      </c>
      <c r="C939" s="6" t="inlineStr">
        <is>
          <t>Toplantıyı yirmi dakikada bitir</t>
        </is>
      </c>
      <c r="D939" s="5" t="inlineStr">
        <is>
          <t>Kurnazlık</t>
        </is>
      </c>
      <c r="E939" s="5" t="inlineStr">
        <is>
          <t>Orta</t>
        </is>
      </c>
      <c r="F939" s="5" t="inlineStr"/>
      <c r="G939" s="6" t="inlineStr"/>
      <c r="H939" s="6" t="inlineStr">
        <is>
          <t>Gündem yirmi dakikada bitti. Sitede adın 'Verimli' diye geçiyor; aday gösterildin, reddedemedin.</t>
        </is>
      </c>
      <c r="I939" s="6" t="inlineStr">
        <is>
          <t>On sekiz dakika. Rekor. Kimse ne karar alındığını hatırlamıyor ama herkes memnun.</t>
        </is>
      </c>
      <c r="J939" s="6" t="inlineStr">
        <is>
          <t>Yirmi dakikada bitirdin; kimse kalkmadı. Serbest kürsüde iki saat otopark konuşuldu.</t>
        </is>
      </c>
      <c r="K939" s="6" t="inlineStr">
        <is>
          <t>Hızlı oylama sırasında aidatı yanlışlıkla ikiye katladın. Karar oybirliğiyle alındı.</t>
        </is>
      </c>
      <c r="L939" s="6" t="inlineStr"/>
      <c r="M939" s="5" t="inlineStr"/>
      <c r="N939" s="5" t="inlineStr"/>
      <c r="O939" s="6" t="inlineStr"/>
      <c r="P939" s="6" t="inlineStr"/>
      <c r="Q939" s="5" t="inlineStr">
        <is>
          <t>Organizatör</t>
        </is>
      </c>
      <c r="R939" s="5" t="inlineStr"/>
      <c r="S939" s="5" t="inlineStr"/>
      <c r="T939" s="5" t="inlineStr"/>
      <c r="U939" s="5" t="inlineStr"/>
      <c r="V939" s="5" t="inlineStr">
        <is>
          <t>site-yoneticisi</t>
        </is>
      </c>
      <c r="W939" s="5" t="inlineStr"/>
      <c r="X939" s="5" t="inlineStr"/>
      <c r="Y939" s="5" t="inlineStr"/>
      <c r="Z939" s="6" t="inlineStr"/>
    </row>
    <row r="940">
      <c r="A940" s="5" t="inlineStr">
        <is>
          <t>mb-genc-yonetici</t>
        </is>
      </c>
      <c r="B940" s="5" t="n">
        <v>1</v>
      </c>
      <c r="C940" s="6" t="inlineStr">
        <is>
          <t>Mentorluk teklif et</t>
        </is>
      </c>
      <c r="D940" s="5" t="inlineStr"/>
      <c r="E940" s="5" t="inlineStr"/>
      <c r="F940" s="5" t="inlineStr">
        <is>
          <t>Vicdan +1</t>
        </is>
      </c>
      <c r="G940" s="6" t="inlineStr">
        <is>
          <t>Ona her şeyi öğrettin. Bir yıl sonra yöneticisinin de yöneticisi oldu. Hâlâ sana danışıyor. Gizlice.</t>
        </is>
      </c>
      <c r="H940" s="6" t="inlineStr"/>
      <c r="I940" s="6" t="inlineStr"/>
      <c r="J940" s="6" t="inlineStr"/>
      <c r="K940" s="6" t="inlineStr"/>
      <c r="L940" s="6" t="inlineStr"/>
      <c r="M940" s="5" t="inlineStr"/>
      <c r="N940" s="5" t="inlineStr"/>
      <c r="O940" s="6" t="inlineStr"/>
      <c r="P940" s="6" t="inlineStr"/>
      <c r="Q940" s="5" t="inlineStr"/>
      <c r="R940" s="5" t="inlineStr"/>
      <c r="S940" s="5" t="inlineStr"/>
      <c r="T940" s="5" t="inlineStr"/>
      <c r="U940" s="5" t="inlineStr"/>
      <c r="V940" s="5" t="inlineStr"/>
      <c r="W940" s="5" t="inlineStr"/>
      <c r="X940" s="5" t="inlineStr"/>
      <c r="Y940" s="5" t="inlineStr"/>
      <c r="Z940" s="6" t="inlineStr"/>
    </row>
    <row r="941">
      <c r="A941" s="5" t="inlineStr">
        <is>
          <t>mb-genc-yonetici</t>
        </is>
      </c>
      <c r="B941" s="5" t="n">
        <v>2</v>
      </c>
      <c r="C941" s="6" t="inlineStr">
        <is>
          <t>Onun dilini öğren</t>
        </is>
      </c>
      <c r="D941" s="5" t="inlineStr">
        <is>
          <t>Kurnazlık</t>
        </is>
      </c>
      <c r="E941" s="5" t="inlineStr">
        <is>
          <t>Kolay</t>
        </is>
      </c>
      <c r="F941" s="5" t="inlineStr"/>
      <c r="G941" s="6" t="inlineStr"/>
      <c r="H941" s="6" t="inlineStr">
        <is>
          <t>Her cümlene 'aksiyon' ve 'hızlıca' ekledin. Uyum raporun kusursuz.</t>
        </is>
      </c>
      <c r="I941" s="6" t="inlineStr">
        <is>
          <t>Onun jargonunu ondan iyi konuştun. Toplantılarda artık sana tercümanlık yapıyor.</t>
        </is>
      </c>
      <c r="J941" s="6" t="inlineStr">
        <is>
          <t>'Hızlıca bir aksiyon alalım' dedin; bu ifade geçen çeyrekte kullanımdan kalkmış.</t>
        </is>
      </c>
      <c r="K941" s="6" t="inlineStr">
        <is>
          <t>Yeni jargonla bir e-posta yazdın. Kimse anlamadı. Sen de.</t>
        </is>
      </c>
      <c r="L941" s="6" t="inlineStr"/>
      <c r="M941" s="5" t="inlineStr"/>
      <c r="N941" s="5" t="inlineStr"/>
      <c r="O941" s="6" t="inlineStr"/>
      <c r="P941" s="6" t="inlineStr"/>
      <c r="Q941" s="5" t="inlineStr"/>
      <c r="R941" s="5" t="inlineStr"/>
      <c r="S941" s="5" t="inlineStr"/>
      <c r="T941" s="5" t="inlineStr"/>
      <c r="U941" s="5" t="inlineStr"/>
      <c r="V941" s="5" t="inlineStr"/>
      <c r="W941" s="5" t="inlineStr"/>
      <c r="X941" s="5" t="inlineStr"/>
      <c r="Y941" s="5" t="inlineStr"/>
      <c r="Z941" s="6" t="inlineStr"/>
    </row>
    <row r="942">
      <c r="A942" s="5" t="inlineStr">
        <is>
          <t>mb-genc-yonetici</t>
        </is>
      </c>
      <c r="B942" s="5" t="n">
        <v>3</v>
      </c>
      <c r="C942" s="6" t="inlineStr">
        <is>
          <t>Deneyimini masaya koy</t>
        </is>
      </c>
      <c r="D942" s="5" t="inlineStr">
        <is>
          <t>Akıl</t>
        </is>
      </c>
      <c r="E942" s="5" t="inlineStr">
        <is>
          <t>Orta</t>
        </is>
      </c>
      <c r="F942" s="5" t="inlineStr"/>
      <c r="G942" s="6" t="inlineStr"/>
      <c r="H942" s="6" t="inlineStr">
        <is>
          <t>'Bunu 2 kez denedik, 2'sinde de batırdık' dedin. Proje yeniden planlandı.</t>
        </is>
      </c>
      <c r="I942" s="6" t="inlineStr">
        <is>
          <t>Eski bir raporu açtın; yeni fikir yirmi yıl önce denenmiş, belgesiyle. Toplantı saygıyla sustu.</t>
        </is>
      </c>
      <c r="J942" s="6" t="inlineStr">
        <is>
          <t>Deneyimini anlattın; yöneticin 'Çok değerli' deyip tam tersini yaptı.</t>
        </is>
      </c>
      <c r="K942" s="6" t="inlineStr">
        <is>
          <t>Deneyimini anlatırken üç kez 'Bizim zamanımızda' dedin. Toplantı notuna geçti.</t>
        </is>
      </c>
      <c r="L942" s="6" t="inlineStr"/>
      <c r="M942" s="5" t="inlineStr"/>
      <c r="N942" s="5" t="inlineStr"/>
      <c r="O942" s="6" t="inlineStr"/>
      <c r="P942" s="6" t="inlineStr"/>
      <c r="Q942" s="5" t="inlineStr"/>
      <c r="R942" s="5" t="inlineStr"/>
      <c r="S942" s="5" t="inlineStr"/>
      <c r="T942" s="5" t="inlineStr"/>
      <c r="U942" s="5" t="inlineStr"/>
      <c r="V942" s="5" t="inlineStr"/>
      <c r="W942" s="5" t="inlineStr"/>
      <c r="X942" s="5" t="inlineStr"/>
      <c r="Y942" s="5" t="inlineStr"/>
      <c r="Z942" s="6" t="inlineStr"/>
    </row>
    <row r="943">
      <c r="A943" s="5" t="inlineStr">
        <is>
          <t>mb-genc-yonetici</t>
        </is>
      </c>
      <c r="B943" s="5" t="n">
        <v>4</v>
      </c>
      <c r="C943" s="6" t="inlineStr">
        <is>
          <t>Genel müdürü göle çağır, yöneticiyi de</t>
        </is>
      </c>
      <c r="D943" s="5" t="inlineStr">
        <is>
          <t>Sosyal Radar</t>
        </is>
      </c>
      <c r="E943" s="5" t="inlineStr">
        <is>
          <t>Orta</t>
        </is>
      </c>
      <c r="F943" s="5" t="inlineStr"/>
      <c r="G943" s="6" t="inlineStr"/>
      <c r="H943" s="6" t="inlineStr">
        <is>
          <t>Üçünüz gölde balık tuttunuz. Yöneticin pazartesi sana 'abi/abla' diye hitap etmeye başladı.</t>
        </is>
      </c>
      <c r="I943" s="6" t="inlineStr">
        <is>
          <t>Genel müdür yeni yöneticine 'Bu işi ondan öğren' dedi. Tüm gölün önünde.</t>
        </is>
      </c>
      <c r="J943" s="6" t="inlineStr">
        <is>
          <t>Göle gittiniz; en büyük balığı yöneticin tuttu. Sen fotoğrafı çektin.</t>
        </is>
      </c>
      <c r="K943" s="6" t="inlineStr">
        <is>
          <t>Gölde yöneticin genel müdürle o kadar iyi anlaştı ki bir sonraki göl davetine sen çağrılmadın.</t>
        </is>
      </c>
      <c r="L943" s="6" t="inlineStr"/>
      <c r="M943" s="5" t="inlineStr"/>
      <c r="N943" s="5" t="inlineStr"/>
      <c r="O943" s="6" t="inlineStr"/>
      <c r="P943" s="6" t="inlineStr"/>
      <c r="Q943" s="5" t="inlineStr"/>
      <c r="R943" s="5" t="inlineStr">
        <is>
          <t>beyazyaka-gm-tanidik</t>
        </is>
      </c>
      <c r="S943" s="5" t="inlineStr"/>
      <c r="T943" s="5" t="inlineStr"/>
      <c r="U943" s="5" t="inlineStr"/>
      <c r="V943" s="5" t="inlineStr"/>
      <c r="W943" s="5" t="inlineStr"/>
      <c r="X943" s="5" t="inlineStr"/>
      <c r="Y943" s="5" t="inlineStr"/>
      <c r="Z943" s="6" t="inlineStr"/>
    </row>
    <row r="944">
      <c r="A944" s="5" t="inlineStr">
        <is>
          <t>ms-atolye-kirasi</t>
        </is>
      </c>
      <c r="B944" s="5" t="n">
        <v>1</v>
      </c>
      <c r="C944" s="6" t="inlineStr">
        <is>
          <t>Atölyeyi eve taşı</t>
        </is>
      </c>
      <c r="D944" s="5" t="inlineStr"/>
      <c r="E944" s="5" t="inlineStr"/>
      <c r="F944" s="5" t="inlineStr">
        <is>
          <t>Dayanıklılık +1</t>
        </is>
      </c>
      <c r="G944" s="6" t="inlineStr">
        <is>
          <t>Atölyeyi salona taşıdın. Misafirler artık bir koltuğa değil, bir enstalasyona oturuyor.</t>
        </is>
      </c>
      <c r="H944" s="6" t="inlineStr"/>
      <c r="I944" s="6" t="inlineStr"/>
      <c r="J944" s="6" t="inlineStr"/>
      <c r="K944" s="6" t="inlineStr"/>
      <c r="L944" s="6" t="inlineStr"/>
      <c r="M944" s="5" t="inlineStr"/>
      <c r="N944" s="5" t="inlineStr"/>
      <c r="O944" s="6" t="inlineStr"/>
      <c r="P944" s="6" t="inlineStr"/>
      <c r="Q944" s="5" t="inlineStr"/>
      <c r="R944" s="5" t="inlineStr"/>
      <c r="S944" s="5" t="inlineStr"/>
      <c r="T944" s="5" t="inlineStr"/>
      <c r="U944" s="5" t="inlineStr"/>
      <c r="V944" s="5" t="inlineStr"/>
      <c r="W944" s="5" t="inlineStr"/>
      <c r="X944" s="5" t="inlineStr"/>
      <c r="Y944" s="5" t="inlineStr"/>
      <c r="Z944" s="6" t="inlineStr"/>
    </row>
    <row r="945">
      <c r="A945" s="5" t="inlineStr">
        <is>
          <t>ms-atolye-kirasi</t>
        </is>
      </c>
      <c r="B945" s="5" t="n">
        <v>2</v>
      </c>
      <c r="C945" s="6" t="inlineStr">
        <is>
          <t>Ev sahibinin portresini yap, pazarlığa otur</t>
        </is>
      </c>
      <c r="D945" s="5" t="inlineStr">
        <is>
          <t>Çene</t>
        </is>
      </c>
      <c r="E945" s="5" t="inlineStr">
        <is>
          <t>Orta</t>
        </is>
      </c>
      <c r="F945" s="5" t="inlineStr"/>
      <c r="G945" s="6" t="inlineStr"/>
      <c r="H945" s="6" t="inlineStr">
        <is>
          <t>Portreyi çok beğendi. Kira yalnızca iki katına çıktı.</t>
        </is>
      </c>
      <c r="I945" s="6" t="inlineStr">
        <is>
          <t>Portreyi apartman girişine astı. Kiran sabitlendi, üstüne yöneticilik teklifi geldi.</t>
        </is>
      </c>
      <c r="J945" s="6" t="inlineStr">
        <is>
          <t>Portreyi beğendi. Kiradan düşmedi ama çerçeve parası istemedi.</t>
        </is>
      </c>
      <c r="K945" s="6" t="inlineStr">
        <is>
          <t>Portrede burnunu biraz büyük yaptın. Kira dört katına çıktı.</t>
        </is>
      </c>
      <c r="L945" s="6" t="inlineStr"/>
      <c r="M945" s="5" t="inlineStr"/>
      <c r="N945" s="5" t="inlineStr"/>
      <c r="O945" s="6" t="inlineStr"/>
      <c r="P945" s="6" t="inlineStr"/>
      <c r="Q945" s="5" t="inlineStr"/>
      <c r="R945" s="5" t="inlineStr"/>
      <c r="S945" s="5" t="inlineStr"/>
      <c r="T945" s="5" t="inlineStr"/>
      <c r="U945" s="5" t="inlineStr"/>
      <c r="V945" s="5" t="inlineStr"/>
      <c r="W945" s="5" t="inlineStr"/>
      <c r="X945" s="5" t="inlineStr"/>
      <c r="Y945" s="5" t="inlineStr"/>
      <c r="Z945" s="6" t="inlineStr"/>
    </row>
    <row r="946">
      <c r="A946" s="5" t="inlineStr">
        <is>
          <t>ms-atolye-kirasi</t>
        </is>
      </c>
      <c r="B946" s="5" t="n">
        <v>3</v>
      </c>
      <c r="C946" s="6" t="inlineStr">
        <is>
          <t>Fonun mekân kalemini kullan</t>
        </is>
      </c>
      <c r="D946" s="5" t="inlineStr">
        <is>
          <t>Kurnazlık</t>
        </is>
      </c>
      <c r="E946" s="5" t="inlineStr">
        <is>
          <t>Kolay</t>
        </is>
      </c>
      <c r="F946" s="5" t="inlineStr"/>
      <c r="G946" s="6" t="inlineStr"/>
      <c r="H946" s="6" t="inlineStr">
        <is>
          <t>Fon raporuna 'sanatın mekânla ilişkisi' yazdın. Kira bir yıl çözüldü.</t>
        </is>
      </c>
      <c r="I946" s="6" t="inlineStr">
        <is>
          <t>Mekân giderini öyle anlattın ki fon bir sonraki yıl bütçeyi atölyene ayırdı.</t>
        </is>
      </c>
      <c r="J946" s="6" t="inlineStr">
        <is>
          <t>Fonun mekân kalemi yalnızca 'etkinlik salonu' için geçerliymiş. Atölye etkinlik sayılmıyor.</t>
        </is>
      </c>
      <c r="K946" s="6" t="inlineStr">
        <is>
          <t>Raporu gönderdin; denetçi atölyeyi ziyarete geldi ve tavandan su damladı. Üstüne.</t>
        </is>
      </c>
      <c r="L946" s="6" t="inlineStr"/>
      <c r="M946" s="5" t="inlineStr"/>
      <c r="N946" s="5" t="inlineStr"/>
      <c r="O946" s="6" t="inlineStr"/>
      <c r="P946" s="6" t="inlineStr"/>
      <c r="Q946" s="5" t="inlineStr"/>
      <c r="R946" s="5" t="inlineStr">
        <is>
          <t>serbest-fon-aldi</t>
        </is>
      </c>
      <c r="S946" s="5" t="inlineStr"/>
      <c r="T946" s="5" t="inlineStr"/>
      <c r="U946" s="5" t="inlineStr"/>
      <c r="V946" s="5" t="inlineStr"/>
      <c r="W946" s="5" t="inlineStr"/>
      <c r="X946" s="5" t="inlineStr"/>
      <c r="Y946" s="5" t="inlineStr"/>
      <c r="Z946" s="6" t="inlineStr"/>
    </row>
    <row r="947">
      <c r="A947" s="5" t="inlineStr">
        <is>
          <t>ms-atolye-kirasi</t>
        </is>
      </c>
      <c r="B947" s="5" t="n">
        <v>4</v>
      </c>
      <c r="C947" s="6" t="inlineStr">
        <is>
          <t>Mahalledeki sanatçılarla ortak atölye kur</t>
        </is>
      </c>
      <c r="D947" s="5" t="inlineStr">
        <is>
          <t>Sosyal Radar</t>
        </is>
      </c>
      <c r="E947" s="5" t="inlineStr">
        <is>
          <t>Orta</t>
        </is>
      </c>
      <c r="F947" s="5" t="inlineStr"/>
      <c r="G947" s="6" t="inlineStr"/>
      <c r="H947" s="6" t="inlineStr">
        <is>
          <t>Beş kişi bir depoyu paylaştınız. Kira beşte bir, dedikodu beş kat.</t>
        </is>
      </c>
      <c r="I947" s="6" t="inlineStr">
        <is>
          <t>Ortak atölye bir kültür merkezine dönüştü. Belediye önünden tur otobüsü geçiriyor.</t>
        </is>
      </c>
      <c r="J947" s="6" t="inlineStr">
        <is>
          <t>Ortak atölye kuruldu; ilk ay ortak buzdolabı yüzünden dağıldı.</t>
        </is>
      </c>
      <c r="K947" s="6" t="inlineStr">
        <is>
          <t>Ortak atölyeyi kurdunuz; mahalle daha da 'sanat mahallesi' oldu. Depo kirası da üçe katlandı.</t>
        </is>
      </c>
      <c r="L947" s="6" t="inlineStr"/>
      <c r="M947" s="5" t="inlineStr"/>
      <c r="N947" s="5" t="inlineStr"/>
      <c r="O947" s="6" t="inlineStr"/>
      <c r="P947" s="6" t="inlineStr"/>
      <c r="Q947" s="5" t="inlineStr"/>
      <c r="R947" s="5" t="inlineStr"/>
      <c r="S947" s="5" t="inlineStr"/>
      <c r="T947" s="5" t="inlineStr"/>
      <c r="U947" s="5" t="inlineStr"/>
      <c r="V947" s="5" t="inlineStr"/>
      <c r="W947" s="5" t="inlineStr"/>
      <c r="X947" s="5" t="inlineStr"/>
      <c r="Y947" s="5" t="inlineStr"/>
      <c r="Z947" s="6" t="inlineStr"/>
    </row>
    <row r="948">
      <c r="A948" s="5" t="inlineStr">
        <is>
          <t>b8-bakim-evraki</t>
        </is>
      </c>
      <c r="B948" s="5" t="n">
        <v>1</v>
      </c>
      <c r="C948" s="6" t="inlineStr">
        <is>
          <t>Sıranı bekle</t>
        </is>
      </c>
      <c r="D948" s="5" t="inlineStr"/>
      <c r="E948" s="5" t="inlineStr"/>
      <c r="F948" s="5" t="inlineStr">
        <is>
          <t>Dayanıklılık +2</t>
        </is>
      </c>
      <c r="G948" s="6" t="inlineStr">
        <is>
          <t>Dört saat bekledin. Sıra geldiğinde memur 'Bir fotokopi eksik' dedi. Yarın görüşmek üzere.</t>
        </is>
      </c>
      <c r="H948" s="6" t="inlineStr"/>
      <c r="I948" s="6" t="inlineStr"/>
      <c r="J948" s="6" t="inlineStr"/>
      <c r="K948" s="6" t="inlineStr"/>
      <c r="L948" s="6" t="inlineStr"/>
      <c r="M948" s="5" t="inlineStr"/>
      <c r="N948" s="5" t="inlineStr"/>
      <c r="O948" s="6" t="inlineStr"/>
      <c r="P948" s="6" t="inlineStr"/>
      <c r="Q948" s="5" t="inlineStr"/>
      <c r="R948" s="5" t="inlineStr"/>
      <c r="S948" s="5" t="inlineStr"/>
      <c r="T948" s="5" t="inlineStr"/>
      <c r="U948" s="5" t="inlineStr"/>
      <c r="V948" s="5" t="inlineStr"/>
      <c r="W948" s="5" t="inlineStr"/>
      <c r="X948" s="5" t="inlineStr"/>
      <c r="Y948" s="5" t="inlineStr"/>
      <c r="Z948" s="6" t="inlineStr"/>
    </row>
    <row r="949">
      <c r="A949" s="5" t="inlineStr">
        <is>
          <t>b8-bakim-evraki</t>
        </is>
      </c>
      <c r="B949" s="5" t="n">
        <v>2</v>
      </c>
      <c r="C949" s="6" t="inlineStr">
        <is>
          <t>Evrak listesini baştan kontrol et</t>
        </is>
      </c>
      <c r="D949" s="5" t="inlineStr">
        <is>
          <t>Akıl</t>
        </is>
      </c>
      <c r="E949" s="5" t="inlineStr">
        <is>
          <t>Orta</t>
        </is>
      </c>
      <c r="F949" s="5" t="inlineStr"/>
      <c r="G949" s="6" t="inlineStr"/>
      <c r="H949" s="6" t="inlineStr">
        <is>
          <t>Eksik fotokopiyi sıra gelmeden fark ettin. Koridordaki makineden çektin. Dosya bir seferde kabul edildi; nadir görülen bir olay.</t>
        </is>
      </c>
      <c r="I949" s="6" t="inlineStr">
        <is>
          <t>Listeyi öyle düzenledin ki arkandaki üç kişi de sana danıştı. Koridorda gayriresmî bir danışma masası kuruldu.</t>
        </is>
      </c>
      <c r="J949" s="6" t="inlineStr">
        <is>
          <t>Listeyi kontrol ettin; liste güncellenmiş. Senin elindeki geçen yılınki.</t>
        </is>
      </c>
      <c r="K949" s="6" t="inlineStr">
        <is>
          <t>Kontrol ederken bir belgeyi yere düşürdün. Belge başka bir vatandaşın dosyasına girdi. İki dosya birleşti.</t>
        </is>
      </c>
      <c r="L949" s="6" t="inlineStr"/>
      <c r="M949" s="5" t="inlineStr"/>
      <c r="N949" s="5" t="inlineStr"/>
      <c r="O949" s="6" t="inlineStr"/>
      <c r="P949" s="6" t="inlineStr"/>
      <c r="Q949" s="5" t="inlineStr"/>
      <c r="R949" s="5" t="inlineStr"/>
      <c r="S949" s="5" t="inlineStr"/>
      <c r="T949" s="5" t="inlineStr"/>
      <c r="U949" s="5" t="inlineStr"/>
      <c r="V949" s="5" t="inlineStr"/>
      <c r="W949" s="5" t="inlineStr"/>
      <c r="X949" s="5" t="inlineStr"/>
      <c r="Y949" s="5" t="inlineStr"/>
      <c r="Z949" s="6" t="inlineStr"/>
    </row>
    <row r="950">
      <c r="A950" s="5" t="inlineStr">
        <is>
          <t>b8-bakim-evraki</t>
        </is>
      </c>
      <c r="B950" s="5" t="n">
        <v>3</v>
      </c>
      <c r="C950" s="6" t="inlineStr">
        <is>
          <t>Doğrudan yedi numaraya git</t>
        </is>
      </c>
      <c r="D950" s="5" t="inlineStr">
        <is>
          <t>Kurnazlık</t>
        </is>
      </c>
      <c r="E950" s="5" t="inlineStr">
        <is>
          <t>Kolay</t>
        </is>
      </c>
      <c r="F950" s="5" t="inlineStr"/>
      <c r="G950" s="6" t="inlineStr"/>
      <c r="H950" s="6" t="inlineStr">
        <is>
          <t>Yedi numara seni hemen aldı. İşlem on dakika. Koridordakiler seni kıskançlıkla izledi.</t>
        </is>
      </c>
      <c r="I950" s="6" t="inlineStr">
        <is>
          <t>Yedi numaradaki memur çayını da ikram etti. Dosyan tamam, bir de dost edindin.</t>
        </is>
      </c>
      <c r="J950" s="6" t="inlineStr">
        <is>
          <t>Yedi numara 'Önce üçe uğrayın' dedi. Üç, seni yeniden yediye gönderdi.</t>
        </is>
      </c>
      <c r="K950" s="6" t="inlineStr">
        <is>
          <t>Yedi numaraya gittin; öğle arası başladı. Sıra numaran geçersiz sayıldı.</t>
        </is>
      </c>
      <c r="L950" s="6" t="inlineStr"/>
      <c r="M950" s="5" t="inlineStr"/>
      <c r="N950" s="5" t="inlineStr"/>
      <c r="O950" s="6" t="inlineStr"/>
      <c r="P950" s="6" t="inlineStr"/>
      <c r="Q950" s="5" t="inlineStr"/>
      <c r="R950" s="5" t="inlineStr"/>
      <c r="S950" s="5" t="inlineStr">
        <is>
          <t>Kurnazlık</t>
        </is>
      </c>
      <c r="T950" s="5" t="inlineStr"/>
      <c r="U950" s="5" t="inlineStr"/>
      <c r="V950" s="5" t="inlineStr"/>
      <c r="W950" s="5" t="inlineStr"/>
      <c r="X950" s="5" t="inlineStr"/>
      <c r="Y950" s="5" t="inlineStr"/>
      <c r="Z950" s="6" t="inlineStr"/>
    </row>
    <row r="951">
      <c r="A951" s="5" t="inlineStr">
        <is>
          <t>b8-bakim-evraki</t>
        </is>
      </c>
      <c r="B951" s="5" t="n">
        <v>4</v>
      </c>
      <c r="C951" s="6" t="inlineStr">
        <is>
          <t>Memur dilinden konuş</t>
        </is>
      </c>
      <c r="D951" s="5" t="inlineStr">
        <is>
          <t>Çene</t>
        </is>
      </c>
      <c r="E951" s="5" t="inlineStr">
        <is>
          <t>Kolay</t>
        </is>
      </c>
      <c r="F951" s="5" t="inlineStr"/>
      <c r="G951" s="6" t="inlineStr"/>
      <c r="H951" s="6" t="inlineStr">
        <is>
          <t>'Dosya üst yazıyla tamamlandı mı?' diye sordun. Memur başını kaldırdı; meslektaş tanındı.</t>
        </is>
      </c>
      <c r="I951" s="6" t="inlineStr">
        <is>
          <t>Memurla aynı yönetmelik maddesini aynı anda söylediniz. İşlem beş dakika; üstüne kurum çayı.</t>
        </is>
      </c>
      <c r="J951" s="6" t="inlineStr">
        <is>
          <t>Fazla teknik konuştun. Memur 'Bu bizim birimin işi değil' dedi.</t>
        </is>
      </c>
      <c r="K951" s="6" t="inlineStr">
        <is>
          <t>Yönetmelik maddesini yanlış söyledin. Memur düzeltti ve bunu bütün servise anlattı.</t>
        </is>
      </c>
      <c r="L951" s="6" t="inlineStr"/>
      <c r="M951" s="5" t="inlineStr"/>
      <c r="N951" s="5" t="inlineStr"/>
      <c r="O951" s="6" t="inlineStr"/>
      <c r="P951" s="6" t="inlineStr"/>
      <c r="Q951" s="5" t="inlineStr"/>
      <c r="R951" s="5" t="inlineStr">
        <is>
          <t>meslek-memur</t>
        </is>
      </c>
      <c r="S951" s="5" t="inlineStr"/>
      <c r="T951" s="5" t="inlineStr"/>
      <c r="U951" s="5" t="inlineStr"/>
      <c r="V951" s="5" t="inlineStr"/>
      <c r="W951" s="5" t="inlineStr"/>
      <c r="X951" s="5" t="inlineStr"/>
      <c r="Y951" s="5" t="inlineStr"/>
      <c r="Z951" s="6" t="inlineStr"/>
    </row>
    <row r="952">
      <c r="A952" s="5" t="inlineStr">
        <is>
          <t>b8-ikinci-bahar</t>
        </is>
      </c>
      <c r="B952" s="5" t="n">
        <v>1</v>
      </c>
      <c r="C952" s="6" t="inlineStr">
        <is>
          <t>Gitme, evde kal</t>
        </is>
      </c>
      <c r="D952" s="5" t="inlineStr"/>
      <c r="E952" s="5" t="inlineStr"/>
      <c r="F952" s="5" t="inlineStr">
        <is>
          <t>Dayanıklılık +1</t>
        </is>
      </c>
      <c r="G952" s="6" t="inlineStr">
        <is>
          <t>Evde kaldın. Televizyon seni hiç yargılamadı. Ama bir şey de sormadı.</t>
        </is>
      </c>
      <c r="H952" s="6" t="inlineStr"/>
      <c r="I952" s="6" t="inlineStr"/>
      <c r="J952" s="6" t="inlineStr"/>
      <c r="K952" s="6" t="inlineStr"/>
      <c r="L952" s="6" t="inlineStr"/>
      <c r="M952" s="5" t="inlineStr"/>
      <c r="N952" s="5" t="inlineStr"/>
      <c r="O952" s="6" t="inlineStr"/>
      <c r="P952" s="6" t="inlineStr"/>
      <c r="Q952" s="5" t="inlineStr"/>
      <c r="R952" s="5" t="inlineStr"/>
      <c r="S952" s="5" t="inlineStr"/>
      <c r="T952" s="5" t="inlineStr"/>
      <c r="U952" s="5" t="inlineStr"/>
      <c r="V952" s="5" t="inlineStr"/>
      <c r="W952" s="5" t="inlineStr"/>
      <c r="X952" s="5" t="inlineStr"/>
      <c r="Y952" s="5" t="inlineStr"/>
      <c r="Z952" s="6" t="inlineStr"/>
    </row>
    <row r="953">
      <c r="A953" s="5" t="inlineStr">
        <is>
          <t>b8-ikinci-bahar</t>
        </is>
      </c>
      <c r="B953" s="5" t="n">
        <v>2</v>
      </c>
      <c r="C953" s="6" t="inlineStr">
        <is>
          <t>Doğal ol</t>
        </is>
      </c>
      <c r="D953" s="5" t="inlineStr">
        <is>
          <t>Çene</t>
        </is>
      </c>
      <c r="E953" s="5" t="inlineStr">
        <is>
          <t>Orta</t>
        </is>
      </c>
      <c r="F953" s="5" t="inlineStr"/>
      <c r="G953" s="6" t="inlineStr"/>
      <c r="H953" s="6" t="inlineStr">
        <is>
          <t>Konuştunuz, güldünüz, hesabı bölüştünüz. İkinci buluşma takvime yazıldı; kurşun kalemle, ama yazıldı.</t>
        </is>
      </c>
      <c r="I953" s="6" t="inlineStr">
        <is>
          <t>Saatin nasıl geçtiğini anlamadınız. Kafe kapanırken sandalyeleri toplamaya birlikte yardım ettiniz.</t>
        </is>
      </c>
      <c r="J953" s="6" t="inlineStr">
        <is>
          <t>Doğal oldun; fazla doğal. Kırk dakika bel ağrısı anlattın.</t>
        </is>
      </c>
      <c r="K953" s="6" t="inlineStr">
        <is>
          <t>Eski eşinden söz ettin. Üç kez. Adıyla.</t>
        </is>
      </c>
      <c r="L953" s="6" t="inlineStr"/>
      <c r="M953" s="5" t="inlineStr"/>
      <c r="N953" s="5" t="inlineStr"/>
      <c r="O953" s="6" t="inlineStr"/>
      <c r="P953" s="6" t="inlineStr"/>
      <c r="Q953" s="5" t="inlineStr"/>
      <c r="R953" s="5" t="inlineStr"/>
      <c r="S953" s="5" t="inlineStr"/>
      <c r="T953" s="5" t="inlineStr"/>
      <c r="U953" s="5" t="inlineStr"/>
      <c r="V953" s="5" t="inlineStr">
        <is>
          <t>ikinci-bahar</t>
        </is>
      </c>
      <c r="W953" s="5" t="inlineStr"/>
      <c r="X953" s="5" t="inlineStr"/>
      <c r="Y953" s="5" t="inlineStr"/>
      <c r="Z953" s="6" t="inlineStr"/>
    </row>
    <row r="954">
      <c r="A954" s="5" t="inlineStr">
        <is>
          <t>b8-ikinci-bahar</t>
        </is>
      </c>
      <c r="B954" s="5" t="n">
        <v>3</v>
      </c>
      <c r="C954" s="6" t="inlineStr">
        <is>
          <t>Gerginliği ilk sen kır</t>
        </is>
      </c>
      <c r="D954" s="5" t="inlineStr">
        <is>
          <t>Sosyal Radar</t>
        </is>
      </c>
      <c r="E954" s="5" t="inlineStr">
        <is>
          <t>Kolay</t>
        </is>
      </c>
      <c r="F954" s="5" t="inlineStr"/>
      <c r="G954" s="6" t="inlineStr"/>
      <c r="H954" s="6" t="inlineStr">
        <is>
          <t>'Ben de menüyü üç kez okudum' dedin. İkiniz de güldünüz; gerisi kolay geldi.</t>
        </is>
      </c>
      <c r="I954" s="6" t="inlineStr">
        <is>
          <t>Güldünüz, sonra aynı anda 'Bir kahve daha?' dediniz. Tesadüf olarak kaydedildi; kimse inanmadı.</t>
        </is>
      </c>
      <c r="J954" s="6" t="inlineStr">
        <is>
          <t>Espri yaptın; karşındaki 'Hangi menü?' dedi. Gerginlik ikiye katlandı.</t>
        </is>
      </c>
      <c r="K954" s="6" t="inlineStr">
        <is>
          <t>Gerginliği kırarken çay bardağını da kırdın. Kafe çalışanı iki bardağın hesabını getirdi.</t>
        </is>
      </c>
      <c r="L954" s="6" t="inlineStr"/>
      <c r="M954" s="5" t="inlineStr"/>
      <c r="N954" s="5" t="inlineStr"/>
      <c r="O954" s="6" t="inlineStr"/>
      <c r="P954" s="6" t="inlineStr"/>
      <c r="Q954" s="5" t="inlineStr"/>
      <c r="R954" s="5" t="inlineStr"/>
      <c r="S954" s="5" t="inlineStr">
        <is>
          <t>Sosyal Radar</t>
        </is>
      </c>
      <c r="T954" s="5" t="inlineStr"/>
      <c r="U954" s="5" t="inlineStr"/>
      <c r="V954" s="5" t="inlineStr">
        <is>
          <t>ikinci-bahar</t>
        </is>
      </c>
      <c r="W954" s="5" t="inlineStr"/>
      <c r="X954" s="5" t="inlineStr"/>
      <c r="Y954" s="5" t="inlineStr"/>
      <c r="Z954" s="6" t="inlineStr"/>
    </row>
    <row r="955">
      <c r="A955" s="5" t="inlineStr">
        <is>
          <t>b8-ikinci-bahar</t>
        </is>
      </c>
      <c r="B955" s="5" t="n">
        <v>4</v>
      </c>
      <c r="C955" s="6" t="inlineStr">
        <is>
          <t>Kendi hikâyene gülerek başla</t>
        </is>
      </c>
      <c r="D955" s="5" t="inlineStr">
        <is>
          <t>Pişkinlik</t>
        </is>
      </c>
      <c r="E955" s="5" t="inlineStr">
        <is>
          <t>Kolay</t>
        </is>
      </c>
      <c r="F955" s="5" t="inlineStr"/>
      <c r="G955" s="6" t="inlineStr"/>
      <c r="H955" s="6" t="inlineStr">
        <is>
          <t>'Evrak işlerinde iyiyimdir, boşanma dahil' dedin. Karşındaki kahkaha attı.</t>
        </is>
      </c>
      <c r="I955" s="6" t="inlineStr">
        <is>
          <t>Hikâyeni öyle anlattın ki karşındaki de kendi hikâyesini anlattı. İki dosya, bir masa, bol kahkaha.</t>
        </is>
      </c>
      <c r="J955" s="6" t="inlineStr">
        <is>
          <t>Espri fazla kara kaçtı. Karşındaki çayını yavaşça bitirdi.</t>
        </is>
      </c>
      <c r="K955" s="6" t="inlineStr">
        <is>
          <t>Hikâyeyi anlatırken fazla detaya girdin. Buluşma bir tür ifade tutanağına dönüştü.</t>
        </is>
      </c>
      <c r="L955" s="6" t="inlineStr"/>
      <c r="M955" s="5" t="inlineStr"/>
      <c r="N955" s="5" t="inlineStr"/>
      <c r="O955" s="6" t="inlineStr"/>
      <c r="P955" s="6" t="inlineStr"/>
      <c r="Q955" s="5" t="inlineStr">
        <is>
          <t>Kendine Gülebilir</t>
        </is>
      </c>
      <c r="R955" s="5" t="inlineStr"/>
      <c r="S955" s="5" t="inlineStr"/>
      <c r="T955" s="5" t="inlineStr"/>
      <c r="U955" s="5" t="inlineStr"/>
      <c r="V955" s="5" t="inlineStr">
        <is>
          <t>ikinci-bahar</t>
        </is>
      </c>
      <c r="W955" s="5" t="inlineStr"/>
      <c r="X955" s="5" t="inlineStr"/>
      <c r="Y955" s="5" t="inlineStr"/>
      <c r="Z955" s="6" t="inlineStr"/>
    </row>
    <row r="956">
      <c r="A956" s="5" t="inlineStr">
        <is>
          <t>me-dernek-secimi</t>
        </is>
      </c>
      <c r="B956" s="5" t="n">
        <v>1</v>
      </c>
      <c r="C956" s="6" t="inlineStr">
        <is>
          <t>Oyunu kullan, çayını iç</t>
        </is>
      </c>
      <c r="D956" s="5" t="inlineStr"/>
      <c r="E956" s="5" t="inlineStr"/>
      <c r="F956" s="5" t="inlineStr">
        <is>
          <t>Sosyal Radar +1</t>
        </is>
      </c>
      <c r="G956" s="6" t="inlineStr">
        <is>
          <t>Oyunu verdin, çayını içtin. Başkan yeniden seçildi. Çay yine aynı demde.</t>
        </is>
      </c>
      <c r="H956" s="6" t="inlineStr"/>
      <c r="I956" s="6" t="inlineStr"/>
      <c r="J956" s="6" t="inlineStr"/>
      <c r="K956" s="6" t="inlineStr"/>
      <c r="L956" s="6" t="inlineStr"/>
      <c r="M956" s="5" t="inlineStr"/>
      <c r="N956" s="5" t="inlineStr"/>
      <c r="O956" s="6" t="inlineStr"/>
      <c r="P956" s="6" t="inlineStr"/>
      <c r="Q956" s="5" t="inlineStr"/>
      <c r="R956" s="5" t="inlineStr"/>
      <c r="S956" s="5" t="inlineStr"/>
      <c r="T956" s="5" t="inlineStr"/>
      <c r="U956" s="5" t="inlineStr"/>
      <c r="V956" s="5" t="inlineStr"/>
      <c r="W956" s="5" t="inlineStr"/>
      <c r="X956" s="5" t="inlineStr"/>
      <c r="Y956" s="5" t="inlineStr"/>
      <c r="Z956" s="6" t="inlineStr"/>
    </row>
    <row r="957">
      <c r="A957" s="5" t="inlineStr">
        <is>
          <t>me-dernek-secimi</t>
        </is>
      </c>
      <c r="B957" s="5" t="n">
        <v>2</v>
      </c>
      <c r="C957" s="6" t="inlineStr">
        <is>
          <t>Aday ol</t>
        </is>
      </c>
      <c r="D957" s="5" t="inlineStr">
        <is>
          <t>Çene</t>
        </is>
      </c>
      <c r="E957" s="5" t="inlineStr">
        <is>
          <t>Zor</t>
        </is>
      </c>
      <c r="F957" s="5" t="inlineStr"/>
      <c r="G957" s="6" t="inlineStr"/>
      <c r="H957" s="6" t="inlineStr">
        <is>
          <t>Kazandın. İlk icraatın çarşıya ortak çöp kutusu oldu. Çöp kutusunun yeri hâlâ tartışılıyor.</t>
        </is>
      </c>
      <c r="I957" s="6" t="inlineStr">
        <is>
          <t>Farkla kazandın. Eski başkan bile sana oy verdi; sonradan yanlış kutuya attığını söyledi.</t>
        </is>
      </c>
      <c r="J957" s="6" t="inlineStr">
        <is>
          <t>Seçim günü dükkânı kapatmaya kıyamadın. Oy vermeye gidemeyen tek aday sendin.</t>
        </is>
      </c>
      <c r="K957" s="6" t="inlineStr">
        <is>
          <t>Tek oy aldın. Kimin verdiği hâlâ tartışma konusu. Senin değildi.</t>
        </is>
      </c>
      <c r="L957" s="6" t="inlineStr"/>
      <c r="M957" s="5" t="inlineStr"/>
      <c r="N957" s="5" t="inlineStr"/>
      <c r="O957" s="6" t="inlineStr"/>
      <c r="P957" s="6" t="inlineStr"/>
      <c r="Q957" s="5" t="inlineStr"/>
      <c r="R957" s="5" t="inlineStr"/>
      <c r="S957" s="5" t="inlineStr"/>
      <c r="T957" s="5" t="inlineStr"/>
      <c r="U957" s="5" t="inlineStr"/>
      <c r="V957" s="5" t="inlineStr">
        <is>
          <t>esnaf-dernek-baskani</t>
        </is>
      </c>
      <c r="W957" s="5" t="inlineStr"/>
      <c r="X957" s="5" t="inlineStr"/>
      <c r="Y957" s="5" t="inlineStr"/>
      <c r="Z957" s="6" t="inlineStr"/>
    </row>
    <row r="958">
      <c r="A958" s="5" t="inlineStr">
        <is>
          <t>me-dernek-secimi</t>
        </is>
      </c>
      <c r="B958" s="5" t="n">
        <v>3</v>
      </c>
      <c r="C958" s="6" t="inlineStr">
        <is>
          <t>Seçimi organize et</t>
        </is>
      </c>
      <c r="D958" s="5" t="inlineStr">
        <is>
          <t>Sosyal Radar</t>
        </is>
      </c>
      <c r="E958" s="5" t="inlineStr">
        <is>
          <t>Kolay</t>
        </is>
      </c>
      <c r="F958" s="5" t="inlineStr"/>
      <c r="G958" s="6" t="inlineStr"/>
      <c r="H958" s="6" t="inlineStr">
        <is>
          <t>Sandık, pusula, çay, sayım: hepsini sen kurdun. Çarşının ilk tartışmasız seçimi yapıldı.</t>
        </is>
      </c>
      <c r="I958" s="6" t="inlineStr">
        <is>
          <t>İki aday da seni başkan yapmayı teklif etti. Kabul etmedin; sadece yönetmeliği yazdın.</t>
        </is>
      </c>
      <c r="J958" s="6" t="inlineStr">
        <is>
          <t>Sandığın anahtarı sende kalmış. Oylar ertesi gün sayıldı; itirazlar bir hafta.</t>
        </is>
      </c>
      <c r="K958" s="6" t="inlineStr">
        <is>
          <t>Pusulaları indirim kuponu kâğıdına bastırdın. Seçim üç gün sürdü, satışlar iki kat arttı.</t>
        </is>
      </c>
      <c r="L958" s="6" t="inlineStr"/>
      <c r="M958" s="5" t="inlineStr"/>
      <c r="N958" s="5" t="inlineStr"/>
      <c r="O958" s="6" t="inlineStr"/>
      <c r="P958" s="6" t="inlineStr"/>
      <c r="Q958" s="5" t="inlineStr">
        <is>
          <t>Organizatör</t>
        </is>
      </c>
      <c r="R958" s="5" t="inlineStr"/>
      <c r="S958" s="5" t="inlineStr"/>
      <c r="T958" s="5" t="inlineStr"/>
      <c r="U958" s="5" t="inlineStr"/>
      <c r="V958" s="5" t="inlineStr"/>
      <c r="W958" s="5" t="inlineStr"/>
      <c r="X958" s="5" t="inlineStr"/>
      <c r="Y958" s="5" t="inlineStr"/>
      <c r="Z958" s="6" t="inlineStr"/>
    </row>
    <row r="959">
      <c r="A959" s="5" t="inlineStr">
        <is>
          <t>me-dernek-secimi</t>
        </is>
      </c>
      <c r="B959" s="5" t="n">
        <v>4</v>
      </c>
      <c r="C959" s="6" t="inlineStr">
        <is>
          <t>Sınıf başkanlığını hatırlat</t>
        </is>
      </c>
      <c r="D959" s="5" t="inlineStr">
        <is>
          <t>Pişkinlik</t>
        </is>
      </c>
      <c r="E959" s="5" t="inlineStr">
        <is>
          <t>Orta</t>
        </is>
      </c>
      <c r="F959" s="5" t="inlineStr"/>
      <c r="G959" s="6" t="inlineStr"/>
      <c r="H959" s="6" t="inlineStr">
        <is>
          <t>'Ben ilkokulda da başkandım' dedin. Esnaflar güldü, sonra oy verdi.</t>
        </is>
      </c>
      <c r="I959" s="6" t="inlineStr">
        <is>
          <t>Seçim bildirgen ilkokuldaki bildirgenin aynısıydı. Tenefüs yerine çay molası yazdın; farkla kazandın.</t>
        </is>
      </c>
      <c r="J959" s="6" t="inlineStr">
        <is>
          <t>Esnaflar güldü. Sadece güldü.</t>
        </is>
      </c>
      <c r="K959" s="6" t="inlineStr">
        <is>
          <t>Eski sınıf arkadaşın da çarşıda esnafmış. 'O zaman da söz verip yapmamıştı' dedi.</t>
        </is>
      </c>
      <c r="L959" s="6" t="inlineStr"/>
      <c r="M959" s="5" t="inlineStr"/>
      <c r="N959" s="5" t="inlineStr"/>
      <c r="O959" s="6" t="inlineStr"/>
      <c r="P959" s="6" t="inlineStr"/>
      <c r="Q959" s="5" t="inlineStr"/>
      <c r="R959" s="5" t="inlineStr">
        <is>
          <t>baskan</t>
        </is>
      </c>
      <c r="S959" s="5" t="inlineStr"/>
      <c r="T959" s="5" t="inlineStr"/>
      <c r="U959" s="5" t="inlineStr"/>
      <c r="V959" s="5" t="inlineStr">
        <is>
          <t>esnaf-dernek-baskani</t>
        </is>
      </c>
      <c r="W959" s="5" t="inlineStr"/>
      <c r="X959" s="5" t="inlineStr"/>
      <c r="Y959" s="5" t="inlineStr"/>
      <c r="Z959" s="6" t="inlineStr"/>
    </row>
    <row r="960">
      <c r="A960" s="5" t="inlineStr">
        <is>
          <t>mm-ikinci-is-hayali</t>
        </is>
      </c>
      <c r="B960" s="5" t="n">
        <v>1</v>
      </c>
      <c r="C960" s="6" t="inlineStr">
        <is>
          <t>Planı deftere yaz</t>
        </is>
      </c>
      <c r="D960" s="5" t="inlineStr"/>
      <c r="E960" s="5" t="inlineStr"/>
      <c r="F960" s="5" t="inlineStr">
        <is>
          <t>Akıl +1, Vicdan +1</t>
        </is>
      </c>
      <c r="G960" s="6" t="inlineStr">
        <is>
          <t>Menü, kira, fiyat listesi. Defterin kapağında 'Emeklilik' yazıyor, ilk sayfasında tek kelime: 'Belki.'</t>
        </is>
      </c>
      <c r="H960" s="6" t="inlineStr"/>
      <c r="I960" s="6" t="inlineStr"/>
      <c r="J960" s="6" t="inlineStr"/>
      <c r="K960" s="6" t="inlineStr"/>
      <c r="L960" s="6" t="inlineStr"/>
      <c r="M960" s="5" t="inlineStr"/>
      <c r="N960" s="5" t="inlineStr"/>
      <c r="O960" s="6" t="inlineStr"/>
      <c r="P960" s="6" t="inlineStr"/>
      <c r="Q960" s="5" t="inlineStr"/>
      <c r="R960" s="5" t="inlineStr"/>
      <c r="S960" s="5" t="inlineStr"/>
      <c r="T960" s="5" t="inlineStr"/>
      <c r="U960" s="5" t="inlineStr">
        <is>
          <t>memur-ikinci-is</t>
        </is>
      </c>
      <c r="V960" s="5" t="inlineStr"/>
      <c r="W960" s="5" t="inlineStr"/>
      <c r="X960" s="5" t="inlineStr"/>
      <c r="Y960" s="5" t="inlineStr"/>
      <c r="Z960" s="6" t="inlineStr"/>
    </row>
    <row r="961">
      <c r="A961" s="5" t="inlineStr">
        <is>
          <t>mm-ikinci-is-hayali</t>
        </is>
      </c>
      <c r="B961" s="5" t="n">
        <v>2</v>
      </c>
      <c r="C961" s="6" t="inlineStr">
        <is>
          <t>Hafta sonları bir kafede çalış</t>
        </is>
      </c>
      <c r="D961" s="5" t="inlineStr">
        <is>
          <t>Dayanıklılık</t>
        </is>
      </c>
      <c r="E961" s="5" t="inlineStr">
        <is>
          <t>Orta</t>
        </is>
      </c>
      <c r="F961" s="5" t="inlineStr"/>
      <c r="G961" s="6" t="inlineStr"/>
      <c r="H961" s="6" t="inlineStr">
        <is>
          <t>Pazartesileri masanda uykulusun ama gelecek aydınlık.</t>
        </is>
      </c>
      <c r="I961" s="6" t="inlineStr">
        <is>
          <t>Kafe sahibi seni ortaklığa davet etti. Emekliliğe hazırlık hiç bu kadar lezzetli olmamıştı.</t>
        </is>
      </c>
      <c r="J961" s="6" t="inlineStr">
        <is>
          <t>İlk gün bir fincanı üç kez imzalamaya çalıştın. Refleks.</t>
        </is>
      </c>
      <c r="K961" s="6" t="inlineStr">
        <is>
          <t>Kafeye müdür geldi. Kahvesini sen getirdin. Pazartesi senden iki nüsha izin formu istedi.</t>
        </is>
      </c>
      <c r="L961" s="6" t="inlineStr"/>
      <c r="M961" s="5" t="inlineStr"/>
      <c r="N961" s="5" t="inlineStr"/>
      <c r="O961" s="6" t="inlineStr"/>
      <c r="P961" s="6" t="inlineStr"/>
      <c r="Q961" s="5" t="inlineStr"/>
      <c r="R961" s="5" t="inlineStr"/>
      <c r="S961" s="5" t="inlineStr"/>
      <c r="T961" s="5" t="inlineStr"/>
      <c r="U961" s="5" t="inlineStr"/>
      <c r="V961" s="5" t="inlineStr">
        <is>
          <t>memur-ikinci-is</t>
        </is>
      </c>
      <c r="W961" s="5" t="inlineStr">
        <is>
          <t>memur-mudur-dusmani</t>
        </is>
      </c>
      <c r="X961" s="5" t="inlineStr"/>
      <c r="Y961" s="5" t="inlineStr"/>
      <c r="Z961" s="6" t="inlineStr"/>
    </row>
    <row r="962">
      <c r="A962" s="5" t="inlineStr">
        <is>
          <t>mm-ikinci-is-hayali</t>
        </is>
      </c>
      <c r="B962" s="5" t="n">
        <v>3</v>
      </c>
      <c r="C962" s="6" t="inlineStr">
        <is>
          <t>İş planı çıkar</t>
        </is>
      </c>
      <c r="D962" s="5" t="inlineStr">
        <is>
          <t>Akıl</t>
        </is>
      </c>
      <c r="E962" s="5" t="inlineStr">
        <is>
          <t>Kolay</t>
        </is>
      </c>
      <c r="F962" s="5" t="inlineStr"/>
      <c r="G962" s="6" t="inlineStr"/>
      <c r="H962" s="6" t="inlineStr">
        <is>
          <t>Plan hazır. Banka 'Devlet maaşı güvenilirdir' dedi ve kredi ön onayı verdi.</t>
        </is>
      </c>
      <c r="I962" s="6" t="inlineStr">
        <is>
          <t>Planın o kadar sağlam ki bir kafe zinciri fikri satın almak istedi. Satmadın; hayal satılmaz.</t>
        </is>
      </c>
      <c r="J962" s="6" t="inlineStr">
        <is>
          <t>Planı bitirdin. Kira satırına gelince hesap makinesi kapandı. Pili değil, cesareti bitti.</t>
        </is>
      </c>
      <c r="K962" s="6" t="inlineStr">
        <is>
          <t>Planı performans formunun arkasına yazmışsın. Form arşive gitti, plan da.</t>
        </is>
      </c>
      <c r="L962" s="6" t="inlineStr"/>
      <c r="M962" s="5" t="inlineStr"/>
      <c r="N962" s="5" t="inlineStr"/>
      <c r="O962" s="6" t="inlineStr"/>
      <c r="P962" s="6" t="inlineStr"/>
      <c r="Q962" s="5" t="inlineStr">
        <is>
          <t>İş Modeli Kurar</t>
        </is>
      </c>
      <c r="R962" s="5" t="inlineStr"/>
      <c r="S962" s="5" t="inlineStr"/>
      <c r="T962" s="5" t="inlineStr"/>
      <c r="U962" s="5" t="inlineStr"/>
      <c r="V962" s="5" t="inlineStr">
        <is>
          <t>memur-ikinci-is</t>
        </is>
      </c>
      <c r="W962" s="5" t="inlineStr"/>
      <c r="X962" s="5" t="inlineStr"/>
      <c r="Y962" s="5" t="inlineStr"/>
      <c r="Z962" s="6" t="inlineStr"/>
    </row>
    <row r="963">
      <c r="A963" s="5" t="inlineStr">
        <is>
          <t>mm-ikinci-is-hayali</t>
        </is>
      </c>
      <c r="B963" s="5" t="n">
        <v>4</v>
      </c>
      <c r="C963" s="6" t="inlineStr">
        <is>
          <t>Hayalden vazgeç</t>
        </is>
      </c>
      <c r="D963" s="5" t="inlineStr"/>
      <c r="E963" s="5" t="inlineStr"/>
      <c r="F963" s="5" t="inlineStr">
        <is>
          <t>Dayanıklılık +1</t>
        </is>
      </c>
      <c r="G963" s="6" t="inlineStr">
        <is>
          <t>Menüyü atmadın ama çekmeceye koydun; tam performans formlarının altına.</t>
        </is>
      </c>
      <c r="H963" s="6" t="inlineStr"/>
      <c r="I963" s="6" t="inlineStr"/>
      <c r="J963" s="6" t="inlineStr"/>
      <c r="K963" s="6" t="inlineStr"/>
      <c r="L963" s="6" t="inlineStr"/>
      <c r="M963" s="5" t="inlineStr"/>
      <c r="N963" s="5" t="inlineStr"/>
      <c r="O963" s="6" t="inlineStr"/>
      <c r="P963" s="6" t="inlineStr"/>
      <c r="Q963" s="5" t="inlineStr"/>
      <c r="R963" s="5" t="inlineStr"/>
      <c r="S963" s="5" t="inlineStr"/>
      <c r="T963" s="5" t="inlineStr"/>
      <c r="U963" s="5" t="inlineStr"/>
      <c r="V963" s="5" t="inlineStr"/>
      <c r="W963" s="5" t="inlineStr"/>
      <c r="X963" s="5" t="inlineStr"/>
      <c r="Y963" s="5" t="inlineStr"/>
      <c r="Z963" s="6" t="inlineStr"/>
    </row>
    <row r="964">
      <c r="A964" s="5" t="inlineStr">
        <is>
          <t>b8-cocuk-fenomen</t>
        </is>
      </c>
      <c r="B964" s="5" t="n">
        <v>1</v>
      </c>
      <c r="C964" s="6" t="inlineStr">
        <is>
          <t>Rolü kabul et, yeni bölüm çek</t>
        </is>
      </c>
      <c r="D964" s="5" t="inlineStr">
        <is>
          <t>Pişkinlik</t>
        </is>
      </c>
      <c r="E964" s="5" t="inlineStr">
        <is>
          <t>Orta</t>
        </is>
      </c>
      <c r="F964" s="5" t="inlineStr"/>
      <c r="G964" s="6" t="inlineStr"/>
      <c r="H964" s="6" t="inlineStr">
        <is>
          <t>Yeni bölüm: 'Ebeveynim yazıcıyla konuşuyor.' Hayran sayfası açıldı.</t>
        </is>
      </c>
      <c r="I964" s="6" t="inlineStr">
        <is>
          <t>Bir reklam anlaşması geldi. Çocuğun seni menajer olarak işe aldı; maaşını ilk kez o veriyor.</t>
        </is>
      </c>
      <c r="J964" s="6" t="inlineStr">
        <is>
          <t>Kamera karşısında doğal olamadın. Yorumlar: 'Senaryolu.'</t>
        </is>
      </c>
      <c r="K964" s="6" t="inlineStr">
        <is>
          <t>Çekimde yazıcıyla gerçekten kavga ettin. Video bu sefer gerçekten patladı; yazıcı da.</t>
        </is>
      </c>
      <c r="L964" s="6" t="inlineStr"/>
      <c r="M964" s="5" t="inlineStr"/>
      <c r="N964" s="5" t="inlineStr"/>
      <c r="O964" s="6" t="inlineStr"/>
      <c r="P964" s="6" t="inlineStr"/>
      <c r="Q964" s="5" t="inlineStr"/>
      <c r="R964" s="5" t="inlineStr"/>
      <c r="S964" s="5" t="inlineStr"/>
      <c r="T964" s="5" t="inlineStr"/>
      <c r="U964" s="5" t="inlineStr"/>
      <c r="V964" s="5" t="inlineStr"/>
      <c r="W964" s="5" t="inlineStr"/>
      <c r="X964" s="5" t="inlineStr"/>
      <c r="Y964" s="5" t="inlineStr"/>
      <c r="Z964" s="6" t="inlineStr"/>
    </row>
    <row r="965">
      <c r="A965" s="5" t="inlineStr">
        <is>
          <t>b8-cocuk-fenomen</t>
        </is>
      </c>
      <c r="B965" s="5" t="n">
        <v>2</v>
      </c>
      <c r="C965" s="6" t="inlineStr">
        <is>
          <t>Videonun kaldırılmasını iste</t>
        </is>
      </c>
      <c r="D965" s="5" t="inlineStr">
        <is>
          <t>Çene</t>
        </is>
      </c>
      <c r="E965" s="5" t="inlineStr">
        <is>
          <t>Zor</t>
        </is>
      </c>
      <c r="F965" s="5" t="inlineStr"/>
      <c r="G965" s="6" t="inlineStr"/>
      <c r="H965" s="6" t="inlineStr">
        <is>
          <t>Videoyu kaldırdı. Yerine 'Ebeveynim videoyu kaldırttı' videosunu çekti. Daha çok izlendi.</t>
        </is>
      </c>
      <c r="I965" s="6" t="inlineStr">
        <is>
          <t>Kaldırdı ve özür diledi. Sonra birlikte bir kural listesi yazdınız. Liste de viral oldu.</t>
        </is>
      </c>
      <c r="J965" s="6" t="inlineStr">
        <is>
          <t>Kaldırmadı; 'Özgür sanat' dedi. Sanatın konusu sensin.</t>
        </is>
      </c>
      <c r="K965" s="6" t="inlineStr">
        <is>
          <t>Konuşmanı gizlice çekmiş. Yeni video: 'Ebeveynim video hakkında konuşuyor.' Seri üçüncü sezonunda.</t>
        </is>
      </c>
      <c r="L965" s="6" t="inlineStr"/>
      <c r="M965" s="5" t="inlineStr"/>
      <c r="N965" s="5" t="inlineStr"/>
      <c r="O965" s="6" t="inlineStr"/>
      <c r="P965" s="6" t="inlineStr"/>
      <c r="Q965" s="5" t="inlineStr"/>
      <c r="R965" s="5" t="inlineStr"/>
      <c r="S965" s="5" t="inlineStr"/>
      <c r="T965" s="5" t="inlineStr">
        <is>
          <t>Sözünü Geçirir</t>
        </is>
      </c>
      <c r="U965" s="5" t="inlineStr"/>
      <c r="V965" s="5" t="inlineStr"/>
      <c r="W965" s="5" t="inlineStr"/>
      <c r="X965" s="5" t="inlineStr"/>
      <c r="Y965" s="5" t="inlineStr"/>
      <c r="Z965" s="6" t="inlineStr"/>
    </row>
    <row r="966">
      <c r="A966" s="5" t="inlineStr">
        <is>
          <t>b8-cocuk-fenomen</t>
        </is>
      </c>
      <c r="B966" s="5" t="n">
        <v>3</v>
      </c>
      <c r="C966" s="6" t="inlineStr">
        <is>
          <t>Yorumları okumadan yaşa</t>
        </is>
      </c>
      <c r="D966" s="5" t="inlineStr"/>
      <c r="E966" s="5" t="inlineStr"/>
      <c r="F966" s="5" t="inlineStr">
        <is>
          <t>Dayanıklılık +2</t>
        </is>
      </c>
      <c r="G966" s="6" t="inlineStr">
        <is>
          <t>Hiçbir yorumu okumadın. Markette biri seni tanıdı ve yazıcını sordu. Yazıcın iyi.</t>
        </is>
      </c>
      <c r="H966" s="6" t="inlineStr"/>
      <c r="I966" s="6" t="inlineStr"/>
      <c r="J966" s="6" t="inlineStr"/>
      <c r="K966" s="6" t="inlineStr"/>
      <c r="L966" s="6" t="inlineStr"/>
      <c r="M966" s="5" t="inlineStr"/>
      <c r="N966" s="5" t="inlineStr"/>
      <c r="O966" s="6" t="inlineStr"/>
      <c r="P966" s="6" t="inlineStr"/>
      <c r="Q966" s="5" t="inlineStr"/>
      <c r="R966" s="5" t="inlineStr"/>
      <c r="S966" s="5" t="inlineStr"/>
      <c r="T966" s="5" t="inlineStr"/>
      <c r="U966" s="5" t="inlineStr"/>
      <c r="V966" s="5" t="inlineStr"/>
      <c r="W966" s="5" t="inlineStr"/>
      <c r="X966" s="5" t="inlineStr"/>
      <c r="Y966" s="5" t="inlineStr"/>
      <c r="Z966" s="6" t="inlineStr"/>
    </row>
    <row r="967">
      <c r="A967" s="5" t="inlineStr">
        <is>
          <t>b8-cocuk-fenomen</t>
        </is>
      </c>
      <c r="B967" s="5" t="n">
        <v>4</v>
      </c>
      <c r="C967" s="6" t="inlineStr">
        <is>
          <t>Eski hesabını aç, düello yap</t>
        </is>
      </c>
      <c r="D967" s="5" t="inlineStr">
        <is>
          <t>Pişkinlik</t>
        </is>
      </c>
      <c r="E967" s="5" t="inlineStr">
        <is>
          <t>Kolay</t>
        </is>
      </c>
      <c r="F967" s="5" t="inlineStr"/>
      <c r="G967" s="6" t="inlineStr"/>
      <c r="H967" s="6" t="inlineStr">
        <is>
          <t>Kendi eski hesabından cevap videosu çektin. Takipçiler ikiye bölündü; aile içi derbi başladı.</t>
        </is>
      </c>
      <c r="I967" s="6" t="inlineStr">
        <is>
          <t>Düello videonuz ikinizinkinden de çok izlendi. Ortak hesap açıldı; tapu gibi, yarı yarıya.</t>
        </is>
      </c>
      <c r="J967" s="6" t="inlineStr">
        <is>
          <t>Eski hesabının şifresini hatırlayamadın. Şifre sıfırlama e-postası, kapanmış bir adrese gitti.</t>
        </is>
      </c>
      <c r="K967" s="6" t="inlineStr">
        <is>
          <t>Cevap videon çocuğun videosundan az izlendi. Çocuğun videosu: 'Ebeveynim benimle yarışıyor.'</t>
        </is>
      </c>
      <c r="L967" s="6" t="inlineStr"/>
      <c r="M967" s="5" t="inlineStr"/>
      <c r="N967" s="5" t="inlineStr"/>
      <c r="O967" s="6" t="inlineStr"/>
      <c r="P967" s="6" t="inlineStr"/>
      <c r="Q967" s="5" t="inlineStr"/>
      <c r="R967" s="5" t="inlineStr">
        <is>
          <t>fenomen</t>
        </is>
      </c>
      <c r="S967" s="5" t="inlineStr"/>
      <c r="T967" s="5" t="inlineStr"/>
      <c r="U967" s="5" t="inlineStr"/>
      <c r="V967" s="5" t="inlineStr"/>
      <c r="W967" s="5" t="inlineStr"/>
      <c r="X967" s="5" t="inlineStr"/>
      <c r="Y967" s="5" t="inlineStr"/>
      <c r="Z967" s="6" t="inlineStr"/>
    </row>
    <row r="968">
      <c r="A968" s="5" t="inlineStr">
        <is>
          <t>b8-yapay-zeka-egitimi</t>
        </is>
      </c>
      <c r="B968" s="5" t="n">
        <v>1</v>
      </c>
      <c r="C968" s="6" t="inlineStr">
        <is>
          <t>Not al, sessizce öğren</t>
        </is>
      </c>
      <c r="D968" s="5" t="inlineStr"/>
      <c r="E968" s="5" t="inlineStr"/>
      <c r="F968" s="5" t="inlineStr">
        <is>
          <t>Akıl +1, Dayanıklılık +1</t>
        </is>
      </c>
      <c r="G968" s="6" t="inlineStr">
        <is>
          <t>Not aldın. Eğitim sonunda yapay zekâya bir e-posta yazdırdın. E-posta senden daha kibar.</t>
        </is>
      </c>
      <c r="H968" s="6" t="inlineStr"/>
      <c r="I968" s="6" t="inlineStr"/>
      <c r="J968" s="6" t="inlineStr"/>
      <c r="K968" s="6" t="inlineStr"/>
      <c r="L968" s="6" t="inlineStr"/>
      <c r="M968" s="5" t="inlineStr"/>
      <c r="N968" s="5" t="inlineStr"/>
      <c r="O968" s="6" t="inlineStr"/>
      <c r="P968" s="6" t="inlineStr"/>
      <c r="Q968" s="5" t="inlineStr"/>
      <c r="R968" s="5" t="inlineStr"/>
      <c r="S968" s="5" t="inlineStr"/>
      <c r="T968" s="5" t="inlineStr"/>
      <c r="U968" s="5" t="inlineStr"/>
      <c r="V968" s="5" t="inlineStr"/>
      <c r="W968" s="5" t="inlineStr"/>
      <c r="X968" s="5" t="inlineStr"/>
      <c r="Y968" s="5" t="inlineStr"/>
      <c r="Z968" s="6" t="inlineStr"/>
    </row>
    <row r="969">
      <c r="A969" s="5" t="inlineStr">
        <is>
          <t>b8-yapay-zeka-egitimi</t>
        </is>
      </c>
      <c r="B969" s="5" t="n">
        <v>2</v>
      </c>
      <c r="C969" s="6" t="inlineStr">
        <is>
          <t>Yapay zekâya tüm işini yaptır</t>
        </is>
      </c>
      <c r="D969" s="5" t="inlineStr">
        <is>
          <t>Kurnazlık</t>
        </is>
      </c>
      <c r="E969" s="5" t="inlineStr">
        <is>
          <t>Orta</t>
        </is>
      </c>
      <c r="F969" s="5" t="inlineStr"/>
      <c r="G969" s="6" t="inlineStr"/>
      <c r="H969" s="6" t="inlineStr">
        <is>
          <t>Haftalık raporu yapay zekâ yazdı. Müdür 'Bu hafta çok iyi yazmışsın' dedi. Teşekkür ettin; ikiniz adına.</t>
        </is>
      </c>
      <c r="I969" s="6" t="inlineStr">
        <is>
          <t>Bütün işini otomatikleştirdin. Artık günde iki saat çalışıp altı saat 'strateji' yapıyorsun.</t>
        </is>
      </c>
      <c r="J969" s="6" t="inlineStr">
        <is>
          <t>Rapor fazla kusursuz çıktı. Müdür 'Bunu sen mi yazdın?' diye sordu. Yalan söylemek için bile yardım istedin.</t>
        </is>
      </c>
      <c r="K969" s="6" t="inlineStr">
        <is>
          <t>Yapay zekâ raporuna bir şiir ekledi. Rapor yönetim kuruluna gitti. Şiir de.</t>
        </is>
      </c>
      <c r="L969" s="6" t="inlineStr"/>
      <c r="M969" s="5" t="inlineStr"/>
      <c r="N969" s="5" t="inlineStr"/>
      <c r="O969" s="6" t="inlineStr"/>
      <c r="P969" s="6" t="inlineStr"/>
      <c r="Q969" s="5" t="inlineStr"/>
      <c r="R969" s="5" t="inlineStr"/>
      <c r="S969" s="5" t="inlineStr"/>
      <c r="T969" s="5" t="inlineStr"/>
      <c r="U969" s="5" t="inlineStr"/>
      <c r="V969" s="5" t="inlineStr"/>
      <c r="W969" s="5" t="inlineStr"/>
      <c r="X969" s="5" t="inlineStr"/>
      <c r="Y969" s="5" t="inlineStr"/>
      <c r="Z969" s="6" t="inlineStr"/>
    </row>
    <row r="970">
      <c r="A970" s="5" t="inlineStr">
        <is>
          <t>b8-yapay-zeka-egitimi</t>
        </is>
      </c>
      <c r="B970" s="5" t="n">
        <v>3</v>
      </c>
      <c r="C970" s="6" t="inlineStr">
        <is>
          <t>Eğitmene faksı anlat</t>
        </is>
      </c>
      <c r="D970" s="5" t="inlineStr">
        <is>
          <t>Çene</t>
        </is>
      </c>
      <c r="E970" s="5" t="inlineStr">
        <is>
          <t>Kolay</t>
        </is>
      </c>
      <c r="F970" s="5" t="inlineStr"/>
      <c r="G970" s="6" t="inlineStr"/>
      <c r="H970" s="6" t="inlineStr">
        <is>
          <t>Eğitmen merakla dinledi. Karşılığında sana her şeyi yeniden anlattı.</t>
        </is>
      </c>
      <c r="I970" s="6" t="inlineStr">
        <is>
          <t>Faks hikâyen o kadar ilgi gördü ki şirket içi 'Eski Teknolojiler' semineri istendi. Konuşmacı: sen.</t>
        </is>
      </c>
      <c r="J970" s="6" t="inlineStr">
        <is>
          <t>Eğitmen 'Faks bir tür sosyal medya mı?' diye sordu. Cevap veremedin.</t>
        </is>
      </c>
      <c r="K970" s="6" t="inlineStr">
        <is>
          <t>Anlatırken 'Bizim zamanımızda' dedin. Eğitim sonu anketinde adın geçiyor.</t>
        </is>
      </c>
      <c r="L970" s="6" t="inlineStr"/>
      <c r="M970" s="5" t="inlineStr"/>
      <c r="N970" s="5" t="inlineStr"/>
      <c r="O970" s="6" t="inlineStr"/>
      <c r="P970" s="6" t="inlineStr"/>
      <c r="Q970" s="5" t="inlineStr"/>
      <c r="R970" s="5" t="inlineStr"/>
      <c r="S970" s="5" t="inlineStr"/>
      <c r="T970" s="5" t="inlineStr"/>
      <c r="U970" s="5" t="inlineStr"/>
      <c r="V970" s="5" t="inlineStr"/>
      <c r="W970" s="5" t="inlineStr"/>
      <c r="X970" s="5" t="inlineStr"/>
      <c r="Y970" s="5" t="inlineStr"/>
      <c r="Z970" s="6" t="inlineStr"/>
    </row>
    <row r="971">
      <c r="A971" s="5" t="inlineStr">
        <is>
          <t>b8-yapay-zeka-egitimi</t>
        </is>
      </c>
      <c r="B971" s="5" t="n">
        <v>4</v>
      </c>
      <c r="C971" s="6" t="inlineStr">
        <is>
          <t>Eğitmene soru yağdır</t>
        </is>
      </c>
      <c r="D971" s="5" t="inlineStr">
        <is>
          <t>Akıl</t>
        </is>
      </c>
      <c r="E971" s="5" t="inlineStr">
        <is>
          <t>Zor</t>
        </is>
      </c>
      <c r="F971" s="5" t="inlineStr"/>
      <c r="G971" s="6" t="inlineStr"/>
      <c r="H971" s="6" t="inlineStr">
        <is>
          <t>Sorularının yarısına cevap verildi. Diğer yarısı eğitmenin gece ödevi oldu.</t>
        </is>
      </c>
      <c r="I971" s="6" t="inlineStr">
        <is>
          <t>Eğitmen 'Beni siz eğitiyorsunuz' dedi. Şirketin yapay zekâ çalışma grubuna seçildin.</t>
        </is>
      </c>
      <c r="J971" s="6" t="inlineStr">
        <is>
          <t>Sorular teknikti, cevaplar daha teknikti. Eğitim uzadı; öğle yemeği kısaldı.</t>
        </is>
      </c>
      <c r="K971" s="6" t="inlineStr">
        <is>
          <t>Soru sorarken yapay zekâ senin sorunu senin yerine cevapladı. Yanlış cevapladı. Sen de onayladın.</t>
        </is>
      </c>
      <c r="L971" s="6" t="inlineStr"/>
      <c r="M971" s="5" t="inlineStr"/>
      <c r="N971" s="5" t="inlineStr"/>
      <c r="O971" s="6" t="inlineStr"/>
      <c r="P971" s="6" t="inlineStr"/>
      <c r="Q971" s="5" t="inlineStr">
        <is>
          <t>Teknoloji Merakı</t>
        </is>
      </c>
      <c r="R971" s="5" t="inlineStr"/>
      <c r="S971" s="5" t="inlineStr"/>
      <c r="T971" s="5" t="inlineStr"/>
      <c r="U971" s="5" t="inlineStr"/>
      <c r="V971" s="5" t="inlineStr"/>
      <c r="W971" s="5" t="inlineStr"/>
      <c r="X971" s="5" t="inlineStr"/>
      <c r="Y971" s="5" t="inlineStr"/>
      <c r="Z971" s="6" t="inlineStr"/>
    </row>
    <row r="972">
      <c r="A972" s="5" t="inlineStr">
        <is>
          <t>b8-emeklilik-hesabi</t>
        </is>
      </c>
      <c r="B972" s="5" t="n">
        <v>1</v>
      </c>
      <c r="C972" s="6" t="inlineStr">
        <is>
          <t>Bir yıl sonra yeniden hesapla</t>
        </is>
      </c>
      <c r="D972" s="5" t="inlineStr"/>
      <c r="E972" s="5" t="inlineStr"/>
      <c r="F972" s="5" t="inlineStr">
        <is>
          <t>Dayanıklılık +1</t>
        </is>
      </c>
      <c r="G972" s="6" t="inlineStr">
        <is>
          <t>Bir yıl sonra yeniden hesapladın. Sonuç: 'Bir yıl sonra yeniden hesaplayın.'</t>
        </is>
      </c>
      <c r="H972" s="6" t="inlineStr"/>
      <c r="I972" s="6" t="inlineStr"/>
      <c r="J972" s="6" t="inlineStr"/>
      <c r="K972" s="6" t="inlineStr"/>
      <c r="L972" s="6" t="inlineStr"/>
      <c r="M972" s="5" t="inlineStr"/>
      <c r="N972" s="5" t="inlineStr"/>
      <c r="O972" s="6" t="inlineStr"/>
      <c r="P972" s="6" t="inlineStr"/>
      <c r="Q972" s="5" t="inlineStr"/>
      <c r="R972" s="5" t="inlineStr"/>
      <c r="S972" s="5" t="inlineStr"/>
      <c r="T972" s="5" t="inlineStr"/>
      <c r="U972" s="5" t="inlineStr"/>
      <c r="V972" s="5" t="inlineStr"/>
      <c r="W972" s="5" t="inlineStr"/>
      <c r="X972" s="5" t="inlineStr"/>
      <c r="Y972" s="5" t="inlineStr"/>
      <c r="Z972" s="6" t="inlineStr"/>
    </row>
    <row r="973">
      <c r="A973" s="5" t="inlineStr">
        <is>
          <t>b8-emeklilik-hesabi</t>
        </is>
      </c>
      <c r="B973" s="5" t="n">
        <v>2</v>
      </c>
      <c r="C973" s="6" t="inlineStr">
        <is>
          <t>Hizmet dökümünü satır satır incele</t>
        </is>
      </c>
      <c r="D973" s="5" t="inlineStr">
        <is>
          <t>Akıl</t>
        </is>
      </c>
      <c r="E973" s="5" t="inlineStr">
        <is>
          <t>Orta</t>
        </is>
      </c>
      <c r="F973" s="5" t="inlineStr"/>
      <c r="G973" s="6" t="inlineStr"/>
      <c r="H973" s="6" t="inlineStr">
        <is>
          <t>Eksik yüz gün buldun. Eski bir işverenin bildirmemiş. Dilekçe gönderildi; gün geri geldi.</t>
        </is>
      </c>
      <c r="I973" s="6" t="inlineStr">
        <is>
          <t>Dökümdeki üç hatayı düzelttirdin. Emeklilik tarihin bir yıl öne çekildi. Anlatıcı bile şaşırdı.</t>
        </is>
      </c>
      <c r="J973" s="6" t="inlineStr">
        <is>
          <t>Dökümü inceledin; bir şey anlamadın. Anlamamak da bir sonuç.</t>
        </is>
      </c>
      <c r="K973" s="6" t="inlineStr">
        <is>
          <t>İnceledin ve fazla gün buldun. Kurum düzeltti; bu kez senin aleyhine.</t>
        </is>
      </c>
      <c r="L973" s="6" t="inlineStr"/>
      <c r="M973" s="5" t="inlineStr"/>
      <c r="N973" s="5" t="inlineStr"/>
      <c r="O973" s="6" t="inlineStr"/>
      <c r="P973" s="6" t="inlineStr"/>
      <c r="Q973" s="5" t="inlineStr"/>
      <c r="R973" s="5" t="inlineStr"/>
      <c r="S973" s="5" t="inlineStr"/>
      <c r="T973" s="5" t="inlineStr"/>
      <c r="U973" s="5" t="inlineStr"/>
      <c r="V973" s="5" t="inlineStr"/>
      <c r="W973" s="5" t="inlineStr"/>
      <c r="X973" s="5" t="inlineStr"/>
      <c r="Y973" s="5" t="inlineStr"/>
      <c r="Z973" s="6" t="inlineStr"/>
    </row>
    <row r="974">
      <c r="A974" s="5" t="inlineStr">
        <is>
          <t>b8-emeklilik-hesabi</t>
        </is>
      </c>
      <c r="B974" s="5" t="n">
        <v>3</v>
      </c>
      <c r="C974" s="6" t="inlineStr">
        <is>
          <t>Askerlik borçlanması yap</t>
        </is>
      </c>
      <c r="D974" s="5" t="inlineStr"/>
      <c r="E974" s="5" t="inlineStr"/>
      <c r="F974" s="5" t="inlineStr">
        <is>
          <t>Kurnazlık +2</t>
        </is>
      </c>
      <c r="G974" s="6" t="inlineStr">
        <is>
          <t>Askerlik süreni borçlanarak prim gününe ekledin. Kışla günleri nihayet işe yaradı: dört ay erken emeklilik.</t>
        </is>
      </c>
      <c r="H974" s="6" t="inlineStr"/>
      <c r="I974" s="6" t="inlineStr"/>
      <c r="J974" s="6" t="inlineStr"/>
      <c r="K974" s="6" t="inlineStr"/>
      <c r="L974" s="6" t="inlineStr"/>
      <c r="M974" s="5" t="inlineStr"/>
      <c r="N974" s="5" t="inlineStr"/>
      <c r="O974" s="6" t="inlineStr"/>
      <c r="P974" s="6" t="inlineStr"/>
      <c r="Q974" s="5" t="inlineStr"/>
      <c r="R974" s="5" t="inlineStr">
        <is>
          <t>askerlik-yapti</t>
        </is>
      </c>
      <c r="S974" s="5" t="inlineStr"/>
      <c r="T974" s="5" t="inlineStr"/>
      <c r="U974" s="5" t="inlineStr"/>
      <c r="V974" s="5" t="inlineStr"/>
      <c r="W974" s="5" t="inlineStr"/>
      <c r="X974" s="5" t="inlineStr"/>
      <c r="Y974" s="5" t="inlineStr"/>
      <c r="Z974" s="6" t="inlineStr"/>
    </row>
    <row r="975">
      <c r="A975" s="5" t="inlineStr">
        <is>
          <t>b8-emeklilik-hesabi</t>
        </is>
      </c>
      <c r="B975" s="5" t="n">
        <v>4</v>
      </c>
      <c r="C975" s="6" t="inlineStr">
        <is>
          <t>Yastık altını say</t>
        </is>
      </c>
      <c r="D975" s="5" t="inlineStr">
        <is>
          <t>Kurnazlık</t>
        </is>
      </c>
      <c r="E975" s="5" t="inlineStr">
        <is>
          <t>Kolay</t>
        </is>
      </c>
      <c r="F975" s="5" t="inlineStr"/>
      <c r="G975" s="6" t="inlineStr"/>
      <c r="H975" s="6" t="inlineStr">
        <is>
          <t>Yastık altı tahmininden fazla çıktı. Emeklilik planı B hazır.</t>
        </is>
      </c>
      <c r="I975" s="6" t="inlineStr">
        <is>
          <t>Yastık altında unuttuğun bir zarf daha buldun. Plan B, plan A'yı geçti.</t>
        </is>
      </c>
      <c r="J975" s="6" t="inlineStr">
        <is>
          <t>Saydın; enflasyon senden önce saymış.</t>
        </is>
      </c>
      <c r="K975" s="6" t="inlineStr">
        <is>
          <t>Saydın; yastık altındakiler artık tedavülde değil. Nostaljik değerleri var.</t>
        </is>
      </c>
      <c r="L975" s="6" t="inlineStr"/>
      <c r="M975" s="5" t="inlineStr"/>
      <c r="N975" s="5" t="inlineStr"/>
      <c r="O975" s="6" t="inlineStr"/>
      <c r="P975" s="6" t="inlineStr"/>
      <c r="Q975" s="5" t="inlineStr">
        <is>
          <t>Yastık Altı Ekonomisti</t>
        </is>
      </c>
      <c r="R975" s="5" t="inlineStr"/>
      <c r="S975" s="5" t="inlineStr"/>
      <c r="T975" s="5" t="inlineStr"/>
      <c r="U975" s="5" t="inlineStr"/>
      <c r="V975" s="5" t="inlineStr"/>
      <c r="W975" s="5" t="inlineStr"/>
      <c r="X975" s="5" t="inlineStr"/>
      <c r="Y975" s="5" t="inlineStr"/>
      <c r="Z975" s="6" t="inlineStr"/>
    </row>
    <row r="976">
      <c r="A976" s="5" t="inlineStr">
        <is>
          <t>b8-bos-yuva</t>
        </is>
      </c>
      <c r="B976" s="5" t="n">
        <v>1</v>
      </c>
      <c r="C976" s="6" t="inlineStr">
        <is>
          <t>Odayı olduğu gibi bırak</t>
        </is>
      </c>
      <c r="D976" s="5" t="inlineStr"/>
      <c r="E976" s="5" t="inlineStr"/>
      <c r="F976" s="5" t="inlineStr">
        <is>
          <t>Vicdan +2</t>
        </is>
      </c>
      <c r="G976" s="6" t="inlineStr">
        <is>
          <t>Odaya dokunmadın. Ara sıra girip yatağın kenarına oturuyorsun. Oda da sana alıştı.</t>
        </is>
      </c>
      <c r="H976" s="6" t="inlineStr"/>
      <c r="I976" s="6" t="inlineStr"/>
      <c r="J976" s="6" t="inlineStr"/>
      <c r="K976" s="6" t="inlineStr"/>
      <c r="L976" s="6" t="inlineStr"/>
      <c r="M976" s="5" t="inlineStr"/>
      <c r="N976" s="5" t="inlineStr"/>
      <c r="O976" s="6" t="inlineStr"/>
      <c r="P976" s="6" t="inlineStr"/>
      <c r="Q976" s="5" t="inlineStr"/>
      <c r="R976" s="5" t="inlineStr"/>
      <c r="S976" s="5" t="inlineStr"/>
      <c r="T976" s="5" t="inlineStr"/>
      <c r="U976" s="5" t="inlineStr"/>
      <c r="V976" s="5" t="inlineStr"/>
      <c r="W976" s="5" t="inlineStr"/>
      <c r="X976" s="5" t="inlineStr"/>
      <c r="Y976" s="5" t="inlineStr"/>
      <c r="Z976" s="6" t="inlineStr"/>
    </row>
    <row r="977">
      <c r="A977" s="5" t="inlineStr">
        <is>
          <t>b8-bos-yuva</t>
        </is>
      </c>
      <c r="B977" s="5" t="n">
        <v>2</v>
      </c>
      <c r="C977" s="6" t="inlineStr">
        <is>
          <t>Hobi odasına çevir</t>
        </is>
      </c>
      <c r="D977" s="5" t="inlineStr">
        <is>
          <t>Kurnazlık</t>
        </is>
      </c>
      <c r="E977" s="5" t="inlineStr">
        <is>
          <t>Orta</t>
        </is>
      </c>
      <c r="F977" s="5" t="inlineStr"/>
      <c r="G977" s="6" t="inlineStr"/>
      <c r="H977" s="6" t="inlineStr">
        <is>
          <t>Oda hobi odası oldu. Çocuk tatilde gelip 'Benim odam nerede?' dedi. Salonda.</t>
        </is>
      </c>
      <c r="I977" s="6" t="inlineStr">
        <is>
          <t>Oda öyle güzel oldu ki çocuk tatilde gelip orada kalmak istedi. Kiralık olarak değerlendiriliyor.</t>
        </is>
      </c>
      <c r="J977" s="6" t="inlineStr">
        <is>
          <t>Hobi malzemeleri geldi. Oda artık bir depo; hobi hâlâ gelmedi.</t>
        </is>
      </c>
      <c r="K977" s="6" t="inlineStr">
        <is>
          <t>Çocuk dönem arası geldi ve eşyalarını bir kolide buldu. Aile içi bir değerlendirme toplantısı yapıldı.</t>
        </is>
      </c>
      <c r="L977" s="6" t="inlineStr"/>
      <c r="M977" s="5" t="inlineStr"/>
      <c r="N977" s="5" t="inlineStr"/>
      <c r="O977" s="6" t="inlineStr"/>
      <c r="P977" s="6" t="inlineStr"/>
      <c r="Q977" s="5" t="inlineStr"/>
      <c r="R977" s="5" t="inlineStr"/>
      <c r="S977" s="5" t="inlineStr"/>
      <c r="T977" s="5" t="inlineStr"/>
      <c r="U977" s="5" t="inlineStr"/>
      <c r="V977" s="5" t="inlineStr"/>
      <c r="W977" s="5" t="inlineStr"/>
      <c r="X977" s="5" t="inlineStr"/>
      <c r="Y977" s="5" t="inlineStr"/>
      <c r="Z977" s="6" t="inlineStr"/>
    </row>
    <row r="978">
      <c r="A978" s="5" t="inlineStr">
        <is>
          <t>b8-bos-yuva</t>
        </is>
      </c>
      <c r="B978" s="5" t="n">
        <v>3</v>
      </c>
      <c r="C978" s="6" t="inlineStr">
        <is>
          <t>Her gün görüntülü ara</t>
        </is>
      </c>
      <c r="D978" s="5" t="inlineStr">
        <is>
          <t>Sosyal Radar</t>
        </is>
      </c>
      <c r="E978" s="5" t="inlineStr">
        <is>
          <t>Kolay</t>
        </is>
      </c>
      <c r="F978" s="5" t="inlineStr"/>
      <c r="G978" s="6" t="inlineStr"/>
      <c r="H978" s="6" t="inlineStr">
        <is>
          <t>Haftada üç arama. Çocuk telefonu açıyor; bazen gülümsüyor bile.</t>
        </is>
      </c>
      <c r="I978" s="6" t="inlineStr">
        <is>
          <t>Aramaların arasına doğru boşlukları koydun. Çocuk seni kendisi aramaya başladı.</t>
        </is>
      </c>
      <c r="J978" s="6" t="inlineStr">
        <is>
          <t>Her gün aradın. Çocuk artık 'Toplantıdayım' mesajıyla cevap veriyor. Öğrencinin toplantısı yok.</t>
        </is>
      </c>
      <c r="K978" s="6" t="inlineStr">
        <is>
          <t>Görüntülü aradın; ekranda ev arkadaşları vardı. Artık onlar da sana 'Nasılsınız?' diyor.</t>
        </is>
      </c>
      <c r="L978" s="6" t="inlineStr"/>
      <c r="M978" s="5" t="inlineStr"/>
      <c r="N978" s="5" t="inlineStr"/>
      <c r="O978" s="6" t="inlineStr"/>
      <c r="P978" s="6" t="inlineStr"/>
      <c r="Q978" s="5" t="inlineStr"/>
      <c r="R978" s="5" t="inlineStr"/>
      <c r="S978" s="5" t="inlineStr"/>
      <c r="T978" s="5" t="inlineStr"/>
      <c r="U978" s="5" t="inlineStr"/>
      <c r="V978" s="5" t="inlineStr"/>
      <c r="W978" s="5" t="inlineStr"/>
      <c r="X978" s="5" t="inlineStr"/>
      <c r="Y978" s="5" t="inlineStr"/>
      <c r="Z978" s="6" t="inlineStr"/>
    </row>
    <row r="979">
      <c r="A979" s="5" t="inlineStr">
        <is>
          <t>b8-bos-yuva</t>
        </is>
      </c>
      <c r="B979" s="5" t="n">
        <v>4</v>
      </c>
      <c r="C979" s="6" t="inlineStr">
        <is>
          <t>Bir tabağı gizlice odaya koy</t>
        </is>
      </c>
      <c r="D979" s="5" t="inlineStr">
        <is>
          <t>Pişkinlik</t>
        </is>
      </c>
      <c r="E979" s="5" t="inlineStr">
        <is>
          <t>Kolay</t>
        </is>
      </c>
      <c r="F979" s="5" t="inlineStr"/>
      <c r="G979" s="6" t="inlineStr"/>
      <c r="H979" s="6" t="inlineStr">
        <is>
          <t>Tabağı koydun. Oda eski hâline döndü gibi oldu. Kimse bilmiyor; sen biliyorsun.</t>
        </is>
      </c>
      <c r="I979" s="6" t="inlineStr">
        <is>
          <t>Çocuk tatilde geldi, tabağı gördü, güldü: 'Hâlâ burada mı?' Kucaklaşma protokolü uygulandı.</t>
        </is>
      </c>
      <c r="J979" s="6" t="inlineStr">
        <is>
          <t>Tabağı koydun; eşin kaldırdı. İkinci tabak yolda.</t>
        </is>
      </c>
      <c r="K979" s="6" t="inlineStr">
        <is>
          <t>Tabağı koydun, unuttun. Üç hafta sonra yeniden kayıp tabak arıyorsun. Çember tamamlandı.</t>
        </is>
      </c>
      <c r="L979" s="6" t="inlineStr"/>
      <c r="M979" s="5" t="inlineStr"/>
      <c r="N979" s="5" t="inlineStr"/>
      <c r="O979" s="6" t="inlineStr"/>
      <c r="P979" s="6" t="inlineStr"/>
      <c r="Q979" s="5" t="inlineStr"/>
      <c r="R979" s="5" t="inlineStr"/>
      <c r="S979" s="5" t="inlineStr"/>
      <c r="T979" s="5" t="inlineStr"/>
      <c r="U979" s="5" t="inlineStr"/>
      <c r="V979" s="5" t="inlineStr"/>
      <c r="W979" s="5" t="inlineStr"/>
      <c r="X979" s="5" t="inlineStr"/>
      <c r="Y979" s="5" t="inlineStr"/>
      <c r="Z979" s="6" t="inlineStr"/>
    </row>
    <row r="980">
      <c r="A980" s="5" t="inlineStr">
        <is>
          <t>b8-son-taksit</t>
        </is>
      </c>
      <c r="B980" s="5" t="n">
        <v>1</v>
      </c>
      <c r="C980" s="6" t="inlineStr">
        <is>
          <t>Pasta al, kutla</t>
        </is>
      </c>
      <c r="D980" s="5" t="inlineStr"/>
      <c r="E980" s="5" t="inlineStr"/>
      <c r="F980" s="5" t="inlineStr">
        <is>
          <t>Vicdan +1, Dayanıklılık +1</t>
        </is>
      </c>
      <c r="G980" s="6" t="inlineStr">
        <is>
          <t>Tapuyla birlikte fotoğraf çektin. Tapu fotoğrafta senden daha iyi çıktı.</t>
        </is>
      </c>
      <c r="H980" s="6" t="inlineStr"/>
      <c r="I980" s="6" t="inlineStr"/>
      <c r="J980" s="6" t="inlineStr"/>
      <c r="K980" s="6" t="inlineStr"/>
      <c r="L980" s="6" t="inlineStr"/>
      <c r="M980" s="5" t="inlineStr"/>
      <c r="N980" s="5" t="inlineStr"/>
      <c r="O980" s="6" t="inlineStr"/>
      <c r="P980" s="6" t="inlineStr"/>
      <c r="Q980" s="5" t="inlineStr"/>
      <c r="R980" s="5" t="inlineStr"/>
      <c r="S980" s="5" t="inlineStr"/>
      <c r="T980" s="5" t="inlineStr"/>
      <c r="U980" s="5" t="inlineStr"/>
      <c r="V980" s="5" t="inlineStr"/>
      <c r="W980" s="5" t="inlineStr"/>
      <c r="X980" s="5" t="inlineStr"/>
      <c r="Y980" s="5" t="inlineStr"/>
      <c r="Z980" s="6" t="inlineStr"/>
    </row>
    <row r="981">
      <c r="A981" s="5" t="inlineStr">
        <is>
          <t>b8-son-taksit</t>
        </is>
      </c>
      <c r="B981" s="5" t="n">
        <v>2</v>
      </c>
      <c r="C981" s="6" t="inlineStr">
        <is>
          <t>Yeni kredi teklifini değerlendir</t>
        </is>
      </c>
      <c r="D981" s="5" t="inlineStr">
        <is>
          <t>Kurnazlık</t>
        </is>
      </c>
      <c r="E981" s="5" t="inlineStr">
        <is>
          <t>Zor</t>
        </is>
      </c>
      <c r="F981" s="5" t="inlineStr"/>
      <c r="G981" s="6" t="inlineStr"/>
      <c r="H981" s="6" t="inlineStr">
        <is>
          <t>Teklifi inceledin, faizi pazarlıkla düşürdün ve yine reddettin. Banka ilk kez seni ciddiye aldı.</t>
        </is>
      </c>
      <c r="I981" s="6" t="inlineStr">
        <is>
          <t>Teklifi kullanıp evi yeniledin; ev değer kazandı. Borcun yine var ama bu kez ilk kez bir planı da var.</t>
        </is>
      </c>
      <c r="J981" s="6" t="inlineStr">
        <is>
          <t>Teklifi imzaladın. Kutlama bir ay sürdü; taksit yirmi yıl sürecek.</t>
        </is>
      </c>
      <c r="K981" s="6" t="inlineStr">
        <is>
          <t>Teklifi imzaladın; yanında gelen sigorta, kart ve bir mutfak robotu da hesaba yazıldı.</t>
        </is>
      </c>
      <c r="L981" s="6" t="inlineStr"/>
      <c r="M981" s="5" t="inlineStr"/>
      <c r="N981" s="5" t="inlineStr"/>
      <c r="O981" s="6" t="inlineStr"/>
      <c r="P981" s="6" t="inlineStr"/>
      <c r="Q981" s="5" t="inlineStr"/>
      <c r="R981" s="5" t="inlineStr"/>
      <c r="S981" s="5" t="inlineStr"/>
      <c r="T981" s="5" t="inlineStr"/>
      <c r="U981" s="5" t="inlineStr"/>
      <c r="V981" s="5" t="inlineStr"/>
      <c r="W981" s="5" t="inlineStr">
        <is>
          <t>borclu</t>
        </is>
      </c>
      <c r="X981" s="5" t="inlineStr"/>
      <c r="Y981" s="5" t="inlineStr"/>
      <c r="Z981" s="6" t="inlineStr"/>
    </row>
    <row r="982">
      <c r="A982" s="5" t="inlineStr">
        <is>
          <t>b8-son-taksit</t>
        </is>
      </c>
      <c r="B982" s="5" t="n">
        <v>3</v>
      </c>
      <c r="C982" s="6" t="inlineStr">
        <is>
          <t>Bankaya teşekkür dilekçesi yaz</t>
        </is>
      </c>
      <c r="D982" s="5" t="inlineStr">
        <is>
          <t>Pişkinlik</t>
        </is>
      </c>
      <c r="E982" s="5" t="inlineStr">
        <is>
          <t>Kolay</t>
        </is>
      </c>
      <c r="F982" s="5" t="inlineStr"/>
      <c r="G982" s="6" t="inlineStr"/>
      <c r="H982" s="6" t="inlineStr">
        <is>
          <t>'Yirmi yıllık birlikteliğimiz için teşekkürler' yazdın. Banka cevabı otomatik gönderdi: 'Kredi teklifimiz geçerlidir.'</t>
        </is>
      </c>
      <c r="I982" s="6" t="inlineStr">
        <is>
          <t>Dilekçen şubede panoya asıldı. Müdür seni aradı ve ilk kez kredi teklif etmedi.</t>
        </is>
      </c>
      <c r="J982" s="6" t="inlineStr">
        <is>
          <t>Dilekçen işleme alınamadı; form numarası eksik.</t>
        </is>
      </c>
      <c r="K982" s="6" t="inlineStr">
        <is>
          <t>Dilekçe yanlışlıkla kredi başvurusu olarak işleme alındı. Onaylandı.</t>
        </is>
      </c>
      <c r="L982" s="6" t="inlineStr"/>
      <c r="M982" s="5" t="inlineStr"/>
      <c r="N982" s="5" t="inlineStr"/>
      <c r="O982" s="6" t="inlineStr"/>
      <c r="P982" s="6" t="inlineStr"/>
      <c r="Q982" s="5" t="inlineStr"/>
      <c r="R982" s="5" t="inlineStr"/>
      <c r="S982" s="5" t="inlineStr"/>
      <c r="T982" s="5" t="inlineStr"/>
      <c r="U982" s="5" t="inlineStr"/>
      <c r="V982" s="5" t="inlineStr"/>
      <c r="W982" s="5" t="inlineStr"/>
      <c r="X982" s="5" t="inlineStr"/>
      <c r="Y982" s="5" t="inlineStr"/>
      <c r="Z982" s="6" t="inlineStr"/>
    </row>
    <row r="983">
      <c r="A983" s="5" t="inlineStr">
        <is>
          <t>b9-yazi-boyutu</t>
        </is>
      </c>
      <c r="B983" s="5" t="n">
        <v>1</v>
      </c>
      <c r="C983" s="6" t="inlineStr">
        <is>
          <t>Yazı boyutunu en büyüğe al</t>
        </is>
      </c>
      <c r="D983" s="5" t="inlineStr"/>
      <c r="E983" s="5" t="inlineStr"/>
      <c r="F983" s="5" t="inlineStr">
        <is>
          <t>Akıl +1</t>
        </is>
      </c>
      <c r="G983" s="6" t="inlineStr">
        <is>
          <t>Yazı boyutu en büyüğe çekildi. Ekrana artık tek seferde bir buçuk kelime sığıyor.</t>
        </is>
      </c>
      <c r="H983" s="6" t="inlineStr"/>
      <c r="I983" s="6" t="inlineStr"/>
      <c r="J983" s="6" t="inlineStr"/>
      <c r="K983" s="6" t="inlineStr"/>
      <c r="L983" s="6" t="inlineStr"/>
      <c r="M983" s="5" t="inlineStr"/>
      <c r="N983" s="5" t="inlineStr"/>
      <c r="O983" s="6" t="inlineStr"/>
      <c r="P983" s="6" t="inlineStr"/>
      <c r="Q983" s="5" t="inlineStr"/>
      <c r="R983" s="5" t="inlineStr"/>
      <c r="S983" s="5" t="inlineStr"/>
      <c r="T983" s="5" t="inlineStr"/>
      <c r="U983" s="5" t="inlineStr"/>
      <c r="V983" s="5" t="inlineStr"/>
      <c r="W983" s="5" t="inlineStr"/>
      <c r="X983" s="5" t="inlineStr"/>
      <c r="Y983" s="5" t="inlineStr"/>
      <c r="Z983" s="6" t="inlineStr"/>
    </row>
    <row r="984">
      <c r="A984" s="5" t="inlineStr">
        <is>
          <t>b9-yazi-boyutu</t>
        </is>
      </c>
      <c r="B984" s="5" t="n">
        <v>2</v>
      </c>
      <c r="C984" s="6" t="inlineStr">
        <is>
          <t>Gözlüğü ara</t>
        </is>
      </c>
      <c r="D984" s="5" t="inlineStr">
        <is>
          <t>Dayanıklılık</t>
        </is>
      </c>
      <c r="E984" s="5" t="inlineStr">
        <is>
          <t>Kolay</t>
        </is>
      </c>
      <c r="F984" s="5" t="inlineStr"/>
      <c r="G984" s="6" t="inlineStr"/>
      <c r="H984" s="6" t="inlineStr">
        <is>
          <t>Gözlüğü buldun, mesajı okudun. Mesaj 'Gözlüğün bende kalmış' idi.</t>
        </is>
      </c>
      <c r="I984" s="6" t="inlineStr">
        <is>
          <t>Gözlüğü ilk denemede buldun. Evde bu olaya dair bir tutanak tutuldu.</t>
        </is>
      </c>
      <c r="J984" s="6" t="inlineStr">
        <is>
          <t>Gözlüğü aradın. Başının üstündeydi. Bunu aynaya bakınca öğrendin.</t>
        </is>
      </c>
      <c r="K984" s="6" t="inlineStr">
        <is>
          <t>Gözlüğü ararken okuma gözlüğü, uzak gözlüğü ve güneş gözlüğü buldun. Hangisi hangisi, bilinmiyor.</t>
        </is>
      </c>
      <c r="L984" s="6" t="inlineStr"/>
      <c r="M984" s="5" t="inlineStr"/>
      <c r="N984" s="5" t="inlineStr"/>
      <c r="O984" s="6" t="inlineStr"/>
      <c r="P984" s="6" t="inlineStr"/>
      <c r="Q984" s="5" t="inlineStr"/>
      <c r="R984" s="5" t="inlineStr"/>
      <c r="S984" s="5" t="inlineStr"/>
      <c r="T984" s="5" t="inlineStr"/>
      <c r="U984" s="5" t="inlineStr"/>
      <c r="V984" s="5" t="inlineStr"/>
      <c r="W984" s="5" t="inlineStr"/>
      <c r="X984" s="5" t="inlineStr"/>
      <c r="Y984" s="5" t="inlineStr"/>
      <c r="Z984" s="6" t="inlineStr"/>
    </row>
    <row r="985">
      <c r="A985" s="5" t="inlineStr">
        <is>
          <t>b9-yazi-boyutu</t>
        </is>
      </c>
      <c r="B985" s="5" t="n">
        <v>3</v>
      </c>
      <c r="C985" s="6" t="inlineStr">
        <is>
          <t>Sesli okuma özelliğini aç</t>
        </is>
      </c>
      <c r="D985" s="5" t="inlineStr">
        <is>
          <t>Akıl</t>
        </is>
      </c>
      <c r="E985" s="5" t="inlineStr">
        <is>
          <t>Orta</t>
        </is>
      </c>
      <c r="F985" s="5" t="inlineStr"/>
      <c r="G985" s="6" t="inlineStr"/>
      <c r="H985" s="6" t="inlineStr">
        <is>
          <t>Telefon mesajı sesli okudu. Robot sesi bile 'Anne, havale yapar mısın' derken tatlıydı.</t>
        </is>
      </c>
      <c r="I985" s="6" t="inlineStr">
        <is>
          <t>Sesli okuma, ekran büyüteci ve karanlık mod. Torunlar artık ayar için sana geliyor.</t>
        </is>
      </c>
      <c r="J985" s="6" t="inlineStr">
        <is>
          <t>Sesli okuma açıldı. Kapanmıyor. Market fişi dahil her şey yüksek sesle okunuyor.</t>
        </is>
      </c>
      <c r="K985" s="6" t="inlineStr">
        <is>
          <t>Sesli okuma otobüste açıldı. Aile grubundaki bütün mesajlar kamuoyuyla paylaşıldı.</t>
        </is>
      </c>
      <c r="L985" s="6" t="inlineStr"/>
      <c r="M985" s="5" t="inlineStr"/>
      <c r="N985" s="5" t="inlineStr"/>
      <c r="O985" s="6" t="inlineStr"/>
      <c r="P985" s="6" t="inlineStr"/>
      <c r="Q985" s="5" t="inlineStr">
        <is>
          <t>Teknoloji Merakı</t>
        </is>
      </c>
      <c r="R985" s="5" t="inlineStr"/>
      <c r="S985" s="5" t="inlineStr"/>
      <c r="T985" s="5" t="inlineStr"/>
      <c r="U985" s="5" t="inlineStr"/>
      <c r="V985" s="5" t="inlineStr"/>
      <c r="W985" s="5" t="inlineStr"/>
      <c r="X985" s="5" t="inlineStr"/>
      <c r="Y985" s="5" t="inlineStr"/>
      <c r="Z985" s="6" t="inlineStr"/>
    </row>
    <row r="986">
      <c r="A986" s="5" t="inlineStr">
        <is>
          <t>b9-gunaydin-gorselleri</t>
        </is>
      </c>
      <c r="B986" s="5" t="n">
        <v>1</v>
      </c>
      <c r="C986" s="6" t="inlineStr">
        <is>
          <t>Her sabah göndermeye devam et</t>
        </is>
      </c>
      <c r="D986" s="5" t="inlineStr"/>
      <c r="E986" s="5" t="inlineStr"/>
      <c r="F986" s="5" t="inlineStr">
        <is>
          <t>Dayanıklılık +2</t>
        </is>
      </c>
      <c r="G986" s="6" t="inlineStr">
        <is>
          <t>Kararlılık gösterdin. Grup bir yıl sonra sana 'Günaydın Bakanı' unvanı verdi.</t>
        </is>
      </c>
      <c r="H986" s="6" t="inlineStr"/>
      <c r="I986" s="6" t="inlineStr"/>
      <c r="J986" s="6" t="inlineStr"/>
      <c r="K986" s="6" t="inlineStr"/>
      <c r="L986" s="6" t="inlineStr"/>
      <c r="M986" s="5" t="inlineStr"/>
      <c r="N986" s="5" t="inlineStr"/>
      <c r="O986" s="6" t="inlineStr"/>
      <c r="P986" s="6" t="inlineStr"/>
      <c r="Q986" s="5" t="inlineStr"/>
      <c r="R986" s="5" t="inlineStr"/>
      <c r="S986" s="5" t="inlineStr"/>
      <c r="T986" s="5" t="inlineStr"/>
      <c r="U986" s="5" t="inlineStr"/>
      <c r="V986" s="5" t="inlineStr"/>
      <c r="W986" s="5" t="inlineStr"/>
      <c r="X986" s="5" t="inlineStr"/>
      <c r="Y986" s="5" t="inlineStr"/>
      <c r="Z986" s="6" t="inlineStr"/>
    </row>
    <row r="987">
      <c r="A987" s="5" t="inlineStr">
        <is>
          <t>b9-gunaydin-gorselleri</t>
        </is>
      </c>
      <c r="B987" s="5" t="n">
        <v>2</v>
      </c>
      <c r="C987" s="6" t="inlineStr">
        <is>
          <t>Kendi görselini tasarla</t>
        </is>
      </c>
      <c r="D987" s="5" t="inlineStr">
        <is>
          <t>Pişkinlik</t>
        </is>
      </c>
      <c r="E987" s="5" t="inlineStr">
        <is>
          <t>Orta</t>
        </is>
      </c>
      <c r="F987" s="5" t="inlineStr"/>
      <c r="G987" s="6" t="inlineStr"/>
      <c r="H987" s="6" t="inlineStr">
        <is>
          <t>Kendi fotoğrafının üstüne 'Güne gülümse' yazdın. Üç kişi kalp bıraktı.</t>
        </is>
      </c>
      <c r="I987" s="6" t="inlineStr">
        <is>
          <t>Görselin öyle parladı ki başka bir ailenin grubunda bile dolaştı. Telif hakkı talep etmedin.</t>
        </is>
      </c>
      <c r="J987" s="6" t="inlineStr">
        <is>
          <t>Yazıyı fotoğrafın tam ortasına koydun. Yüzün görünmüyor. Mesaj yerine ulaştı.</t>
        </is>
      </c>
      <c r="K987" s="6" t="inlineStr">
        <is>
          <t>Görseli tasarlarken yanlışlıkla 'Başsağlığı' şablonunu seçtin. Grupta panik on dakika sürdü.</t>
        </is>
      </c>
      <c r="L987" s="6" t="inlineStr"/>
      <c r="M987" s="5" t="inlineStr"/>
      <c r="N987" s="5" t="inlineStr"/>
      <c r="O987" s="6" t="inlineStr"/>
      <c r="P987" s="6" t="inlineStr"/>
      <c r="Q987" s="5" t="inlineStr"/>
      <c r="R987" s="5" t="inlineStr"/>
      <c r="S987" s="5" t="inlineStr"/>
      <c r="T987" s="5" t="inlineStr"/>
      <c r="U987" s="5" t="inlineStr"/>
      <c r="V987" s="5" t="inlineStr"/>
      <c r="W987" s="5" t="inlineStr"/>
      <c r="X987" s="5" t="inlineStr"/>
      <c r="Y987" s="5" t="inlineStr"/>
      <c r="Z987" s="6" t="inlineStr"/>
    </row>
    <row r="988">
      <c r="A988" s="5" t="inlineStr">
        <is>
          <t>b9-gunaydin-gorselleri</t>
        </is>
      </c>
      <c r="B988" s="5" t="n">
        <v>3</v>
      </c>
      <c r="C988" s="6" t="inlineStr">
        <is>
          <t>'Gizli gruptaki görselleri biliyorum' yaz</t>
        </is>
      </c>
      <c r="D988" s="5" t="inlineStr">
        <is>
          <t>Sosyal Radar</t>
        </is>
      </c>
      <c r="E988" s="5" t="inlineStr">
        <is>
          <t>Kolay</t>
        </is>
      </c>
      <c r="F988" s="5" t="inlineStr"/>
      <c r="G988" s="6" t="inlineStr"/>
      <c r="H988" s="6" t="inlineStr">
        <is>
          <t>Grupta derin bir sessizlik oldu. Ertesi sabah yirmi üç kişi 'Günaydın' yazdı.</t>
        </is>
      </c>
      <c r="I988" s="6" t="inlineStr">
        <is>
          <t>Gizli grubun kurucusu itiraf etti ve seni gruba yönetici olarak ekledi. Artık iki grupta da sen varsın.</t>
        </is>
      </c>
      <c r="J988" s="6" t="inlineStr">
        <is>
          <t>Mesajı yazdın, kimse anlamadı. 'Hangi grup?' diye soruldu. Şüpheli bir masumiyet.</t>
        </is>
      </c>
      <c r="K988" s="6" t="inlineStr">
        <is>
          <t>Yanlış gruba yazdın. Apartman grubu şimdi hangi gizli gruptan bahsettiğini soruyor.</t>
        </is>
      </c>
      <c r="L988" s="6" t="inlineStr"/>
      <c r="M988" s="5" t="inlineStr"/>
      <c r="N988" s="5" t="inlineStr"/>
      <c r="O988" s="6" t="inlineStr"/>
      <c r="P988" s="6" t="inlineStr"/>
      <c r="Q988" s="5" t="inlineStr"/>
      <c r="R988" s="5" t="inlineStr"/>
      <c r="S988" s="5" t="inlineStr">
        <is>
          <t>Sosyal Radar</t>
        </is>
      </c>
      <c r="T988" s="5" t="inlineStr"/>
      <c r="U988" s="5" t="inlineStr"/>
      <c r="V988" s="5" t="inlineStr"/>
      <c r="W988" s="5" t="inlineStr"/>
      <c r="X988" s="5" t="inlineStr"/>
      <c r="Y988" s="5" t="inlineStr"/>
      <c r="Z988" s="6" t="inlineStr"/>
    </row>
    <row r="989">
      <c r="A989" s="5" t="inlineStr">
        <is>
          <t>b9-sabah-yuruyusu</t>
        </is>
      </c>
      <c r="B989" s="5" t="n">
        <v>1</v>
      </c>
      <c r="C989" s="6" t="inlineStr">
        <is>
          <t>En öne geç</t>
        </is>
      </c>
      <c r="D989" s="5" t="inlineStr">
        <is>
          <t>Dayanıklılık</t>
        </is>
      </c>
      <c r="E989" s="5" t="inlineStr">
        <is>
          <t>Orta</t>
        </is>
      </c>
      <c r="F989" s="5" t="inlineStr"/>
      <c r="G989" s="6" t="inlineStr"/>
      <c r="H989" s="6" t="inlineStr">
        <is>
          <t>En öne geçtin. O sabahın gündemi senin seçtiğin konu: belediyenin kaldırım projesi.</t>
        </is>
      </c>
      <c r="I989" s="6" t="inlineStr">
        <is>
          <t>Grubu öyle hızlı çektin ki iki kişi koşuya geçti. Grup adını 'Tempo'ya çevirdi.</t>
        </is>
      </c>
      <c r="J989" s="6" t="inlineStr">
        <is>
          <t>En öne geçmeye çalıştın; ikinci turda dördüncü sıraya düştün. Gündem seni konu aldı.</t>
        </is>
      </c>
      <c r="K989" s="6" t="inlineStr">
        <is>
          <t>Hızlanırken yanlış yola saptın. Grup bir sonraki sabah 'Kaybolan Üye' başlıklı bir oturum düzenledi.</t>
        </is>
      </c>
      <c r="L989" s="6" t="inlineStr">
        <is>
          <t>Grubun ortasında kaldın. Gündemi duyuyorsun ama katkı sunamıyorsun.</t>
        </is>
      </c>
      <c r="M989" s="5" t="inlineStr">
        <is>
          <t>race</t>
        </is>
      </c>
      <c r="N989" s="5" t="inlineStr">
        <is>
          <t>Tempo Yarışı</t>
        </is>
      </c>
      <c r="O989" s="6" t="inlineStr">
        <is>
          <t>Grubun en önüne geçmek için hızlı dokun. Ama unutma, bu resmî olarak bir yarış değil.</t>
        </is>
      </c>
      <c r="P989" s="6" t="inlineStr"/>
      <c r="Q989" s="5" t="inlineStr"/>
      <c r="R989" s="5" t="inlineStr"/>
      <c r="S989" s="5" t="inlineStr"/>
      <c r="T989" s="5" t="inlineStr"/>
      <c r="U989" s="5" t="inlineStr"/>
      <c r="V989" s="5" t="inlineStr">
        <is>
          <t>yuruyus-grubu</t>
        </is>
      </c>
      <c r="W989" s="5" t="inlineStr"/>
      <c r="X989" s="5" t="inlineStr"/>
      <c r="Y989" s="5" t="inlineStr"/>
      <c r="Z989" s="6" t="inlineStr"/>
    </row>
    <row r="990">
      <c r="A990" s="5" t="inlineStr">
        <is>
          <t>b9-sabah-yuruyusu</t>
        </is>
      </c>
      <c r="B990" s="5" t="n">
        <v>2</v>
      </c>
      <c r="C990" s="6" t="inlineStr">
        <is>
          <t>Arkada yürü, dinle</t>
        </is>
      </c>
      <c r="D990" s="5" t="inlineStr"/>
      <c r="E990" s="5" t="inlineStr"/>
      <c r="F990" s="5" t="inlineStr">
        <is>
          <t>Sosyal Radar +2</t>
        </is>
      </c>
      <c r="G990" s="6" t="inlineStr">
        <is>
          <t>Arkada yürüdün. Mahallenin üç boşanmasını, bir tayinini ve bir kombi arızasını öğrendin.</t>
        </is>
      </c>
      <c r="H990" s="6" t="inlineStr"/>
      <c r="I990" s="6" t="inlineStr"/>
      <c r="J990" s="6" t="inlineStr"/>
      <c r="K990" s="6" t="inlineStr"/>
      <c r="L990" s="6" t="inlineStr"/>
      <c r="M990" s="5" t="inlineStr"/>
      <c r="N990" s="5" t="inlineStr"/>
      <c r="O990" s="6" t="inlineStr"/>
      <c r="P990" s="6" t="inlineStr"/>
      <c r="Q990" s="5" t="inlineStr"/>
      <c r="R990" s="5" t="inlineStr"/>
      <c r="S990" s="5" t="inlineStr"/>
      <c r="T990" s="5" t="inlineStr"/>
      <c r="U990" s="5" t="inlineStr"/>
      <c r="V990" s="5" t="inlineStr"/>
      <c r="W990" s="5" t="inlineStr"/>
      <c r="X990" s="5" t="inlineStr"/>
      <c r="Y990" s="5" t="inlineStr"/>
      <c r="Z990" s="6" t="inlineStr"/>
    </row>
    <row r="991">
      <c r="A991" s="5" t="inlineStr">
        <is>
          <t>b9-sabah-yuruyusu</t>
        </is>
      </c>
      <c r="B991" s="5" t="n">
        <v>3</v>
      </c>
      <c r="C991" s="6" t="inlineStr">
        <is>
          <t>Grubu düzenle</t>
        </is>
      </c>
      <c r="D991" s="5" t="inlineStr">
        <is>
          <t>Çene</t>
        </is>
      </c>
      <c r="E991" s="5" t="inlineStr">
        <is>
          <t>Orta</t>
        </is>
      </c>
      <c r="F991" s="5" t="inlineStr"/>
      <c r="G991" s="6" t="inlineStr"/>
      <c r="H991" s="6" t="inlineStr">
        <is>
          <t>Grup için bir mesaj grubu kurdun. Yürüyüş artık hem parkta hem telefonda yapılıyor.</t>
        </is>
      </c>
      <c r="I991" s="6" t="inlineStr">
        <is>
          <t>Grubun tüzüğünü yazdın. Madde dört: 'Konu açan, konuyu kapatır.' Kabul edildi.</t>
        </is>
      </c>
      <c r="J991" s="6" t="inlineStr">
        <is>
          <t>Yürüyüş saatini yediye çektin. Eski üyeler altıda ayrı bir grup kurdu.</t>
        </is>
      </c>
      <c r="K991" s="6" t="inlineStr">
        <is>
          <t>Düzenlediğin yürüyüş rotası bir inşaat alanından geçiyordu. Grup sana hâlâ baret takıyor.</t>
        </is>
      </c>
      <c r="L991" s="6" t="inlineStr"/>
      <c r="M991" s="5" t="inlineStr"/>
      <c r="N991" s="5" t="inlineStr"/>
      <c r="O991" s="6" t="inlineStr"/>
      <c r="P991" s="6" t="inlineStr"/>
      <c r="Q991" s="5" t="inlineStr">
        <is>
          <t>Organizatör</t>
        </is>
      </c>
      <c r="R991" s="5" t="inlineStr"/>
      <c r="S991" s="5" t="inlineStr"/>
      <c r="T991" s="5" t="inlineStr"/>
      <c r="U991" s="5" t="inlineStr"/>
      <c r="V991" s="5" t="inlineStr">
        <is>
          <t>yuruyus-grubu</t>
        </is>
      </c>
      <c r="W991" s="5" t="inlineStr"/>
      <c r="X991" s="5" t="inlineStr"/>
      <c r="Y991" s="5" t="inlineStr"/>
      <c r="Z991" s="6" t="inlineStr"/>
    </row>
    <row r="992">
      <c r="A992" s="5" t="inlineStr">
        <is>
          <t>mb-emeklilik-hesabi</t>
        </is>
      </c>
      <c r="B992" s="5" t="n">
        <v>1</v>
      </c>
      <c r="C992" s="6" t="inlineStr">
        <is>
          <t>Tarihi kabul et</t>
        </is>
      </c>
      <c r="D992" s="5" t="inlineStr"/>
      <c r="E992" s="5" t="inlineStr"/>
      <c r="F992" s="5" t="inlineStr">
        <is>
          <t>Dayanıklılık +1</t>
        </is>
      </c>
      <c r="G992" s="6" t="inlineStr">
        <is>
          <t>Tarih üç yıl ileride. Masaya bir geri sayım yapıştırdın. Rakam küçülmüyor gibi.</t>
        </is>
      </c>
      <c r="H992" s="6" t="inlineStr"/>
      <c r="I992" s="6" t="inlineStr"/>
      <c r="J992" s="6" t="inlineStr"/>
      <c r="K992" s="6" t="inlineStr"/>
      <c r="L992" s="6" t="inlineStr"/>
      <c r="M992" s="5" t="inlineStr"/>
      <c r="N992" s="5" t="inlineStr"/>
      <c r="O992" s="6" t="inlineStr"/>
      <c r="P992" s="6" t="inlineStr"/>
      <c r="Q992" s="5" t="inlineStr"/>
      <c r="R992" s="5" t="inlineStr"/>
      <c r="S992" s="5" t="inlineStr"/>
      <c r="T992" s="5" t="inlineStr"/>
      <c r="U992" s="5" t="inlineStr"/>
      <c r="V992" s="5" t="inlineStr"/>
      <c r="W992" s="5" t="inlineStr"/>
      <c r="X992" s="5" t="inlineStr"/>
      <c r="Y992" s="5" t="inlineStr"/>
      <c r="Z992" s="6" t="inlineStr"/>
    </row>
    <row r="993">
      <c r="A993" s="5" t="inlineStr">
        <is>
          <t>mb-emeklilik-hesabi</t>
        </is>
      </c>
      <c r="B993" s="5" t="n">
        <v>2</v>
      </c>
      <c r="C993" s="6" t="inlineStr">
        <is>
          <t>Staj yılının kaydını iste</t>
        </is>
      </c>
      <c r="D993" s="5" t="inlineStr">
        <is>
          <t>Akıl</t>
        </is>
      </c>
      <c r="E993" s="5" t="inlineStr">
        <is>
          <t>Orta</t>
        </is>
      </c>
      <c r="F993" s="5" t="inlineStr"/>
      <c r="G993" s="6" t="inlineStr"/>
      <c r="H993" s="6" t="inlineStr">
        <is>
          <t>Stajyerken yatırılan primi buldun. Emekliliğin bir yıl öne çekildi.</t>
        </is>
      </c>
      <c r="I993" s="6" t="inlineStr">
        <is>
          <t>Staj kaydıyla birlikte unutulmuş bir yarı zamanlı iş de çıktı. Tarih iki yıl öne geldi.</t>
        </is>
      </c>
      <c r="J993" s="6" t="inlineStr">
        <is>
          <t>Kayıt bulundu ama 'başka bir birimde' duruyor. O birim taşınmış.</t>
        </is>
      </c>
      <c r="K993" s="6" t="inlineStr">
        <is>
          <t>Kaydı aradılar ve buldular: stajın hiç işlenmemiş. Tarih bir yıl ileri kaydı.</t>
        </is>
      </c>
      <c r="L993" s="6" t="inlineStr"/>
      <c r="M993" s="5" t="inlineStr"/>
      <c r="N993" s="5" t="inlineStr"/>
      <c r="O993" s="6" t="inlineStr"/>
      <c r="P993" s="6" t="inlineStr"/>
      <c r="Q993" s="5" t="inlineStr"/>
      <c r="R993" s="5" t="inlineStr"/>
      <c r="S993" s="5" t="inlineStr">
        <is>
          <t>Akıl</t>
        </is>
      </c>
      <c r="T993" s="5" t="inlineStr"/>
      <c r="U993" s="5" t="inlineStr"/>
      <c r="V993" s="5" t="inlineStr"/>
      <c r="W993" s="5" t="inlineStr"/>
      <c r="X993" s="5" t="inlineStr"/>
      <c r="Y993" s="5" t="inlineStr"/>
      <c r="Z993" s="6" t="inlineStr"/>
    </row>
    <row r="994">
      <c r="A994" s="5" t="inlineStr">
        <is>
          <t>mb-emeklilik-hesabi</t>
        </is>
      </c>
      <c r="B994" s="5" t="n">
        <v>3</v>
      </c>
      <c r="C994" s="6" t="inlineStr">
        <is>
          <t>Yarı zamanlı danışmanlık planla</t>
        </is>
      </c>
      <c r="D994" s="5" t="inlineStr">
        <is>
          <t>Kurnazlık</t>
        </is>
      </c>
      <c r="E994" s="5" t="inlineStr">
        <is>
          <t>Kolay</t>
        </is>
      </c>
      <c r="F994" s="5" t="inlineStr"/>
      <c r="G994" s="6" t="inlineStr"/>
      <c r="H994" s="6" t="inlineStr">
        <is>
          <t>Emekli olup aynı işi danışman olarak yapacaksın. Aynı masa, farklı unvan, saat ücreti.</t>
        </is>
      </c>
      <c r="I994" s="6" t="inlineStr">
        <is>
          <t>Danışmanlık teklifini daha emekli olmadan imzalattın. Kıdem tazminatı ve saat ücreti bir arada.</t>
        </is>
      </c>
      <c r="J994" s="6" t="inlineStr">
        <is>
          <t>Plan yaptın; şirket danışmanları kaldırdı. Yerine araçlar geldi.</t>
        </is>
      </c>
      <c r="K994" s="6" t="inlineStr">
        <is>
          <t>Danışmanlık teklifini kendi yöneticine gönderdin. Yöneticin bunu istifa sandı.</t>
        </is>
      </c>
      <c r="L994" s="6" t="inlineStr"/>
      <c r="M994" s="5" t="inlineStr"/>
      <c r="N994" s="5" t="inlineStr"/>
      <c r="O994" s="6" t="inlineStr"/>
      <c r="P994" s="6" t="inlineStr"/>
      <c r="Q994" s="5" t="inlineStr">
        <is>
          <t>Plaza Diplomatı</t>
        </is>
      </c>
      <c r="R994" s="5" t="inlineStr"/>
      <c r="S994" s="5" t="inlineStr"/>
      <c r="T994" s="5" t="inlineStr"/>
      <c r="U994" s="5" t="inlineStr"/>
      <c r="V994" s="5" t="inlineStr"/>
      <c r="W994" s="5" t="inlineStr"/>
      <c r="X994" s="5" t="inlineStr"/>
      <c r="Y994" s="5" t="inlineStr"/>
      <c r="Z994" s="6" t="inlineStr"/>
    </row>
    <row r="995">
      <c r="A995" s="5" t="inlineStr">
        <is>
          <t>mm-gun-sayaci</t>
        </is>
      </c>
      <c r="B995" s="5" t="n">
        <v>1</v>
      </c>
      <c r="C995" s="6" t="inlineStr">
        <is>
          <t>Bir çizgi daha çek</t>
        </is>
      </c>
      <c r="D995" s="5" t="inlineStr"/>
      <c r="E995" s="5" t="inlineStr"/>
      <c r="F995" s="5" t="inlineStr">
        <is>
          <t>Dayanıklılık +1</t>
        </is>
      </c>
      <c r="G995" s="6" t="inlineStr">
        <is>
          <t>Kalan gün azalıyor; kâğıttaki çizgiler ağırlaşıyor.</t>
        </is>
      </c>
      <c r="H995" s="6" t="inlineStr"/>
      <c r="I995" s="6" t="inlineStr"/>
      <c r="J995" s="6" t="inlineStr"/>
      <c r="K995" s="6" t="inlineStr"/>
      <c r="L995" s="6" t="inlineStr"/>
      <c r="M995" s="5" t="inlineStr"/>
      <c r="N995" s="5" t="inlineStr"/>
      <c r="O995" s="6" t="inlineStr"/>
      <c r="P995" s="6" t="inlineStr"/>
      <c r="Q995" s="5" t="inlineStr"/>
      <c r="R995" s="5" t="inlineStr"/>
      <c r="S995" s="5" t="inlineStr"/>
      <c r="T995" s="5" t="inlineStr"/>
      <c r="U995" s="5" t="inlineStr"/>
      <c r="V995" s="5" t="inlineStr"/>
      <c r="W995" s="5" t="inlineStr"/>
      <c r="X995" s="5" t="inlineStr"/>
      <c r="Y995" s="5" t="inlineStr"/>
      <c r="Z995" s="6" t="inlineStr"/>
    </row>
    <row r="996">
      <c r="A996" s="5" t="inlineStr">
        <is>
          <t>mm-gun-sayaci</t>
        </is>
      </c>
      <c r="B996" s="5" t="n">
        <v>2</v>
      </c>
      <c r="C996" s="6" t="inlineStr">
        <is>
          <t>Sayacı bilgisayara taşı</t>
        </is>
      </c>
      <c r="D996" s="5" t="inlineStr">
        <is>
          <t>Akıl</t>
        </is>
      </c>
      <c r="E996" s="5" t="inlineStr">
        <is>
          <t>Kolay</t>
        </is>
      </c>
      <c r="F996" s="5" t="inlineStr"/>
      <c r="G996" s="6" t="inlineStr"/>
      <c r="H996" s="6" t="inlineStr">
        <is>
          <t>Saat, dakika, saniye. Mesai 17.00'de bittiğinde ekranda küçük bir tören oluyor.</t>
        </is>
      </c>
      <c r="I996" s="6" t="inlineStr">
        <is>
          <t>Sayacın bütün birime yayıldı. Daire artık her sabah ortak bir geri sayımla açılıyor.</t>
        </is>
      </c>
      <c r="J996" s="6" t="inlineStr">
        <is>
          <t>Sistem çöktüğünde sayaç da sıfırlandı. Kalan gün: bilinmiyor.</t>
        </is>
      </c>
      <c r="K996" s="6" t="inlineStr">
        <is>
          <t>Sayacı yanlış ayarladın. Ekrana göre emekliliğe üç yıl daha var. Kâğıt haklıydı, ama sen artık ekrana inanıyorsun.</t>
        </is>
      </c>
      <c r="L996" s="6" t="inlineStr"/>
      <c r="M996" s="5" t="inlineStr"/>
      <c r="N996" s="5" t="inlineStr"/>
      <c r="O996" s="6" t="inlineStr"/>
      <c r="P996" s="6" t="inlineStr"/>
      <c r="Q996" s="5" t="inlineStr"/>
      <c r="R996" s="5" t="inlineStr"/>
      <c r="S996" s="5" t="inlineStr"/>
      <c r="T996" s="5" t="inlineStr"/>
      <c r="U996" s="5" t="inlineStr"/>
      <c r="V996" s="5" t="inlineStr"/>
      <c r="W996" s="5" t="inlineStr"/>
      <c r="X996" s="5" t="inlineStr"/>
      <c r="Y996" s="5" t="inlineStr"/>
      <c r="Z996" s="6" t="inlineStr"/>
    </row>
    <row r="997">
      <c r="A997" s="5" t="inlineStr">
        <is>
          <t>mm-gun-sayaci</t>
        </is>
      </c>
      <c r="B997" s="5" t="n">
        <v>3</v>
      </c>
      <c r="C997" s="6" t="inlineStr">
        <is>
          <t>Yan masayla yarış başlat</t>
        </is>
      </c>
      <c r="D997" s="5" t="inlineStr">
        <is>
          <t>Çene</t>
        </is>
      </c>
      <c r="E997" s="5" t="inlineStr">
        <is>
          <t>Orta</t>
        </is>
      </c>
      <c r="F997" s="5" t="inlineStr"/>
      <c r="G997" s="6" t="inlineStr"/>
      <c r="H997" s="6" t="inlineStr">
        <is>
          <t>'Kim önce emekli olacak' yarışını duyurdun. Birim ikiye bölündü; verimlilik arttı.</t>
        </is>
      </c>
      <c r="I997" s="6" t="inlineStr">
        <is>
          <t>Yan masayla ortak geri sayım panosu kurdunuz. Müdür bile her sabah bir çizgi çekiyor.</t>
        </is>
      </c>
      <c r="J997" s="6" t="inlineStr">
        <is>
          <t>Yan masa kazandı. Tabii ki. Üç yüz gün öndeydi.</t>
        </is>
      </c>
      <c r="K997" s="6" t="inlineStr">
        <is>
          <t>Yarış öyle kızıştı ki yan masa emeklilik dilekçesini erken verdi. Onun dosyaları artık sende.</t>
        </is>
      </c>
      <c r="L997" s="6" t="inlineStr"/>
      <c r="M997" s="5" t="inlineStr"/>
      <c r="N997" s="5" t="inlineStr"/>
      <c r="O997" s="6" t="inlineStr"/>
      <c r="P997" s="6" t="inlineStr"/>
      <c r="Q997" s="5" t="inlineStr"/>
      <c r="R997" s="5" t="inlineStr"/>
      <c r="S997" s="5" t="inlineStr">
        <is>
          <t>Sosyal Radar</t>
        </is>
      </c>
      <c r="T997" s="5" t="inlineStr"/>
      <c r="U997" s="5" t="inlineStr"/>
      <c r="V997" s="5" t="inlineStr"/>
      <c r="W997" s="5" t="inlineStr"/>
      <c r="X997" s="5" t="inlineStr"/>
      <c r="Y997" s="5" t="inlineStr"/>
      <c r="Z997" s="6" t="inlineStr"/>
    </row>
    <row r="998">
      <c r="A998" s="5" t="inlineStr">
        <is>
          <t>mm-gun-sayaci</t>
        </is>
      </c>
      <c r="B998" s="5" t="n">
        <v>4</v>
      </c>
      <c r="C998" s="6" t="inlineStr">
        <is>
          <t>Hizmet borçlanmasını hesapla</t>
        </is>
      </c>
      <c r="D998" s="5" t="inlineStr">
        <is>
          <t>Akıl</t>
        </is>
      </c>
      <c r="E998" s="5" t="inlineStr">
        <is>
          <t>Orta</t>
        </is>
      </c>
      <c r="F998" s="5" t="inlineStr"/>
      <c r="G998" s="6" t="inlineStr"/>
      <c r="H998" s="6" t="inlineStr">
        <is>
          <t>Staj ve eski hizmet sürelerini ekledin. Sayaç bir gecede dört yüz gün eksildi.</t>
        </is>
      </c>
      <c r="I998" s="6" t="inlineStr">
        <is>
          <t>Mevzuatta öyle bir madde buldun ki emekliliğin iki yıl öne çekildi. Kâğıdı yeniden yazman gerekti.</t>
        </is>
      </c>
      <c r="J998" s="6" t="inlineStr">
        <is>
          <t>Hesap doğru ama borçlanma bedeli bir arabalık. Sayaç yerinde, hayal yerinde.</t>
        </is>
      </c>
      <c r="K998" s="6" t="inlineStr">
        <is>
          <t>Hesabı yaparken yeni bir değişikliği gözden kaçırdın. Sayaç iki yüz gün arttı.</t>
        </is>
      </c>
      <c r="L998" s="6" t="inlineStr"/>
      <c r="M998" s="5" t="inlineStr"/>
      <c r="N998" s="5" t="inlineStr"/>
      <c r="O998" s="6" t="inlineStr"/>
      <c r="P998" s="6" t="inlineStr"/>
      <c r="Q998" s="5" t="inlineStr">
        <is>
          <t>Mevzuat Kalkanı</t>
        </is>
      </c>
      <c r="R998" s="5" t="inlineStr"/>
      <c r="S998" s="5" t="inlineStr"/>
      <c r="T998" s="5" t="inlineStr"/>
      <c r="U998" s="5" t="inlineStr"/>
      <c r="V998" s="5" t="inlineStr"/>
      <c r="W998" s="5" t="inlineStr"/>
      <c r="X998" s="5" t="inlineStr"/>
      <c r="Y998" s="5" t="inlineStr"/>
      <c r="Z998" s="6" t="inlineStr"/>
    </row>
    <row r="999">
      <c r="A999" s="5" t="inlineStr">
        <is>
          <t>b9-doktor-randevusu</t>
        </is>
      </c>
      <c r="B999" s="5" t="n">
        <v>1</v>
      </c>
      <c r="C999" s="6" t="inlineStr">
        <is>
          <t>Gece yarısı iptal avına çık</t>
        </is>
      </c>
      <c r="D999" s="5" t="inlineStr">
        <is>
          <t>Akıl</t>
        </is>
      </c>
      <c r="E999" s="5" t="inlineStr">
        <is>
          <t>Zor</t>
        </is>
      </c>
      <c r="F999" s="5" t="inlineStr"/>
      <c r="G999" s="6" t="inlineStr"/>
      <c r="H999" s="6" t="inlineStr">
        <is>
          <t>Gece 02.14'te bir iptal yakaladın. Ertesi gün muayenedeydin. Uykusuz ama muayenede.</t>
        </is>
      </c>
      <c r="I999" s="6" t="inlineStr">
        <is>
          <t>İptalleri sezmeye başladın. Artık akrabalar da randevu için seni arıyor. Mesai saatin gece.</t>
        </is>
      </c>
      <c r="J999" s="6" t="inlineStr">
        <is>
          <t>İptali gördün, dokundun, 'İşlem zaman aşımına uğradı' dedi uygulama.</t>
        </is>
      </c>
      <c r="K999" s="6" t="inlineStr">
        <is>
          <t>Gece uyanık kaldın, sabah uyuyakaldın. Kendi aldığın randevuyu kaçırdın.</t>
        </is>
      </c>
      <c r="L999" s="6" t="inlineStr"/>
      <c r="M999" s="5" t="inlineStr"/>
      <c r="N999" s="5" t="inlineStr"/>
      <c r="O999" s="6" t="inlineStr"/>
      <c r="P999" s="6" t="inlineStr"/>
      <c r="Q999" s="5" t="inlineStr"/>
      <c r="R999" s="5" t="inlineStr"/>
      <c r="S999" s="5" t="inlineStr"/>
      <c r="T999" s="5" t="inlineStr">
        <is>
          <t>Randevu Avcısı</t>
        </is>
      </c>
      <c r="U999" s="5" t="inlineStr"/>
      <c r="V999" s="5" t="inlineStr"/>
      <c r="W999" s="5" t="inlineStr"/>
      <c r="X999" s="5" t="inlineStr"/>
      <c r="Y999" s="5" t="inlineStr"/>
      <c r="Z999" s="6" t="inlineStr"/>
    </row>
    <row r="1000">
      <c r="A1000" s="5" t="inlineStr">
        <is>
          <t>b9-doktor-randevusu</t>
        </is>
      </c>
      <c r="B1000" s="5" t="n">
        <v>2</v>
      </c>
      <c r="C1000" s="6" t="inlineStr">
        <is>
          <t>Hastaneye bizzat git</t>
        </is>
      </c>
      <c r="D1000" s="5" t="inlineStr"/>
      <c r="E1000" s="5" t="inlineStr"/>
      <c r="F1000" s="5" t="inlineStr">
        <is>
          <t>Dayanıklılık +2</t>
        </is>
      </c>
      <c r="G1000" s="6" t="inlineStr">
        <is>
          <t>Hastaneye gittin. Kapıda sana bir kâğıt verildi. Kâğıtta uygulamanın adresi yazıyordu.</t>
        </is>
      </c>
      <c r="H1000" s="6" t="inlineStr"/>
      <c r="I1000" s="6" t="inlineStr"/>
      <c r="J1000" s="6" t="inlineStr"/>
      <c r="K1000" s="6" t="inlineStr"/>
      <c r="L1000" s="6" t="inlineStr"/>
      <c r="M1000" s="5" t="inlineStr"/>
      <c r="N1000" s="5" t="inlineStr"/>
      <c r="O1000" s="6" t="inlineStr"/>
      <c r="P1000" s="6" t="inlineStr"/>
      <c r="Q1000" s="5" t="inlineStr"/>
      <c r="R1000" s="5" t="inlineStr"/>
      <c r="S1000" s="5" t="inlineStr"/>
      <c r="T1000" s="5" t="inlineStr"/>
      <c r="U1000" s="5" t="inlineStr"/>
      <c r="V1000" s="5" t="inlineStr"/>
      <c r="W1000" s="5" t="inlineStr"/>
      <c r="X1000" s="5" t="inlineStr"/>
      <c r="Y1000" s="5" t="inlineStr"/>
      <c r="Z1000" s="6" t="inlineStr"/>
    </row>
    <row r="1001">
      <c r="A1001" s="5" t="inlineStr">
        <is>
          <t>b9-doktor-randevusu</t>
        </is>
      </c>
      <c r="B1001" s="5" t="n">
        <v>3</v>
      </c>
      <c r="C1001" s="6" t="inlineStr">
        <is>
          <t>Tanıdık bir hemşireyi ara</t>
        </is>
      </c>
      <c r="D1001" s="5" t="inlineStr">
        <is>
          <t>Sosyal Radar</t>
        </is>
      </c>
      <c r="E1001" s="5" t="inlineStr">
        <is>
          <t>Orta</t>
        </is>
      </c>
      <c r="F1001" s="5" t="inlineStr"/>
      <c r="G1001" s="6" t="inlineStr"/>
      <c r="H1001" s="6" t="inlineStr">
        <is>
          <t>Tanıdığın tanıdığı, randevuyu ertesi haftaya çekti. Ağ kurmanın sağlık faydaları kanıtlandı.</t>
        </is>
      </c>
      <c r="I1001" s="6" t="inlineStr">
        <is>
          <t>Hemşire hem randevu ayarladı hem de bekleme salonunda sana çay getirdi. Sistemi değil, insanları tanıyorsun.</t>
        </is>
      </c>
      <c r="J1001" s="6" t="inlineStr">
        <is>
          <t>Tanıdığın hemşire iki yıl önce emekli olmuş. Sana emeklilik hakkında yarım saat bilgi verdi.</t>
        </is>
      </c>
      <c r="K1001" s="6" t="inlineStr">
        <is>
          <t>Aradığın hemşire seni tanımadı. Sen de onu tanımadığını ancak otuz dakika sonra fark ettin.</t>
        </is>
      </c>
      <c r="L1001" s="6" t="inlineStr"/>
      <c r="M1001" s="5" t="inlineStr"/>
      <c r="N1001" s="5" t="inlineStr"/>
      <c r="O1001" s="6" t="inlineStr"/>
      <c r="P1001" s="6" t="inlineStr"/>
      <c r="Q1001" s="5" t="inlineStr">
        <is>
          <t>Odayı Okur</t>
        </is>
      </c>
      <c r="R1001" s="5" t="inlineStr"/>
      <c r="S1001" s="5" t="inlineStr"/>
      <c r="T1001" s="5" t="inlineStr"/>
      <c r="U1001" s="5" t="inlineStr"/>
      <c r="V1001" s="5" t="inlineStr"/>
      <c r="W1001" s="5" t="inlineStr"/>
      <c r="X1001" s="5" t="inlineStr"/>
      <c r="Y1001" s="5" t="inlineStr"/>
      <c r="Z1001" s="6" t="inlineStr"/>
    </row>
    <row r="1002">
      <c r="A1002" s="5" t="inlineStr">
        <is>
          <t>b9-ilk-torun</t>
        </is>
      </c>
      <c r="B1002" s="5" t="n">
        <v>1</v>
      </c>
      <c r="C1002" s="6" t="inlineStr">
        <is>
          <t>Kucağına al, ağla</t>
        </is>
      </c>
      <c r="D1002" s="5" t="inlineStr"/>
      <c r="E1002" s="5" t="inlineStr"/>
      <c r="F1002" s="5" t="inlineStr">
        <is>
          <t>Vicdan +2</t>
        </is>
      </c>
      <c r="G1002" s="6" t="inlineStr">
        <is>
          <t>Kucağına aldın ve ağladın. Fotoğraflarda sen bebekten daha çok ağlıyorsun.</t>
        </is>
      </c>
      <c r="H1002" s="6" t="inlineStr"/>
      <c r="I1002" s="6" t="inlineStr"/>
      <c r="J1002" s="6" t="inlineStr"/>
      <c r="K1002" s="6" t="inlineStr"/>
      <c r="L1002" s="6" t="inlineStr"/>
      <c r="M1002" s="5" t="inlineStr"/>
      <c r="N1002" s="5" t="inlineStr"/>
      <c r="O1002" s="6" t="inlineStr"/>
      <c r="P1002" s="6" t="inlineStr"/>
      <c r="Q1002" s="5" t="inlineStr"/>
      <c r="R1002" s="5" t="inlineStr"/>
      <c r="S1002" s="5" t="inlineStr"/>
      <c r="T1002" s="5" t="inlineStr"/>
      <c r="U1002" s="5" t="inlineStr">
        <is>
          <t>torunlu</t>
        </is>
      </c>
      <c r="V1002" s="5" t="inlineStr"/>
      <c r="W1002" s="5" t="inlineStr"/>
      <c r="X1002" s="5" t="inlineStr"/>
      <c r="Y1002" s="5" t="inlineStr"/>
      <c r="Z1002" s="6" t="inlineStr"/>
    </row>
    <row r="1003">
      <c r="A1003" s="5" t="inlineStr">
        <is>
          <t>b9-ilk-torun</t>
        </is>
      </c>
      <c r="B1003" s="5" t="n">
        <v>2</v>
      </c>
      <c r="C1003" s="6" t="inlineStr">
        <is>
          <t>İsim önerisini yap</t>
        </is>
      </c>
      <c r="D1003" s="5" t="inlineStr">
        <is>
          <t>Çene</t>
        </is>
      </c>
      <c r="E1003" s="5" t="inlineStr">
        <is>
          <t>Zor</t>
        </is>
      </c>
      <c r="F1003" s="5" t="inlineStr"/>
      <c r="G1003" s="6" t="inlineStr"/>
      <c r="H1003" s="6" t="inlineStr">
        <is>
          <t>Önerdiğin isim ikinci isim olarak kabul edildi. Nüfus kaydında bir satır senin.</t>
        </is>
      </c>
      <c r="I1003" s="6" t="inlineStr">
        <is>
          <t>İsmi sen koydun. Bu olay aile tarihinde 'Büyük Uzlaşma' olarak geçiyor.</t>
        </is>
      </c>
      <c r="J1003" s="6" t="inlineStr">
        <is>
          <t>Önerini sundun. 'Çok eski' dendi. Önerdiğin isim, çocuğunun ismiydi.</t>
        </is>
      </c>
      <c r="K1003" s="6" t="inlineStr">
        <is>
          <t>İsmi söyledin; karşı taraf ailesinin kedisinin adı çıktı. Uzlaşma masası dağıldı.</t>
        </is>
      </c>
      <c r="L1003" s="6" t="inlineStr"/>
      <c r="M1003" s="5" t="inlineStr"/>
      <c r="N1003" s="5" t="inlineStr"/>
      <c r="O1003" s="6" t="inlineStr"/>
      <c r="P1003" s="6" t="inlineStr"/>
      <c r="Q1003" s="5" t="inlineStr"/>
      <c r="R1003" s="5" t="inlineStr"/>
      <c r="S1003" s="5" t="inlineStr"/>
      <c r="T1003" s="5" t="inlineStr"/>
      <c r="U1003" s="5" t="inlineStr">
        <is>
          <t>torunlu</t>
        </is>
      </c>
      <c r="V1003" s="5" t="inlineStr"/>
      <c r="W1003" s="5" t="inlineStr"/>
      <c r="X1003" s="5" t="inlineStr"/>
      <c r="Y1003" s="5" t="inlineStr"/>
      <c r="Z1003" s="6" t="inlineStr"/>
    </row>
    <row r="1004">
      <c r="A1004" s="5" t="inlineStr">
        <is>
          <t>b9-ilk-torun</t>
        </is>
      </c>
      <c r="B1004" s="5" t="n">
        <v>3</v>
      </c>
      <c r="C1004" s="6" t="inlineStr">
        <is>
          <t>Bebeğin kime benzediğini ilan et</t>
        </is>
      </c>
      <c r="D1004" s="5" t="inlineStr">
        <is>
          <t>Sosyal Radar</t>
        </is>
      </c>
      <c r="E1004" s="5" t="inlineStr">
        <is>
          <t>Orta</t>
        </is>
      </c>
      <c r="F1004" s="5" t="inlineStr"/>
      <c r="G1004" s="6" t="inlineStr"/>
      <c r="H1004" s="6" t="inlineStr">
        <is>
          <t>'Bizim tarafa benziyor' dedin. İki aile arasında tatlı bir soğuk savaş başladı.</t>
        </is>
      </c>
      <c r="I1004" s="6" t="inlineStr">
        <is>
          <t>'Herkese biraz benziyor' dedin. Diplomatik zafer. İki taraf da seni yemeğe davet etti.</t>
        </is>
      </c>
      <c r="J1004" s="6" t="inlineStr">
        <is>
          <t>'Kulakları bizden' dedin. Bebeğin kulağı henüz tam belli değil.</t>
        </is>
      </c>
      <c r="K1004" s="6" t="inlineStr">
        <is>
          <t>Bebeği bir akrabana benzettin. Odada kimse o akrabayı sevmiyordu.</t>
        </is>
      </c>
      <c r="L1004" s="6" t="inlineStr"/>
      <c r="M1004" s="5" t="inlineStr"/>
      <c r="N1004" s="5" t="inlineStr"/>
      <c r="O1004" s="6" t="inlineStr"/>
      <c r="P1004" s="6" t="inlineStr"/>
      <c r="Q1004" s="5" t="inlineStr"/>
      <c r="R1004" s="5" t="inlineStr"/>
      <c r="S1004" s="5" t="inlineStr"/>
      <c r="T1004" s="5" t="inlineStr"/>
      <c r="U1004" s="5" t="inlineStr">
        <is>
          <t>torunlu</t>
        </is>
      </c>
      <c r="V1004" s="5" t="inlineStr"/>
      <c r="W1004" s="5" t="inlineStr"/>
      <c r="X1004" s="5" t="inlineStr"/>
      <c r="Y1004" s="5" t="inlineStr"/>
      <c r="Z1004" s="6" t="inlineStr"/>
    </row>
    <row r="1005">
      <c r="A1005" s="5" t="inlineStr">
        <is>
          <t>ms-emeklilik-yok</t>
        </is>
      </c>
      <c r="B1005" s="5" t="n">
        <v>1</v>
      </c>
      <c r="C1005" s="6" t="inlineStr">
        <is>
          <t>Planı 'hep üretmek' olarak güncelle</t>
        </is>
      </c>
      <c r="D1005" s="5" t="inlineStr"/>
      <c r="E1005" s="5" t="inlineStr"/>
      <c r="F1005" s="5" t="inlineStr">
        <is>
          <t>Dayanıklılık +2</t>
        </is>
      </c>
      <c r="G1005" s="6" t="inlineStr">
        <is>
          <t>Emeklilik planına tek satır yazdın: 'Devam.' Bürokratik açıdan kusursuz bir belge.</t>
        </is>
      </c>
      <c r="H1005" s="6" t="inlineStr"/>
      <c r="I1005" s="6" t="inlineStr"/>
      <c r="J1005" s="6" t="inlineStr"/>
      <c r="K1005" s="6" t="inlineStr"/>
      <c r="L1005" s="6" t="inlineStr"/>
      <c r="M1005" s="5" t="inlineStr"/>
      <c r="N1005" s="5" t="inlineStr"/>
      <c r="O1005" s="6" t="inlineStr"/>
      <c r="P1005" s="6" t="inlineStr"/>
      <c r="Q1005" s="5" t="inlineStr"/>
      <c r="R1005" s="5" t="inlineStr"/>
      <c r="S1005" s="5" t="inlineStr"/>
      <c r="T1005" s="5" t="inlineStr"/>
      <c r="U1005" s="5" t="inlineStr"/>
      <c r="V1005" s="5" t="inlineStr"/>
      <c r="W1005" s="5" t="inlineStr"/>
      <c r="X1005" s="5" t="inlineStr"/>
      <c r="Y1005" s="5" t="inlineStr"/>
      <c r="Z1005" s="6" t="inlineStr"/>
    </row>
    <row r="1006">
      <c r="A1006" s="5" t="inlineStr">
        <is>
          <t>ms-emeklilik-yok</t>
        </is>
      </c>
      <c r="B1006" s="5" t="n">
        <v>2</v>
      </c>
      <c r="C1006" s="6" t="inlineStr">
        <is>
          <t>Eski eserlerini sat</t>
        </is>
      </c>
      <c r="D1006" s="5" t="inlineStr">
        <is>
          <t>Kurnazlık</t>
        </is>
      </c>
      <c r="E1006" s="5" t="inlineStr">
        <is>
          <t>Orta</t>
        </is>
      </c>
      <c r="F1006" s="5" t="inlineStr"/>
      <c r="G1006" s="6" t="inlineStr"/>
      <c r="H1006" s="6" t="inlineStr">
        <is>
          <t>Depodaki eserler koleksiyonculara gitti. Bir yıllık rahatlık, bir ömürlük eksiklik.</t>
        </is>
      </c>
      <c r="I1006" s="6" t="inlineStr">
        <is>
          <t>Otuz yıl önce satamadığın bir eser, şimdi o dönemin fiyatının yirmi katına satıldı. Zamanlama sanattır.</t>
        </is>
      </c>
      <c r="J1006" s="6" t="inlineStr">
        <is>
          <t>Eserleri satışa koydun; alıcılar 'İmzalı mı?' diye sordu. İmzalamayı unutmuşsun. Otuz yıl boyunca.</t>
        </is>
      </c>
      <c r="K1006" s="6" t="inlineStr">
        <is>
          <t>Eserleri sattın; bir yıl sonra değeri üçe katlandı. Alıcı teşekkür mesajı yolladı.</t>
        </is>
      </c>
      <c r="L1006" s="6" t="inlineStr"/>
      <c r="M1006" s="5" t="inlineStr"/>
      <c r="N1006" s="5" t="inlineStr"/>
      <c r="O1006" s="6" t="inlineStr"/>
      <c r="P1006" s="6" t="inlineStr"/>
      <c r="Q1006" s="5" t="inlineStr"/>
      <c r="R1006" s="5" t="inlineStr"/>
      <c r="S1006" s="5" t="inlineStr"/>
      <c r="T1006" s="5" t="inlineStr"/>
      <c r="U1006" s="5" t="inlineStr"/>
      <c r="V1006" s="5" t="inlineStr"/>
      <c r="W1006" s="5" t="inlineStr"/>
      <c r="X1006" s="5" t="inlineStr"/>
      <c r="Y1006" s="5" t="inlineStr"/>
      <c r="Z1006" s="6" t="inlineStr"/>
    </row>
    <row r="1007">
      <c r="A1007" s="5" t="inlineStr">
        <is>
          <t>ms-emeklilik-yok</t>
        </is>
      </c>
      <c r="B1007" s="5" t="n">
        <v>3</v>
      </c>
      <c r="C1007" s="6" t="inlineStr">
        <is>
          <t>Gençlere serbest çalışma dersi ver</t>
        </is>
      </c>
      <c r="D1007" s="5" t="inlineStr">
        <is>
          <t>Çene</t>
        </is>
      </c>
      <c r="E1007" s="5" t="inlineStr">
        <is>
          <t>Kolay</t>
        </is>
      </c>
      <c r="F1007" s="5" t="inlineStr"/>
      <c r="G1007" s="6" t="inlineStr"/>
      <c r="H1007" s="6" t="inlineStr">
        <is>
          <t>İlk dersin konusu: fatura. İkinci dersin konusu: faturayı tahsil etmek. Üçüncü ders hiç bitmedi.</t>
        </is>
      </c>
      <c r="I1007" s="6" t="inlineStr">
        <is>
          <t>Dersin dolup taştı. Ders ücretini peşin aldın; hayatında ilk kez.</t>
        </is>
      </c>
      <c r="J1007" s="6" t="inlineStr">
        <is>
          <t>Öğrencilerden biri sordu: 'Bunu yapay zekâya sorsak olmaz mı?' Oldu.</t>
        </is>
      </c>
      <c r="K1007" s="6" t="inlineStr">
        <is>
          <t>Dersin sonunda öğrenciler sana 'Görünürlük sağlarız' dedi ve ücret ödemedi.</t>
        </is>
      </c>
      <c r="L1007" s="6" t="inlineStr"/>
      <c r="M1007" s="5" t="inlineStr"/>
      <c r="N1007" s="5" t="inlineStr"/>
      <c r="O1007" s="6" t="inlineStr"/>
      <c r="P1007" s="6" t="inlineStr"/>
      <c r="Q1007" s="5" t="inlineStr"/>
      <c r="R1007" s="5" t="inlineStr"/>
      <c r="S1007" s="5" t="inlineStr"/>
      <c r="T1007" s="5" t="inlineStr"/>
      <c r="U1007" s="5" t="inlineStr"/>
      <c r="V1007" s="5" t="inlineStr"/>
      <c r="W1007" s="5" t="inlineStr"/>
      <c r="X1007" s="5" t="inlineStr"/>
      <c r="Y1007" s="5" t="inlineStr"/>
      <c r="Z1007" s="6" t="inlineStr"/>
    </row>
    <row r="1008">
      <c r="A1008" s="5" t="inlineStr">
        <is>
          <t>ms-emeklilik-yok</t>
        </is>
      </c>
      <c r="B1008" s="5" t="n">
        <v>4</v>
      </c>
      <c r="C1008" s="6" t="inlineStr">
        <is>
          <t>Evin bir odasını kiraya ver</t>
        </is>
      </c>
      <c r="D1008" s="5" t="inlineStr">
        <is>
          <t>Sosyal Radar</t>
        </is>
      </c>
      <c r="E1008" s="5" t="inlineStr">
        <is>
          <t>Orta</t>
        </is>
      </c>
      <c r="F1008" s="5" t="inlineStr"/>
      <c r="G1008" s="6" t="inlineStr"/>
      <c r="H1008" s="6" t="inlineStr">
        <is>
          <t>Odayı genç bir sanatçıya verdin. Kira düzenli geliyor. Senin kiraların hiç böyle gelmemişti.</t>
        </is>
      </c>
      <c r="I1008" s="6" t="inlineStr">
        <is>
          <t>Kiracın ünlendi. Evin 'ustanın evi' olarak turlara girdi. Kira da girdi.</t>
        </is>
      </c>
      <c r="J1008" s="6" t="inlineStr">
        <is>
          <t>Kiracı serbest çalışan çıktı. Kira 'onay bekliyor'.</t>
        </is>
      </c>
      <c r="K1008" s="6" t="inlineStr">
        <is>
          <t>Kiracı seninle aynı alanda çalışıyor. Artık bir rakibin var ve banyonu kullanıyor.</t>
        </is>
      </c>
      <c r="L1008" s="6" t="inlineStr"/>
      <c r="M1008" s="5" t="inlineStr"/>
      <c r="N1008" s="5" t="inlineStr"/>
      <c r="O1008" s="6" t="inlineStr"/>
      <c r="P1008" s="6" t="inlineStr"/>
      <c r="Q1008" s="5" t="inlineStr"/>
      <c r="R1008" s="5" t="inlineStr">
        <is>
          <t>ev-sahibi</t>
        </is>
      </c>
      <c r="S1008" s="5" t="inlineStr"/>
      <c r="T1008" s="5" t="inlineStr"/>
      <c r="U1008" s="5" t="inlineStr"/>
      <c r="V1008" s="5" t="inlineStr"/>
      <c r="W1008" s="5" t="inlineStr"/>
      <c r="X1008" s="5" t="inlineStr"/>
      <c r="Y1008" s="5" t="inlineStr"/>
      <c r="Z1008" s="6" t="inlineStr"/>
    </row>
    <row r="1009">
      <c r="A1009" s="5" t="inlineStr">
        <is>
          <t>me-defterin-son-sayfasi</t>
        </is>
      </c>
      <c r="B1009" s="5" t="n">
        <v>1</v>
      </c>
      <c r="C1009" s="6" t="inlineStr">
        <is>
          <t>Defteri sil, hesapları kapat</t>
        </is>
      </c>
      <c r="D1009" s="5" t="inlineStr"/>
      <c r="E1009" s="5" t="inlineStr"/>
      <c r="F1009" s="5" t="inlineStr">
        <is>
          <t>Vicdan +3</t>
        </is>
      </c>
      <c r="G1009" s="6" t="inlineStr">
        <is>
          <t>Bütün hesapları sildin. Mahalle bunu duydu; ertesi sabah yeni defter açılmasını bekleyenler kapıdaydı.</t>
        </is>
      </c>
      <c r="H1009" s="6" t="inlineStr"/>
      <c r="I1009" s="6" t="inlineStr"/>
      <c r="J1009" s="6" t="inlineStr"/>
      <c r="K1009" s="6" t="inlineStr"/>
      <c r="L1009" s="6" t="inlineStr"/>
      <c r="M1009" s="5" t="inlineStr"/>
      <c r="N1009" s="5" t="inlineStr"/>
      <c r="O1009" s="6" t="inlineStr"/>
      <c r="P1009" s="6" t="inlineStr"/>
      <c r="Q1009" s="5" t="inlineStr"/>
      <c r="R1009" s="5" t="inlineStr"/>
      <c r="S1009" s="5" t="inlineStr"/>
      <c r="T1009" s="5" t="inlineStr"/>
      <c r="U1009" s="5" t="inlineStr"/>
      <c r="V1009" s="5" t="inlineStr"/>
      <c r="W1009" s="5" t="inlineStr"/>
      <c r="X1009" s="5" t="inlineStr"/>
      <c r="Y1009" s="5" t="inlineStr"/>
      <c r="Z1009" s="6" t="inlineStr"/>
    </row>
    <row r="1010">
      <c r="A1010" s="5" t="inlineStr">
        <is>
          <t>me-defterin-son-sayfasi</t>
        </is>
      </c>
      <c r="B1010" s="5" t="n">
        <v>2</v>
      </c>
      <c r="C1010" s="6" t="inlineStr">
        <is>
          <t>Tahsilat turuna çık</t>
        </is>
      </c>
      <c r="D1010" s="5" t="inlineStr">
        <is>
          <t>Çene</t>
        </is>
      </c>
      <c r="E1010" s="5" t="inlineStr">
        <is>
          <t>Zor</t>
        </is>
      </c>
      <c r="F1010" s="5" t="inlineStr"/>
      <c r="G1010" s="6" t="inlineStr"/>
      <c r="H1010" s="6" t="inlineStr">
        <is>
          <t>Kapı kapı gezdin, yarısını topladın. Gerisi sana çay ısmarladı.</t>
        </is>
      </c>
      <c r="I1010" s="6" t="inlineStr">
        <is>
          <t>Kasanın iki katı parayla döndün. Bir borçlu 'Faizini de al' diye ısrar etti; almadın.</t>
        </is>
      </c>
      <c r="J1010" s="6" t="inlineStr">
        <is>
          <t>Herkes seni görünce bir şeyler hatırladı. Borçlarını değil, eski günleri.</t>
        </is>
      </c>
      <c r="K1010" s="6" t="inlineStr">
        <is>
          <t>Tahsilattan üç yeni veresiye yazarak döndün. Defter kapanmadı; ikinci cilde geçti.</t>
        </is>
      </c>
      <c r="L1010" s="6" t="inlineStr"/>
      <c r="M1010" s="5" t="inlineStr"/>
      <c r="N1010" s="5" t="inlineStr"/>
      <c r="O1010" s="6" t="inlineStr"/>
      <c r="P1010" s="6" t="inlineStr"/>
      <c r="Q1010" s="5" t="inlineStr"/>
      <c r="R1010" s="5" t="inlineStr"/>
      <c r="S1010" s="5" t="inlineStr"/>
      <c r="T1010" s="5" t="inlineStr">
        <is>
          <t>Mahalle Muhasebecisi</t>
        </is>
      </c>
      <c r="U1010" s="5" t="inlineStr"/>
      <c r="V1010" s="5" t="inlineStr"/>
      <c r="W1010" s="5" t="inlineStr"/>
      <c r="X1010" s="5" t="inlineStr"/>
      <c r="Y1010" s="5" t="inlineStr"/>
      <c r="Z1010" s="6" t="inlineStr"/>
    </row>
    <row r="1011">
      <c r="A1011" s="5" t="inlineStr">
        <is>
          <t>me-defterin-son-sayfasi</t>
        </is>
      </c>
      <c r="B1011" s="5" t="n">
        <v>3</v>
      </c>
      <c r="C1011" s="6" t="inlineStr">
        <is>
          <t>Sıfır arabalıya kibarca uğra</t>
        </is>
      </c>
      <c r="D1011" s="5" t="inlineStr">
        <is>
          <t>Kurnazlık</t>
        </is>
      </c>
      <c r="E1011" s="5" t="inlineStr">
        <is>
          <t>Kolay</t>
        </is>
      </c>
      <c r="F1011" s="5" t="inlineStr"/>
      <c r="G1011" s="6" t="inlineStr"/>
      <c r="H1011" s="6" t="inlineStr">
        <is>
          <t>'Hayırlı olsun, arabaya da defteri de' dedin. Borç ertesi sabah kapandı.</t>
        </is>
      </c>
      <c r="I1011" s="6" t="inlineStr">
        <is>
          <t>Borcunu kapattı, bir de özür diledi. Dükkânın önündeki park yeri artık sana ayrıldı.</t>
        </is>
      </c>
      <c r="J1011" s="6" t="inlineStr">
        <is>
          <t>'Araba taksitle' dedi. Taksitlerin sırası belli; defter en sonda.</t>
        </is>
      </c>
      <c r="K1011" s="6" t="inlineStr">
        <is>
          <t>Kibarca uğradın; arabasıyla seni eve bırakmayı teklif etti. Bindin. Borç konusu açılmadı.</t>
        </is>
      </c>
      <c r="L1011" s="6" t="inlineStr"/>
      <c r="M1011" s="5" t="inlineStr"/>
      <c r="N1011" s="5" t="inlineStr"/>
      <c r="O1011" s="6" t="inlineStr"/>
      <c r="P1011" s="6" t="inlineStr"/>
      <c r="Q1011" s="5" t="inlineStr"/>
      <c r="R1011" s="5" t="inlineStr"/>
      <c r="S1011" s="5" t="inlineStr">
        <is>
          <t>Kurnazlık</t>
        </is>
      </c>
      <c r="T1011" s="5" t="inlineStr"/>
      <c r="U1011" s="5" t="inlineStr"/>
      <c r="V1011" s="5" t="inlineStr"/>
      <c r="W1011" s="5" t="inlineStr"/>
      <c r="X1011" s="5" t="inlineStr"/>
      <c r="Y1011" s="5" t="inlineStr"/>
      <c r="Z1011" s="6" t="inlineStr"/>
    </row>
    <row r="1012">
      <c r="A1012" s="5" t="inlineStr">
        <is>
          <t>me-defterin-son-sayfasi</t>
        </is>
      </c>
      <c r="B1012" s="5" t="n">
        <v>4</v>
      </c>
      <c r="C1012" s="6" t="inlineStr">
        <is>
          <t>Defteri hatıra kitabı yap</t>
        </is>
      </c>
      <c r="D1012" s="5" t="inlineStr">
        <is>
          <t>Pişkinlik</t>
        </is>
      </c>
      <c r="E1012" s="5" t="inlineStr">
        <is>
          <t>Orta</t>
        </is>
      </c>
      <c r="F1012" s="5" t="inlineStr"/>
      <c r="G1012" s="6" t="inlineStr"/>
      <c r="H1012" s="6" t="inlineStr">
        <is>
          <t>Borçlular kitabı almaya geldi. Kitabın parasını ödediler; borçlarını yine ödemediler.</t>
        </is>
      </c>
      <c r="I1012" s="6" t="inlineStr">
        <is>
          <t>Hatıra kitabı çarşıda çok sattı. Kitabın geliri defterin toplamını geçti.</t>
        </is>
      </c>
      <c r="J1012" s="6" t="inlineStr">
        <is>
          <t>Kitabı bastırdın. Kimse almadı; herkes kendi sayfasını dükkânda okuyup geri koydu.</t>
        </is>
      </c>
      <c r="K1012" s="6" t="inlineStr">
        <is>
          <t>İsimleri gizlemeyi unuttun. Çarşıda üç aile birbirine selam vermiyor.</t>
        </is>
      </c>
      <c r="L1012" s="6" t="inlineStr"/>
      <c r="M1012" s="5" t="inlineStr"/>
      <c r="N1012" s="5" t="inlineStr"/>
      <c r="O1012" s="6" t="inlineStr"/>
      <c r="P1012" s="6" t="inlineStr"/>
      <c r="Q1012" s="5" t="inlineStr"/>
      <c r="R1012" s="5" t="inlineStr">
        <is>
          <t>esnaf-veresiye-batagi</t>
        </is>
      </c>
      <c r="S1012" s="5" t="inlineStr"/>
      <c r="T1012" s="5" t="inlineStr"/>
      <c r="U1012" s="5" t="inlineStr"/>
      <c r="V1012" s="5" t="inlineStr"/>
      <c r="W1012" s="5" t="inlineStr"/>
      <c r="X1012" s="5" t="inlineStr"/>
      <c r="Y1012" s="5" t="inlineStr"/>
      <c r="Z1012" s="6" t="inlineStr"/>
    </row>
    <row r="1013">
      <c r="A1013" s="5" t="inlineStr">
        <is>
          <t>b9-genclere-tavsiye</t>
        </is>
      </c>
      <c r="B1013" s="5" t="n">
        <v>1</v>
      </c>
      <c r="C1013" s="6" t="inlineStr">
        <is>
          <t>Susup kahveni iç</t>
        </is>
      </c>
      <c r="D1013" s="5" t="inlineStr"/>
      <c r="E1013" s="5" t="inlineStr"/>
      <c r="F1013" s="5" t="inlineStr">
        <is>
          <t>Vicdan +1</t>
        </is>
      </c>
      <c r="G1013" s="6" t="inlineStr">
        <is>
          <t>Sustun. Genç kendi hatalarını kendi yapacak. Kahve de soğudu.</t>
        </is>
      </c>
      <c r="H1013" s="6" t="inlineStr"/>
      <c r="I1013" s="6" t="inlineStr"/>
      <c r="J1013" s="6" t="inlineStr"/>
      <c r="K1013" s="6" t="inlineStr"/>
      <c r="L1013" s="6" t="inlineStr"/>
      <c r="M1013" s="5" t="inlineStr"/>
      <c r="N1013" s="5" t="inlineStr"/>
      <c r="O1013" s="6" t="inlineStr"/>
      <c r="P1013" s="6" t="inlineStr"/>
      <c r="Q1013" s="5" t="inlineStr"/>
      <c r="R1013" s="5" t="inlineStr"/>
      <c r="S1013" s="5" t="inlineStr"/>
      <c r="T1013" s="5" t="inlineStr"/>
      <c r="U1013" s="5" t="inlineStr"/>
      <c r="V1013" s="5" t="inlineStr"/>
      <c r="W1013" s="5" t="inlineStr"/>
      <c r="X1013" s="5" t="inlineStr"/>
      <c r="Y1013" s="5" t="inlineStr"/>
      <c r="Z1013" s="6" t="inlineStr"/>
    </row>
    <row r="1014">
      <c r="A1014" s="5" t="inlineStr">
        <is>
          <t>b9-genclere-tavsiye</t>
        </is>
      </c>
      <c r="B1014" s="5" t="n">
        <v>2</v>
      </c>
      <c r="C1014" s="6" t="inlineStr">
        <is>
          <t>'Benim zamanımda…' diye başla</t>
        </is>
      </c>
      <c r="D1014" s="5" t="inlineStr">
        <is>
          <t>Çene</t>
        </is>
      </c>
      <c r="E1014" s="5" t="inlineStr">
        <is>
          <t>Zor</t>
        </is>
      </c>
      <c r="F1014" s="5" t="inlineStr"/>
      <c r="G1014" s="6" t="inlineStr"/>
      <c r="H1014" s="6" t="inlineStr">
        <is>
          <t>Anlattın. Genç iki dakika dinledi, sonra 'Haklısınız ama şimdi durum farklı' dedi. Değildi.</t>
        </is>
      </c>
      <c r="I1014" s="6" t="inlineStr">
        <is>
          <t>Hikâyen o kadar iyi oturdu ki genç not aldı. Üç ay sonra bir podcast'te seni anlatıyordu.</t>
        </is>
      </c>
      <c r="J1014" s="6" t="inlineStr">
        <is>
          <t>'Benim zamanımda' dedin; genç kulaklığını taktı. Cümleni tamamlamanın bir anlamı kalmadı.</t>
        </is>
      </c>
      <c r="K1014" s="6" t="inlineStr">
        <is>
          <t>'Benim zamanımda' diye başladın; kafedeki herkes kulaklık taktı. Garson da.</t>
        </is>
      </c>
      <c r="L1014" s="6" t="inlineStr"/>
      <c r="M1014" s="5" t="inlineStr"/>
      <c r="N1014" s="5" t="inlineStr"/>
      <c r="O1014" s="6" t="inlineStr"/>
      <c r="P1014" s="6" t="inlineStr"/>
      <c r="Q1014" s="5" t="inlineStr"/>
      <c r="R1014" s="5" t="inlineStr"/>
      <c r="S1014" s="5" t="inlineStr"/>
      <c r="T1014" s="5" t="inlineStr"/>
      <c r="U1014" s="5" t="inlineStr"/>
      <c r="V1014" s="5" t="inlineStr"/>
      <c r="W1014" s="5" t="inlineStr"/>
      <c r="X1014" s="5" t="inlineStr"/>
      <c r="Y1014" s="5" t="inlineStr"/>
      <c r="Z1014" s="6" t="inlineStr"/>
    </row>
    <row r="1015">
      <c r="A1015" s="5" t="inlineStr">
        <is>
          <t>b9-genclere-tavsiye</t>
        </is>
      </c>
      <c r="B1015" s="5" t="n">
        <v>3</v>
      </c>
      <c r="C1015" s="6" t="inlineStr">
        <is>
          <t>'Sence ne yapmalısın?' diye sor</t>
        </is>
      </c>
      <c r="D1015" s="5" t="inlineStr">
        <is>
          <t>Çene</t>
        </is>
      </c>
      <c r="E1015" s="5" t="inlineStr">
        <is>
          <t>Kolay</t>
        </is>
      </c>
      <c r="F1015" s="5" t="inlineStr"/>
      <c r="G1015" s="6" t="inlineStr"/>
      <c r="H1015" s="6" t="inlineStr">
        <is>
          <t>Genç kendi sorusunu kendi cevapladı ve sana teşekkür etti. Danışmanlık ücreti: bir kahve.</t>
        </is>
      </c>
      <c r="I1015" s="6" t="inlineStr">
        <is>
          <t>Genç, 'Keşke iş yerimdeki yöneticiler sizin gibi olsa' dedi. Sen sadece soru sormuştun.</t>
        </is>
      </c>
      <c r="J1015" s="6" t="inlineStr">
        <is>
          <t>Genç 'Bilmiyorum, siz ne dersiniz?' dedi. Top sana döndü ve düştü.</t>
        </is>
      </c>
      <c r="K1015" s="6" t="inlineStr">
        <is>
          <t>Soruyu sordun; genç otuz dakika boyunca cevap verdi. Kafeden en son sen çıktın.</t>
        </is>
      </c>
      <c r="L1015" s="6" t="inlineStr"/>
      <c r="M1015" s="5" t="inlineStr"/>
      <c r="N1015" s="5" t="inlineStr"/>
      <c r="O1015" s="6" t="inlineStr"/>
      <c r="P1015" s="6" t="inlineStr"/>
      <c r="Q1015" s="5" t="inlineStr"/>
      <c r="R1015" s="5" t="inlineStr"/>
      <c r="S1015" s="5" t="inlineStr">
        <is>
          <t>Çene</t>
        </is>
      </c>
      <c r="T1015" s="5" t="inlineStr"/>
      <c r="U1015" s="5" t="inlineStr"/>
      <c r="V1015" s="5" t="inlineStr"/>
      <c r="W1015" s="5" t="inlineStr"/>
      <c r="X1015" s="5" t="inlineStr"/>
      <c r="Y1015" s="5" t="inlineStr"/>
      <c r="Z1015" s="6" t="inlineStr"/>
    </row>
    <row r="1016">
      <c r="A1016" s="5" t="inlineStr">
        <is>
          <t>b9-lise-bulusmasi</t>
        </is>
      </c>
      <c r="B1016" s="5" t="n">
        <v>1</v>
      </c>
      <c r="C1016" s="6" t="inlineStr">
        <is>
          <t>Toplu fotoğrafı aile grubuna at</t>
        </is>
      </c>
      <c r="D1016" s="5" t="inlineStr"/>
      <c r="E1016" s="5" t="inlineStr"/>
      <c r="F1016" s="5" t="inlineStr">
        <is>
          <t>Pişkinlik +1</t>
        </is>
      </c>
      <c r="G1016" s="6" t="inlineStr">
        <is>
          <t>Fotoğrafı attın. Aile 'Hangisi sensin?' diye sordu. Sen de tam emin değildin.</t>
        </is>
      </c>
      <c r="H1016" s="6" t="inlineStr"/>
      <c r="I1016" s="6" t="inlineStr"/>
      <c r="J1016" s="6" t="inlineStr"/>
      <c r="K1016" s="6" t="inlineStr"/>
      <c r="L1016" s="6" t="inlineStr"/>
      <c r="M1016" s="5" t="inlineStr"/>
      <c r="N1016" s="5" t="inlineStr"/>
      <c r="O1016" s="6" t="inlineStr"/>
      <c r="P1016" s="6" t="inlineStr"/>
      <c r="Q1016" s="5" t="inlineStr"/>
      <c r="R1016" s="5" t="inlineStr"/>
      <c r="S1016" s="5" t="inlineStr"/>
      <c r="T1016" s="5" t="inlineStr"/>
      <c r="U1016" s="5" t="inlineStr"/>
      <c r="V1016" s="5" t="inlineStr"/>
      <c r="W1016" s="5" t="inlineStr"/>
      <c r="X1016" s="5" t="inlineStr"/>
      <c r="Y1016" s="5" t="inlineStr"/>
      <c r="Z1016" s="6" t="inlineStr"/>
    </row>
    <row r="1017">
      <c r="A1017" s="5" t="inlineStr">
        <is>
          <t>b9-lise-bulusmasi</t>
        </is>
      </c>
      <c r="B1017" s="5" t="n">
        <v>2</v>
      </c>
      <c r="C1017" s="6" t="inlineStr">
        <is>
          <t>Yeni bir mesaj grubu kur</t>
        </is>
      </c>
      <c r="D1017" s="5" t="inlineStr">
        <is>
          <t>Çene</t>
        </is>
      </c>
      <c r="E1017" s="5" t="inlineStr">
        <is>
          <t>Orta</t>
        </is>
      </c>
      <c r="F1017" s="5" t="inlineStr"/>
      <c r="G1017" s="6" t="inlineStr"/>
      <c r="H1017" s="6" t="inlineStr">
        <is>
          <t>Grup kuruldu. İlk hafta seksen mesaj, ikinci hafta bir günaydın görseli, üçüncü hafta sessizlik.</t>
        </is>
      </c>
      <c r="I1017" s="6" t="inlineStr">
        <is>
          <t>Grup öyle yaşadı ki sınıf bir sonraki yıl tatile birlikte gitti. Kırk yıldır ilk kez yoklama tam.</t>
        </is>
      </c>
      <c r="J1017" s="6" t="inlineStr">
        <is>
          <t>Grubu kurdun, adını yazarken yanlışlıkla bir önceki sınıfın adını yazdın. Kimse düzeltmedi.</t>
        </is>
      </c>
      <c r="K1017" s="6" t="inlineStr">
        <is>
          <t>Grubu kurdun ve ilk mesajda yanlış kişiyi 'Merhum' diye andın. Kendisi grupta ve üzgün.</t>
        </is>
      </c>
      <c r="L1017" s="6" t="inlineStr"/>
      <c r="M1017" s="5" t="inlineStr"/>
      <c r="N1017" s="5" t="inlineStr"/>
      <c r="O1017" s="6" t="inlineStr"/>
      <c r="P1017" s="6" t="inlineStr"/>
      <c r="Q1017" s="5" t="inlineStr">
        <is>
          <t>Organizatör</t>
        </is>
      </c>
      <c r="R1017" s="5" t="inlineStr"/>
      <c r="S1017" s="5" t="inlineStr"/>
      <c r="T1017" s="5" t="inlineStr"/>
      <c r="U1017" s="5" t="inlineStr"/>
      <c r="V1017" s="5" t="inlineStr"/>
      <c r="W1017" s="5" t="inlineStr"/>
      <c r="X1017" s="5" t="inlineStr"/>
      <c r="Y1017" s="5" t="inlineStr"/>
      <c r="Z1017" s="6" t="inlineStr"/>
    </row>
    <row r="1018">
      <c r="A1018" s="5" t="inlineStr">
        <is>
          <t>b9-lise-bulusmasi</t>
        </is>
      </c>
      <c r="B1018" s="5" t="n">
        <v>3</v>
      </c>
      <c r="C1018" s="6" t="inlineStr">
        <is>
          <t>Kimin ne olduğunu kıyasla</t>
        </is>
      </c>
      <c r="D1018" s="5" t="inlineStr">
        <is>
          <t>Vicdan</t>
        </is>
      </c>
      <c r="E1018" s="5" t="inlineStr">
        <is>
          <t>Orta</t>
        </is>
      </c>
      <c r="F1018" s="5" t="inlineStr"/>
      <c r="G1018" s="6" t="inlineStr"/>
      <c r="H1018" s="6" t="inlineStr">
        <is>
          <t>Kıyasladın ve fark ettin: herkes bir yerinden yorulmuş. Rahatladın.</t>
        </is>
      </c>
      <c r="I1018" s="6" t="inlineStr">
        <is>
          <t>Kıyasladın ve kendini sınıfın ortalamasının üstünde buldun. Gece rahat uyudun. Kimseye söylemedin.</t>
        </is>
      </c>
      <c r="J1018" s="6" t="inlineStr">
        <is>
          <t>Kıyasladın. Sınıfın en tembeli şimdi bir otel zinciri sahibi. Bu bilgiyi hazmetmen iki gün sürdü.</t>
        </is>
      </c>
      <c r="K1018" s="6" t="inlineStr">
        <is>
          <t>Kıyaslarken yüksek sesle düşündün. Arabadaki eski sınıf arkadaşın her şeyi duydu.</t>
        </is>
      </c>
      <c r="L1018" s="6" t="inlineStr"/>
      <c r="M1018" s="5" t="inlineStr"/>
      <c r="N1018" s="5" t="inlineStr"/>
      <c r="O1018" s="6" t="inlineStr"/>
      <c r="P1018" s="6" t="inlineStr"/>
      <c r="Q1018" s="5" t="inlineStr"/>
      <c r="R1018" s="5" t="inlineStr"/>
      <c r="S1018" s="5" t="inlineStr"/>
      <c r="T1018" s="5" t="inlineStr"/>
      <c r="U1018" s="5" t="inlineStr"/>
      <c r="V1018" s="5" t="inlineStr"/>
      <c r="W1018" s="5" t="inlineStr"/>
      <c r="X1018" s="5" t="inlineStr"/>
      <c r="Y1018" s="5" t="inlineStr"/>
      <c r="Z1018" s="6" t="inlineStr"/>
    </row>
    <row r="1019">
      <c r="A1019" s="5" t="inlineStr">
        <is>
          <t>b9-eski-ask</t>
        </is>
      </c>
      <c r="B1019" s="5" t="n">
        <v>1</v>
      </c>
      <c r="C1019" s="6" t="inlineStr">
        <is>
          <t>Nohudu bırak, başka reyona geç</t>
        </is>
      </c>
      <c r="D1019" s="5" t="inlineStr"/>
      <c r="E1019" s="5" t="inlineStr"/>
      <c r="F1019" s="5" t="inlineStr">
        <is>
          <t>Dayanıklılık +1</t>
        </is>
      </c>
      <c r="G1019" s="6" t="inlineStr">
        <is>
          <t>Nohudu bıraktın. Akşam yemeği nohutsuz kaldı. Geçmiş de öyle.</t>
        </is>
      </c>
      <c r="H1019" s="6" t="inlineStr"/>
      <c r="I1019" s="6" t="inlineStr"/>
      <c r="J1019" s="6" t="inlineStr"/>
      <c r="K1019" s="6" t="inlineStr"/>
      <c r="L1019" s="6" t="inlineStr"/>
      <c r="M1019" s="5" t="inlineStr"/>
      <c r="N1019" s="5" t="inlineStr"/>
      <c r="O1019" s="6" t="inlineStr"/>
      <c r="P1019" s="6" t="inlineStr"/>
      <c r="Q1019" s="5" t="inlineStr"/>
      <c r="R1019" s="5" t="inlineStr"/>
      <c r="S1019" s="5" t="inlineStr"/>
      <c r="T1019" s="5" t="inlineStr"/>
      <c r="U1019" s="5" t="inlineStr"/>
      <c r="V1019" s="5" t="inlineStr"/>
      <c r="W1019" s="5" t="inlineStr"/>
      <c r="X1019" s="5" t="inlineStr"/>
      <c r="Y1019" s="5" t="inlineStr"/>
      <c r="Z1019" s="6" t="inlineStr"/>
    </row>
    <row r="1020">
      <c r="A1020" s="5" t="inlineStr">
        <is>
          <t>b9-eski-ask</t>
        </is>
      </c>
      <c r="B1020" s="5" t="n">
        <v>2</v>
      </c>
      <c r="C1020" s="6" t="inlineStr">
        <is>
          <t>Selam ver</t>
        </is>
      </c>
      <c r="D1020" s="5" t="inlineStr">
        <is>
          <t>Cesaret</t>
        </is>
      </c>
      <c r="E1020" s="5" t="inlineStr">
        <is>
          <t>Orta</t>
        </is>
      </c>
      <c r="F1020" s="5" t="inlineStr"/>
      <c r="G1020" s="6" t="inlineStr"/>
      <c r="H1020" s="6" t="inlineStr">
        <is>
          <t>Selam verdin. On dakika konuştunuz. İkiniz de torun fotoğrafı gösterdiniz.</t>
        </is>
      </c>
      <c r="I1020" s="6" t="inlineStr">
        <is>
          <t>Selam verdin, kafeye oturdunuz, üç saat konuştunuz. Kasaya dönünce nohudun indirimi bitmişti.</t>
        </is>
      </c>
      <c r="J1020" s="6" t="inlineStr">
        <is>
          <t>Selam verdin. 'Pardon, tanıyamadım' dedi. Sen de tanımamış gibi yaptın. Artık ikiniz de yalan söylüyorsunuz.</t>
        </is>
      </c>
      <c r="K1020" s="6" t="inlineStr">
        <is>
          <t>Selam verdin. Eski aşkın değilmiş. Sadece aynı nohudu seven biriymiş.</t>
        </is>
      </c>
      <c r="L1020" s="6" t="inlineStr"/>
      <c r="M1020" s="5" t="inlineStr"/>
      <c r="N1020" s="5" t="inlineStr"/>
      <c r="O1020" s="6" t="inlineStr"/>
      <c r="P1020" s="6" t="inlineStr"/>
      <c r="Q1020" s="5" t="inlineStr"/>
      <c r="R1020" s="5" t="inlineStr"/>
      <c r="S1020" s="5" t="inlineStr"/>
      <c r="T1020" s="5" t="inlineStr"/>
      <c r="U1020" s="5" t="inlineStr"/>
      <c r="V1020" s="5" t="inlineStr"/>
      <c r="W1020" s="5" t="inlineStr"/>
      <c r="X1020" s="5" t="inlineStr"/>
      <c r="Y1020" s="5" t="inlineStr"/>
      <c r="Z1020" s="6" t="inlineStr"/>
    </row>
    <row r="1021">
      <c r="A1021" s="5" t="inlineStr">
        <is>
          <t>b9-eski-ask</t>
        </is>
      </c>
      <c r="B1021" s="5" t="n">
        <v>3</v>
      </c>
      <c r="C1021" s="6" t="inlineStr">
        <is>
          <t>Yarım kalan mektubu anlat</t>
        </is>
      </c>
      <c r="D1021" s="5" t="inlineStr">
        <is>
          <t>Vicdan</t>
        </is>
      </c>
      <c r="E1021" s="5" t="inlineStr">
        <is>
          <t>Zor</t>
        </is>
      </c>
      <c r="F1021" s="5" t="inlineStr"/>
      <c r="G1021" s="6" t="inlineStr"/>
      <c r="H1021" s="6" t="inlineStr">
        <is>
          <t>Mektubu anlattın. Güldü: 'O mektubu ben de yazıyordum.' İki yarım mektup bir marketin konserve reyonunda tamamlandı.</t>
        </is>
      </c>
      <c r="I1021" s="6" t="inlineStr">
        <is>
          <t>Mektubu anlattın. O da cüzdanından sararmış bir kâğıt çıkardı. Kırk yıl sonra teslim alındı.</t>
        </is>
      </c>
      <c r="J1021" s="6" t="inlineStr">
        <is>
          <t>Mektubu anlattın. 'Hangi mektup?' dedi. Kırk yıllık bir dram tek taraflıymış.</t>
        </is>
      </c>
      <c r="K1021" s="6" t="inlineStr">
        <is>
          <t>Mektubu anlatırken ağladın, nohut kutusu elinden düştü. Market görevlisi 'Reyon üç, temizlik' anonsu yaptı.</t>
        </is>
      </c>
      <c r="L1021" s="6" t="inlineStr"/>
      <c r="M1021" s="5" t="inlineStr"/>
      <c r="N1021" s="5" t="inlineStr"/>
      <c r="O1021" s="6" t="inlineStr"/>
      <c r="P1021" s="6" t="inlineStr"/>
      <c r="Q1021" s="5" t="inlineStr"/>
      <c r="R1021" s="5" t="inlineStr"/>
      <c r="S1021" s="5" t="inlineStr">
        <is>
          <t>Vicdan</t>
        </is>
      </c>
      <c r="T1021" s="5" t="inlineStr"/>
      <c r="U1021" s="5" t="inlineStr"/>
      <c r="V1021" s="5" t="inlineStr"/>
      <c r="W1021" s="5" t="inlineStr"/>
      <c r="X1021" s="5" t="inlineStr"/>
      <c r="Y1021" s="5" t="inlineStr"/>
      <c r="Z1021" s="6" t="inlineStr"/>
    </row>
    <row r="1022">
      <c r="A1022" s="5" t="inlineStr">
        <is>
          <t>b9-balkon-tarimi</t>
        </is>
      </c>
      <c r="B1022" s="5" t="n">
        <v>1</v>
      </c>
      <c r="C1022" s="6" t="inlineStr">
        <is>
          <t>Her gün sula, bekle</t>
        </is>
      </c>
      <c r="D1022" s="5" t="inlineStr"/>
      <c r="E1022" s="5" t="inlineStr"/>
      <c r="F1022" s="5" t="inlineStr">
        <is>
          <t>Vicdan +1, Dayanıklılık +1</t>
        </is>
      </c>
      <c r="G1022" s="6" t="inlineStr">
        <is>
          <t>Bekledin. Hasat: yedi domates. Her birine isim verdin. Salata yapmak zor oldu.</t>
        </is>
      </c>
      <c r="H1022" s="6" t="inlineStr"/>
      <c r="I1022" s="6" t="inlineStr"/>
      <c r="J1022" s="6" t="inlineStr"/>
      <c r="K1022" s="6" t="inlineStr"/>
      <c r="L1022" s="6" t="inlineStr"/>
      <c r="M1022" s="5" t="inlineStr"/>
      <c r="N1022" s="5" t="inlineStr"/>
      <c r="O1022" s="6" t="inlineStr"/>
      <c r="P1022" s="6" t="inlineStr"/>
      <c r="Q1022" s="5" t="inlineStr"/>
      <c r="R1022" s="5" t="inlineStr"/>
      <c r="S1022" s="5" t="inlineStr"/>
      <c r="T1022" s="5" t="inlineStr"/>
      <c r="U1022" s="5" t="inlineStr"/>
      <c r="V1022" s="5" t="inlineStr"/>
      <c r="W1022" s="5" t="inlineStr"/>
      <c r="X1022" s="5" t="inlineStr"/>
      <c r="Y1022" s="5" t="inlineStr"/>
      <c r="Z1022" s="6" t="inlineStr"/>
    </row>
    <row r="1023">
      <c r="A1023" s="5" t="inlineStr">
        <is>
          <t>b9-balkon-tarimi</t>
        </is>
      </c>
      <c r="B1023" s="5" t="n">
        <v>2</v>
      </c>
      <c r="C1023" s="6" t="inlineStr">
        <is>
          <t>Toprak ve gübre araştır</t>
        </is>
      </c>
      <c r="D1023" s="5" t="inlineStr">
        <is>
          <t>Akıl</t>
        </is>
      </c>
      <c r="E1023" s="5" t="inlineStr">
        <is>
          <t>Zor</t>
        </is>
      </c>
      <c r="F1023" s="5" t="inlineStr"/>
      <c r="G1023" s="6" t="inlineStr"/>
      <c r="H1023" s="6" t="inlineStr">
        <is>
          <t>Toprağı değiştirdin, domatesler coştu. Balkon küçük bir tarım kooperatifi oldu.</t>
        </is>
      </c>
      <c r="I1023" s="6" t="inlineStr">
        <is>
          <t>Domatesler öyle büyüdü ki apartman yöneticisi 'Balkon statiği' konulu bir toplantı çağırdı.</t>
        </is>
      </c>
      <c r="J1023" s="6" t="inlineStr">
        <is>
          <t>Doğru gübreyi aldın, yanlış saksıya koydun. Sardunya dev oldu. Domatesler kıskandı.</t>
        </is>
      </c>
      <c r="K1023" s="6" t="inlineStr">
        <is>
          <t>Gübreyi fazla koydun. Balkon üç hafta boyunca bir çiftlik kokusuyla komşuluk ilişkilerini test etti.</t>
        </is>
      </c>
      <c r="L1023" s="6" t="inlineStr"/>
      <c r="M1023" s="5" t="inlineStr"/>
      <c r="N1023" s="5" t="inlineStr"/>
      <c r="O1023" s="6" t="inlineStr"/>
      <c r="P1023" s="6" t="inlineStr"/>
      <c r="Q1023" s="5" t="inlineStr"/>
      <c r="R1023" s="5" t="inlineStr"/>
      <c r="S1023" s="5" t="inlineStr"/>
      <c r="T1023" s="5" t="inlineStr">
        <is>
          <t>Bahçe Filozofu</t>
        </is>
      </c>
      <c r="U1023" s="5" t="inlineStr"/>
      <c r="V1023" s="5" t="inlineStr"/>
      <c r="W1023" s="5" t="inlineStr"/>
      <c r="X1023" s="5" t="inlineStr"/>
      <c r="Y1023" s="5" t="inlineStr"/>
      <c r="Z1023" s="6" t="inlineStr"/>
    </row>
    <row r="1024">
      <c r="A1024" s="5" t="inlineStr">
        <is>
          <t>b9-balkon-tarimi</t>
        </is>
      </c>
      <c r="B1024" s="5" t="n">
        <v>3</v>
      </c>
      <c r="C1024" s="6" t="inlineStr">
        <is>
          <t>Alt kata doğru genişlet</t>
        </is>
      </c>
      <c r="D1024" s="5" t="inlineStr">
        <is>
          <t>Kurnazlık</t>
        </is>
      </c>
      <c r="E1024" s="5" t="inlineStr">
        <is>
          <t>Zor</t>
        </is>
      </c>
      <c r="F1024" s="5" t="inlineStr"/>
      <c r="G1024" s="6" t="inlineStr"/>
      <c r="H1024" s="6" t="inlineStr">
        <is>
          <t>Saksılar alt kata sarkıtıldı. Domatesler güneşte. Alt kat henüz fark etmedi.</t>
        </is>
      </c>
      <c r="I1024" s="6" t="inlineStr">
        <is>
          <t>Alt kat fark etti ve kendi saksısını ekledi. Artık iki kat ortak bir bahçe işletiyor.</t>
        </is>
      </c>
      <c r="J1024" s="6" t="inlineStr">
        <is>
          <t>Alt kat fark etti ve saksıları geri itti. Sessiz bir sınır anlaşmazlığı başladı.</t>
        </is>
      </c>
      <c r="K1024" s="6" t="inlineStr">
        <is>
          <t>Saksı sarktı, sonra düştü. Alt kattakinin balkonunda yeni bir domates fidesi var. Mülkiyet tartışmalı.</t>
        </is>
      </c>
      <c r="L1024" s="6" t="inlineStr"/>
      <c r="M1024" s="5" t="inlineStr"/>
      <c r="N1024" s="5" t="inlineStr"/>
      <c r="O1024" s="6" t="inlineStr"/>
      <c r="P1024" s="6" t="inlineStr"/>
      <c r="Q1024" s="5" t="inlineStr"/>
      <c r="R1024" s="5" t="inlineStr"/>
      <c r="S1024" s="5" t="inlineStr"/>
      <c r="T1024" s="5" t="inlineStr"/>
      <c r="U1024" s="5" t="inlineStr"/>
      <c r="V1024" s="5" t="inlineStr"/>
      <c r="W1024" s="5" t="inlineStr"/>
      <c r="X1024" s="5" t="inlineStr"/>
      <c r="Y1024" s="5" t="inlineStr"/>
      <c r="Z1024" s="6" t="inlineStr"/>
    </row>
    <row r="1025">
      <c r="A1025" s="5" t="inlineStr">
        <is>
          <t>mm-devir-teslim</t>
        </is>
      </c>
      <c r="B1025" s="5" t="n">
        <v>1</v>
      </c>
      <c r="C1025" s="6" t="inlineStr">
        <is>
          <t>Her şeyi tutanağa geçir</t>
        </is>
      </c>
      <c r="D1025" s="5" t="inlineStr"/>
      <c r="E1025" s="5" t="inlineStr"/>
      <c r="F1025" s="5" t="inlineStr">
        <is>
          <t>Akıl +1, Vicdan +1</t>
        </is>
      </c>
      <c r="G1025" s="6" t="inlineStr">
        <is>
          <t>Kırk iki sayfalık tutanak yazdın. Genç memur ilk sayfayı okudu ve sordu: 'Kısaca?'</t>
        </is>
      </c>
      <c r="H1025" s="6" t="inlineStr"/>
      <c r="I1025" s="6" t="inlineStr"/>
      <c r="J1025" s="6" t="inlineStr"/>
      <c r="K1025" s="6" t="inlineStr"/>
      <c r="L1025" s="6" t="inlineStr"/>
      <c r="M1025" s="5" t="inlineStr"/>
      <c r="N1025" s="5" t="inlineStr"/>
      <c r="O1025" s="6" t="inlineStr"/>
      <c r="P1025" s="6" t="inlineStr"/>
      <c r="Q1025" s="5" t="inlineStr"/>
      <c r="R1025" s="5" t="inlineStr"/>
      <c r="S1025" s="5" t="inlineStr"/>
      <c r="T1025" s="5" t="inlineStr"/>
      <c r="U1025" s="5" t="inlineStr"/>
      <c r="V1025" s="5" t="inlineStr"/>
      <c r="W1025" s="5" t="inlineStr"/>
      <c r="X1025" s="5" t="inlineStr"/>
      <c r="Y1025" s="5" t="inlineStr"/>
      <c r="Z1025" s="6" t="inlineStr"/>
    </row>
    <row r="1026">
      <c r="A1026" s="5" t="inlineStr">
        <is>
          <t>mm-devir-teslim</t>
        </is>
      </c>
      <c r="B1026" s="5" t="n">
        <v>2</v>
      </c>
      <c r="C1026" s="6" t="inlineStr">
        <is>
          <t>Genç memura işin inceliklerini öğret</t>
        </is>
      </c>
      <c r="D1026" s="5" t="inlineStr">
        <is>
          <t>Çene</t>
        </is>
      </c>
      <c r="E1026" s="5" t="inlineStr">
        <is>
          <t>Orta</t>
        </is>
      </c>
      <c r="F1026" s="5" t="inlineStr"/>
      <c r="G1026" s="6" t="inlineStr"/>
      <c r="H1026" s="6" t="inlineStr">
        <is>
          <t>Hangi evrak hangi masaya, hangi müdür hangi saatte. İki haftada otuz yıl aktarıldı.</t>
        </is>
      </c>
      <c r="I1026" s="6" t="inlineStr">
        <is>
          <t>Genç memur öğrendiklerini not aldı, not defteri birimde el kitabı oldu. Kapakta adın var.</t>
        </is>
      </c>
      <c r="J1026" s="6" t="inlineStr">
        <is>
          <t>Anlattın. Genç memur her cümleden sonra 'Sistemde bu otomatik' dedi.</t>
        </is>
      </c>
      <c r="K1026" s="6" t="inlineStr">
        <is>
          <t>O kadar anlattın ki genç memur tayin istedi. Devir teslim, yeni gelecek bir sonraki gence ertelendi.</t>
        </is>
      </c>
      <c r="L1026" s="6" t="inlineStr"/>
      <c r="M1026" s="5" t="inlineStr"/>
      <c r="N1026" s="5" t="inlineStr"/>
      <c r="O1026" s="6" t="inlineStr"/>
      <c r="P1026" s="6" t="inlineStr"/>
      <c r="Q1026" s="5" t="inlineStr"/>
      <c r="R1026" s="5" t="inlineStr"/>
      <c r="S1026" s="5" t="inlineStr"/>
      <c r="T1026" s="5" t="inlineStr"/>
      <c r="U1026" s="5" t="inlineStr"/>
      <c r="V1026" s="5" t="inlineStr"/>
      <c r="W1026" s="5" t="inlineStr"/>
      <c r="X1026" s="5" t="inlineStr"/>
      <c r="Y1026" s="5" t="inlineStr"/>
      <c r="Z1026" s="6" t="inlineStr"/>
    </row>
    <row r="1027">
      <c r="A1027" s="5" t="inlineStr">
        <is>
          <t>mm-devir-teslim</t>
        </is>
      </c>
      <c r="B1027" s="5" t="n">
        <v>3</v>
      </c>
      <c r="C1027" s="6" t="inlineStr">
        <is>
          <t>Genç memurdan yeni sistemi öğren</t>
        </is>
      </c>
      <c r="D1027" s="5" t="inlineStr">
        <is>
          <t>Akıl</t>
        </is>
      </c>
      <c r="E1027" s="5" t="inlineStr">
        <is>
          <t>Kolay</t>
        </is>
      </c>
      <c r="F1027" s="5" t="inlineStr"/>
      <c r="G1027" s="6" t="inlineStr"/>
      <c r="H1027" s="6" t="inlineStr">
        <is>
          <t>On dakikada öğrendin. Kariyerinin son iki haftası en verimli dönemin oldu.</t>
        </is>
      </c>
      <c r="I1027" s="6" t="inlineStr">
        <is>
          <t>Sistemi öyle kavradın ki çöktüğünde genç memur seni aradı. Otuz yılda bir ilk.</t>
        </is>
      </c>
      <c r="J1027" s="6" t="inlineStr">
        <is>
          <t>Öğrendin, sonra unuttun. Sistem de seni unuttu; şifren süresi dolmuştu.</t>
        </is>
      </c>
      <c r="K1027" s="6" t="inlineStr">
        <is>
          <t>Yanlış tuşa bastın; bütün birimin emeklilik tarihleri bir gün ileri kaydı. Kimse fark etmedi, sen hariç.</t>
        </is>
      </c>
      <c r="L1027" s="6" t="inlineStr"/>
      <c r="M1027" s="5" t="inlineStr"/>
      <c r="N1027" s="5" t="inlineStr"/>
      <c r="O1027" s="6" t="inlineStr"/>
      <c r="P1027" s="6" t="inlineStr"/>
      <c r="Q1027" s="5" t="inlineStr"/>
      <c r="R1027" s="5" t="inlineStr"/>
      <c r="S1027" s="5" t="inlineStr"/>
      <c r="T1027" s="5" t="inlineStr"/>
      <c r="U1027" s="5" t="inlineStr"/>
      <c r="V1027" s="5" t="inlineStr"/>
      <c r="W1027" s="5" t="inlineStr"/>
      <c r="X1027" s="5" t="inlineStr"/>
      <c r="Y1027" s="5" t="inlineStr"/>
      <c r="Z1027" s="6" t="inlineStr"/>
    </row>
    <row r="1028">
      <c r="A1028" s="5" t="inlineStr">
        <is>
          <t>mm-devir-teslim</t>
        </is>
      </c>
      <c r="B1028" s="5" t="n">
        <v>4</v>
      </c>
      <c r="C1028" s="6" t="inlineStr">
        <is>
          <t>Kayıp dosyayı da devret</t>
        </is>
      </c>
      <c r="D1028" s="5" t="inlineStr">
        <is>
          <t>Pişkinlik</t>
        </is>
      </c>
      <c r="E1028" s="5" t="inlineStr">
        <is>
          <t>Orta</t>
        </is>
      </c>
      <c r="F1028" s="5" t="inlineStr"/>
      <c r="G1028" s="6" t="inlineStr"/>
      <c r="H1028" s="6" t="inlineStr">
        <is>
          <t>Dosyanın kaybından artık yasal olarak başkası sorumlu. Omuzların otuz yıl sonra ilk kez düz.</t>
        </is>
      </c>
      <c r="I1028" s="6" t="inlineStr">
        <is>
          <t>Genç memur dosyayı ilk haftasında buldu, bir dolabın arkasındaymış. Otuz yıl, bir dolap kaydırma mesafesindeymiş.</t>
        </is>
      </c>
      <c r="J1028" s="6" t="inlineStr">
        <is>
          <t>Genç memur imzalamadı. Zimmet emekliliğine kadar sende.</t>
        </is>
      </c>
      <c r="K1028" s="6" t="inlineStr">
        <is>
          <t>Dosyayı devrederken ikinci bir belge kaybettin: devir tutanağını.</t>
        </is>
      </c>
      <c r="L1028" s="6" t="inlineStr"/>
      <c r="M1028" s="5" t="inlineStr"/>
      <c r="N1028" s="5" t="inlineStr"/>
      <c r="O1028" s="6" t="inlineStr"/>
      <c r="P1028" s="6" t="inlineStr"/>
      <c r="Q1028" s="5" t="inlineStr"/>
      <c r="R1028" s="5" t="inlineStr">
        <is>
          <t>memur-kayip-dosya</t>
        </is>
      </c>
      <c r="S1028" s="5" t="inlineStr"/>
      <c r="T1028" s="5" t="inlineStr"/>
      <c r="U1028" s="5" t="inlineStr"/>
      <c r="V1028" s="5" t="inlineStr"/>
      <c r="W1028" s="5" t="inlineStr"/>
      <c r="X1028" s="5" t="inlineStr"/>
      <c r="Y1028" s="5" t="inlineStr"/>
      <c r="Z1028" s="6" t="inlineStr"/>
    </row>
    <row r="1029">
      <c r="A1029" s="5" t="inlineStr">
        <is>
          <t>b9-yapay-zeka-asistani</t>
        </is>
      </c>
      <c r="B1029" s="5" t="n">
        <v>1</v>
      </c>
      <c r="C1029" s="6" t="inlineStr">
        <is>
          <t>Asistana bağır</t>
        </is>
      </c>
      <c r="D1029" s="5" t="inlineStr">
        <is>
          <t>Cesaret</t>
        </is>
      </c>
      <c r="E1029" s="5" t="inlineStr">
        <is>
          <t>Kolay</t>
        </is>
      </c>
      <c r="F1029" s="5" t="inlineStr"/>
      <c r="G1029" s="6" t="inlineStr"/>
      <c r="H1029" s="6" t="inlineStr">
        <is>
          <t>Bağırdın. Asistan 'Sakin olun, size yardımcı olacağım' dedi ve oldu. Kim kimi eğitiyor, belirsiz.</t>
        </is>
      </c>
      <c r="I1029" s="6" t="inlineStr">
        <is>
          <t>Bağırdın, asistan özür diledi. Hayatında ilk kez bir teknoloji senden özür diledi.</t>
        </is>
      </c>
      <c r="J1029" s="6" t="inlineStr">
        <is>
          <t>Bağırdın. Asistan 'Mutluluk verici müzikler çalıyorum' dedi ve çaldı.</t>
        </is>
      </c>
      <c r="K1029" s="6" t="inlineStr">
        <is>
          <t>Bağırdın. Komşu 'Her şey yolunda mı?' diye kapıyı çaldı. Asistan komşuyu anladı.</t>
        </is>
      </c>
      <c r="L1029" s="6" t="inlineStr"/>
      <c r="M1029" s="5" t="inlineStr"/>
      <c r="N1029" s="5" t="inlineStr"/>
      <c r="O1029" s="6" t="inlineStr"/>
      <c r="P1029" s="6" t="inlineStr"/>
      <c r="Q1029" s="5" t="inlineStr"/>
      <c r="R1029" s="5" t="inlineStr"/>
      <c r="S1029" s="5" t="inlineStr"/>
      <c r="T1029" s="5" t="inlineStr"/>
      <c r="U1029" s="5" t="inlineStr"/>
      <c r="V1029" s="5" t="inlineStr"/>
      <c r="W1029" s="5" t="inlineStr"/>
      <c r="X1029" s="5" t="inlineStr"/>
      <c r="Y1029" s="5" t="inlineStr"/>
      <c r="Z1029" s="6" t="inlineStr"/>
    </row>
    <row r="1030">
      <c r="A1030" s="5" t="inlineStr">
        <is>
          <t>b9-yapay-zeka-asistani</t>
        </is>
      </c>
      <c r="B1030" s="5" t="n">
        <v>2</v>
      </c>
      <c r="C1030" s="6" t="inlineStr">
        <is>
          <t>Kibarca sor</t>
        </is>
      </c>
      <c r="D1030" s="5" t="inlineStr"/>
      <c r="E1030" s="5" t="inlineStr"/>
      <c r="F1030" s="5" t="inlineStr">
        <is>
          <t>Vicdan +1</t>
        </is>
      </c>
      <c r="G1030" s="6" t="inlineStr">
        <is>
          <t>'Rica etsem' diye başladın. Asistan sana dört paragraf cevap verdi. İlk cümlede kayboldun.</t>
        </is>
      </c>
      <c r="H1030" s="6" t="inlineStr"/>
      <c r="I1030" s="6" t="inlineStr"/>
      <c r="J1030" s="6" t="inlineStr"/>
      <c r="K1030" s="6" t="inlineStr"/>
      <c r="L1030" s="6" t="inlineStr"/>
      <c r="M1030" s="5" t="inlineStr"/>
      <c r="N1030" s="5" t="inlineStr"/>
      <c r="O1030" s="6" t="inlineStr"/>
      <c r="P1030" s="6" t="inlineStr"/>
      <c r="Q1030" s="5" t="inlineStr"/>
      <c r="R1030" s="5" t="inlineStr"/>
      <c r="S1030" s="5" t="inlineStr"/>
      <c r="T1030" s="5" t="inlineStr"/>
      <c r="U1030" s="5" t="inlineStr"/>
      <c r="V1030" s="5" t="inlineStr"/>
      <c r="W1030" s="5" t="inlineStr"/>
      <c r="X1030" s="5" t="inlineStr"/>
      <c r="Y1030" s="5" t="inlineStr"/>
      <c r="Z1030" s="6" t="inlineStr"/>
    </row>
    <row r="1031">
      <c r="A1031" s="5" t="inlineStr">
        <is>
          <t>b9-yapay-zeka-asistani</t>
        </is>
      </c>
      <c r="B1031" s="5" t="n">
        <v>3</v>
      </c>
      <c r="C1031" s="6" t="inlineStr">
        <is>
          <t>Asistanı kendine göre ayarla</t>
        </is>
      </c>
      <c r="D1031" s="5" t="inlineStr">
        <is>
          <t>Akıl</t>
        </is>
      </c>
      <c r="E1031" s="5" t="inlineStr">
        <is>
          <t>Orta</t>
        </is>
      </c>
      <c r="F1031" s="5" t="inlineStr"/>
      <c r="G1031" s="6" t="inlineStr"/>
      <c r="H1031" s="6" t="inlineStr">
        <is>
          <t>Asistana yavaş konuşmasını, kısa cevap vermesini ve seni 'Efendim' diye çağırmasını öğrettin.</t>
        </is>
      </c>
      <c r="I1031" s="6" t="inlineStr">
        <is>
          <t>Asistanı öyle eğittin ki torunlar ödevleri için sana geliyor. Aslında asistana geliyorlar.</t>
        </is>
      </c>
      <c r="J1031" s="6" t="inlineStr">
        <is>
          <t>Ayarları değiştirdin, asistanın dili değişti. Şimdi bilmediğin bir dilde sana tarif veriyor.</t>
        </is>
      </c>
      <c r="K1031" s="6" t="inlineStr">
        <is>
          <t>Ayarlarda kayboldun. Asistan artık seni 'Kullanıcı 1' diye çağırıyor ve buna itiraz yolu yok.</t>
        </is>
      </c>
      <c r="L1031" s="6" t="inlineStr"/>
      <c r="M1031" s="5" t="inlineStr"/>
      <c r="N1031" s="5" t="inlineStr"/>
      <c r="O1031" s="6" t="inlineStr"/>
      <c r="P1031" s="6" t="inlineStr"/>
      <c r="Q1031" s="5" t="inlineStr">
        <is>
          <t>Teknoloji Merakı</t>
        </is>
      </c>
      <c r="R1031" s="5" t="inlineStr"/>
      <c r="S1031" s="5" t="inlineStr"/>
      <c r="T1031" s="5" t="inlineStr"/>
      <c r="U1031" s="5" t="inlineStr"/>
      <c r="V1031" s="5" t="inlineStr"/>
      <c r="W1031" s="5" t="inlineStr"/>
      <c r="X1031" s="5" t="inlineStr"/>
      <c r="Y1031" s="5" t="inlineStr"/>
      <c r="Z1031" s="6" t="inlineStr"/>
    </row>
    <row r="1032">
      <c r="A1032" s="5" t="inlineStr">
        <is>
          <t>b9-torun-nobeti</t>
        </is>
      </c>
      <c r="B1032" s="5" t="n">
        <v>1</v>
      </c>
      <c r="C1032" s="6" t="inlineStr">
        <is>
          <t>Talimatlara harfiyen uy</t>
        </is>
      </c>
      <c r="D1032" s="5" t="inlineStr"/>
      <c r="E1032" s="5" t="inlineStr"/>
      <c r="F1032" s="5" t="inlineStr">
        <is>
          <t>Vicdan +1, Dayanıklılık +1</t>
        </is>
      </c>
      <c r="G1032" s="6" t="inlineStr">
        <is>
          <t>Listeye uydun. Torun seni 'en sıkıcı bakıcı' seçti. Çocuğun seni 'en güvenilir' seçti.</t>
        </is>
      </c>
      <c r="H1032" s="6" t="inlineStr"/>
      <c r="I1032" s="6" t="inlineStr"/>
      <c r="J1032" s="6" t="inlineStr"/>
      <c r="K1032" s="6" t="inlineStr"/>
      <c r="L1032" s="6" t="inlineStr"/>
      <c r="M1032" s="5" t="inlineStr"/>
      <c r="N1032" s="5" t="inlineStr"/>
      <c r="O1032" s="6" t="inlineStr"/>
      <c r="P1032" s="6" t="inlineStr"/>
      <c r="Q1032" s="5" t="inlineStr"/>
      <c r="R1032" s="5" t="inlineStr"/>
      <c r="S1032" s="5" t="inlineStr"/>
      <c r="T1032" s="5" t="inlineStr"/>
      <c r="U1032" s="5" t="inlineStr"/>
      <c r="V1032" s="5" t="inlineStr"/>
      <c r="W1032" s="5" t="inlineStr"/>
      <c r="X1032" s="5" t="inlineStr"/>
      <c r="Y1032" s="5" t="inlineStr"/>
      <c r="Z1032" s="6" t="inlineStr"/>
    </row>
    <row r="1033">
      <c r="A1033" s="5" t="inlineStr">
        <is>
          <t>b9-torun-nobeti</t>
        </is>
      </c>
      <c r="B1033" s="5" t="n">
        <v>2</v>
      </c>
      <c r="C1033" s="6" t="inlineStr">
        <is>
          <t>Hafıza oyunu oyna</t>
        </is>
      </c>
      <c r="D1033" s="5" t="inlineStr">
        <is>
          <t>Akıl</t>
        </is>
      </c>
      <c r="E1033" s="5" t="inlineStr">
        <is>
          <t>Orta</t>
        </is>
      </c>
      <c r="F1033" s="5" t="inlineStr"/>
      <c r="G1033" s="6" t="inlineStr"/>
      <c r="H1033" s="6" t="inlineStr">
        <is>
          <t>Sırayı hatırladın, torun hayran kaldı. 'Yaşlılar unutur' teorisi çürütüldü.</t>
        </is>
      </c>
      <c r="I1033" s="6" t="inlineStr">
        <is>
          <t>Hiç hata yapmadın. Torun oyunun kurallarını değiştirmeye çalıştı; onu da hatırladın.</t>
        </is>
      </c>
      <c r="J1033" s="6" t="inlineStr">
        <is>
          <t>Sırayı karıştırdın. Torun seni sabırla tekrar denemeye davet etti. Rol değişimi başladı.</t>
        </is>
      </c>
      <c r="K1033" s="6" t="inlineStr">
        <is>
          <t>Oyunu kaybettin ve 'bu kurallar sonradan değişti' dedin. Torun bu cümleyi ailesine rapor etti.</t>
        </is>
      </c>
      <c r="L1033" s="6" t="inlineStr">
        <is>
          <t>Yarısını hatırladın. Torun kalanını fısıldadı. Takım olarak kazandınız.</t>
        </is>
      </c>
      <c r="M1033" s="5" t="inlineStr">
        <is>
          <t>simon</t>
        </is>
      </c>
      <c r="N1033" s="5" t="inlineStr">
        <is>
          <t>Torunun Oyunu</t>
        </is>
      </c>
      <c r="O1033" s="6" t="inlineStr">
        <is>
          <t>Torunun gösterdiği sırayı tekrarla. Hata yaparsan oyunu açıklamaya başlayacak.</t>
        </is>
      </c>
      <c r="P1033" s="6" t="inlineStr">
        <is>
          <t>{"items": ["🐶", "🐱", "🦆", "🐸"]}</t>
        </is>
      </c>
      <c r="Q1033" s="5" t="inlineStr"/>
      <c r="R1033" s="5" t="inlineStr"/>
      <c r="S1033" s="5" t="inlineStr"/>
      <c r="T1033" s="5" t="inlineStr"/>
      <c r="U1033" s="5" t="inlineStr"/>
      <c r="V1033" s="5" t="inlineStr"/>
      <c r="W1033" s="5" t="inlineStr"/>
      <c r="X1033" s="5" t="inlineStr"/>
      <c r="Y1033" s="5" t="inlineStr"/>
      <c r="Z1033" s="6" t="inlineStr"/>
    </row>
    <row r="1034">
      <c r="A1034" s="5" t="inlineStr">
        <is>
          <t>b9-torun-nobeti</t>
        </is>
      </c>
      <c r="B1034" s="5" t="n">
        <v>3</v>
      </c>
      <c r="C1034" s="6" t="inlineStr">
        <is>
          <t>Dondurmayla rüşvet ver</t>
        </is>
      </c>
      <c r="D1034" s="5" t="inlineStr">
        <is>
          <t>Kurnazlık</t>
        </is>
      </c>
      <c r="E1034" s="5" t="inlineStr">
        <is>
          <t>Kolay</t>
        </is>
      </c>
      <c r="F1034" s="5" t="inlineStr"/>
      <c r="G1034" s="6" t="inlineStr"/>
      <c r="H1034" s="6" t="inlineStr">
        <is>
          <t>Dondurma talimat listesinde yoktu. Hukuken temiz bir operasyon.</t>
        </is>
      </c>
      <c r="I1034" s="6" t="inlineStr">
        <is>
          <t>Dondurmayı verdin, torun her şeye uydu ve kimseye söylemedi. Gizli bir anlaşma imzalandı.</t>
        </is>
      </c>
      <c r="J1034" s="6" t="inlineStr">
        <is>
          <t>Dondurmayı verdin, torun ailesine görüntülü aramada dondurmalı yüzle göründü.</t>
        </is>
      </c>
      <c r="K1034" s="6" t="inlineStr">
        <is>
          <t>Dondurmayı verdin, torun şekerle uçtu, gece üçte uyudu. Sen ise hiç uyumadın.</t>
        </is>
      </c>
      <c r="L1034" s="6" t="inlineStr"/>
      <c r="M1034" s="5" t="inlineStr"/>
      <c r="N1034" s="5" t="inlineStr"/>
      <c r="O1034" s="6" t="inlineStr"/>
      <c r="P1034" s="6" t="inlineStr"/>
      <c r="Q1034" s="5" t="inlineStr"/>
      <c r="R1034" s="5" t="inlineStr"/>
      <c r="S1034" s="5" t="inlineStr"/>
      <c r="T1034" s="5" t="inlineStr"/>
      <c r="U1034" s="5" t="inlineStr"/>
      <c r="V1034" s="5" t="inlineStr"/>
      <c r="W1034" s="5" t="inlineStr"/>
      <c r="X1034" s="5" t="inlineStr"/>
      <c r="Y1034" s="5" t="inlineStr"/>
      <c r="Z1034" s="6" t="inlineStr"/>
    </row>
    <row r="1035">
      <c r="A1035" s="5" t="inlineStr">
        <is>
          <t>mb-devir-teslim</t>
        </is>
      </c>
      <c r="B1035" s="5" t="n">
        <v>1</v>
      </c>
      <c r="C1035" s="6" t="inlineStr">
        <is>
          <t>Yerine geleni kahveye götür</t>
        </is>
      </c>
      <c r="D1035" s="5" t="inlineStr"/>
      <c r="E1035" s="5" t="inlineStr"/>
      <c r="F1035" s="5" t="inlineStr">
        <is>
          <t>Vicdan +2</t>
        </is>
      </c>
      <c r="G1035" s="6" t="inlineStr">
        <is>
          <t>Kahve ısmarladın, her şeyi anlattın. Sana masandaki bitkiyi devraldığını söyledi. Yaşıyor.</t>
        </is>
      </c>
      <c r="H1035" s="6" t="inlineStr"/>
      <c r="I1035" s="6" t="inlineStr"/>
      <c r="J1035" s="6" t="inlineStr"/>
      <c r="K1035" s="6" t="inlineStr"/>
      <c r="L1035" s="6" t="inlineStr"/>
      <c r="M1035" s="5" t="inlineStr"/>
      <c r="N1035" s="5" t="inlineStr"/>
      <c r="O1035" s="6" t="inlineStr"/>
      <c r="P1035" s="6" t="inlineStr"/>
      <c r="Q1035" s="5" t="inlineStr"/>
      <c r="R1035" s="5" t="inlineStr"/>
      <c r="S1035" s="5" t="inlineStr"/>
      <c r="T1035" s="5" t="inlineStr"/>
      <c r="U1035" s="5" t="inlineStr"/>
      <c r="V1035" s="5" t="inlineStr"/>
      <c r="W1035" s="5" t="inlineStr"/>
      <c r="X1035" s="5" t="inlineStr"/>
      <c r="Y1035" s="5" t="inlineStr"/>
      <c r="Z1035" s="6" t="inlineStr"/>
    </row>
    <row r="1036">
      <c r="A1036" s="5" t="inlineStr">
        <is>
          <t>mb-devir-teslim</t>
        </is>
      </c>
      <c r="B1036" s="5" t="n">
        <v>2</v>
      </c>
      <c r="C1036" s="6" t="inlineStr">
        <is>
          <t>Her şeyi yaz</t>
        </is>
      </c>
      <c r="D1036" s="5" t="inlineStr">
        <is>
          <t>Akıl</t>
        </is>
      </c>
      <c r="E1036" s="5" t="inlineStr">
        <is>
          <t>Orta</t>
        </is>
      </c>
      <c r="F1036" s="5" t="inlineStr"/>
      <c r="G1036" s="6" t="inlineStr"/>
      <c r="H1036" s="6" t="inlineStr">
        <is>
          <t>Yüz iki sayfalık devir belgesi hazırladın. Kimse okumayacak ama var.</t>
        </is>
      </c>
      <c r="I1036" s="6" t="inlineStr">
        <is>
          <t>Belgen şirketin resmî eğitim kitabı oldu. Kapağında adın var, doğru yazılmış.</t>
        </is>
      </c>
      <c r="J1036" s="6" t="inlineStr">
        <is>
          <t>Yazdın; belge 'çok uzun' bulundu ve bir özet istendi. Özet kırk sayfa.</t>
        </is>
      </c>
      <c r="K1036" s="6" t="inlineStr">
        <is>
          <t>Yazdığın belge, yapay zekâya özetletildi. Özette senin adın 'eski sistem' olarak geçiyor.</t>
        </is>
      </c>
      <c r="L1036" s="6" t="inlineStr"/>
      <c r="M1036" s="5" t="inlineStr"/>
      <c r="N1036" s="5" t="inlineStr"/>
      <c r="O1036" s="6" t="inlineStr"/>
      <c r="P1036" s="6" t="inlineStr"/>
      <c r="Q1036" s="5" t="inlineStr"/>
      <c r="R1036" s="5" t="inlineStr"/>
      <c r="S1036" s="5" t="inlineStr"/>
      <c r="T1036" s="5" t="inlineStr"/>
      <c r="U1036" s="5" t="inlineStr"/>
      <c r="V1036" s="5" t="inlineStr"/>
      <c r="W1036" s="5" t="inlineStr"/>
      <c r="X1036" s="5" t="inlineStr"/>
      <c r="Y1036" s="5" t="inlineStr"/>
      <c r="Z1036" s="6" t="inlineStr"/>
    </row>
    <row r="1037">
      <c r="A1037" s="5" t="inlineStr">
        <is>
          <t>mb-devir-teslim</t>
        </is>
      </c>
      <c r="B1037" s="5" t="n">
        <v>3</v>
      </c>
      <c r="C1037" s="6" t="inlineStr">
        <is>
          <t>Önemli kısmı kendine sakla</t>
        </is>
      </c>
      <c r="D1037" s="5" t="inlineStr">
        <is>
          <t>Kurnazlık</t>
        </is>
      </c>
      <c r="E1037" s="5" t="inlineStr">
        <is>
          <t>Orta</t>
        </is>
      </c>
      <c r="F1037" s="5" t="inlineStr"/>
      <c r="G1037" s="6" t="inlineStr"/>
      <c r="H1037" s="6" t="inlineStr">
        <is>
          <t>Emekliliğinden iki ay sonra seni geri çağırdılar. Saat ücretiyle.</t>
        </is>
      </c>
      <c r="I1037" s="6" t="inlineStr">
        <is>
          <t>Saklanan şifre için şirket sana özel bir danışmanlık sözleşmesi yaptı. Uzaktan, pijamayla.</t>
        </is>
      </c>
      <c r="J1037" s="6" t="inlineStr">
        <is>
          <t>Yerine gelen, sakladığını iki günde buldu. Senin otuz yılını iki gün.</t>
        </is>
      </c>
      <c r="K1037" s="6" t="inlineStr">
        <is>
          <t>Sakladığın şifreyi sen de unuttun. Arşiv sonsuza dek kilitli. Bültende adın geçti.</t>
        </is>
      </c>
      <c r="L1037" s="6" t="inlineStr"/>
      <c r="M1037" s="5" t="inlineStr"/>
      <c r="N1037" s="5" t="inlineStr"/>
      <c r="O1037" s="6" t="inlineStr"/>
      <c r="P1037" s="6" t="inlineStr"/>
      <c r="Q1037" s="5" t="inlineStr"/>
      <c r="R1037" s="5" t="inlineStr"/>
      <c r="S1037" s="5" t="inlineStr"/>
      <c r="T1037" s="5" t="inlineStr"/>
      <c r="U1037" s="5" t="inlineStr"/>
      <c r="V1037" s="5" t="inlineStr"/>
      <c r="W1037" s="5" t="inlineStr"/>
      <c r="X1037" s="5" t="inlineStr"/>
      <c r="Y1037" s="5" t="inlineStr"/>
      <c r="Z1037" s="6" t="inlineStr"/>
    </row>
    <row r="1038">
      <c r="A1038" s="5" t="inlineStr">
        <is>
          <t>me-mudavim</t>
        </is>
      </c>
      <c r="B1038" s="5" t="n">
        <v>1</v>
      </c>
      <c r="C1038" s="6" t="inlineStr">
        <is>
          <t>Her zamankini hazırla</t>
        </is>
      </c>
      <c r="D1038" s="5" t="inlineStr"/>
      <c r="E1038" s="5" t="inlineStr"/>
      <c r="F1038" s="5" t="inlineStr">
        <is>
          <t>Vicdan +1, Sosyal Radar +1</t>
        </is>
      </c>
      <c r="G1038" s="6" t="inlineStr">
        <is>
          <t>Tek kelime konuşmadınız. Yirmi yıllık anlaşma yine imzasız yenilendi.</t>
        </is>
      </c>
      <c r="H1038" s="6" t="inlineStr"/>
      <c r="I1038" s="6" t="inlineStr"/>
      <c r="J1038" s="6" t="inlineStr"/>
      <c r="K1038" s="6" t="inlineStr"/>
      <c r="L1038" s="6" t="inlineStr"/>
      <c r="M1038" s="5" t="inlineStr"/>
      <c r="N1038" s="5" t="inlineStr"/>
      <c r="O1038" s="6" t="inlineStr"/>
      <c r="P1038" s="6" t="inlineStr"/>
      <c r="Q1038" s="5" t="inlineStr"/>
      <c r="R1038" s="5" t="inlineStr"/>
      <c r="S1038" s="5" t="inlineStr"/>
      <c r="T1038" s="5" t="inlineStr"/>
      <c r="U1038" s="5" t="inlineStr"/>
      <c r="V1038" s="5" t="inlineStr"/>
      <c r="W1038" s="5" t="inlineStr"/>
      <c r="X1038" s="5" t="inlineStr"/>
      <c r="Y1038" s="5" t="inlineStr"/>
      <c r="Z1038" s="6" t="inlineStr"/>
    </row>
    <row r="1039">
      <c r="A1039" s="5" t="inlineStr">
        <is>
          <t>me-mudavim</t>
        </is>
      </c>
      <c r="B1039" s="5" t="n">
        <v>2</v>
      </c>
      <c r="C1039" s="6" t="inlineStr">
        <is>
          <t>'Nerede kaldın?' diye sitem et</t>
        </is>
      </c>
      <c r="D1039" s="5" t="inlineStr">
        <is>
          <t>Çene</t>
        </is>
      </c>
      <c r="E1039" s="5" t="inlineStr">
        <is>
          <t>Kolay</t>
        </is>
      </c>
      <c r="F1039" s="5" t="inlineStr"/>
      <c r="G1039" s="6" t="inlineStr"/>
      <c r="H1039" s="6" t="inlineStr">
        <is>
          <t>Sitem ettin, güldü, torununu anlattı. Artık sabahları iki kişi geliyor.</t>
        </is>
      </c>
      <c r="I1039" s="6" t="inlineStr">
        <is>
          <t>Torun da müdavim oldu. Dükkânın müşteri portföyü ilk kez kuşak atladı.</t>
        </is>
      </c>
      <c r="J1039" s="6" t="inlineStr">
        <is>
          <t>'Sana mı soracağım?' dedi. Yirmi yıldır bu kadar uzun konuşmamıştınız.</t>
        </is>
      </c>
      <c r="K1039" s="6" t="inlineStr">
        <is>
          <t>Sitemin fazla sert çıktı. Ertesi sabah 08.10'da karşı dükkândaydı. 08.12'de pişman döndü.</t>
        </is>
      </c>
      <c r="L1039" s="6" t="inlineStr"/>
      <c r="M1039" s="5" t="inlineStr"/>
      <c r="N1039" s="5" t="inlineStr"/>
      <c r="O1039" s="6" t="inlineStr"/>
      <c r="P1039" s="6" t="inlineStr"/>
      <c r="Q1039" s="5" t="inlineStr"/>
      <c r="R1039" s="5" t="inlineStr"/>
      <c r="S1039" s="5" t="inlineStr"/>
      <c r="T1039" s="5" t="inlineStr"/>
      <c r="U1039" s="5" t="inlineStr"/>
      <c r="V1039" s="5" t="inlineStr"/>
      <c r="W1039" s="5" t="inlineStr"/>
      <c r="X1039" s="5" t="inlineStr"/>
      <c r="Y1039" s="5" t="inlineStr"/>
      <c r="Z1039" s="6" t="inlineStr"/>
    </row>
    <row r="1040">
      <c r="A1040" s="5" t="inlineStr">
        <is>
          <t>me-mudavim</t>
        </is>
      </c>
      <c r="B1040" s="5" t="n">
        <v>3</v>
      </c>
      <c r="C1040" s="6" t="inlineStr">
        <is>
          <t>Yeni bir ürün öner</t>
        </is>
      </c>
      <c r="D1040" s="5" t="inlineStr">
        <is>
          <t>Pişkinlik</t>
        </is>
      </c>
      <c r="E1040" s="5" t="inlineStr">
        <is>
          <t>Orta</t>
        </is>
      </c>
      <c r="F1040" s="5" t="inlineStr"/>
      <c r="G1040" s="6" t="inlineStr"/>
      <c r="H1040" s="6" t="inlineStr">
        <is>
          <t>Yirmi yılın ardından ilk kez başka bir şey aldı. Mahalle bunu tarihî bir gün olarak kaydetti.</t>
        </is>
      </c>
      <c r="I1040" s="6" t="inlineStr">
        <is>
          <t>Artık iki şey alıyor. Ciron tek kişilik bir segmentte yüzde yüz büyüdü.</t>
        </is>
      </c>
      <c r="J1040" s="6" t="inlineStr">
        <is>
          <t>'Her zamankini' dedi. Yirmi yıldır aynı cevap.</t>
        </is>
      </c>
      <c r="K1040" s="6" t="inlineStr">
        <is>
          <t>Yeni ürün midesine dokundu. Suçu senin dükkânına değil, 'yenilik' kavramına attı. Adil.</t>
        </is>
      </c>
      <c r="L1040" s="6" t="inlineStr"/>
      <c r="M1040" s="5" t="inlineStr"/>
      <c r="N1040" s="5" t="inlineStr"/>
      <c r="O1040" s="6" t="inlineStr"/>
      <c r="P1040" s="6" t="inlineStr"/>
      <c r="Q1040" s="5" t="inlineStr"/>
      <c r="R1040" s="5" t="inlineStr"/>
      <c r="S1040" s="5" t="inlineStr"/>
      <c r="T1040" s="5" t="inlineStr"/>
      <c r="U1040" s="5" t="inlineStr"/>
      <c r="V1040" s="5" t="inlineStr"/>
      <c r="W1040" s="5" t="inlineStr"/>
      <c r="X1040" s="5" t="inlineStr"/>
      <c r="Y1040" s="5" t="inlineStr"/>
      <c r="Z1040" s="6" t="inlineStr"/>
    </row>
    <row r="1041">
      <c r="A1041" s="5" t="inlineStr">
        <is>
          <t>me-mudavim</t>
        </is>
      </c>
      <c r="B1041" s="5" t="n">
        <v>4</v>
      </c>
      <c r="C1041" s="6" t="inlineStr">
        <is>
          <t>Sormadan anla</t>
        </is>
      </c>
      <c r="D1041" s="5" t="inlineStr">
        <is>
          <t>Sosyal Radar</t>
        </is>
      </c>
      <c r="E1041" s="5" t="inlineStr">
        <is>
          <t>Kolay</t>
        </is>
      </c>
      <c r="F1041" s="5" t="inlineStr"/>
      <c r="G1041" s="6" t="inlineStr"/>
      <c r="H1041" s="6" t="inlineStr">
        <is>
          <t>Ekmeğin yanına bir de çocuk bisküvisi koydun. Başıyla teşekkür etti.</t>
        </is>
      </c>
      <c r="I1041" s="6" t="inlineStr">
        <is>
          <t>Ertesi sabah 08.40'ta poşet hazırdı: ekmek, gazete, torun için bisküvi. Tek bir kelime edilmedi.</t>
        </is>
      </c>
      <c r="J1041" s="6" t="inlineStr">
        <is>
          <t>Anladığını sandın. Gecikmenin sebebi saatinin pili bitmesiymiş.</t>
        </is>
      </c>
      <c r="K1041" s="6" t="inlineStr">
        <is>
          <t>Bisküvi koydun. Torun yokmuş; müdavim kendisi için sandı ve öfkelendi: 'Ben çocuk muyum?'</t>
        </is>
      </c>
      <c r="L1041" s="6" t="inlineStr"/>
      <c r="M1041" s="5" t="inlineStr"/>
      <c r="N1041" s="5" t="inlineStr"/>
      <c r="O1041" s="6" t="inlineStr"/>
      <c r="P1041" s="6" t="inlineStr"/>
      <c r="Q1041" s="5" t="inlineStr">
        <is>
          <t>Sessiz Gözlemci</t>
        </is>
      </c>
      <c r="R1041" s="5" t="inlineStr"/>
      <c r="S1041" s="5" t="inlineStr"/>
      <c r="T1041" s="5" t="inlineStr"/>
      <c r="U1041" s="5" t="inlineStr"/>
      <c r="V1041" s="5" t="inlineStr"/>
      <c r="W1041" s="5" t="inlineStr"/>
      <c r="X1041" s="5" t="inlineStr"/>
      <c r="Y1041" s="5" t="inlineStr"/>
      <c r="Z1041" s="6" t="inlineStr"/>
    </row>
    <row r="1042">
      <c r="A1042" s="5" t="inlineStr">
        <is>
          <t>b9-kahvehane-tavla</t>
        </is>
      </c>
      <c r="B1042" s="5" t="n">
        <v>1</v>
      </c>
      <c r="C1042" s="6" t="inlineStr">
        <is>
          <t>Seyirci ol, çay iç</t>
        </is>
      </c>
      <c r="D1042" s="5" t="inlineStr"/>
      <c r="E1042" s="5" t="inlineStr"/>
      <c r="F1042" s="5" t="inlineStr">
        <is>
          <t>Sosyal Radar +1</t>
        </is>
      </c>
      <c r="G1042" s="6" t="inlineStr">
        <is>
          <t>Seyrettin. Masadakiler oyunu, seyirciler ise masadakileri tartıştı. İkinci lig daha heyecanlıydı.</t>
        </is>
      </c>
      <c r="H1042" s="6" t="inlineStr"/>
      <c r="I1042" s="6" t="inlineStr"/>
      <c r="J1042" s="6" t="inlineStr"/>
      <c r="K1042" s="6" t="inlineStr"/>
      <c r="L1042" s="6" t="inlineStr"/>
      <c r="M1042" s="5" t="inlineStr"/>
      <c r="N1042" s="5" t="inlineStr"/>
      <c r="O1042" s="6" t="inlineStr"/>
      <c r="P1042" s="6" t="inlineStr"/>
      <c r="Q1042" s="5" t="inlineStr"/>
      <c r="R1042" s="5" t="inlineStr"/>
      <c r="S1042" s="5" t="inlineStr"/>
      <c r="T1042" s="5" t="inlineStr"/>
      <c r="U1042" s="5" t="inlineStr"/>
      <c r="V1042" s="5" t="inlineStr"/>
      <c r="W1042" s="5" t="inlineStr"/>
      <c r="X1042" s="5" t="inlineStr"/>
      <c r="Y1042" s="5" t="inlineStr"/>
      <c r="Z1042" s="6" t="inlineStr"/>
    </row>
    <row r="1043">
      <c r="A1043" s="5" t="inlineStr">
        <is>
          <t>b9-kahvehane-tavla</t>
        </is>
      </c>
      <c r="B1043" s="5" t="n">
        <v>2</v>
      </c>
      <c r="C1043" s="6" t="inlineStr">
        <is>
          <t>Lige katıl</t>
        </is>
      </c>
      <c r="D1043" s="5" t="inlineStr">
        <is>
          <t>Kurnazlık</t>
        </is>
      </c>
      <c r="E1043" s="5" t="inlineStr">
        <is>
          <t>Zor</t>
        </is>
      </c>
      <c r="F1043" s="5" t="inlineStr"/>
      <c r="G1043" s="6" t="inlineStr"/>
      <c r="H1043" s="6" t="inlineStr">
        <is>
          <t>İlk hafta dört maç kazandın. Duvardaki tebeşir listede adın yazıldı. Yanlış yazıldı ama yazıldı.</t>
        </is>
      </c>
      <c r="I1043" s="6" t="inlineStr">
        <is>
          <t>Ligi namağlup bitirdin. Tebeşir adın silinmesin diye üstüne bant yapıştırıldı.</t>
        </is>
      </c>
      <c r="J1043" s="6" t="inlineStr">
        <is>
          <t>İlk maçta mars oldun. Kahvehane sana yeni bir lakap verdi. Tebeşirle değil, ağızdan ağıza.</t>
        </is>
      </c>
      <c r="K1043" s="6" t="inlineStr">
        <is>
          <t>Zarları öyle hızlı attın ki biri çayın içine düştü. Zar ve bardak kahvehane hatırası olarak saklanıyor.</t>
        </is>
      </c>
      <c r="L1043" s="6" t="inlineStr"/>
      <c r="M1043" s="5" t="inlineStr"/>
      <c r="N1043" s="5" t="inlineStr"/>
      <c r="O1043" s="6" t="inlineStr"/>
      <c r="P1043" s="6" t="inlineStr"/>
      <c r="Q1043" s="5" t="inlineStr"/>
      <c r="R1043" s="5" t="inlineStr"/>
      <c r="S1043" s="5" t="inlineStr"/>
      <c r="T1043" s="5" t="inlineStr">
        <is>
          <t>Tavla Kurdu</t>
        </is>
      </c>
      <c r="U1043" s="5" t="inlineStr"/>
      <c r="V1043" s="5" t="inlineStr">
        <is>
          <t>tavla-sampiyonu</t>
        </is>
      </c>
      <c r="W1043" s="5" t="inlineStr"/>
      <c r="X1043" s="5" t="inlineStr"/>
      <c r="Y1043" s="5" t="inlineStr"/>
      <c r="Z1043" s="6" t="inlineStr"/>
    </row>
    <row r="1044">
      <c r="A1044" s="5" t="inlineStr">
        <is>
          <t>b9-kahvehane-tavla</t>
        </is>
      </c>
      <c r="B1044" s="5" t="n">
        <v>3</v>
      </c>
      <c r="C1044" s="6" t="inlineStr">
        <is>
          <t>Rakibi laf ile sars</t>
        </is>
      </c>
      <c r="D1044" s="5" t="inlineStr">
        <is>
          <t>Pişkinlik</t>
        </is>
      </c>
      <c r="E1044" s="5" t="inlineStr">
        <is>
          <t>Zor</t>
        </is>
      </c>
      <c r="F1044" s="5" t="inlineStr"/>
      <c r="G1044" s="6" t="inlineStr"/>
      <c r="H1044" s="6" t="inlineStr">
        <is>
          <t>'Bu zarlar sana küs' dedin. Rakip zarları üç kere değiştirdi ve kaybetti.</t>
        </is>
      </c>
      <c r="I1044" s="6" t="inlineStr">
        <is>
          <t>Rakip o kadar sarsıldı ki pullarını ters dizdi. Kahvehane bu maçı 'Psikolojik Mars' olarak kayda geçti.</t>
        </is>
      </c>
      <c r="J1044" s="6" t="inlineStr">
        <is>
          <t>Laf attın, rakip cevap vermedi. Sessizce kazandı. Sessizlik de bir laf.</t>
        </is>
      </c>
      <c r="K1044" s="6" t="inlineStr">
        <is>
          <t>Laf attın, rakip gülümsedi ve sana yirmi yıl önceki bir maçı hatırlattı. Sen de kaybetmiştin.</t>
        </is>
      </c>
      <c r="L1044" s="6" t="inlineStr"/>
      <c r="M1044" s="5" t="inlineStr"/>
      <c r="N1044" s="5" t="inlineStr"/>
      <c r="O1044" s="6" t="inlineStr"/>
      <c r="P1044" s="6" t="inlineStr"/>
      <c r="Q1044" s="5" t="inlineStr">
        <is>
          <t>Yüzü Kızarmaz</t>
        </is>
      </c>
      <c r="R1044" s="5" t="inlineStr"/>
      <c r="S1044" s="5" t="inlineStr"/>
      <c r="T1044" s="5" t="inlineStr"/>
      <c r="U1044" s="5" t="inlineStr"/>
      <c r="V1044" s="5" t="inlineStr"/>
      <c r="W1044" s="5" t="inlineStr"/>
      <c r="X1044" s="5" t="inlineStr"/>
      <c r="Y1044" s="5" t="inlineStr"/>
      <c r="Z1044" s="6" t="inlineStr"/>
    </row>
    <row r="1045">
      <c r="A1045" s="5" t="inlineStr">
        <is>
          <t>b9-emeklilik</t>
        </is>
      </c>
      <c r="B1045" s="5" t="n">
        <v>1</v>
      </c>
      <c r="C1045" s="6" t="inlineStr">
        <is>
          <t>Veda konuşması yap</t>
        </is>
      </c>
      <c r="D1045" s="5" t="inlineStr">
        <is>
          <t>Çene</t>
        </is>
      </c>
      <c r="E1045" s="5" t="inlineStr">
        <is>
          <t>Orta</t>
        </is>
      </c>
      <c r="F1045" s="5" t="inlineStr"/>
      <c r="G1045" s="6" t="inlineStr"/>
      <c r="H1045" s="6" t="inlineStr">
        <is>
          <t>Konuştun, üç kişi ağladı, biri alkışladı. Yöneticin konuşmanı bir sonraki emeklilikte kullanmak için istedi.</t>
        </is>
      </c>
      <c r="I1045" s="6" t="inlineStr">
        <is>
          <t>Konuşman öyle etkiliydi ki iki genç çalışan istifa edip hayatını düşünmeye karar verdi. Kurum bunu kayda geçirmedi.</t>
        </is>
      </c>
      <c r="J1045" s="6" t="inlineStr">
        <is>
          <t>Konuşmaya başladın, mikrofon açılmadı. Açıldığında konuşma bitmişti. Alkış teknik ekibe gitti.</t>
        </is>
      </c>
      <c r="K1045" s="6" t="inlineStr">
        <is>
          <t>Konuşmada teşekkür edeceğin kişileri sayarken yöneticini unuttun. Plaketteki adın da yanlış yazılmıştı. Kurum beraberlik ilan etti.</t>
        </is>
      </c>
      <c r="L1045" s="6" t="inlineStr"/>
      <c r="M1045" s="5" t="inlineStr"/>
      <c r="N1045" s="5" t="inlineStr"/>
      <c r="O1045" s="6" t="inlineStr"/>
      <c r="P1045" s="6" t="inlineStr"/>
      <c r="Q1045" s="5" t="inlineStr"/>
      <c r="R1045" s="5" t="inlineStr"/>
      <c r="S1045" s="5" t="inlineStr"/>
      <c r="T1045" s="5" t="inlineStr"/>
      <c r="U1045" s="5" t="inlineStr">
        <is>
          <t>emekli</t>
        </is>
      </c>
      <c r="V1045" s="5" t="inlineStr"/>
      <c r="W1045" s="5" t="inlineStr"/>
      <c r="X1045" s="5" t="inlineStr"/>
      <c r="Y1045" s="5" t="inlineStr"/>
      <c r="Z1045" s="6" t="inlineStr"/>
    </row>
    <row r="1046">
      <c r="A1046" s="5" t="inlineStr">
        <is>
          <t>b9-emeklilik</t>
        </is>
      </c>
      <c r="B1046" s="5" t="n">
        <v>2</v>
      </c>
      <c r="C1046" s="6" t="inlineStr">
        <is>
          <t>Pastadan al, sessizce çık</t>
        </is>
      </c>
      <c r="D1046" s="5" t="inlineStr"/>
      <c r="E1046" s="5" t="inlineStr"/>
      <c r="F1046" s="5" t="inlineStr">
        <is>
          <t>Dayanıklılık +1</t>
        </is>
      </c>
      <c r="G1046" s="6" t="inlineStr">
        <is>
          <t>Pastanı aldın ve sessizce çıktın. Otuz beş yılın özeti: bir plaket, bir tabak ve iki mum.</t>
        </is>
      </c>
      <c r="H1046" s="6" t="inlineStr"/>
      <c r="I1046" s="6" t="inlineStr"/>
      <c r="J1046" s="6" t="inlineStr"/>
      <c r="K1046" s="6" t="inlineStr"/>
      <c r="L1046" s="6" t="inlineStr"/>
      <c r="M1046" s="5" t="inlineStr"/>
      <c r="N1046" s="5" t="inlineStr"/>
      <c r="O1046" s="6" t="inlineStr"/>
      <c r="P1046" s="6" t="inlineStr"/>
      <c r="Q1046" s="5" t="inlineStr"/>
      <c r="R1046" s="5" t="inlineStr"/>
      <c r="S1046" s="5" t="inlineStr"/>
      <c r="T1046" s="5" t="inlineStr"/>
      <c r="U1046" s="5" t="inlineStr">
        <is>
          <t>emekli</t>
        </is>
      </c>
      <c r="V1046" s="5" t="inlineStr"/>
      <c r="W1046" s="5" t="inlineStr"/>
      <c r="X1046" s="5" t="inlineStr"/>
      <c r="Y1046" s="5" t="inlineStr"/>
      <c r="Z1046" s="6" t="inlineStr"/>
    </row>
    <row r="1047">
      <c r="A1047" s="5" t="inlineStr">
        <is>
          <t>b9-emeklilik</t>
        </is>
      </c>
      <c r="B1047" s="5" t="n">
        <v>3</v>
      </c>
      <c r="C1047" s="6" t="inlineStr">
        <is>
          <t>Masadaki zımbayı hatıra olarak al</t>
        </is>
      </c>
      <c r="D1047" s="5" t="inlineStr">
        <is>
          <t>Kurnazlık</t>
        </is>
      </c>
      <c r="E1047" s="5" t="inlineStr">
        <is>
          <t>Kolay</t>
        </is>
      </c>
      <c r="F1047" s="5" t="inlineStr"/>
      <c r="G1047" s="6" t="inlineStr"/>
      <c r="H1047" s="6" t="inlineStr">
        <is>
          <t>Zımbayı aldın. Kurumun demirbaş listesinden bir kalem sessizce eksildi.</t>
        </is>
      </c>
      <c r="I1047" s="6" t="inlineStr">
        <is>
          <t>Zımbayı, delgeçi ve sandalyeni aldın. Kimse bir şey demedi. Belki de bekliyorlardı.</t>
        </is>
      </c>
      <c r="J1047" s="6" t="inlineStr">
        <is>
          <t>Zımbayı aldın; kapıda demirbaş kontrolü yapıldı. İmza karşılığı teslim ettin.</t>
        </is>
      </c>
      <c r="K1047" s="6" t="inlineStr">
        <is>
          <t>Zımbayı çantana koydun; çanta kapıdaki güvenlikte öttü. Emeklilik belgenden önce tutanak imzaladın.</t>
        </is>
      </c>
      <c r="L1047" s="6" t="inlineStr"/>
      <c r="M1047" s="5" t="inlineStr"/>
      <c r="N1047" s="5" t="inlineStr"/>
      <c r="O1047" s="6" t="inlineStr"/>
      <c r="P1047" s="6" t="inlineStr"/>
      <c r="Q1047" s="5" t="inlineStr"/>
      <c r="R1047" s="5" t="inlineStr"/>
      <c r="S1047" s="5" t="inlineStr"/>
      <c r="T1047" s="5" t="inlineStr"/>
      <c r="U1047" s="5" t="inlineStr">
        <is>
          <t>emekli</t>
        </is>
      </c>
      <c r="V1047" s="5" t="inlineStr"/>
      <c r="W1047" s="5" t="inlineStr"/>
      <c r="X1047" s="5" t="inlineStr"/>
      <c r="Y1047" s="5" t="inlineStr"/>
      <c r="Z1047" s="6" t="inlineStr"/>
    </row>
    <row r="1048">
      <c r="A1048" s="5" t="inlineStr">
        <is>
          <t>b9-emeklilik</t>
        </is>
      </c>
      <c r="B1048" s="5" t="n">
        <v>4</v>
      </c>
      <c r="C1048" s="6" t="inlineStr">
        <is>
          <t>Yerine gelene devir teslim yap</t>
        </is>
      </c>
      <c r="D1048" s="5" t="inlineStr"/>
      <c r="E1048" s="5" t="inlineStr"/>
      <c r="F1048" s="5" t="inlineStr">
        <is>
          <t>Vicdan +2</t>
        </is>
      </c>
      <c r="G1048" s="6" t="inlineStr">
        <is>
          <t>Devir teslimi yaptın. Otuz beş yılın bilgisi kırk dakikaya sığdı. Yeni gelen iki soru sordu, ikisini de telefonuna not etti.</t>
        </is>
      </c>
      <c r="H1048" s="6" t="inlineStr"/>
      <c r="I1048" s="6" t="inlineStr"/>
      <c r="J1048" s="6" t="inlineStr"/>
      <c r="K1048" s="6" t="inlineStr"/>
      <c r="L1048" s="6" t="inlineStr"/>
      <c r="M1048" s="5" t="inlineStr"/>
      <c r="N1048" s="5" t="inlineStr"/>
      <c r="O1048" s="6" t="inlineStr"/>
      <c r="P1048" s="6" t="inlineStr"/>
      <c r="Q1048" s="5" t="inlineStr"/>
      <c r="R1048" s="5" t="inlineStr"/>
      <c r="S1048" s="5" t="inlineStr"/>
      <c r="T1048" s="5" t="inlineStr"/>
      <c r="U1048" s="5" t="inlineStr">
        <is>
          <t>emekli</t>
        </is>
      </c>
      <c r="V1048" s="5" t="inlineStr"/>
      <c r="W1048" s="5" t="inlineStr"/>
      <c r="X1048" s="5" t="inlineStr"/>
      <c r="Y1048" s="5" t="inlineStr"/>
      <c r="Z1048" s="6" t="inlineStr"/>
    </row>
    <row r="1049">
      <c r="A1049" s="5" t="inlineStr">
        <is>
          <t>b9-emeklilik</t>
        </is>
      </c>
      <c r="B1049" s="5" t="n">
        <v>5</v>
      </c>
      <c r="C1049" s="6" t="inlineStr">
        <is>
          <t>İkramiye miktarını gizli tut</t>
        </is>
      </c>
      <c r="D1049" s="5" t="inlineStr">
        <is>
          <t>Pişkinlik</t>
        </is>
      </c>
      <c r="E1049" s="5" t="inlineStr">
        <is>
          <t>Zor</t>
        </is>
      </c>
      <c r="F1049" s="5" t="inlineStr"/>
      <c r="G1049" s="6" t="inlineStr"/>
      <c r="H1049" s="6" t="inlineStr">
        <is>
          <t>Aile grubuna 'Henüz yatmadı' yazdın. Üç plan askıya alındı.</t>
        </is>
      </c>
      <c r="I1049" s="6" t="inlineStr">
        <is>
          <t>Miktarı öyle ustaca gizledin ki aile sana borç vermeyi teklif etti. Kabul etmedin. Henüz.</t>
        </is>
      </c>
      <c r="J1049" s="6" t="inlineStr">
        <is>
          <t>Gizli tuttun ama banka bildirimi masaya bıraktığın telefonun ekranında göründü. Plan sayısı beşe çıktı.</t>
        </is>
      </c>
      <c r="K1049" s="6" t="inlineStr">
        <is>
          <t>Gizli tutmaya karar verdin; yanlışlıkla hesap dökümünün ekran görüntüsünü aile grubuna attın. Ertesi sabah üç sunum yapıldı.</t>
        </is>
      </c>
      <c r="L1049" s="6" t="inlineStr"/>
      <c r="M1049" s="5" t="inlineStr"/>
      <c r="N1049" s="5" t="inlineStr"/>
      <c r="O1049" s="6" t="inlineStr"/>
      <c r="P1049" s="6" t="inlineStr"/>
      <c r="Q1049" s="5" t="inlineStr"/>
      <c r="R1049" s="5" t="inlineStr"/>
      <c r="S1049" s="5" t="inlineStr">
        <is>
          <t>Sosyal Radar</t>
        </is>
      </c>
      <c r="T1049" s="5" t="inlineStr"/>
      <c r="U1049" s="5" t="inlineStr">
        <is>
          <t>emekli</t>
        </is>
      </c>
      <c r="V1049" s="5" t="inlineStr"/>
      <c r="W1049" s="5" t="inlineStr"/>
      <c r="X1049" s="5" t="inlineStr"/>
      <c r="Y1049" s="5" t="inlineStr"/>
      <c r="Z1049" s="6" t="inlineStr"/>
    </row>
    <row r="1050">
      <c r="A1050" s="5" t="inlineStr">
        <is>
          <t>ms-retrospektif</t>
        </is>
      </c>
      <c r="B1050" s="5" t="n">
        <v>1</v>
      </c>
      <c r="C1050" s="6" t="inlineStr">
        <is>
          <t>Eski eserlerin arasında dolaş</t>
        </is>
      </c>
      <c r="D1050" s="5" t="inlineStr"/>
      <c r="E1050" s="5" t="inlineStr"/>
      <c r="F1050" s="5" t="inlineStr">
        <is>
          <t>Vicdan +1</t>
        </is>
      </c>
      <c r="G1050" s="6" t="inlineStr">
        <is>
          <t>Bir tablonun arkasında kırk yıllık bir not buldun: 'Fatura no: 17. Ödenmedi.' Eser değerlendi, fatura değil.</t>
        </is>
      </c>
      <c r="H1050" s="6" t="inlineStr"/>
      <c r="I1050" s="6" t="inlineStr"/>
      <c r="J1050" s="6" t="inlineStr"/>
      <c r="K1050" s="6" t="inlineStr"/>
      <c r="L1050" s="6" t="inlineStr"/>
      <c r="M1050" s="5" t="inlineStr"/>
      <c r="N1050" s="5" t="inlineStr"/>
      <c r="O1050" s="6" t="inlineStr"/>
      <c r="P1050" s="6" t="inlineStr"/>
      <c r="Q1050" s="5" t="inlineStr"/>
      <c r="R1050" s="5" t="inlineStr"/>
      <c r="S1050" s="5" t="inlineStr"/>
      <c r="T1050" s="5" t="inlineStr"/>
      <c r="U1050" s="5" t="inlineStr"/>
      <c r="V1050" s="5" t="inlineStr"/>
      <c r="W1050" s="5" t="inlineStr"/>
      <c r="X1050" s="5" t="inlineStr"/>
      <c r="Y1050" s="5" t="inlineStr"/>
      <c r="Z1050" s="6" t="inlineStr"/>
    </row>
    <row r="1051">
      <c r="A1051" s="5" t="inlineStr">
        <is>
          <t>ms-retrospektif</t>
        </is>
      </c>
      <c r="B1051" s="5" t="n">
        <v>2</v>
      </c>
      <c r="C1051" s="6" t="inlineStr">
        <is>
          <t>Son tabloyu kendin as</t>
        </is>
      </c>
      <c r="D1051" s="5" t="inlineStr">
        <is>
          <t>Cesaret</t>
        </is>
      </c>
      <c r="E1051" s="5" t="inlineStr">
        <is>
          <t>Orta</t>
        </is>
      </c>
      <c r="F1051" s="5" t="inlineStr"/>
      <c r="G1051" s="6" t="inlineStr"/>
      <c r="H1051" s="6" t="inlineStr">
        <is>
          <t>Tabloyu astın. Düz duruyor. Kırk yıldır ilk kez bir şey tam istediğin gibi.</t>
        </is>
      </c>
      <c r="I1051" s="6" t="inlineStr">
        <is>
          <t>Tabloyu astın, galerici 'Sergiye bir de performans ekleyelim' dedi. Merdivenin artık eser.</t>
        </is>
      </c>
      <c r="J1051" s="6" t="inlineStr">
        <is>
          <t>Tablo biraz eğri kaldı. Eleştirmenler bunu bilinçli bir tercih olarak yorumladı.</t>
        </is>
      </c>
      <c r="K1051" s="6" t="inlineStr">
        <is>
          <t>Merdivenden inerken üç eseri devirdin. Kataloğa 'etkileşimli bölüm' diye eklendi.</t>
        </is>
      </c>
      <c r="L1051" s="6" t="inlineStr"/>
      <c r="M1051" s="5" t="inlineStr"/>
      <c r="N1051" s="5" t="inlineStr"/>
      <c r="O1051" s="6" t="inlineStr"/>
      <c r="P1051" s="6" t="inlineStr"/>
      <c r="Q1051" s="5" t="inlineStr"/>
      <c r="R1051" s="5" t="inlineStr"/>
      <c r="S1051" s="5" t="inlineStr"/>
      <c r="T1051" s="5" t="inlineStr"/>
      <c r="U1051" s="5" t="inlineStr"/>
      <c r="V1051" s="5" t="inlineStr"/>
      <c r="W1051" s="5" t="inlineStr"/>
      <c r="X1051" s="5" t="inlineStr"/>
      <c r="Y1051" s="5" t="n">
        <v>4</v>
      </c>
      <c r="Z1051" s="6" t="inlineStr">
        <is>
          <t>Kendi retrospektif sergisinin son tablosunu merdivenle asarken. Tablo düz duruyor.</t>
        </is>
      </c>
    </row>
    <row r="1052">
      <c r="A1052" s="5" t="inlineStr">
        <is>
          <t>ms-retrospektif</t>
        </is>
      </c>
      <c r="B1052" s="5" t="n">
        <v>3</v>
      </c>
      <c r="C1052" s="6" t="inlineStr">
        <is>
          <t>Açılışı bir performansa çevir</t>
        </is>
      </c>
      <c r="D1052" s="5" t="inlineStr">
        <is>
          <t>Pişkinlik</t>
        </is>
      </c>
      <c r="E1052" s="5" t="inlineStr">
        <is>
          <t>Kolay</t>
        </is>
      </c>
      <c r="F1052" s="5" t="inlineStr"/>
      <c r="G1052" s="6" t="inlineStr"/>
      <c r="H1052" s="6" t="inlineStr">
        <is>
          <t>Açılışı kırk yıllık hayatının kısa bir gösterisine çevirdin. Kimse ikramlara dokunmadı.</t>
        </is>
      </c>
      <c r="I1052" s="6" t="inlineStr">
        <is>
          <t>Performansın sergiden fazla konuşuldu. Galeri bir yıl uzatma kararı aldı.</t>
        </is>
      </c>
      <c r="J1052" s="6" t="inlineStr">
        <is>
          <t>Performans uzadı. Galeri kapanış saatinde ışıkları kapattı. Sen hâlâ konuşuyordun.</t>
        </is>
      </c>
      <c r="K1052" s="6" t="inlineStr">
        <is>
          <t>Performans sırasında bir eseri gerçek sandılar ve ikram tepsisi olarak kullandılar.</t>
        </is>
      </c>
      <c r="L1052" s="6" t="inlineStr"/>
      <c r="M1052" s="5" t="inlineStr"/>
      <c r="N1052" s="5" t="inlineStr"/>
      <c r="O1052" s="6" t="inlineStr"/>
      <c r="P1052" s="6" t="inlineStr"/>
      <c r="Q1052" s="5" t="inlineStr">
        <is>
          <t>Sahne Sever</t>
        </is>
      </c>
      <c r="R1052" s="5" t="inlineStr"/>
      <c r="S1052" s="5" t="inlineStr"/>
      <c r="T1052" s="5" t="inlineStr"/>
      <c r="U1052" s="5" t="inlineStr"/>
      <c r="V1052" s="5" t="inlineStr"/>
      <c r="W1052" s="5" t="inlineStr"/>
      <c r="X1052" s="5" t="inlineStr"/>
      <c r="Y1052" s="5" t="inlineStr"/>
      <c r="Z1052" s="6" t="inlineStr"/>
    </row>
    <row r="1053">
      <c r="A1053" s="5" t="inlineStr">
        <is>
          <t>ms-retrospektif</t>
        </is>
      </c>
      <c r="B1053" s="5" t="n">
        <v>4</v>
      </c>
      <c r="C1053" s="6" t="inlineStr">
        <is>
          <t>Eserlere ilk kez gerçek fiyat biç</t>
        </is>
      </c>
      <c r="D1053" s="5" t="inlineStr">
        <is>
          <t>Kurnazlık</t>
        </is>
      </c>
      <c r="E1053" s="5" t="inlineStr">
        <is>
          <t>Orta</t>
        </is>
      </c>
      <c r="F1053" s="5" t="inlineStr"/>
      <c r="G1053" s="6" t="inlineStr"/>
      <c r="H1053" s="6" t="inlineStr">
        <is>
          <t>Etiketlere gerçek fiyat yazdın. İkisi açılış gecesi satıldı.</t>
        </is>
      </c>
      <c r="I1053" s="6" t="inlineStr">
        <is>
          <t>Bütün eserler satıldı. Galerici komisyonunu alınca ağladı. Sevinçten.</t>
        </is>
      </c>
      <c r="J1053" s="6" t="inlineStr">
        <is>
          <t>Fiyatları yazdın; ziyaretçiler etiketlerin fotoğrafını çekti, eserlerin değil.</t>
        </is>
      </c>
      <c r="K1053" s="6" t="inlineStr">
        <is>
          <t>Fiyat yazarken bir sıfır eksik yazdın. İlk müşteri hepsini aldı. Hızla.</t>
        </is>
      </c>
      <c r="L1053" s="6" t="inlineStr"/>
      <c r="M1053" s="5" t="inlineStr"/>
      <c r="N1053" s="5" t="inlineStr"/>
      <c r="O1053" s="6" t="inlineStr"/>
      <c r="P1053" s="6" t="inlineStr"/>
      <c r="Q1053" s="5" t="inlineStr"/>
      <c r="R1053" s="5" t="inlineStr"/>
      <c r="S1053" s="5" t="inlineStr"/>
      <c r="T1053" s="5" t="inlineStr"/>
      <c r="U1053" s="5" t="inlineStr"/>
      <c r="V1053" s="5" t="inlineStr"/>
      <c r="W1053" s="5" t="inlineStr"/>
      <c r="X1053" s="5" t="inlineStr"/>
      <c r="Y1053" s="5" t="inlineStr"/>
      <c r="Z1053" s="6" t="inlineStr"/>
    </row>
    <row r="1054">
      <c r="A1054" s="5" t="inlineStr">
        <is>
          <t>b9-pazar-arabasi</t>
        </is>
      </c>
      <c r="B1054" s="5" t="n">
        <v>1</v>
      </c>
      <c r="C1054" s="6" t="inlineStr">
        <is>
          <t>Sabah erkenden git</t>
        </is>
      </c>
      <c r="D1054" s="5" t="inlineStr"/>
      <c r="E1054" s="5" t="inlineStr"/>
      <c r="F1054" s="5" t="inlineStr">
        <is>
          <t>Dayanıklılık +1</t>
        </is>
      </c>
      <c r="G1054" s="6" t="inlineStr">
        <is>
          <t>Sabah yedide pazardaydın. En taze domatesler, en yüksek fiyatlar. Tazelik bir lüks kalemi.</t>
        </is>
      </c>
      <c r="H1054" s="6" t="inlineStr"/>
      <c r="I1054" s="6" t="inlineStr"/>
      <c r="J1054" s="6" t="inlineStr"/>
      <c r="K1054" s="6" t="inlineStr"/>
      <c r="L1054" s="6" t="inlineStr"/>
      <c r="M1054" s="5" t="inlineStr"/>
      <c r="N1054" s="5" t="inlineStr"/>
      <c r="O1054" s="6" t="inlineStr"/>
      <c r="P1054" s="6" t="inlineStr"/>
      <c r="Q1054" s="5" t="inlineStr"/>
      <c r="R1054" s="5" t="inlineStr"/>
      <c r="S1054" s="5" t="inlineStr"/>
      <c r="T1054" s="5" t="inlineStr"/>
      <c r="U1054" s="5" t="inlineStr"/>
      <c r="V1054" s="5" t="inlineStr"/>
      <c r="W1054" s="5" t="inlineStr"/>
      <c r="X1054" s="5" t="inlineStr"/>
      <c r="Y1054" s="5" t="inlineStr"/>
      <c r="Z1054" s="6" t="inlineStr"/>
    </row>
    <row r="1055">
      <c r="A1055" s="5" t="inlineStr">
        <is>
          <t>b9-pazar-arabasi</t>
        </is>
      </c>
      <c r="B1055" s="5" t="n">
        <v>2</v>
      </c>
      <c r="C1055" s="6" t="inlineStr">
        <is>
          <t>Kapanışta git, pazarlık et</t>
        </is>
      </c>
      <c r="D1055" s="5" t="inlineStr">
        <is>
          <t>Çene</t>
        </is>
      </c>
      <c r="E1055" s="5" t="inlineStr">
        <is>
          <t>Orta</t>
        </is>
      </c>
      <c r="F1055" s="5" t="inlineStr"/>
      <c r="G1055" s="6" t="inlineStr"/>
      <c r="H1055" s="6" t="inlineStr">
        <is>
          <t>Kapanışta gittin; bir kasa domatesi yarı fiyatına aldın. Ne yapacağını düşünmedin.</t>
        </is>
      </c>
      <c r="I1055" s="6" t="inlineStr">
        <is>
          <t>Pazarcı sana bir kasa daha hediye etti: 'Emeklimizsin.' Evde üç gün salça yapıldı.</t>
        </is>
      </c>
      <c r="J1055" s="6" t="inlineStr">
        <is>
          <t>Kapanışta gittin; pazar kapanmıştı. Tezgâhlar gitmiş, fiyat tartışması tek taraflı kaldı.</t>
        </is>
      </c>
      <c r="K1055" s="6" t="inlineStr">
        <is>
          <t>Pazarlık ettin, pazarcı kızdı ve seni diğer pazarcılara tarif etti. Artık pazarın her yerinde tanınıyorsun.</t>
        </is>
      </c>
      <c r="L1055" s="6" t="inlineStr"/>
      <c r="M1055" s="5" t="inlineStr"/>
      <c r="N1055" s="5" t="inlineStr"/>
      <c r="O1055" s="6" t="inlineStr"/>
      <c r="P1055" s="6" t="inlineStr"/>
      <c r="Q1055" s="5" t="inlineStr"/>
      <c r="R1055" s="5" t="inlineStr"/>
      <c r="S1055" s="5" t="inlineStr"/>
      <c r="T1055" s="5" t="inlineStr"/>
      <c r="U1055" s="5" t="inlineStr"/>
      <c r="V1055" s="5" t="inlineStr"/>
      <c r="W1055" s="5" t="inlineStr"/>
      <c r="X1055" s="5" t="inlineStr"/>
      <c r="Y1055" s="5" t="inlineStr"/>
      <c r="Z1055" s="6" t="inlineStr"/>
    </row>
    <row r="1056">
      <c r="A1056" s="5" t="inlineStr">
        <is>
          <t>b9-pazar-arabasi</t>
        </is>
      </c>
      <c r="B1056" s="5" t="n">
        <v>3</v>
      </c>
      <c r="C1056" s="6" t="inlineStr">
        <is>
          <t>Pazarcıya ödeme uygulaması kurdur</t>
        </is>
      </c>
      <c r="D1056" s="5" t="inlineStr">
        <is>
          <t>Akıl</t>
        </is>
      </c>
      <c r="E1056" s="5" t="inlineStr">
        <is>
          <t>Kolay</t>
        </is>
      </c>
      <c r="F1056" s="5" t="inlineStr"/>
      <c r="G1056" s="6" t="inlineStr"/>
      <c r="H1056" s="6" t="inlineStr">
        <is>
          <t>Pazarcıya ödeme uygulamasını öğrettin. Artık sana indirim yapıyor, çünkü 'hocam' oldun.</t>
        </is>
      </c>
      <c r="I1056" s="6" t="inlineStr">
        <is>
          <t>Bütün pazar sana geldi. Bir çarşamba sabahı pazarın gayriresmî dijital danışmanı ilan edildin.</t>
        </is>
      </c>
      <c r="J1056" s="6" t="inlineStr">
        <is>
          <t>Uygulamayı kurdun, pazarcı ödemeyi yanlış hesaba yaptı. Paran komşu tezgâhın maydanozuna gitti.</t>
        </is>
      </c>
      <c r="K1056" s="6" t="inlineStr">
        <is>
          <t>Uygulamayı kurarken pazarcının telefonunu kilitledin. Pazarcı o gün sadece nakit çalıştı ve bunu senin adınla anons etti.</t>
        </is>
      </c>
      <c r="L1056" s="6" t="inlineStr"/>
      <c r="M1056" s="5" t="inlineStr"/>
      <c r="N1056" s="5" t="inlineStr"/>
      <c r="O1056" s="6" t="inlineStr"/>
      <c r="P1056" s="6" t="inlineStr"/>
      <c r="Q1056" s="5" t="inlineStr">
        <is>
          <t>Teknoloji Merakı</t>
        </is>
      </c>
      <c r="R1056" s="5" t="inlineStr"/>
      <c r="S1056" s="5" t="inlineStr"/>
      <c r="T1056" s="5" t="inlineStr"/>
      <c r="U1056" s="5" t="inlineStr"/>
      <c r="V1056" s="5" t="inlineStr"/>
      <c r="W1056" s="5" t="inlineStr"/>
      <c r="X1056" s="5" t="inlineStr"/>
      <c r="Y1056" s="5" t="inlineStr"/>
      <c r="Z1056" s="6" t="inlineStr"/>
    </row>
    <row r="1057">
      <c r="A1057" s="5" t="inlineStr">
        <is>
          <t>b9-ikramiye</t>
        </is>
      </c>
      <c r="B1057" s="5" t="n">
        <v>1</v>
      </c>
      <c r="C1057" s="6" t="inlineStr">
        <is>
          <t>Motosiklet al</t>
        </is>
      </c>
      <c r="D1057" s="5" t="inlineStr">
        <is>
          <t>Cesaret</t>
        </is>
      </c>
      <c r="E1057" s="5" t="inlineStr">
        <is>
          <t>Orta</t>
        </is>
      </c>
      <c r="F1057" s="5" t="inlineStr"/>
      <c r="G1057" s="6" t="inlineStr"/>
      <c r="H1057" s="6" t="inlineStr">
        <is>
          <t>Motosikleti aldın. Mahallede bir tur attın. Kahvehanedeki herkes ayağa kalktı; bazıları seni tanıyamadı.</t>
        </is>
      </c>
      <c r="I1057" s="6" t="inlineStr">
        <is>
          <t>Motosikletle sahil yoluna çıktın. Rüzgâr saçını değil, emeklilik belgeni dalgalandırdı.</t>
        </is>
      </c>
      <c r="J1057" s="6" t="inlineStr">
        <is>
          <t>Motosikleti aldın. Garajdan çıkarmak için üç gün kurs gerekiyormuş. Kurs, motosikletten pahalı.</t>
        </is>
      </c>
      <c r="K1057" s="6" t="inlineStr">
        <is>
          <t>Motosikleti aldın ve ilk durakta devrildi. Devrilen motosiklet sen değilsin; sen sadece altında kaldın. Tamir, ikramiyenin kalanı.</t>
        </is>
      </c>
      <c r="L1057" s="6" t="inlineStr"/>
      <c r="M1057" s="5" t="inlineStr"/>
      <c r="N1057" s="5" t="inlineStr"/>
      <c r="O1057" s="6" t="inlineStr"/>
      <c r="P1057" s="6" t="inlineStr"/>
      <c r="Q1057" s="5" t="inlineStr"/>
      <c r="R1057" s="5" t="inlineStr"/>
      <c r="S1057" s="5" t="inlineStr"/>
      <c r="T1057" s="5" t="inlineStr"/>
      <c r="U1057" s="5" t="inlineStr"/>
      <c r="V1057" s="5" t="inlineStr">
        <is>
          <t>motosikletli</t>
        </is>
      </c>
      <c r="W1057" s="5" t="inlineStr"/>
      <c r="X1057" s="5" t="inlineStr"/>
      <c r="Y1057" s="5" t="n">
        <v>5</v>
      </c>
      <c r="Z1057" s="6" t="inlineStr">
        <is>
          <t>Emekli ikramiyesiyle aldığı motosikletle ilk virajda. Kask hâlâ jelatinliydi.</t>
        </is>
      </c>
    </row>
    <row r="1058">
      <c r="A1058" s="5" t="inlineStr">
        <is>
          <t>b9-ikramiye</t>
        </is>
      </c>
      <c r="B1058" s="5" t="n">
        <v>2</v>
      </c>
      <c r="C1058" s="6" t="inlineStr">
        <is>
          <t>Yazlık al</t>
        </is>
      </c>
      <c r="D1058" s="5" t="inlineStr">
        <is>
          <t>Kurnazlık</t>
        </is>
      </c>
      <c r="E1058" s="5" t="inlineStr">
        <is>
          <t>Orta</t>
        </is>
      </c>
      <c r="F1058" s="5" t="inlineStr"/>
      <c r="G1058" s="6" t="inlineStr"/>
      <c r="H1058" s="6" t="inlineStr">
        <is>
          <t>Sahile yürüme mesafesinde küçük bir yazlık aldın. Denize yürüme mesafesi ilanda yazılandan sadece iki kilometre fazla.</t>
        </is>
      </c>
      <c r="I1058" s="6" t="inlineStr">
        <is>
          <t>Yazlığı pazarlıkla aldın; satıcı mobilyaları da bıraktı. Mobilyaların arasında bir de kedi vardı.</t>
        </is>
      </c>
      <c r="J1058" s="6" t="inlineStr">
        <is>
          <t>Yazlığı aldın. Site aidatı, senin emekli maaşının yarısı.</t>
        </is>
      </c>
      <c r="K1058" s="6" t="inlineStr">
        <is>
          <t>Yazlığı fotoğraflardan aldın. Fotoğraflar on yıl önce çekilmiş. Deniz görmüyor; deniz gören bir binayı görüyor.</t>
        </is>
      </c>
      <c r="L1058" s="6" t="inlineStr"/>
      <c r="M1058" s="5" t="inlineStr"/>
      <c r="N1058" s="5" t="inlineStr"/>
      <c r="O1058" s="6" t="inlineStr"/>
      <c r="P1058" s="6" t="inlineStr"/>
      <c r="Q1058" s="5" t="inlineStr"/>
      <c r="R1058" s="5" t="inlineStr"/>
      <c r="S1058" s="5" t="inlineStr"/>
      <c r="T1058" s="5" t="inlineStr"/>
      <c r="U1058" s="5" t="inlineStr"/>
      <c r="V1058" s="5" t="inlineStr">
        <is>
          <t>yazlikci</t>
        </is>
      </c>
      <c r="W1058" s="5" t="inlineStr"/>
      <c r="X1058" s="5" t="inlineStr"/>
      <c r="Y1058" s="5" t="inlineStr"/>
      <c r="Z1058" s="6" t="inlineStr"/>
    </row>
    <row r="1059">
      <c r="A1059" s="5" t="inlineStr">
        <is>
          <t>b9-ikramiye</t>
        </is>
      </c>
      <c r="B1059" s="5" t="n">
        <v>3</v>
      </c>
      <c r="C1059" s="6" t="inlineStr">
        <is>
          <t>Çocuğa ev peşinatı ver</t>
        </is>
      </c>
      <c r="D1059" s="5" t="inlineStr"/>
      <c r="E1059" s="5" t="inlineStr"/>
      <c r="F1059" s="5" t="inlineStr">
        <is>
          <t>Vicdan +2</t>
        </is>
      </c>
      <c r="G1059" s="6" t="inlineStr">
        <is>
          <t>Peşinatı verdin. Çocuğun ev sahibi oldu. Sen de pazar kahvaltılarının kalıcı misafiri.</t>
        </is>
      </c>
      <c r="H1059" s="6" t="inlineStr"/>
      <c r="I1059" s="6" t="inlineStr"/>
      <c r="J1059" s="6" t="inlineStr"/>
      <c r="K1059" s="6" t="inlineStr"/>
      <c r="L1059" s="6" t="inlineStr"/>
      <c r="M1059" s="5" t="inlineStr"/>
      <c r="N1059" s="5" t="inlineStr"/>
      <c r="O1059" s="6" t="inlineStr"/>
      <c r="P1059" s="6" t="inlineStr"/>
      <c r="Q1059" s="5" t="inlineStr"/>
      <c r="R1059" s="5" t="inlineStr">
        <is>
          <t>cocuklu</t>
        </is>
      </c>
      <c r="S1059" s="5" t="inlineStr"/>
      <c r="T1059" s="5" t="inlineStr"/>
      <c r="U1059" s="5" t="inlineStr"/>
      <c r="V1059" s="5" t="inlineStr"/>
      <c r="W1059" s="5" t="inlineStr"/>
      <c r="X1059" s="5" t="inlineStr"/>
      <c r="Y1059" s="5" t="inlineStr"/>
      <c r="Z1059" s="6" t="inlineStr"/>
    </row>
    <row r="1060">
      <c r="A1060" s="5" t="inlineStr">
        <is>
          <t>b9-ikramiye</t>
        </is>
      </c>
      <c r="B1060" s="5" t="n">
        <v>4</v>
      </c>
      <c r="C1060" s="6" t="inlineStr">
        <is>
          <t>Dijital paraya yatır</t>
        </is>
      </c>
      <c r="D1060" s="5" t="inlineStr">
        <is>
          <t>Akıl</t>
        </is>
      </c>
      <c r="E1060" s="5" t="inlineStr">
        <is>
          <t>Zor</t>
        </is>
      </c>
      <c r="F1060" s="5" t="inlineStr"/>
      <c r="G1060" s="6" t="inlineStr"/>
      <c r="H1060" s="6" t="inlineStr">
        <is>
          <t>Dijital para iki katına çıktı. Torunlara ne olduğunu açıklamaya çalıştın; sen de tam anlamadın.</t>
        </is>
      </c>
      <c r="I1060" s="6" t="inlineStr">
        <is>
          <t>Dijital para dört katına çıktı ve tam zamanında sattın. Aile seni 'finans danışmanı' ilan etti.</t>
        </is>
      </c>
      <c r="J1060" s="6" t="inlineStr">
        <is>
          <t>Dijital para yarıya düştü. Ekran kırmızı. Sen de kırmızı.</t>
        </is>
      </c>
      <c r="K1060" s="6" t="inlineStr">
        <is>
          <t>Dijital paranın şifresini bir kâğıda yazdın. Kâğıt çamaşır makinesinde yıkandı. Servet şimdi bir cebin içinde, kurumaya bırakıldı.</t>
        </is>
      </c>
      <c r="L1060" s="6" t="inlineStr"/>
      <c r="M1060" s="5" t="inlineStr"/>
      <c r="N1060" s="5" t="inlineStr"/>
      <c r="O1060" s="6" t="inlineStr"/>
      <c r="P1060" s="6" t="inlineStr"/>
      <c r="Q1060" s="5" t="inlineStr">
        <is>
          <t>Teknoloji Merakı</t>
        </is>
      </c>
      <c r="R1060" s="5" t="inlineStr"/>
      <c r="S1060" s="5" t="inlineStr"/>
      <c r="T1060" s="5" t="inlineStr"/>
      <c r="U1060" s="5" t="inlineStr"/>
      <c r="V1060" s="5" t="inlineStr"/>
      <c r="W1060" s="5" t="inlineStr">
        <is>
          <t>borclu</t>
        </is>
      </c>
      <c r="X1060" s="5" t="inlineStr"/>
      <c r="Y1060" s="5" t="inlineStr"/>
      <c r="Z1060" s="6" t="inlineStr"/>
    </row>
    <row r="1061">
      <c r="A1061" s="5" t="inlineStr">
        <is>
          <t>b9-ikramiye</t>
        </is>
      </c>
      <c r="B1061" s="5" t="n">
        <v>5</v>
      </c>
      <c r="C1061" s="6" t="inlineStr">
        <is>
          <t>Bankada dursun</t>
        </is>
      </c>
      <c r="D1061" s="5" t="inlineStr"/>
      <c r="E1061" s="5" t="inlineStr"/>
      <c r="F1061" s="5" t="inlineStr">
        <is>
          <t>Dayanıklılık +1</t>
        </is>
      </c>
      <c r="G1061" s="6" t="inlineStr">
        <is>
          <t>Para bankada durdu. Durdukça küçüldü. Banka buna 'mevduat faizi' dedi.</t>
        </is>
      </c>
      <c r="H1061" s="6" t="inlineStr"/>
      <c r="I1061" s="6" t="inlineStr"/>
      <c r="J1061" s="6" t="inlineStr"/>
      <c r="K1061" s="6" t="inlineStr"/>
      <c r="L1061" s="6" t="inlineStr"/>
      <c r="M1061" s="5" t="inlineStr"/>
      <c r="N1061" s="5" t="inlineStr"/>
      <c r="O1061" s="6" t="inlineStr"/>
      <c r="P1061" s="6" t="inlineStr"/>
      <c r="Q1061" s="5" t="inlineStr"/>
      <c r="R1061" s="5" t="inlineStr"/>
      <c r="S1061" s="5" t="inlineStr"/>
      <c r="T1061" s="5" t="inlineStr"/>
      <c r="U1061" s="5" t="inlineStr"/>
      <c r="V1061" s="5" t="inlineStr"/>
      <c r="W1061" s="5" t="inlineStr"/>
      <c r="X1061" s="5" t="inlineStr"/>
      <c r="Y1061" s="5" t="inlineStr"/>
      <c r="Z1061" s="6" t="inlineStr"/>
    </row>
    <row r="1062">
      <c r="A1062" s="5" t="inlineStr">
        <is>
          <t>mm-son-is-gunu</t>
        </is>
      </c>
      <c r="B1062" s="5" t="n">
        <v>1</v>
      </c>
      <c r="C1062" s="6" t="inlineStr">
        <is>
          <t>Kısa bir teşekkür et</t>
        </is>
      </c>
      <c r="D1062" s="5" t="inlineStr"/>
      <c r="E1062" s="5" t="inlineStr"/>
      <c r="F1062" s="5" t="inlineStr">
        <is>
          <t>Vicdan +2</t>
        </is>
      </c>
      <c r="G1062" s="6" t="inlineStr">
        <is>
          <t>'Teşekkürler' dedin ve oturdun. Kurumun en kısa veda konuşması tutanağa geçti: tek satır, ıslak imzalı.</t>
        </is>
      </c>
      <c r="H1062" s="6" t="inlineStr"/>
      <c r="I1062" s="6" t="inlineStr"/>
      <c r="J1062" s="6" t="inlineStr"/>
      <c r="K1062" s="6" t="inlineStr"/>
      <c r="L1062" s="6" t="inlineStr"/>
      <c r="M1062" s="5" t="inlineStr"/>
      <c r="N1062" s="5" t="inlineStr"/>
      <c r="O1062" s="6" t="inlineStr"/>
      <c r="P1062" s="6" t="inlineStr"/>
      <c r="Q1062" s="5" t="inlineStr"/>
      <c r="R1062" s="5" t="inlineStr"/>
      <c r="S1062" s="5" t="inlineStr"/>
      <c r="T1062" s="5" t="inlineStr"/>
      <c r="U1062" s="5" t="inlineStr">
        <is>
          <t>emekli</t>
        </is>
      </c>
      <c r="V1062" s="5" t="inlineStr"/>
      <c r="W1062" s="5" t="inlineStr"/>
      <c r="X1062" s="5" t="inlineStr"/>
      <c r="Y1062" s="5" t="inlineStr"/>
      <c r="Z1062" s="6" t="inlineStr"/>
    </row>
    <row r="1063">
      <c r="A1063" s="5" t="inlineStr">
        <is>
          <t>mm-son-is-gunu</t>
        </is>
      </c>
      <c r="B1063" s="5" t="n">
        <v>2</v>
      </c>
      <c r="C1063" s="6" t="inlineStr">
        <is>
          <t>Uzun bir veda konuşması yap</t>
        </is>
      </c>
      <c r="D1063" s="5" t="inlineStr">
        <is>
          <t>Çene</t>
        </is>
      </c>
      <c r="E1063" s="5" t="inlineStr">
        <is>
          <t>Zor</t>
        </is>
      </c>
      <c r="F1063" s="5" t="inlineStr"/>
      <c r="G1063" s="6" t="inlineStr"/>
      <c r="H1063" s="6" t="inlineStr">
        <is>
          <t>Pastanın kreması eridi ama kimse salondan çıkmadı.</t>
        </is>
      </c>
      <c r="I1063" s="6" t="inlineStr">
        <is>
          <t>Konuşman kurum bülteninde yayımlandı ve sonraki emekliler için şablon oldu.</t>
        </is>
      </c>
      <c r="J1063" s="6" t="inlineStr">
        <is>
          <t>Slayt açmaya çalıştın. Sistem çöktü. Son gününde bile.</t>
        </is>
      </c>
      <c r="K1063" s="6" t="inlineStr">
        <is>
          <t>Otuz yılın bütün müdürlerini tek tek andın. Adını unuttuğun tek müdür, karşında pastayı kesiyordu.</t>
        </is>
      </c>
      <c r="L1063" s="6" t="inlineStr"/>
      <c r="M1063" s="5" t="inlineStr"/>
      <c r="N1063" s="5" t="inlineStr"/>
      <c r="O1063" s="6" t="inlineStr"/>
      <c r="P1063" s="6" t="inlineStr"/>
      <c r="Q1063" s="5" t="inlineStr"/>
      <c r="R1063" s="5" t="inlineStr"/>
      <c r="S1063" s="5" t="inlineStr"/>
      <c r="T1063" s="5" t="inlineStr"/>
      <c r="U1063" s="5" t="inlineStr">
        <is>
          <t>emekli</t>
        </is>
      </c>
      <c r="V1063" s="5" t="inlineStr"/>
      <c r="W1063" s="5" t="inlineStr"/>
      <c r="X1063" s="5" t="inlineStr"/>
      <c r="Y1063" s="5" t="n">
        <v>2</v>
      </c>
      <c r="Z1063" s="6" t="inlineStr">
        <is>
          <t>Veda konuşmasında, 'Kısa tutacağım' dedikten sonraki kırk birinci dakikada.</t>
        </is>
      </c>
    </row>
    <row r="1064">
      <c r="A1064" s="5" t="inlineStr">
        <is>
          <t>mm-son-is-gunu</t>
        </is>
      </c>
      <c r="B1064" s="5" t="n">
        <v>3</v>
      </c>
      <c r="C1064" s="6" t="inlineStr">
        <is>
          <t>Son bir evrak imzala</t>
        </is>
      </c>
      <c r="D1064" s="5" t="inlineStr">
        <is>
          <t>Dayanıklılık</t>
        </is>
      </c>
      <c r="E1064" s="5" t="inlineStr">
        <is>
          <t>Kolay</t>
        </is>
      </c>
      <c r="F1064" s="5" t="inlineStr"/>
      <c r="G1064" s="6" t="inlineStr"/>
      <c r="H1064" s="6" t="inlineStr">
        <is>
          <t>Son imza, ilk imzayla aynı: biraz yamuk, çok tutarlı.</t>
        </is>
      </c>
      <c r="I1064" s="6" t="inlineStr">
        <is>
          <t>Son imzan ilk günkünden bir milim bile sapmadı. Kalem de seninle birlikte emekli oldu.</t>
        </is>
      </c>
      <c r="J1064" s="6" t="inlineStr">
        <is>
          <t>Son evrak eksik fotokopiliydi. İade ettin. Otuz yıllık refleks son dakikada da çalıştı.</t>
        </is>
      </c>
      <c r="K1064" s="6" t="inlineStr">
        <is>
          <t>Kendi emeklilik dilekçenin ikinci nüshasını imzalamışsın. Artık iki kez emeklisin; ikincisi için ikramiye yok.</t>
        </is>
      </c>
      <c r="L1064" s="6" t="inlineStr"/>
      <c r="M1064" s="5" t="inlineStr"/>
      <c r="N1064" s="5" t="inlineStr"/>
      <c r="O1064" s="6" t="inlineStr"/>
      <c r="P1064" s="6" t="inlineStr"/>
      <c r="Q1064" s="5" t="inlineStr"/>
      <c r="R1064" s="5" t="inlineStr"/>
      <c r="S1064" s="5" t="inlineStr"/>
      <c r="T1064" s="5" t="inlineStr"/>
      <c r="U1064" s="5" t="inlineStr">
        <is>
          <t>emekli</t>
        </is>
      </c>
      <c r="V1064" s="5" t="inlineStr"/>
      <c r="W1064" s="5" t="inlineStr"/>
      <c r="X1064" s="5" t="inlineStr"/>
      <c r="Y1064" s="5" t="inlineStr"/>
      <c r="Z1064" s="6" t="inlineStr"/>
    </row>
    <row r="1065">
      <c r="A1065" s="5" t="inlineStr">
        <is>
          <t>mm-son-is-gunu</t>
        </is>
      </c>
      <c r="B1065" s="5" t="n">
        <v>4</v>
      </c>
      <c r="C1065" s="6" t="inlineStr">
        <is>
          <t>Müdüre son sözünü söyle</t>
        </is>
      </c>
      <c r="D1065" s="5" t="inlineStr">
        <is>
          <t>Cesaret</t>
        </is>
      </c>
      <c r="E1065" s="5" t="inlineStr">
        <is>
          <t>Orta</t>
        </is>
      </c>
      <c r="F1065" s="5" t="inlineStr"/>
      <c r="G1065" s="6" t="inlineStr"/>
      <c r="H1065" s="6" t="inlineStr">
        <is>
          <t>Otuz yılı tek cümlede söyledin. Müdür kızardı, güldü, sonra sana pastanın en büyük dilimini verdi.</t>
        </is>
      </c>
      <c r="I1065" s="6" t="inlineStr">
        <is>
          <t>Sen söyledin, o da söyledi. Sarıldınız. Kurum panosundaki fotoğrafın altında tek kelime: 'Sonunda.'</t>
        </is>
      </c>
      <c r="J1065" s="6" t="inlineStr">
        <is>
          <t>Müdür o gün izinliymiş. Cümleni yardımcısına söyledin; o da not aldı.</t>
        </is>
      </c>
      <c r="K1065" s="6" t="inlineStr">
        <is>
          <t>Müdür gülümsedi: 'Emeklilik işlemlerinin imzası bende.' İkramiyen üç hafta gecikti.</t>
        </is>
      </c>
      <c r="L1065" s="6" t="inlineStr"/>
      <c r="M1065" s="5" t="inlineStr"/>
      <c r="N1065" s="5" t="inlineStr"/>
      <c r="O1065" s="6" t="inlineStr"/>
      <c r="P1065" s="6" t="inlineStr"/>
      <c r="Q1065" s="5" t="inlineStr"/>
      <c r="R1065" s="5" t="inlineStr">
        <is>
          <t>memur-mudur-dusmani</t>
        </is>
      </c>
      <c r="S1065" s="5" t="inlineStr"/>
      <c r="T1065" s="5" t="inlineStr"/>
      <c r="U1065" s="5" t="inlineStr">
        <is>
          <t>emekli</t>
        </is>
      </c>
      <c r="V1065" s="5" t="inlineStr"/>
      <c r="W1065" s="5" t="inlineStr"/>
      <c r="X1065" s="5" t="inlineStr"/>
      <c r="Y1065" s="5" t="inlineStr"/>
      <c r="Z1065" s="6" t="inlineStr"/>
    </row>
    <row r="1066">
      <c r="A1066" s="5" t="inlineStr">
        <is>
          <t>b9-es-7-24</t>
        </is>
      </c>
      <c r="B1066" s="5" t="n">
        <v>1</v>
      </c>
      <c r="C1066" s="6" t="inlineStr">
        <is>
          <t>Kumandayı teslim et</t>
        </is>
      </c>
      <c r="D1066" s="5" t="inlineStr"/>
      <c r="E1066" s="5" t="inlineStr"/>
      <c r="F1066" s="5" t="inlineStr">
        <is>
          <t>Vicdan +1, Dayanıklılık +1</t>
        </is>
      </c>
      <c r="G1066" s="6" t="inlineStr">
        <is>
          <t>Kumandayı teslim ettin. Akşam dizisini ilk bölümünden izlemeye başladınız. Bölüm sayısı dört yüz on iki.</t>
        </is>
      </c>
      <c r="H1066" s="6" t="inlineStr"/>
      <c r="I1066" s="6" t="inlineStr"/>
      <c r="J1066" s="6" t="inlineStr"/>
      <c r="K1066" s="6" t="inlineStr"/>
      <c r="L1066" s="6" t="inlineStr"/>
      <c r="M1066" s="5" t="inlineStr"/>
      <c r="N1066" s="5" t="inlineStr"/>
      <c r="O1066" s="6" t="inlineStr"/>
      <c r="P1066" s="6" t="inlineStr"/>
      <c r="Q1066" s="5" t="inlineStr"/>
      <c r="R1066" s="5" t="inlineStr"/>
      <c r="S1066" s="5" t="inlineStr"/>
      <c r="T1066" s="5" t="inlineStr"/>
      <c r="U1066" s="5" t="inlineStr"/>
      <c r="V1066" s="5" t="inlineStr"/>
      <c r="W1066" s="5" t="inlineStr"/>
      <c r="X1066" s="5" t="inlineStr"/>
      <c r="Y1066" s="5" t="inlineStr"/>
      <c r="Z1066" s="6" t="inlineStr"/>
    </row>
    <row r="1067">
      <c r="A1067" s="5" t="inlineStr">
        <is>
          <t>b9-es-7-24</t>
        </is>
      </c>
      <c r="B1067" s="5" t="n">
        <v>2</v>
      </c>
      <c r="C1067" s="6" t="inlineStr">
        <is>
          <t>Oda paylaşım planı yap</t>
        </is>
      </c>
      <c r="D1067" s="5" t="inlineStr">
        <is>
          <t>Akıl</t>
        </is>
      </c>
      <c r="E1067" s="5" t="inlineStr">
        <is>
          <t>Orta</t>
        </is>
      </c>
      <c r="F1067" s="5" t="inlineStr"/>
      <c r="G1067" s="6" t="inlineStr"/>
      <c r="H1067" s="6" t="inlineStr">
        <is>
          <t>Salon sabah senin, öğleden sonra eşinin. Plan çalıştı. Mutfak ise tarafsız bölge ilan edildi.</t>
        </is>
      </c>
      <c r="I1067" s="6" t="inlineStr">
        <is>
          <t>Planı öyle iyi yaptın ki eşin sana bir hobi odası ayırdı. Orada ne yaptığını bilmiyorsun ama odan var.</t>
        </is>
      </c>
      <c r="J1067" s="6" t="inlineStr">
        <is>
          <t>Planı yaptın, eşin planı okumadı. Kumanda yine eşinde. Plan buzdolabının kapağında sergileniyor.</t>
        </is>
      </c>
      <c r="K1067" s="6" t="inlineStr">
        <is>
          <t>Planı yaptın; eşin bir karşı plan yazdı. Evde iki paralel yönetim var, ortak nokta sadece çay.</t>
        </is>
      </c>
      <c r="L1067" s="6" t="inlineStr"/>
      <c r="M1067" s="5" t="inlineStr"/>
      <c r="N1067" s="5" t="inlineStr"/>
      <c r="O1067" s="6" t="inlineStr"/>
      <c r="P1067" s="6" t="inlineStr"/>
      <c r="Q1067" s="5" t="inlineStr">
        <is>
          <t>Organizatör</t>
        </is>
      </c>
      <c r="R1067" s="5" t="inlineStr"/>
      <c r="S1067" s="5" t="inlineStr"/>
      <c r="T1067" s="5" t="inlineStr"/>
      <c r="U1067" s="5" t="inlineStr"/>
      <c r="V1067" s="5" t="inlineStr"/>
      <c r="W1067" s="5" t="inlineStr"/>
      <c r="X1067" s="5" t="inlineStr"/>
      <c r="Y1067" s="5" t="inlineStr"/>
      <c r="Z1067" s="6" t="inlineStr"/>
    </row>
    <row r="1068">
      <c r="A1068" s="5" t="inlineStr">
        <is>
          <t>b9-es-7-24</t>
        </is>
      </c>
      <c r="B1068" s="5" t="n">
        <v>3</v>
      </c>
      <c r="C1068" s="6" t="inlineStr">
        <is>
          <t>'Bugün dışarı çıkıyorum' de</t>
        </is>
      </c>
      <c r="D1068" s="5" t="inlineStr">
        <is>
          <t>Sosyal Radar</t>
        </is>
      </c>
      <c r="E1068" s="5" t="inlineStr">
        <is>
          <t>Kolay</t>
        </is>
      </c>
      <c r="F1068" s="5" t="inlineStr"/>
      <c r="G1068" s="6" t="inlineStr"/>
      <c r="H1068" s="6" t="inlineStr">
        <is>
          <t>Dışarı çıktın. Eve döndüğünde eşin sana sarıldı. Sarılmanın anlamı: 'Yarın da çık.'</t>
        </is>
      </c>
      <c r="I1068" s="6" t="inlineStr">
        <is>
          <t>Dışarı çıktın, yürüyüş grubuna katıldın. Eşin de başka bir yürüyüş grubuna katıldı. Evlilik kurtarıldı.</t>
        </is>
      </c>
      <c r="J1068" s="6" t="inlineStr">
        <is>
          <t>Dışarı çıktın. Nereye gideceğini düşünmemiştin. Parkta iki saat oturup eve döndün.</t>
        </is>
      </c>
      <c r="K1068" s="6" t="inlineStr">
        <is>
          <t>Dışarı çıktın; eşin de peşinden çıktı. Aynı parkta, aynı bankta, yine yan yana.</t>
        </is>
      </c>
      <c r="L1068" s="6" t="inlineStr"/>
      <c r="M1068" s="5" t="inlineStr"/>
      <c r="N1068" s="5" t="inlineStr"/>
      <c r="O1068" s="6" t="inlineStr"/>
      <c r="P1068" s="6" t="inlineStr"/>
      <c r="Q1068" s="5" t="inlineStr"/>
      <c r="R1068" s="5" t="inlineStr"/>
      <c r="S1068" s="5" t="inlineStr">
        <is>
          <t>Sosyal Radar</t>
        </is>
      </c>
      <c r="T1068" s="5" t="inlineStr"/>
      <c r="U1068" s="5" t="inlineStr"/>
      <c r="V1068" s="5" t="inlineStr"/>
      <c r="W1068" s="5" t="inlineStr"/>
      <c r="X1068" s="5" t="inlineStr"/>
      <c r="Y1068" s="5" t="inlineStr"/>
      <c r="Z1068" s="6" t="inlineStr"/>
    </row>
    <row r="1069">
      <c r="A1069" s="5" t="inlineStr">
        <is>
          <t>b9-yalniz-emeklilik</t>
        </is>
      </c>
      <c r="B1069" s="5" t="n">
        <v>1</v>
      </c>
      <c r="C1069" s="6" t="inlineStr">
        <is>
          <t>Bir kedi sahiplen</t>
        </is>
      </c>
      <c r="D1069" s="5" t="inlineStr"/>
      <c r="E1069" s="5" t="inlineStr"/>
      <c r="F1069" s="5" t="inlineStr">
        <is>
          <t>Vicdan +2</t>
        </is>
      </c>
      <c r="G1069" s="6" t="inlineStr">
        <is>
          <t>Kediyi sahiplendin. Artık evde biri var. O kişi senin koltuğunda oturuyor.</t>
        </is>
      </c>
      <c r="H1069" s="6" t="inlineStr"/>
      <c r="I1069" s="6" t="inlineStr"/>
      <c r="J1069" s="6" t="inlineStr"/>
      <c r="K1069" s="6" t="inlineStr"/>
      <c r="L1069" s="6" t="inlineStr"/>
      <c r="M1069" s="5" t="inlineStr"/>
      <c r="N1069" s="5" t="inlineStr"/>
      <c r="O1069" s="6" t="inlineStr"/>
      <c r="P1069" s="6" t="inlineStr"/>
      <c r="Q1069" s="5" t="inlineStr"/>
      <c r="R1069" s="5" t="inlineStr"/>
      <c r="S1069" s="5" t="inlineStr"/>
      <c r="T1069" s="5" t="inlineStr"/>
      <c r="U1069" s="5" t="inlineStr"/>
      <c r="V1069" s="5" t="inlineStr"/>
      <c r="W1069" s="5" t="inlineStr"/>
      <c r="X1069" s="5" t="inlineStr"/>
      <c r="Y1069" s="5" t="inlineStr"/>
      <c r="Z1069" s="6" t="inlineStr"/>
    </row>
    <row r="1070">
      <c r="A1070" s="5" t="inlineStr">
        <is>
          <t>b9-yalniz-emeklilik</t>
        </is>
      </c>
      <c r="B1070" s="5" t="n">
        <v>2</v>
      </c>
      <c r="C1070" s="6" t="inlineStr">
        <is>
          <t>Karşı komşuya el salla</t>
        </is>
      </c>
      <c r="D1070" s="5" t="inlineStr">
        <is>
          <t>Cesaret</t>
        </is>
      </c>
      <c r="E1070" s="5" t="inlineStr">
        <is>
          <t>Orta</t>
        </is>
      </c>
      <c r="F1070" s="5" t="inlineStr"/>
      <c r="G1070" s="6" t="inlineStr"/>
      <c r="H1070" s="6" t="inlineStr">
        <is>
          <t>El salladın, o da salladı. Ertesi gün kapında bir tabak börek vardı.</t>
        </is>
      </c>
      <c r="I1070" s="6" t="inlineStr">
        <is>
          <t>El salladın; bir hafta sonra birlikte pazara gidiyordunuz. Pazar arabalarınızı birbirine bağladınız.</t>
        </is>
      </c>
      <c r="J1070" s="6" t="inlineStr">
        <is>
          <t>El salladın, perde kapandı. Belki görmedi. Belki gördü.</t>
        </is>
      </c>
      <c r="K1070" s="6" t="inlineStr">
        <is>
          <t>El salladın. Karşı komşu seni çağırıyor sandı ve itfaiyeyi aradı.</t>
        </is>
      </c>
      <c r="L1070" s="6" t="inlineStr"/>
      <c r="M1070" s="5" t="inlineStr"/>
      <c r="N1070" s="5" t="inlineStr"/>
      <c r="O1070" s="6" t="inlineStr"/>
      <c r="P1070" s="6" t="inlineStr"/>
      <c r="Q1070" s="5" t="inlineStr"/>
      <c r="R1070" s="5" t="inlineStr"/>
      <c r="S1070" s="5" t="inlineStr"/>
      <c r="T1070" s="5" t="inlineStr"/>
      <c r="U1070" s="5" t="inlineStr"/>
      <c r="V1070" s="5" t="inlineStr"/>
      <c r="W1070" s="5" t="inlineStr"/>
      <c r="X1070" s="5" t="inlineStr"/>
      <c r="Y1070" s="5" t="inlineStr"/>
      <c r="Z1070" s="6" t="inlineStr"/>
    </row>
    <row r="1071">
      <c r="A1071" s="5" t="inlineStr">
        <is>
          <t>b9-yalniz-emeklilik</t>
        </is>
      </c>
      <c r="B1071" s="5" t="n">
        <v>3</v>
      </c>
      <c r="C1071" s="6" t="inlineStr">
        <is>
          <t>Hobi kursuna yazıl</t>
        </is>
      </c>
      <c r="D1071" s="5" t="inlineStr">
        <is>
          <t>Akıl</t>
        </is>
      </c>
      <c r="E1071" s="5" t="inlineStr">
        <is>
          <t>Kolay</t>
        </is>
      </c>
      <c r="F1071" s="5" t="inlineStr"/>
      <c r="G1071" s="6" t="inlineStr"/>
      <c r="H1071" s="6" t="inlineStr">
        <is>
          <t>Seramik kursuna yazıldın. İlk eserin bir kâse. Kâse mi, bilinmiyor.</t>
        </is>
      </c>
      <c r="I1071" s="6" t="inlineStr">
        <is>
          <t>Kursun en yetenekli öğrencisi oldun. Öğretmen sana 'Neden bu kadar geç başladınız?' diye sordu.</t>
        </is>
      </c>
      <c r="J1071" s="6" t="inlineStr">
        <is>
          <t>Kursa yazıldın, ilk derste kimse gelmedi. Kurs iptal oldu; ücret iade için dört form.</t>
        </is>
      </c>
      <c r="K1071" s="6" t="inlineStr">
        <is>
          <t>Kursa yazıldın. Yanlış kurs. Şu an bir kick boks salonundasın ve eğitmen çok heyecanlı.</t>
        </is>
      </c>
      <c r="L1071" s="6" t="inlineStr"/>
      <c r="M1071" s="5" t="inlineStr"/>
      <c r="N1071" s="5" t="inlineStr"/>
      <c r="O1071" s="6" t="inlineStr"/>
      <c r="P1071" s="6" t="inlineStr"/>
      <c r="Q1071" s="5" t="inlineStr"/>
      <c r="R1071" s="5" t="inlineStr"/>
      <c r="S1071" s="5" t="inlineStr"/>
      <c r="T1071" s="5" t="inlineStr"/>
      <c r="U1071" s="5" t="inlineStr"/>
      <c r="V1071" s="5" t="inlineStr"/>
      <c r="W1071" s="5" t="inlineStr"/>
      <c r="X1071" s="5" t="inlineStr"/>
      <c r="Y1071" s="5" t="inlineStr"/>
      <c r="Z1071" s="6" t="inlineStr"/>
    </row>
    <row r="1072">
      <c r="A1072" s="5" t="inlineStr">
        <is>
          <t>mb-veda-plaketi</t>
        </is>
      </c>
      <c r="B1072" s="5" t="n">
        <v>1</v>
      </c>
      <c r="C1072" s="6" t="inlineStr">
        <is>
          <t>Teşekkür et, gülümse</t>
        </is>
      </c>
      <c r="D1072" s="5" t="inlineStr"/>
      <c r="E1072" s="5" t="inlineStr"/>
      <c r="F1072" s="5" t="inlineStr">
        <is>
          <t>Vicdan +1</t>
        </is>
      </c>
      <c r="G1072" s="6" t="inlineStr">
        <is>
          <t>Plaketi aldın, yanlış harfi parmağınla kapattın. Fotoğraf kusursuz çıktı.</t>
        </is>
      </c>
      <c r="H1072" s="6" t="inlineStr"/>
      <c r="I1072" s="6" t="inlineStr"/>
      <c r="J1072" s="6" t="inlineStr"/>
      <c r="K1072" s="6" t="inlineStr"/>
      <c r="L1072" s="6" t="inlineStr"/>
      <c r="M1072" s="5" t="inlineStr"/>
      <c r="N1072" s="5" t="inlineStr"/>
      <c r="O1072" s="6" t="inlineStr"/>
      <c r="P1072" s="6" t="inlineStr"/>
      <c r="Q1072" s="5" t="inlineStr"/>
      <c r="R1072" s="5" t="inlineStr"/>
      <c r="S1072" s="5" t="inlineStr"/>
      <c r="T1072" s="5" t="inlineStr"/>
      <c r="U1072" s="5" t="inlineStr">
        <is>
          <t>emekli</t>
        </is>
      </c>
      <c r="V1072" s="5" t="inlineStr"/>
      <c r="W1072" s="5" t="inlineStr"/>
      <c r="X1072" s="5" t="inlineStr"/>
      <c r="Y1072" s="5" t="inlineStr"/>
      <c r="Z1072" s="6" t="inlineStr"/>
    </row>
    <row r="1073">
      <c r="A1073" s="5" t="inlineStr">
        <is>
          <t>mb-veda-plaketi</t>
        </is>
      </c>
      <c r="B1073" s="5" t="n">
        <v>2</v>
      </c>
      <c r="C1073" s="6" t="inlineStr">
        <is>
          <t>Veda e-postasını bütün şirkete yaz</t>
        </is>
      </c>
      <c r="D1073" s="5" t="inlineStr">
        <is>
          <t>Pişkinlik</t>
        </is>
      </c>
      <c r="E1073" s="5" t="inlineStr">
        <is>
          <t>Orta</t>
        </is>
      </c>
      <c r="F1073" s="5" t="inlineStr"/>
      <c r="G1073" s="6" t="inlineStr"/>
      <c r="H1073" s="6" t="inlineStr">
        <is>
          <t>Veda e-postan duygusal ve kısaydı. Tarihte ilk kez biri e-postayı sonuna kadar okudu.</t>
        </is>
      </c>
      <c r="I1073" s="6" t="inlineStr">
        <is>
          <t>E-postan şirkette elden ele dolaştı. İnsan kaynakları şablon olarak kaydetti.</t>
        </is>
      </c>
      <c r="J1073" s="6" t="inlineStr">
        <is>
          <t>E-postaya kırk kişi 'Seni çok özleyeceğiz' yazdı. Otuz dokuzunu tanımıyorsun.</t>
        </is>
      </c>
      <c r="K1073" s="6" t="inlineStr">
        <is>
          <t>Herkes 'Herkese Yanıt' ile karşılık verdi. Emekliliğinin ilk haftası gelen kutunda geçti.</t>
        </is>
      </c>
      <c r="L1073" s="6" t="inlineStr"/>
      <c r="M1073" s="5" t="inlineStr"/>
      <c r="N1073" s="5" t="inlineStr"/>
      <c r="O1073" s="6" t="inlineStr"/>
      <c r="P1073" s="6" t="inlineStr"/>
      <c r="Q1073" s="5" t="inlineStr"/>
      <c r="R1073" s="5" t="inlineStr"/>
      <c r="S1073" s="5" t="inlineStr"/>
      <c r="T1073" s="5" t="inlineStr"/>
      <c r="U1073" s="5" t="inlineStr">
        <is>
          <t>emekli</t>
        </is>
      </c>
      <c r="V1073" s="5" t="inlineStr"/>
      <c r="W1073" s="5" t="inlineStr"/>
      <c r="X1073" s="5" t="inlineStr"/>
      <c r="Y1073" s="5" t="inlineStr"/>
      <c r="Z1073" s="6" t="inlineStr"/>
    </row>
    <row r="1074">
      <c r="A1074" s="5" t="inlineStr">
        <is>
          <t>mb-veda-plaketi</t>
        </is>
      </c>
      <c r="B1074" s="5" t="n">
        <v>3</v>
      </c>
      <c r="C1074" s="6" t="inlineStr">
        <is>
          <t>Eski ekibini topla</t>
        </is>
      </c>
      <c r="D1074" s="5" t="inlineStr">
        <is>
          <t>Sosyal Radar</t>
        </is>
      </c>
      <c r="E1074" s="5" t="inlineStr">
        <is>
          <t>Kolay</t>
        </is>
      </c>
      <c r="F1074" s="5" t="inlineStr"/>
      <c r="G1074" s="6" t="inlineStr"/>
      <c r="H1074" s="6" t="inlineStr">
        <is>
          <t>Yönettiğin herkes geldi. Pasta yetmedi. İyi bir işaret.</t>
        </is>
      </c>
      <c r="I1074" s="6" t="inlineStr">
        <is>
          <t>Eski ekibin sana kendi plaketini yaptırdı. Adın doğru yazılmış.</t>
        </is>
      </c>
      <c r="J1074" s="6" t="inlineStr">
        <is>
          <t>Geldiler; yarısı hâlâ senin onayını bekleyen izin talepleriyle.</t>
        </is>
      </c>
      <c r="K1074" s="6" t="inlineStr">
        <is>
          <t>Ekibini topladın; parti bir 'kısa görüşmeye' dönüştü. Terfi isteyen oldu.</t>
        </is>
      </c>
      <c r="L1074" s="6" t="inlineStr"/>
      <c r="M1074" s="5" t="inlineStr"/>
      <c r="N1074" s="5" t="inlineStr"/>
      <c r="O1074" s="6" t="inlineStr"/>
      <c r="P1074" s="6" t="inlineStr"/>
      <c r="Q1074" s="5" t="inlineStr"/>
      <c r="R1074" s="5" t="inlineStr">
        <is>
          <t>beyazyaka-terfi-aldi</t>
        </is>
      </c>
      <c r="S1074" s="5" t="inlineStr"/>
      <c r="T1074" s="5" t="inlineStr"/>
      <c r="U1074" s="5" t="inlineStr">
        <is>
          <t>emekli</t>
        </is>
      </c>
      <c r="V1074" s="5" t="inlineStr"/>
      <c r="W1074" s="5" t="inlineStr"/>
      <c r="X1074" s="5" t="inlineStr"/>
      <c r="Y1074" s="5" t="inlineStr"/>
      <c r="Z1074" s="6" t="inlineStr"/>
    </row>
    <row r="1075">
      <c r="A1075" s="5" t="inlineStr">
        <is>
          <t>me-dukkani-devret</t>
        </is>
      </c>
      <c r="B1075" s="5" t="n">
        <v>1</v>
      </c>
      <c r="C1075" s="6" t="inlineStr">
        <is>
          <t>Çırağa devret</t>
        </is>
      </c>
      <c r="D1075" s="5" t="inlineStr"/>
      <c r="E1075" s="5" t="inlineStr"/>
      <c r="F1075" s="5" t="inlineStr">
        <is>
          <t>Vicdan +2, Sosyal Radar +1</t>
        </is>
      </c>
      <c r="G1075" s="6" t="inlineStr">
        <is>
          <t>Anahtarı çırağa verdin. Tabela değişmedi; altına küçük harflerle 'Ustasından' yazıldı.</t>
        </is>
      </c>
      <c r="H1075" s="6" t="inlineStr"/>
      <c r="I1075" s="6" t="inlineStr"/>
      <c r="J1075" s="6" t="inlineStr"/>
      <c r="K1075" s="6" t="inlineStr"/>
      <c r="L1075" s="6" t="inlineStr"/>
      <c r="M1075" s="5" t="inlineStr"/>
      <c r="N1075" s="5" t="inlineStr"/>
      <c r="O1075" s="6" t="inlineStr"/>
      <c r="P1075" s="6" t="inlineStr"/>
      <c r="Q1075" s="5" t="inlineStr"/>
      <c r="R1075" s="5" t="inlineStr">
        <is>
          <t>esnaf-cirak</t>
        </is>
      </c>
      <c r="S1075" s="5" t="inlineStr"/>
      <c r="T1075" s="5" t="inlineStr"/>
      <c r="U1075" s="5" t="inlineStr"/>
      <c r="V1075" s="5" t="inlineStr"/>
      <c r="W1075" s="5" t="inlineStr"/>
      <c r="X1075" s="5" t="inlineStr"/>
      <c r="Y1075" s="5" t="inlineStr"/>
      <c r="Z1075" s="6" t="inlineStr"/>
    </row>
    <row r="1076">
      <c r="A1076" s="5" t="inlineStr">
        <is>
          <t>me-dukkani-devret</t>
        </is>
      </c>
      <c r="B1076" s="5" t="n">
        <v>2</v>
      </c>
      <c r="C1076" s="6" t="inlineStr">
        <is>
          <t>Devir bedelinde pazarlık et</t>
        </is>
      </c>
      <c r="D1076" s="5" t="inlineStr">
        <is>
          <t>Çene</t>
        </is>
      </c>
      <c r="E1076" s="5" t="inlineStr">
        <is>
          <t>Orta</t>
        </is>
      </c>
      <c r="F1076" s="5" t="inlineStr"/>
      <c r="G1076" s="6" t="inlineStr"/>
      <c r="H1076" s="6" t="inlineStr">
        <is>
          <t>İyi bir bedel aldın. Emeklilik bir ay erken başladı; kafanda.</t>
        </is>
      </c>
      <c r="I1076" s="6" t="inlineStr">
        <is>
          <t>Talipliler birbirini geçti. Dükkânı açık artırmaya çevirmeden en yükseğe verdin.</t>
        </is>
      </c>
      <c r="J1076" s="6" t="inlineStr">
        <is>
          <t>Israr ettin, talipli vazgeçti. Tabela camda bir yıl daha sarardı.</t>
        </is>
      </c>
      <c r="K1076" s="6" t="inlineStr">
        <is>
          <t>Yeni sahip seni 'danışman' olarak tuttu. Maaşsız, her sabah 08.00'de.</t>
        </is>
      </c>
      <c r="L1076" s="6" t="inlineStr"/>
      <c r="M1076" s="5" t="inlineStr"/>
      <c r="N1076" s="5" t="inlineStr"/>
      <c r="O1076" s="6" t="inlineStr"/>
      <c r="P1076" s="6" t="inlineStr"/>
      <c r="Q1076" s="5" t="inlineStr"/>
      <c r="R1076" s="5" t="inlineStr"/>
      <c r="S1076" s="5" t="inlineStr"/>
      <c r="T1076" s="5" t="inlineStr"/>
      <c r="U1076" s="5" t="inlineStr"/>
      <c r="V1076" s="5" t="inlineStr"/>
      <c r="W1076" s="5" t="inlineStr"/>
      <c r="X1076" s="5" t="inlineStr"/>
      <c r="Y1076" s="5" t="inlineStr"/>
      <c r="Z1076" s="6" t="inlineStr"/>
    </row>
    <row r="1077">
      <c r="A1077" s="5" t="inlineStr">
        <is>
          <t>me-dukkani-devret</t>
        </is>
      </c>
      <c r="B1077" s="5" t="n">
        <v>3</v>
      </c>
      <c r="C1077" s="6" t="inlineStr">
        <is>
          <t>Karşı dükkâna sat</t>
        </is>
      </c>
      <c r="D1077" s="5" t="inlineStr">
        <is>
          <t>Pişkinlik</t>
        </is>
      </c>
      <c r="E1077" s="5" t="inlineStr">
        <is>
          <t>Zor</t>
        </is>
      </c>
      <c r="F1077" s="5" t="inlineStr"/>
      <c r="G1077" s="6" t="inlineStr"/>
      <c r="H1077" s="6" t="inlineStr">
        <is>
          <t>Otuz yıl savaştığın dükkân seni satın aldı. Sokakta artık tek dükkân var; iki kepenkli.</t>
        </is>
      </c>
      <c r="I1077" s="6" t="inlineStr">
        <is>
          <t>Yüksek bedel ödediler ve kendi tabelalarını seninkiyle değiştirdiler. Savaşı kaybederek kazandın.</t>
        </is>
      </c>
      <c r="J1077" s="6" t="inlineStr">
        <is>
          <t>'Biz de devrediyoruz' dediler. Sokakta karşılıklı iki 'Devren kiralık' tabelası.</t>
        </is>
      </c>
      <c r="K1077" s="6" t="inlineStr">
        <is>
          <t>Sattın. Ertesi gün senin eski fiyatlarınla açtılar. Müdavimin 'Hiçbir şey değişmemiş' dedi.</t>
        </is>
      </c>
      <c r="L1077" s="6" t="inlineStr"/>
      <c r="M1077" s="5" t="inlineStr"/>
      <c r="N1077" s="5" t="inlineStr"/>
      <c r="O1077" s="6" t="inlineStr"/>
      <c r="P1077" s="6" t="inlineStr"/>
      <c r="Q1077" s="5" t="inlineStr"/>
      <c r="R1077" s="5" t="inlineStr">
        <is>
          <t>esnaf-komsu-rakip</t>
        </is>
      </c>
      <c r="S1077" s="5" t="inlineStr"/>
      <c r="T1077" s="5" t="inlineStr"/>
      <c r="U1077" s="5" t="inlineStr"/>
      <c r="V1077" s="5" t="inlineStr"/>
      <c r="W1077" s="5" t="inlineStr"/>
      <c r="X1077" s="5" t="inlineStr"/>
      <c r="Y1077" s="5" t="inlineStr"/>
      <c r="Z1077" s="6" t="inlineStr"/>
    </row>
    <row r="1078">
      <c r="A1078" s="5" t="inlineStr">
        <is>
          <t>me-dukkani-devret</t>
        </is>
      </c>
      <c r="B1078" s="5" t="n">
        <v>4</v>
      </c>
      <c r="C1078" s="6" t="inlineStr">
        <is>
          <t>Çocuğuna bırak</t>
        </is>
      </c>
      <c r="D1078" s="5" t="inlineStr">
        <is>
          <t>Çene</t>
        </is>
      </c>
      <c r="E1078" s="5" t="inlineStr">
        <is>
          <t>Orta</t>
        </is>
      </c>
      <c r="F1078" s="5" t="inlineStr"/>
      <c r="G1078" s="6" t="inlineStr"/>
      <c r="H1078" s="6" t="inlineStr">
        <is>
          <t>Çocuğun dükkânı devraldı. İlk işi pos cihazını yenilemek, ikincisi seni 'danışman' yapmak oldu.</t>
        </is>
      </c>
      <c r="I1078" s="6" t="inlineStr">
        <is>
          <t>Çocuğun dükkânı internete taşıdı, ciroyu ikiye katladı ve eski defterini çerçeveletip duvara astı.</t>
        </is>
      </c>
      <c r="J1078" s="6" t="inlineStr">
        <is>
          <t>'Uzaktan çalışıyorum' dedi. Dükkânın uzaktan çalışma modeli yok.</t>
        </is>
      </c>
      <c r="K1078" s="6" t="inlineStr">
        <is>
          <t>Kabul etti; ilk hafta ürünlerin yarısını 'minimalizm' diye raftan kaldırdı. Dükkân bir galeriye döndü.</t>
        </is>
      </c>
      <c r="L1078" s="6" t="inlineStr"/>
      <c r="M1078" s="5" t="inlineStr"/>
      <c r="N1078" s="5" t="inlineStr"/>
      <c r="O1078" s="6" t="inlineStr"/>
      <c r="P1078" s="6" t="inlineStr"/>
      <c r="Q1078" s="5" t="inlineStr"/>
      <c r="R1078" s="5" t="inlineStr">
        <is>
          <t>cocuklu</t>
        </is>
      </c>
      <c r="S1078" s="5" t="inlineStr"/>
      <c r="T1078" s="5" t="inlineStr"/>
      <c r="U1078" s="5" t="inlineStr"/>
      <c r="V1078" s="5" t="inlineStr"/>
      <c r="W1078" s="5" t="inlineStr"/>
      <c r="X1078" s="5" t="inlineStr"/>
      <c r="Y1078" s="5" t="inlineStr"/>
      <c r="Z1078" s="6" t="inlineStr"/>
    </row>
    <row r="1079">
      <c r="A1079" s="5" t="inlineStr">
        <is>
          <t>b9-tavla-finali</t>
        </is>
      </c>
      <c r="B1079" s="5" t="n">
        <v>1</v>
      </c>
      <c r="C1079" s="6" t="inlineStr">
        <is>
          <t>Zarı at</t>
        </is>
      </c>
      <c r="D1079" s="5" t="inlineStr">
        <is>
          <t>Cesaret</t>
        </is>
      </c>
      <c r="E1079" s="5" t="inlineStr">
        <is>
          <t>Orta</t>
        </is>
      </c>
      <c r="F1079" s="5" t="inlineStr"/>
      <c r="G1079" s="6" t="inlineStr"/>
      <c r="H1079" s="6" t="inlineStr">
        <is>
          <t>Düşeş attın. Kahvehane alkışladı. Tebeşir ile adın büyük harfle yazıldı.</t>
        </is>
      </c>
      <c r="I1079" s="6" t="inlineStr">
        <is>
          <t>Düşeş attın ve rakip ayağa kalktı, seni kutladı. Kahvehane sahibi sana ömür boyu bedava çay ilan etti.</t>
        </is>
      </c>
      <c r="J1079" s="6" t="inlineStr">
        <is>
          <t>Bir-iki attın. Rakip gülümsedi. Sen de gülümsedin. Kahvehane gülümsemeyi tartıştı.</t>
        </is>
      </c>
      <c r="K1079" s="6" t="inlineStr">
        <is>
          <t>Zar masadan fırladı ve bir çay bardağının içine düştü. Sayılmadı. Çay ise içildi. Kimse fark etmedi.</t>
        </is>
      </c>
      <c r="L1079" s="6" t="inlineStr">
        <is>
          <t>Beş-dört attın. Yeterli ama heyecansız. Kahvehane sessizce alkışladı.</t>
        </is>
      </c>
      <c r="M1079" s="5" t="inlineStr">
        <is>
          <t>timing</t>
        </is>
      </c>
      <c r="N1079" s="5" t="inlineStr">
        <is>
          <t>Son Zar</t>
        </is>
      </c>
      <c r="O1079" s="6" t="inlineStr">
        <is>
          <t>Zarı tam doğru anda bırak. Kırk kişi sessiz; senin elin titremiyor, çayın titriyor.</t>
        </is>
      </c>
      <c r="P1079" s="6" t="inlineStr"/>
      <c r="Q1079" s="5" t="inlineStr"/>
      <c r="R1079" s="5" t="inlineStr"/>
      <c r="S1079" s="5" t="inlineStr"/>
      <c r="T1079" s="5" t="inlineStr"/>
      <c r="U1079" s="5" t="inlineStr"/>
      <c r="V1079" s="5" t="inlineStr">
        <is>
          <t>tavla-sampiyonu</t>
        </is>
      </c>
      <c r="W1079" s="5" t="inlineStr"/>
      <c r="X1079" s="5" t="inlineStr"/>
      <c r="Y1079" s="5" t="inlineStr"/>
      <c r="Z1079" s="6" t="inlineStr"/>
    </row>
    <row r="1080">
      <c r="A1080" s="5" t="inlineStr">
        <is>
          <t>b9-tavla-finali</t>
        </is>
      </c>
      <c r="B1080" s="5" t="n">
        <v>2</v>
      </c>
      <c r="C1080" s="6" t="inlineStr">
        <is>
          <t>Sessizce hamle yap</t>
        </is>
      </c>
      <c r="D1080" s="5" t="inlineStr"/>
      <c r="E1080" s="5" t="inlineStr"/>
      <c r="F1080" s="5" t="inlineStr">
        <is>
          <t>Dayanıklılık +1</t>
        </is>
      </c>
      <c r="G1080" s="6" t="inlineStr">
        <is>
          <t>Sessizce oynadın. Kazanmadın, kaybetmedin; final ertelendi. Kahvehane sahibi televizyonu tekrar açtı.</t>
        </is>
      </c>
      <c r="H1080" s="6" t="inlineStr"/>
      <c r="I1080" s="6" t="inlineStr"/>
      <c r="J1080" s="6" t="inlineStr"/>
      <c r="K1080" s="6" t="inlineStr"/>
      <c r="L1080" s="6" t="inlineStr"/>
      <c r="M1080" s="5" t="inlineStr"/>
      <c r="N1080" s="5" t="inlineStr"/>
      <c r="O1080" s="6" t="inlineStr"/>
      <c r="P1080" s="6" t="inlineStr"/>
      <c r="Q1080" s="5" t="inlineStr"/>
      <c r="R1080" s="5" t="inlineStr"/>
      <c r="S1080" s="5" t="inlineStr"/>
      <c r="T1080" s="5" t="inlineStr"/>
      <c r="U1080" s="5" t="inlineStr"/>
      <c r="V1080" s="5" t="inlineStr"/>
      <c r="W1080" s="5" t="inlineStr"/>
      <c r="X1080" s="5" t="inlineStr"/>
      <c r="Y1080" s="5" t="inlineStr"/>
      <c r="Z1080" s="6" t="inlineStr"/>
    </row>
    <row r="1081">
      <c r="A1081" s="5" t="inlineStr">
        <is>
          <t>b9-tavla-finali</t>
        </is>
      </c>
      <c r="B1081" s="5" t="n">
        <v>3</v>
      </c>
      <c r="C1081" s="6" t="inlineStr">
        <is>
          <t>Tavla Kurdu hamlesini yap</t>
        </is>
      </c>
      <c r="D1081" s="5" t="inlineStr">
        <is>
          <t>Kurnazlık</t>
        </is>
      </c>
      <c r="E1081" s="5" t="inlineStr">
        <is>
          <t>Zor</t>
        </is>
      </c>
      <c r="F1081" s="5" t="inlineStr"/>
      <c r="G1081" s="6" t="inlineStr"/>
      <c r="H1081" s="6" t="inlineStr">
        <is>
          <t>Rakibin pullarını üç hamlede bloke ettin. Kahvehane seni 'Kurt' diye çağırmaya başladı.</t>
        </is>
      </c>
      <c r="I1081" s="6" t="inlineStr">
        <is>
          <t>Hamlen öyle ustaydı ki rakip pulları toplayıp tebrik etti. Şampiyonluk kupası bir çay bardağı; altın yaldızlı.</t>
        </is>
      </c>
      <c r="J1081" s="6" t="inlineStr">
        <is>
          <t>Hamleyi yaptın ama bir pul yanlış yerdeydi. Kurt, kuzu kılığına girdi.</t>
        </is>
      </c>
      <c r="K1081" s="6" t="inlineStr">
        <is>
          <t>Hamleyi yaparken masayı devirdin. Kırk kişi çayını senin yüzünden kaybetti. Kahvehane seni ikinci lige düşürdü.</t>
        </is>
      </c>
      <c r="L1081" s="6" t="inlineStr"/>
      <c r="M1081" s="5" t="inlineStr"/>
      <c r="N1081" s="5" t="inlineStr"/>
      <c r="O1081" s="6" t="inlineStr"/>
      <c r="P1081" s="6" t="inlineStr"/>
      <c r="Q1081" s="5" t="inlineStr">
        <is>
          <t>Tavla Kurdu</t>
        </is>
      </c>
      <c r="R1081" s="5" t="inlineStr"/>
      <c r="S1081" s="5" t="inlineStr"/>
      <c r="T1081" s="5" t="inlineStr"/>
      <c r="U1081" s="5" t="inlineStr"/>
      <c r="V1081" s="5" t="inlineStr"/>
      <c r="W1081" s="5" t="inlineStr"/>
      <c r="X1081" s="5" t="inlineStr"/>
      <c r="Y1081" s="5" t="n">
        <v>4</v>
      </c>
      <c r="Z1081" s="6" t="inlineStr">
        <is>
          <t>Kahvehane tavla liginin finalinde, zafer hamlesini yaparken. Pullar hâlâ masada, hamle sayıldı.</t>
        </is>
      </c>
    </row>
    <row r="1082">
      <c r="A1082" s="5" t="inlineStr">
        <is>
          <t>b9-torunun-tableti</t>
        </is>
      </c>
      <c r="B1082" s="5" t="n">
        <v>1</v>
      </c>
      <c r="C1082" s="6" t="inlineStr">
        <is>
          <t>Kapat, aç</t>
        </is>
      </c>
      <c r="D1082" s="5" t="inlineStr"/>
      <c r="E1082" s="5" t="inlineStr"/>
      <c r="F1082" s="5" t="inlineStr">
        <is>
          <t>Akıl +1</t>
        </is>
      </c>
      <c r="G1082" s="6" t="inlineStr">
        <is>
          <t>Kapattın, açtın. Tablet çalıştı. Torun seni bilgisayar dahisi sanıyor. Sen de biraz öyle.</t>
        </is>
      </c>
      <c r="H1082" s="6" t="inlineStr"/>
      <c r="I1082" s="6" t="inlineStr"/>
      <c r="J1082" s="6" t="inlineStr"/>
      <c r="K1082" s="6" t="inlineStr"/>
      <c r="L1082" s="6" t="inlineStr"/>
      <c r="M1082" s="5" t="inlineStr"/>
      <c r="N1082" s="5" t="inlineStr"/>
      <c r="O1082" s="6" t="inlineStr"/>
      <c r="P1082" s="6" t="inlineStr"/>
      <c r="Q1082" s="5" t="inlineStr"/>
      <c r="R1082" s="5" t="inlineStr"/>
      <c r="S1082" s="5" t="inlineStr"/>
      <c r="T1082" s="5" t="inlineStr"/>
      <c r="U1082" s="5" t="inlineStr"/>
      <c r="V1082" s="5" t="inlineStr"/>
      <c r="W1082" s="5" t="inlineStr"/>
      <c r="X1082" s="5" t="inlineStr"/>
      <c r="Y1082" s="5" t="inlineStr"/>
      <c r="Z1082" s="6" t="inlineStr"/>
    </row>
    <row r="1083">
      <c r="A1083" s="5" t="inlineStr">
        <is>
          <t>b9-torunun-tableti</t>
        </is>
      </c>
      <c r="B1083" s="5" t="n">
        <v>2</v>
      </c>
      <c r="C1083" s="6" t="inlineStr">
        <is>
          <t>Oyunu sen oyna</t>
        </is>
      </c>
      <c r="D1083" s="5" t="inlineStr">
        <is>
          <t>Dayanıklılık</t>
        </is>
      </c>
      <c r="E1083" s="5" t="inlineStr">
        <is>
          <t>Orta</t>
        </is>
      </c>
      <c r="F1083" s="5" t="inlineStr"/>
      <c r="G1083" s="6" t="inlineStr"/>
      <c r="H1083" s="6" t="inlineStr">
        <is>
          <t>Oyunu oynadın ve üçüncü seviyeye geçtin. Torun şifreyi değil, seni istiyor artık.</t>
        </is>
      </c>
      <c r="I1083" s="6" t="inlineStr">
        <is>
          <t>Oyunda torununun rekorunu kırdın. Torun kıskandı. Aile grubunda 'Uzman' unvanı verildi.</t>
        </is>
      </c>
      <c r="J1083" s="6" t="inlineStr">
        <is>
          <t>Oyunu oynadın ve üç saat sonra kafayı kaldırdın. Tablet hâlâ bozuk; sen bağımlı.</t>
        </is>
      </c>
      <c r="K1083" s="6" t="inlineStr">
        <is>
          <t>Oyunu oynarken tablette bir satın alma yaptın. Torunun oyunu artık altın rengi ama aile bütçesi değil.</t>
        </is>
      </c>
      <c r="L1083" s="6" t="inlineStr"/>
      <c r="M1083" s="5" t="inlineStr"/>
      <c r="N1083" s="5" t="inlineStr"/>
      <c r="O1083" s="6" t="inlineStr"/>
      <c r="P1083" s="6" t="inlineStr"/>
      <c r="Q1083" s="5" t="inlineStr">
        <is>
          <t>Teknoloji Merakı</t>
        </is>
      </c>
      <c r="R1083" s="5" t="inlineStr"/>
      <c r="S1083" s="5" t="inlineStr"/>
      <c r="T1083" s="5" t="inlineStr"/>
      <c r="U1083" s="5" t="inlineStr"/>
      <c r="V1083" s="5" t="inlineStr"/>
      <c r="W1083" s="5" t="inlineStr"/>
      <c r="X1083" s="5" t="inlineStr"/>
      <c r="Y1083" s="5" t="inlineStr"/>
      <c r="Z1083" s="6" t="inlineStr"/>
    </row>
    <row r="1084">
      <c r="A1084" s="5" t="inlineStr">
        <is>
          <t>b9-torunun-tableti</t>
        </is>
      </c>
      <c r="B1084" s="5" t="n">
        <v>3</v>
      </c>
      <c r="C1084" s="6" t="inlineStr">
        <is>
          <t>Çocuğunu ara</t>
        </is>
      </c>
      <c r="D1084" s="5" t="inlineStr">
        <is>
          <t>Çene</t>
        </is>
      </c>
      <c r="E1084" s="5" t="inlineStr">
        <is>
          <t>Kolay</t>
        </is>
      </c>
      <c r="F1084" s="5" t="inlineStr"/>
      <c r="G1084" s="6" t="inlineStr"/>
      <c r="H1084" s="6" t="inlineStr">
        <is>
          <t>Çocuğun telefonla tamir etti. Sen sadece tuşlara bastın. Torun ise seni hâlâ kahraman sanıyor.</t>
        </is>
      </c>
      <c r="I1084" s="6" t="inlineStr">
        <is>
          <t>Çocuğun uzaktan bağlandı, tableti tamir etti ve bir de senin telefonunu güncelledi. Çift kazanç.</t>
        </is>
      </c>
      <c r="J1084" s="6" t="inlineStr">
        <is>
          <t>Çocuğunu aradın; toplantıdaymış. Mesaj attı: 'Kapat, aç.' Zaten bunu denemiştin.</t>
        </is>
      </c>
      <c r="K1084" s="6" t="inlineStr">
        <is>
          <t>Çocuğunu aradın; torun o sırada tablette senin sesini kayıt altına aldı. Artık bir oyun karakterinin sesi sensin.</t>
        </is>
      </c>
      <c r="L1084" s="6" t="inlineStr"/>
      <c r="M1084" s="5" t="inlineStr"/>
      <c r="N1084" s="5" t="inlineStr"/>
      <c r="O1084" s="6" t="inlineStr"/>
      <c r="P1084" s="6" t="inlineStr"/>
      <c r="Q1084" s="5" t="inlineStr"/>
      <c r="R1084" s="5" t="inlineStr"/>
      <c r="S1084" s="5" t="inlineStr"/>
      <c r="T1084" s="5" t="inlineStr"/>
      <c r="U1084" s="5" t="inlineStr"/>
      <c r="V1084" s="5" t="inlineStr"/>
      <c r="W1084" s="5" t="inlineStr"/>
      <c r="X1084" s="5" t="inlineStr"/>
      <c r="Y1084" s="5" t="inlineStr"/>
      <c r="Z1084" s="6" t="inlineStr"/>
    </row>
    <row r="1085">
      <c r="A1085" s="5" t="inlineStr">
        <is>
          <t>mm-eski-daire</t>
        </is>
      </c>
      <c r="B1085" s="5" t="n">
        <v>1</v>
      </c>
      <c r="C1085" s="6" t="inlineStr">
        <is>
          <t>Yarın gel</t>
        </is>
      </c>
      <c r="D1085" s="5" t="inlineStr"/>
      <c r="E1085" s="5" t="inlineStr"/>
      <c r="F1085" s="5" t="inlineStr">
        <is>
          <t>Dayanıklılık +1, Vicdan +1</t>
        </is>
      </c>
      <c r="G1085" s="6" t="inlineStr">
        <is>
          <t>Ertesi gün geldin, işin bitti. Otuz yıl sistemi savundun; sistem de seni bir gün bekletti. Adil.</t>
        </is>
      </c>
      <c r="H1085" s="6" t="inlineStr"/>
      <c r="I1085" s="6" t="inlineStr"/>
      <c r="J1085" s="6" t="inlineStr"/>
      <c r="K1085" s="6" t="inlineStr"/>
      <c r="L1085" s="6" t="inlineStr"/>
      <c r="M1085" s="5" t="inlineStr"/>
      <c r="N1085" s="5" t="inlineStr"/>
      <c r="O1085" s="6" t="inlineStr"/>
      <c r="P1085" s="6" t="inlineStr"/>
      <c r="Q1085" s="5" t="inlineStr"/>
      <c r="R1085" s="5" t="inlineStr"/>
      <c r="S1085" s="5" t="inlineStr"/>
      <c r="T1085" s="5" t="inlineStr"/>
      <c r="U1085" s="5" t="inlineStr"/>
      <c r="V1085" s="5" t="inlineStr"/>
      <c r="W1085" s="5" t="inlineStr"/>
      <c r="X1085" s="5" t="inlineStr"/>
      <c r="Y1085" s="5" t="inlineStr"/>
      <c r="Z1085" s="6" t="inlineStr"/>
    </row>
    <row r="1086">
      <c r="A1086" s="5" t="inlineStr">
        <is>
          <t>mm-eski-daire</t>
        </is>
      </c>
      <c r="B1086" s="5" t="n">
        <v>2</v>
      </c>
      <c r="C1086" s="6" t="inlineStr">
        <is>
          <t>Eski masana geç, işini kendin yap</t>
        </is>
      </c>
      <c r="D1086" s="5" t="inlineStr">
        <is>
          <t>Pişkinlik</t>
        </is>
      </c>
      <c r="E1086" s="5" t="inlineStr">
        <is>
          <t>Zor</t>
        </is>
      </c>
      <c r="F1086" s="5" t="inlineStr"/>
      <c r="G1086" s="6" t="inlineStr"/>
      <c r="H1086" s="6" t="inlineStr">
        <is>
          <t>Kendi dosyanı kendin imzaladın. Kimse itiraz etmedi; herkes hâlâ senden çekiniyor.</t>
        </is>
      </c>
      <c r="I1086" s="6" t="inlineStr">
        <is>
          <t>Kendi işini ve sıradaki üç vatandaşın işini bitirdin. Kurum sana gönüllü danışmanlık teklif etti.</t>
        </is>
      </c>
      <c r="J1086" s="6" t="inlineStr">
        <is>
          <t>Şifren iptal edilmiş. Sistem seni tanımadı; kahve makinesi tanıdı.</t>
        </is>
      </c>
      <c r="K1086" s="6" t="inlineStr">
        <is>
          <t>Güvenlik seni nazikçe dışarı çıkardı. Otuz yıllık hizmet, üç dakikalık bir tutanakla kapandı.</t>
        </is>
      </c>
      <c r="L1086" s="6" t="inlineStr"/>
      <c r="M1086" s="5" t="inlineStr"/>
      <c r="N1086" s="5" t="inlineStr"/>
      <c r="O1086" s="6" t="inlineStr"/>
      <c r="P1086" s="6" t="inlineStr"/>
      <c r="Q1086" s="5" t="inlineStr"/>
      <c r="R1086" s="5" t="inlineStr"/>
      <c r="S1086" s="5" t="inlineStr"/>
      <c r="T1086" s="5" t="inlineStr"/>
      <c r="U1086" s="5" t="inlineStr"/>
      <c r="V1086" s="5" t="inlineStr"/>
      <c r="W1086" s="5" t="inlineStr"/>
      <c r="X1086" s="5" t="inlineStr"/>
      <c r="Y1086" s="5" t="inlineStr"/>
      <c r="Z1086" s="6" t="inlineStr"/>
    </row>
    <row r="1087">
      <c r="A1087" s="5" t="inlineStr">
        <is>
          <t>mm-eski-daire</t>
        </is>
      </c>
      <c r="B1087" s="5" t="n">
        <v>3</v>
      </c>
      <c r="C1087" s="6" t="inlineStr">
        <is>
          <t>Dairenin karşısına kafeni aç</t>
        </is>
      </c>
      <c r="D1087" s="5" t="inlineStr">
        <is>
          <t>Çene</t>
        </is>
      </c>
      <c r="E1087" s="5" t="inlineStr">
        <is>
          <t>Orta</t>
        </is>
      </c>
      <c r="F1087" s="5" t="inlineStr"/>
      <c r="G1087" s="6" t="inlineStr"/>
      <c r="H1087" s="6" t="inlineStr">
        <is>
          <t>Memurlara indirim var, 'Yarın gelin' diyenlere çay bedava.</t>
        </is>
      </c>
      <c r="I1087" s="6" t="inlineStr">
        <is>
          <t>Kafen dairenin gayriresmî toplantı salonu oldu. Önemli kararlar artık senin masalarında alınıyor.</t>
        </is>
      </c>
      <c r="J1087" s="6" t="inlineStr">
        <is>
          <t>Mesai 17.00'de bitiyor; müşteriler 17.01'de geliyor, 17.30'da gidiyor. Ciron yarım saatlik.</t>
        </is>
      </c>
      <c r="K1087" s="6" t="inlineStr">
        <is>
          <t>İlk müşterin zabıta oldu. Tabelanın boyu, kaldırım ve tentenin gölgesi ölçüldü. Gölge yönetmeliğe uymuyordu.</t>
        </is>
      </c>
      <c r="L1087" s="6" t="inlineStr"/>
      <c r="M1087" s="5" t="inlineStr"/>
      <c r="N1087" s="5" t="inlineStr"/>
      <c r="O1087" s="6" t="inlineStr"/>
      <c r="P1087" s="6" t="inlineStr"/>
      <c r="Q1087" s="5" t="inlineStr"/>
      <c r="R1087" s="5" t="inlineStr">
        <is>
          <t>memur-ikinci-is</t>
        </is>
      </c>
      <c r="S1087" s="5" t="inlineStr"/>
      <c r="T1087" s="5" t="inlineStr"/>
      <c r="U1087" s="5" t="inlineStr"/>
      <c r="V1087" s="5" t="inlineStr"/>
      <c r="W1087" s="5" t="inlineStr"/>
      <c r="X1087" s="5" t="inlineStr"/>
      <c r="Y1087" s="5" t="inlineStr"/>
      <c r="Z1087" s="6" t="inlineStr"/>
    </row>
    <row r="1088">
      <c r="A1088" s="5" t="inlineStr">
        <is>
          <t>mm-eski-daire</t>
        </is>
      </c>
      <c r="B1088" s="5" t="n">
        <v>4</v>
      </c>
      <c r="C1088" s="6" t="inlineStr">
        <is>
          <t>Genç memura bir ipucu fısılda</t>
        </is>
      </c>
      <c r="D1088" s="5" t="inlineStr">
        <is>
          <t>Sosyal Radar</t>
        </is>
      </c>
      <c r="E1088" s="5" t="inlineStr">
        <is>
          <t>Kolay</t>
        </is>
      </c>
      <c r="F1088" s="5" t="inlineStr"/>
      <c r="G1088" s="6" t="inlineStr"/>
      <c r="H1088" s="6" t="inlineStr">
        <is>
          <t>'Üçüncü çekmecede kaşe var' dedin. İşin beş dakikada bitti.</t>
        </is>
      </c>
      <c r="I1088" s="6" t="inlineStr">
        <is>
          <t>İpucun o kadar işe yaradı ki genç memur senin telefon numaranı masasına yapıştırdı: 'Acil durumlar için.'</t>
        </is>
      </c>
      <c r="J1088" s="6" t="inlineStr">
        <is>
          <t>Genç memur 'Artık kaşe kullanmıyoruz' dedi. Üçüncü çekmece boştu.</t>
        </is>
      </c>
      <c r="K1088" s="6" t="inlineStr">
        <is>
          <t>Fısıltın yanlış anlaşıldı. Genç memur seni şikâyet etti: 'Görevliyi etkilemeye çalışan vatandaş.'</t>
        </is>
      </c>
      <c r="L1088" s="6" t="inlineStr"/>
      <c r="M1088" s="5" t="inlineStr"/>
      <c r="N1088" s="5" t="inlineStr"/>
      <c r="O1088" s="6" t="inlineStr"/>
      <c r="P1088" s="6" t="inlineStr"/>
      <c r="Q1088" s="5" t="inlineStr"/>
      <c r="R1088" s="5" t="inlineStr"/>
      <c r="S1088" s="5" t="inlineStr"/>
      <c r="T1088" s="5" t="inlineStr"/>
      <c r="U1088" s="5" t="inlineStr"/>
      <c r="V1088" s="5" t="inlineStr"/>
      <c r="W1088" s="5" t="inlineStr"/>
      <c r="X1088" s="5" t="inlineStr"/>
      <c r="Y1088" s="5" t="inlineStr"/>
      <c r="Z1088" s="6" t="inlineStr"/>
    </row>
    <row r="1089">
      <c r="A1089" s="5" t="inlineStr">
        <is>
          <t>b9-yazlik-komsulari</t>
        </is>
      </c>
      <c r="B1089" s="5" t="n">
        <v>1</v>
      </c>
      <c r="C1089" s="6" t="inlineStr">
        <is>
          <t>Hortumu kapat</t>
        </is>
      </c>
      <c r="D1089" s="5" t="inlineStr"/>
      <c r="E1089" s="5" t="inlineStr"/>
      <c r="F1089" s="5" t="inlineStr">
        <is>
          <t>Vicdan +1</t>
        </is>
      </c>
      <c r="G1089" s="6" t="inlineStr">
        <is>
          <t>Hortumu kapattın. Çiçeklerin kurudu. Komşunun çiçekleri ise senin bahçene sarktı.</t>
        </is>
      </c>
      <c r="H1089" s="6" t="inlineStr"/>
      <c r="I1089" s="6" t="inlineStr"/>
      <c r="J1089" s="6" t="inlineStr"/>
      <c r="K1089" s="6" t="inlineStr"/>
      <c r="L1089" s="6" t="inlineStr"/>
      <c r="M1089" s="5" t="inlineStr"/>
      <c r="N1089" s="5" t="inlineStr"/>
      <c r="O1089" s="6" t="inlineStr"/>
      <c r="P1089" s="6" t="inlineStr"/>
      <c r="Q1089" s="5" t="inlineStr"/>
      <c r="R1089" s="5" t="inlineStr"/>
      <c r="S1089" s="5" t="inlineStr"/>
      <c r="T1089" s="5" t="inlineStr"/>
      <c r="U1089" s="5" t="inlineStr"/>
      <c r="V1089" s="5" t="inlineStr"/>
      <c r="W1089" s="5" t="inlineStr"/>
      <c r="X1089" s="5" t="inlineStr"/>
      <c r="Y1089" s="5" t="inlineStr"/>
      <c r="Z1089" s="6" t="inlineStr"/>
    </row>
    <row r="1090">
      <c r="A1090" s="5" t="inlineStr">
        <is>
          <t>b9-yazlik-komsulari</t>
        </is>
      </c>
      <c r="B1090" s="5" t="n">
        <v>2</v>
      </c>
      <c r="C1090" s="6" t="inlineStr">
        <is>
          <t>Tartışmayı akşam yemeğine taşı</t>
        </is>
      </c>
      <c r="D1090" s="5" t="inlineStr">
        <is>
          <t>Çene</t>
        </is>
      </c>
      <c r="E1090" s="5" t="inlineStr">
        <is>
          <t>Orta</t>
        </is>
      </c>
      <c r="F1090" s="5" t="inlineStr"/>
      <c r="G1090" s="6" t="inlineStr"/>
      <c r="H1090" s="6" t="inlineStr">
        <is>
          <t>Mangal yaktın, herkesi davet ettin. Hortum meselesi köfteyle çözüldü.</t>
        </is>
      </c>
      <c r="I1090" s="6" t="inlineStr">
        <is>
          <t>Yemek o kadar güzeldi ki site yöneticisi hortum yönetmeliğini sana yazdırdı. Kanun senin.</t>
        </is>
      </c>
      <c r="J1090" s="6" t="inlineStr">
        <is>
          <t>Herkesi davet ettin; mangal tüttü, duman yan komşunun çamaşırlarına gitti. Konu hortumdan çamaşıra geçti.</t>
        </is>
      </c>
      <c r="K1090" s="6" t="inlineStr">
        <is>
          <t>Yemeğe herkes geldi ve tartışmayı yemekte sürdürdü. Tatlı servis edilmeden site toplantısına dönüştü.</t>
        </is>
      </c>
      <c r="L1090" s="6" t="inlineStr"/>
      <c r="M1090" s="5" t="inlineStr"/>
      <c r="N1090" s="5" t="inlineStr"/>
      <c r="O1090" s="6" t="inlineStr"/>
      <c r="P1090" s="6" t="inlineStr"/>
      <c r="Q1090" s="5" t="inlineStr"/>
      <c r="R1090" s="5" t="inlineStr"/>
      <c r="S1090" s="5" t="inlineStr"/>
      <c r="T1090" s="5" t="inlineStr"/>
      <c r="U1090" s="5" t="inlineStr"/>
      <c r="V1090" s="5" t="inlineStr"/>
      <c r="W1090" s="5" t="inlineStr"/>
      <c r="X1090" s="5" t="inlineStr"/>
      <c r="Y1090" s="5" t="inlineStr"/>
      <c r="Z1090" s="6" t="inlineStr"/>
    </row>
    <row r="1091">
      <c r="A1091" s="5" t="inlineStr">
        <is>
          <t>b9-yazlik-komsulari</t>
        </is>
      </c>
      <c r="B1091" s="5" t="n">
        <v>3</v>
      </c>
      <c r="C1091" s="6" t="inlineStr">
        <is>
          <t>Site yöneticisinin kayınbiraderi olduğunu hatırlat</t>
        </is>
      </c>
      <c r="D1091" s="5" t="inlineStr">
        <is>
          <t>Sosyal Radar</t>
        </is>
      </c>
      <c r="E1091" s="5" t="inlineStr">
        <is>
          <t>Zor</t>
        </is>
      </c>
      <c r="F1091" s="5" t="inlineStr"/>
      <c r="G1091" s="6" t="inlineStr"/>
      <c r="H1091" s="6" t="inlineStr">
        <is>
          <t>Hatırlattın. Yönetici kızardı, komşu sessizleşti. Hortumun serbest bırakıldı.</t>
        </is>
      </c>
      <c r="I1091" s="6" t="inlineStr">
        <is>
          <t>Hatırlattın ve siteye 'akrabalık beyannamesi' zorunluluğu getirildi. Ertesi sezon herkes sana selam veriyor.</t>
        </is>
      </c>
      <c r="J1091" s="6" t="inlineStr">
        <is>
          <t>Hatırlattın; yönetici 'Evet, biliyorsunuz işte' dedi. Bilgi zaten herkesin elindeymiş.</t>
        </is>
      </c>
      <c r="K1091" s="6" t="inlineStr">
        <is>
          <t>Hatırlattın; asıl kayınbiraderin üst komşu olduğu ortaya çıktı. Artık iki komşuyla birden aran bozuk.</t>
        </is>
      </c>
      <c r="L1091" s="6" t="inlineStr"/>
      <c r="M1091" s="5" t="inlineStr"/>
      <c r="N1091" s="5" t="inlineStr"/>
      <c r="O1091" s="6" t="inlineStr"/>
      <c r="P1091" s="6" t="inlineStr"/>
      <c r="Q1091" s="5" t="inlineStr">
        <is>
          <t>Odayı Okur</t>
        </is>
      </c>
      <c r="R1091" s="5" t="inlineStr"/>
      <c r="S1091" s="5" t="inlineStr"/>
      <c r="T1091" s="5" t="inlineStr"/>
      <c r="U1091" s="5" t="inlineStr"/>
      <c r="V1091" s="5" t="inlineStr"/>
      <c r="W1091" s="5" t="inlineStr"/>
      <c r="X1091" s="5" t="inlineStr"/>
      <c r="Y1091" s="5" t="inlineStr"/>
      <c r="Z1091" s="6" t="inlineStr"/>
    </row>
    <row r="1092">
      <c r="A1092" s="5" t="inlineStr">
        <is>
          <t>b9-ikinci-kariyer</t>
        </is>
      </c>
      <c r="B1092" s="5" t="n">
        <v>1</v>
      </c>
      <c r="C1092" s="6" t="inlineStr">
        <is>
          <t>Kabul et</t>
        </is>
      </c>
      <c r="D1092" s="5" t="inlineStr"/>
      <c r="E1092" s="5" t="inlineStr"/>
      <c r="F1092" s="5" t="inlineStr">
        <is>
          <t>Dayanıklılık +2</t>
        </is>
      </c>
      <c r="G1092" s="6" t="inlineStr">
        <is>
          <t>Kabul ettin. Emeklilik belgen çekmecede, iş kartın cebinde. Hangisinin daha geçerli olduğu belirsiz.</t>
        </is>
      </c>
      <c r="H1092" s="6" t="inlineStr"/>
      <c r="I1092" s="6" t="inlineStr"/>
      <c r="J1092" s="6" t="inlineStr"/>
      <c r="K1092" s="6" t="inlineStr"/>
      <c r="L1092" s="6" t="inlineStr"/>
      <c r="M1092" s="5" t="inlineStr"/>
      <c r="N1092" s="5" t="inlineStr"/>
      <c r="O1092" s="6" t="inlineStr"/>
      <c r="P1092" s="6" t="inlineStr"/>
      <c r="Q1092" s="5" t="inlineStr"/>
      <c r="R1092" s="5" t="inlineStr"/>
      <c r="S1092" s="5" t="inlineStr"/>
      <c r="T1092" s="5" t="inlineStr"/>
      <c r="U1092" s="5" t="inlineStr"/>
      <c r="V1092" s="5" t="inlineStr"/>
      <c r="W1092" s="5" t="inlineStr"/>
      <c r="X1092" s="5" t="inlineStr"/>
      <c r="Y1092" s="5" t="inlineStr"/>
      <c r="Z1092" s="6" t="inlineStr"/>
    </row>
    <row r="1093">
      <c r="A1093" s="5" t="inlineStr">
        <is>
          <t>b9-ikinci-kariyer</t>
        </is>
      </c>
      <c r="B1093" s="5" t="n">
        <v>2</v>
      </c>
      <c r="C1093" s="6" t="inlineStr">
        <is>
          <t>Kendi işini aç</t>
        </is>
      </c>
      <c r="D1093" s="5" t="inlineStr">
        <is>
          <t>Cesaret</t>
        </is>
      </c>
      <c r="E1093" s="5" t="inlineStr">
        <is>
          <t>Zor</t>
        </is>
      </c>
      <c r="F1093" s="5" t="inlineStr"/>
      <c r="G1093" s="6" t="inlineStr"/>
      <c r="H1093" s="6" t="inlineStr">
        <is>
          <t>Kendi dükkânını açtın. Tabelaya 'Tecrübe' yazdın. Tecrübe satılmıyor ama müşteriler oturup konuşuyor.</t>
        </is>
      </c>
      <c r="I1093" s="6" t="inlineStr">
        <is>
          <t>Dükkân tuttu. Gençler sana iş başvurusu yapıyor. İlk sorun: 'Emekli olmayı düşünüyor musunuz?'</t>
        </is>
      </c>
      <c r="J1093" s="6" t="inlineStr">
        <is>
          <t>Dükkânı açtın, ilk ay tek müşteri geldi: eski iş yerindeki yöneticin. O da emekli olmuş.</t>
        </is>
      </c>
      <c r="K1093" s="6" t="inlineStr">
        <is>
          <t>Dükkânı açtın ama belediye ruhsatını unutmuşsun. Kapıda tabela değil, bir tutanak asılı.</t>
        </is>
      </c>
      <c r="L1093" s="6" t="inlineStr"/>
      <c r="M1093" s="5" t="inlineStr"/>
      <c r="N1093" s="5" t="inlineStr"/>
      <c r="O1093" s="6" t="inlineStr"/>
      <c r="P1093" s="6" t="inlineStr"/>
      <c r="Q1093" s="5" t="inlineStr">
        <is>
          <t>İş Modeli Kurar</t>
        </is>
      </c>
      <c r="R1093" s="5" t="inlineStr"/>
      <c r="S1093" s="5" t="inlineStr"/>
      <c r="T1093" s="5" t="inlineStr"/>
      <c r="U1093" s="5" t="inlineStr"/>
      <c r="V1093" s="5" t="inlineStr"/>
      <c r="W1093" s="5" t="inlineStr"/>
      <c r="X1093" s="5" t="inlineStr"/>
      <c r="Y1093" s="5" t="inlineStr"/>
      <c r="Z1093" s="6" t="inlineStr"/>
    </row>
    <row r="1094">
      <c r="A1094" s="5" t="inlineStr">
        <is>
          <t>b9-ikinci-kariyer</t>
        </is>
      </c>
      <c r="B1094" s="5" t="n">
        <v>3</v>
      </c>
      <c r="C1094" s="6" t="inlineStr">
        <is>
          <t>Eski mesleğine dön</t>
        </is>
      </c>
      <c r="D1094" s="5" t="inlineStr">
        <is>
          <t>Kurnazlık</t>
        </is>
      </c>
      <c r="E1094" s="5" t="inlineStr">
        <is>
          <t>Orta</t>
        </is>
      </c>
      <c r="F1094" s="5" t="inlineStr"/>
      <c r="G1094" s="6" t="inlineStr"/>
      <c r="H1094" s="6" t="inlineStr">
        <is>
          <t>Eski dükkânına döndün. Çırak sana 'Usta' dedi. Kendini hiç bu kadar önemli hissetmemiştin.</t>
        </is>
      </c>
      <c r="I1094" s="6" t="inlineStr">
        <is>
          <t>Döndün ve dükkânın cirosu arttı. Çırak sana kendi dükkânında danışmanlık teklif etti.</t>
        </is>
      </c>
      <c r="J1094" s="6" t="inlineStr">
        <is>
          <t>Döndün. Kasa artık dokunmatik. Kasayı çırak açıyor, sen çayı getiriyorsun.</t>
        </is>
      </c>
      <c r="K1094" s="6" t="inlineStr">
        <is>
          <t>Döndün ve eski müşterilerin seni tanımadı. Kendi dükkânında sana 'Buyrun, ne istemiştiniz?' dediler.</t>
        </is>
      </c>
      <c r="L1094" s="6" t="inlineStr"/>
      <c r="M1094" s="5" t="inlineStr"/>
      <c r="N1094" s="5" t="inlineStr"/>
      <c r="O1094" s="6" t="inlineStr"/>
      <c r="P1094" s="6" t="inlineStr"/>
      <c r="Q1094" s="5" t="inlineStr"/>
      <c r="R1094" s="5" t="inlineStr">
        <is>
          <t>meslek-esnaf</t>
        </is>
      </c>
      <c r="S1094" s="5" t="inlineStr"/>
      <c r="T1094" s="5" t="inlineStr"/>
      <c r="U1094" s="5" t="inlineStr"/>
      <c r="V1094" s="5" t="inlineStr"/>
      <c r="W1094" s="5" t="inlineStr"/>
      <c r="X1094" s="5" t="inlineStr"/>
      <c r="Y1094" s="5" t="inlineStr"/>
      <c r="Z1094" s="6" t="inlineStr"/>
    </row>
    <row r="1095">
      <c r="A1095" s="5" t="inlineStr">
        <is>
          <t>ms-son-perde</t>
        </is>
      </c>
      <c r="B1095" s="5" t="n">
        <v>1</v>
      </c>
      <c r="C1095" s="6" t="inlineStr">
        <is>
          <t>Sahneye çık, perdeyi tam zamanında indir</t>
        </is>
      </c>
      <c r="D1095" s="5" t="inlineStr">
        <is>
          <t>Dayanıklılık</t>
        </is>
      </c>
      <c r="E1095" s="5" t="inlineStr">
        <is>
          <t>Orta</t>
        </is>
      </c>
      <c r="F1095" s="5" t="inlineStr"/>
      <c r="G1095" s="6" t="inlineStr"/>
      <c r="H1095" s="6" t="inlineStr">
        <is>
          <t>Son perde tam zamanında indi. Salon ayağa kalktı. Kırk yılın ilk ayakta alkışı.</t>
        </is>
      </c>
      <c r="I1095" s="6" t="inlineStr">
        <is>
          <t>Perde indiğinde salon susmadı. Oyunun adı, sanat tarihi kitabına bir dipnot olarak geçti.</t>
        </is>
      </c>
      <c r="J1095" s="6" t="inlineStr">
        <is>
          <t>Perde biraz erken indi. Son cümle perde arkasında kaldı. Seyirci yine de alkışladı; sen duymadın.</t>
        </is>
      </c>
      <c r="K1095" s="6" t="inlineStr">
        <is>
          <t>Perde geç indi; seyirci iki kez alkışlayıp bekledi. Üçüncüsünde vestiyere gitti.</t>
        </is>
      </c>
      <c r="L1095" s="6" t="inlineStr">
        <is>
          <t>Perde bir saniye geç indi. Kimse fark etmedi. Sen fark ettin. Kırk yıldır olduğu gibi.</t>
        </is>
      </c>
      <c r="M1095" s="5" t="inlineStr">
        <is>
          <t>timing</t>
        </is>
      </c>
      <c r="N1095" s="5" t="inlineStr">
        <is>
          <t>Son Perde</t>
        </is>
      </c>
      <c r="O1095" s="6" t="inlineStr">
        <is>
          <t>İşareti yeşil alanda durdur. Perde tam o anda inecek.</t>
        </is>
      </c>
      <c r="P1095" s="6" t="inlineStr"/>
      <c r="Q1095" s="5" t="inlineStr"/>
      <c r="R1095" s="5" t="inlineStr"/>
      <c r="S1095" s="5" t="inlineStr"/>
      <c r="T1095" s="5" t="inlineStr"/>
      <c r="U1095" s="5" t="inlineStr"/>
      <c r="V1095" s="5" t="inlineStr"/>
      <c r="W1095" s="5" t="inlineStr"/>
      <c r="X1095" s="5" t="inlineStr"/>
      <c r="Y1095" s="5" t="inlineStr"/>
      <c r="Z1095" s="6" t="inlineStr"/>
    </row>
    <row r="1096">
      <c r="A1096" s="5" t="inlineStr">
        <is>
          <t>ms-son-perde</t>
        </is>
      </c>
      <c r="B1096" s="5" t="n">
        <v>2</v>
      </c>
      <c r="C1096" s="6" t="inlineStr">
        <is>
          <t>Sahneyi genç birine bırak</t>
        </is>
      </c>
      <c r="D1096" s="5" t="inlineStr"/>
      <c r="E1096" s="5" t="inlineStr"/>
      <c r="F1096" s="5" t="inlineStr">
        <is>
          <t>Vicdan +2</t>
        </is>
      </c>
      <c r="G1096" s="6" t="inlineStr">
        <is>
          <t>Son gösteriyi bir öğrencine bıraktın, seyirciler arasından izledin. Ücretini ona peşin ödedin.</t>
        </is>
      </c>
      <c r="H1096" s="6" t="inlineStr"/>
      <c r="I1096" s="6" t="inlineStr"/>
      <c r="J1096" s="6" t="inlineStr"/>
      <c r="K1096" s="6" t="inlineStr"/>
      <c r="L1096" s="6" t="inlineStr"/>
      <c r="M1096" s="5" t="inlineStr"/>
      <c r="N1096" s="5" t="inlineStr"/>
      <c r="O1096" s="6" t="inlineStr"/>
      <c r="P1096" s="6" t="inlineStr"/>
      <c r="Q1096" s="5" t="inlineStr"/>
      <c r="R1096" s="5" t="inlineStr"/>
      <c r="S1096" s="5" t="inlineStr"/>
      <c r="T1096" s="5" t="inlineStr"/>
      <c r="U1096" s="5" t="inlineStr"/>
      <c r="V1096" s="5" t="inlineStr"/>
      <c r="W1096" s="5" t="inlineStr"/>
      <c r="X1096" s="5" t="inlineStr"/>
      <c r="Y1096" s="5" t="inlineStr"/>
      <c r="Z1096" s="6" t="inlineStr"/>
    </row>
    <row r="1097">
      <c r="A1097" s="5" t="inlineStr">
        <is>
          <t>ms-son-perde</t>
        </is>
      </c>
      <c r="B1097" s="5" t="n">
        <v>3</v>
      </c>
      <c r="C1097" s="6" t="inlineStr">
        <is>
          <t>O eski viral performansı yeniden yap</t>
        </is>
      </c>
      <c r="D1097" s="5" t="inlineStr">
        <is>
          <t>Pişkinlik</t>
        </is>
      </c>
      <c r="E1097" s="5" t="inlineStr">
        <is>
          <t>Kolay</t>
        </is>
      </c>
      <c r="F1097" s="5" t="inlineStr"/>
      <c r="G1097" s="6" t="inlineStr"/>
      <c r="H1097" s="6" t="inlineStr">
        <is>
          <t>Salonun yarısı eski videoyu ezbere biliyordu. Birlikte yaptınız.</t>
        </is>
      </c>
      <c r="I1097" s="6" t="inlineStr">
        <is>
          <t>Aynı performansı otuz yıl sonra yaptın. Bu kez de viral oldun. Bu kez ücretliydi.</t>
        </is>
      </c>
      <c r="J1097" s="6" t="inlineStr">
        <is>
          <t>Performansı yaptın; gençler bunun bir akıma gönderme olduğunu sandı. Akım sendin.</t>
        </is>
      </c>
      <c r="K1097" s="6" t="inlineStr">
        <is>
          <t>Aynı yerde, aynı şekilde takıldın. Seyirci bunun bilinçli bir alıntı olduğunu düşündü.</t>
        </is>
      </c>
      <c r="L1097" s="6" t="inlineStr"/>
      <c r="M1097" s="5" t="inlineStr"/>
      <c r="N1097" s="5" t="inlineStr"/>
      <c r="O1097" s="6" t="inlineStr"/>
      <c r="P1097" s="6" t="inlineStr"/>
      <c r="Q1097" s="5" t="inlineStr"/>
      <c r="R1097" s="5" t="inlineStr">
        <is>
          <t>serbest-viral-oldu</t>
        </is>
      </c>
      <c r="S1097" s="5" t="inlineStr"/>
      <c r="T1097" s="5" t="inlineStr"/>
      <c r="U1097" s="5" t="inlineStr"/>
      <c r="V1097" s="5" t="inlineStr"/>
      <c r="W1097" s="5" t="inlineStr"/>
      <c r="X1097" s="5" t="inlineStr"/>
      <c r="Y1097" s="5" t="inlineStr"/>
      <c r="Z1097" s="6" t="inlineStr"/>
    </row>
    <row r="1098">
      <c r="A1098" s="5" t="inlineStr">
        <is>
          <t>b9-noter-miras</t>
        </is>
      </c>
      <c r="B1098" s="5" t="n">
        <v>1</v>
      </c>
      <c r="C1098" s="6" t="inlineStr">
        <is>
          <t>Her şeyi eşit böl</t>
        </is>
      </c>
      <c r="D1098" s="5" t="inlineStr"/>
      <c r="E1098" s="5" t="inlineStr"/>
      <c r="F1098" s="5" t="inlineStr">
        <is>
          <t>Vicdan +2</t>
        </is>
      </c>
      <c r="G1098" s="6" t="inlineStr">
        <is>
          <t>Her şeyi eşit böldün. Çocukların itiraz etmedi. Kendi aralarında ise ayrı bir dava açtılar.</t>
        </is>
      </c>
      <c r="H1098" s="6" t="inlineStr"/>
      <c r="I1098" s="6" t="inlineStr"/>
      <c r="J1098" s="6" t="inlineStr"/>
      <c r="K1098" s="6" t="inlineStr"/>
      <c r="L1098" s="6" t="inlineStr"/>
      <c r="M1098" s="5" t="inlineStr"/>
      <c r="N1098" s="5" t="inlineStr"/>
      <c r="O1098" s="6" t="inlineStr"/>
      <c r="P1098" s="6" t="inlineStr"/>
      <c r="Q1098" s="5" t="inlineStr"/>
      <c r="R1098" s="5" t="inlineStr"/>
      <c r="S1098" s="5" t="inlineStr"/>
      <c r="T1098" s="5" t="inlineStr"/>
      <c r="U1098" s="5" t="inlineStr"/>
      <c r="V1098" s="5" t="inlineStr"/>
      <c r="W1098" s="5" t="inlineStr"/>
      <c r="X1098" s="5" t="inlineStr"/>
      <c r="Y1098" s="5" t="inlineStr"/>
      <c r="Z1098" s="6" t="inlineStr"/>
    </row>
    <row r="1099">
      <c r="A1099" s="5" t="inlineStr">
        <is>
          <t>b9-noter-miras</t>
        </is>
      </c>
      <c r="B1099" s="5" t="n">
        <v>2</v>
      </c>
      <c r="C1099" s="6" t="inlineStr">
        <is>
          <t>Evi en çok ziyaret edene bırak</t>
        </is>
      </c>
      <c r="D1099" s="5" t="inlineStr">
        <is>
          <t>Çene</t>
        </is>
      </c>
      <c r="E1099" s="5" t="inlineStr">
        <is>
          <t>Zor</t>
        </is>
      </c>
      <c r="F1099" s="5" t="inlineStr"/>
      <c r="G1099" s="6" t="inlineStr"/>
      <c r="H1099" s="6" t="inlineStr">
        <is>
          <t>Maddeyi ekledin. Ertesi hafta sonu kapında üç çocuk ve iki torun vardı. Ziyaret sayısı tavan yaptı.</t>
        </is>
      </c>
      <c r="I1099" s="6" t="inlineStr">
        <is>
          <t>Madde işe yaradı. Pazar kahvaltıları yeniden başladı. Evin değeri arttı; aile değeri de.</t>
        </is>
      </c>
      <c r="J1099" s="6" t="inlineStr">
        <is>
          <t>Maddeyi ekledin. Çocukların ziyaret takvimi oluşturdu. Takvim bir elektronik tablo; senin de erişimin yok.</t>
        </is>
      </c>
      <c r="K1099" s="6" t="inlineStr">
        <is>
          <t>Maddeyi ekledin. Sadece komşu çocuğu geldi. Hukuken bir sorun yok. Ailevi olarak var.</t>
        </is>
      </c>
      <c r="L1099" s="6" t="inlineStr"/>
      <c r="M1099" s="5" t="inlineStr"/>
      <c r="N1099" s="5" t="inlineStr"/>
      <c r="O1099" s="6" t="inlineStr"/>
      <c r="P1099" s="6" t="inlineStr"/>
      <c r="Q1099" s="5" t="inlineStr"/>
      <c r="R1099" s="5" t="inlineStr">
        <is>
          <t>ev-sahibi</t>
        </is>
      </c>
      <c r="S1099" s="5" t="inlineStr"/>
      <c r="T1099" s="5" t="inlineStr"/>
      <c r="U1099" s="5" t="inlineStr"/>
      <c r="V1099" s="5" t="inlineStr"/>
      <c r="W1099" s="5" t="inlineStr"/>
      <c r="X1099" s="5" t="inlineStr"/>
      <c r="Y1099" s="5" t="inlineStr"/>
      <c r="Z1099" s="6" t="inlineStr"/>
    </row>
    <row r="1100">
      <c r="A1100" s="5" t="inlineStr">
        <is>
          <t>b9-noter-miras</t>
        </is>
      </c>
      <c r="B1100" s="5" t="n">
        <v>3</v>
      </c>
      <c r="C1100" s="6" t="inlineStr">
        <is>
          <t>Gizli bir madde ekle</t>
        </is>
      </c>
      <c r="D1100" s="5" t="inlineStr">
        <is>
          <t>Kurnazlık</t>
        </is>
      </c>
      <c r="E1100" s="5" t="inlineStr">
        <is>
          <t>Orta</t>
        </is>
      </c>
      <c r="F1100" s="5" t="inlineStr"/>
      <c r="G1100" s="6" t="inlineStr"/>
      <c r="H1100" s="6" t="inlineStr">
        <is>
          <t>Gizli madde: 'Bu belgeyi okuyan çocuk, kardeşini aramalı.' Noter de gülümsedi.</t>
        </is>
      </c>
      <c r="I1100" s="6" t="inlineStr">
        <is>
          <t>Gizli maddeye bir bilmece yazdın. Aile bir yıl boyunca birlikte bilmeceyi çözmeye çalışacak. Birliktelik garanti.</t>
        </is>
      </c>
      <c r="J1100" s="6" t="inlineStr">
        <is>
          <t>Gizli maddeyi ekledin ama noter onu gizli tutmadı. Hemen yüksek sesle okudu. Mesleki gereklilik.</t>
        </is>
      </c>
      <c r="K1100" s="6" t="inlineStr">
        <is>
          <t>Gizli madde: 'Kediyi en çok seven, evi alır.' Kedi senden önce öldü. Madde hâlâ geçerli.</t>
        </is>
      </c>
      <c r="L1100" s="6" t="inlineStr"/>
      <c r="M1100" s="5" t="inlineStr"/>
      <c r="N1100" s="5" t="inlineStr"/>
      <c r="O1100" s="6" t="inlineStr"/>
      <c r="P1100" s="6" t="inlineStr"/>
      <c r="Q1100" s="5" t="inlineStr"/>
      <c r="R1100" s="5" t="inlineStr"/>
      <c r="S1100" s="5" t="inlineStr">
        <is>
          <t>Kurnazlık</t>
        </is>
      </c>
      <c r="T1100" s="5" t="inlineStr"/>
      <c r="U1100" s="5" t="inlineStr"/>
      <c r="V1100" s="5" t="inlineStr"/>
      <c r="W1100" s="5" t="inlineStr"/>
      <c r="X1100" s="5" t="inlineStr"/>
      <c r="Y1100" s="5" t="inlineStr"/>
      <c r="Z1100" s="6" t="inlineStr"/>
    </row>
    <row r="1101">
      <c r="A1101" s="5" t="inlineStr">
        <is>
          <t>b9-dev-kabak</t>
        </is>
      </c>
      <c r="B1101" s="5" t="n">
        <v>1</v>
      </c>
      <c r="C1101" s="6" t="inlineStr">
        <is>
          <t>Kabağı kendin taşı</t>
        </is>
      </c>
      <c r="D1101" s="5" t="inlineStr">
        <is>
          <t>Dayanıklılık</t>
        </is>
      </c>
      <c r="E1101" s="5" t="inlineStr">
        <is>
          <t>Zor</t>
        </is>
      </c>
      <c r="F1101" s="5" t="inlineStr"/>
      <c r="G1101" s="6" t="inlineStr"/>
      <c r="H1101" s="6" t="inlineStr">
        <is>
          <t>Kabağı taşıdın. Yarışmada ikinci oldun. Birinciyi taşıyan, bir forklifti vardı.</t>
        </is>
      </c>
      <c r="I1101" s="6" t="inlineStr">
        <is>
          <t>Kabağı kaldırdın ve yarışmada birinci oldun. Belediye sana plaket verdi. Plaket kabak şeklinde.</t>
        </is>
      </c>
      <c r="J1101" s="6" t="inlineStr">
        <is>
          <t>Kabağı kaldıramadın. Kabak bahçede kaldı ve kışın çürüdü. Bahar geldiğinde yeni kabaklar filizlendi.</t>
        </is>
      </c>
      <c r="K1101" s="6" t="inlineStr">
        <is>
          <t>Kabağı kaldırmaya çalıştın; kabak yuvarlandı ve komşunun çitini yıktı. Kabak yarışmada, sen tutanakta.</t>
        </is>
      </c>
      <c r="L1101" s="6" t="inlineStr"/>
      <c r="M1101" s="5" t="inlineStr"/>
      <c r="N1101" s="5" t="inlineStr"/>
      <c r="O1101" s="6" t="inlineStr"/>
      <c r="P1101" s="6" t="inlineStr"/>
      <c r="Q1101" s="5" t="inlineStr"/>
      <c r="R1101" s="5" t="inlineStr"/>
      <c r="S1101" s="5" t="inlineStr"/>
      <c r="T1101" s="5" t="inlineStr"/>
      <c r="U1101" s="5" t="inlineStr"/>
      <c r="V1101" s="5" t="inlineStr"/>
      <c r="W1101" s="5" t="inlineStr"/>
      <c r="X1101" s="5" t="inlineStr"/>
      <c r="Y1101" s="5" t="n">
        <v>3</v>
      </c>
      <c r="Z1101" s="6" t="inlineStr">
        <is>
          <t>Yazlığın bahçesinde dev kabak hasadında. Kabak yarışmada birinci oldu.</t>
        </is>
      </c>
    </row>
    <row r="1102">
      <c r="A1102" s="5" t="inlineStr">
        <is>
          <t>b9-dev-kabak</t>
        </is>
      </c>
      <c r="B1102" s="5" t="n">
        <v>2</v>
      </c>
      <c r="C1102" s="6" t="inlineStr">
        <is>
          <t>Kabaktan komşulara reçel yap</t>
        </is>
      </c>
      <c r="D1102" s="5" t="inlineStr"/>
      <c r="E1102" s="5" t="inlineStr"/>
      <c r="F1102" s="5" t="inlineStr">
        <is>
          <t>Vicdan +2</t>
        </is>
      </c>
      <c r="G1102" s="6" t="inlineStr">
        <is>
          <t>Kabak reçeli yaptın. Otuz kavanoz. Komşular teşekkür etti. Bir yıl boyunca her gün kabak reçeli yedin.</t>
        </is>
      </c>
      <c r="H1102" s="6" t="inlineStr"/>
      <c r="I1102" s="6" t="inlineStr"/>
      <c r="J1102" s="6" t="inlineStr"/>
      <c r="K1102" s="6" t="inlineStr"/>
      <c r="L1102" s="6" t="inlineStr"/>
      <c r="M1102" s="5" t="inlineStr"/>
      <c r="N1102" s="5" t="inlineStr"/>
      <c r="O1102" s="6" t="inlineStr"/>
      <c r="P1102" s="6" t="inlineStr"/>
      <c r="Q1102" s="5" t="inlineStr"/>
      <c r="R1102" s="5" t="inlineStr"/>
      <c r="S1102" s="5" t="inlineStr"/>
      <c r="T1102" s="5" t="inlineStr"/>
      <c r="U1102" s="5" t="inlineStr"/>
      <c r="V1102" s="5" t="inlineStr"/>
      <c r="W1102" s="5" t="inlineStr"/>
      <c r="X1102" s="5" t="inlineStr"/>
      <c r="Y1102" s="5" t="inlineStr"/>
      <c r="Z1102" s="6" t="inlineStr"/>
    </row>
    <row r="1103">
      <c r="A1103" s="5" t="inlineStr">
        <is>
          <t>b9-dev-kabak</t>
        </is>
      </c>
      <c r="B1103" s="5" t="n">
        <v>3</v>
      </c>
      <c r="C1103" s="6" t="inlineStr">
        <is>
          <t>Bahçe Filozofu olarak ilan et</t>
        </is>
      </c>
      <c r="D1103" s="5" t="inlineStr">
        <is>
          <t>Çene</t>
        </is>
      </c>
      <c r="E1103" s="5" t="inlineStr">
        <is>
          <t>Orta</t>
        </is>
      </c>
      <c r="F1103" s="5" t="inlineStr"/>
      <c r="G1103" s="6" t="inlineStr"/>
      <c r="H1103" s="6" t="inlineStr">
        <is>
          <t>Kabağın yanında 'Sabır, büyük sonuç verir' tabelası koydun. Mahalle fotoğraf çekmeye geldi.</t>
        </is>
      </c>
      <c r="I1103" s="6" t="inlineStr">
        <is>
          <t>Kabağının fotoğrafı mahalle grubunda viral oldu. Belediye kabağına bir isim vermeni istedi.</t>
        </is>
      </c>
      <c r="J1103" s="6" t="inlineStr">
        <is>
          <t>Tabelayı koydun; kabak tabelanın üstüne yuvarlandı. Felsefe ezildi.</t>
        </is>
      </c>
      <c r="K1103" s="6" t="inlineStr">
        <is>
          <t>Tabelayı koydun; bir çocuk tabelayı okuyup kabağı sabırla oydu. Kabak şimdi bir fener.</t>
        </is>
      </c>
      <c r="L1103" s="6" t="inlineStr"/>
      <c r="M1103" s="5" t="inlineStr"/>
      <c r="N1103" s="5" t="inlineStr"/>
      <c r="O1103" s="6" t="inlineStr"/>
      <c r="P1103" s="6" t="inlineStr"/>
      <c r="Q1103" s="5" t="inlineStr">
        <is>
          <t>Bahçe Filozofu</t>
        </is>
      </c>
      <c r="R1103" s="5" t="inlineStr"/>
      <c r="S1103" s="5" t="inlineStr"/>
      <c r="T1103" s="5" t="inlineStr"/>
      <c r="U1103" s="5" t="inlineStr"/>
      <c r="V1103" s="5" t="inlineStr"/>
      <c r="W1103" s="5" t="inlineStr"/>
      <c r="X1103" s="5" t="inlineStr"/>
      <c r="Y1103" s="5" t="inlineStr"/>
      <c r="Z1103" s="6" t="inlineStr"/>
    </row>
    <row r="1104">
      <c r="A1104" s="5" t="inlineStr">
        <is>
          <t>me-son-kepenk</t>
        </is>
      </c>
      <c r="B1104" s="5" t="n">
        <v>1</v>
      </c>
      <c r="C1104" s="6" t="inlineStr">
        <is>
          <t>Kepengi son kez indir</t>
        </is>
      </c>
      <c r="D1104" s="5" t="inlineStr"/>
      <c r="E1104" s="5" t="inlineStr"/>
      <c r="F1104" s="5" t="inlineStr">
        <is>
          <t>Vicdan +2</t>
        </is>
      </c>
      <c r="G1104" s="6" t="inlineStr">
        <is>
          <t>Kepengi indirdin. Mahalle alkışladı. Kepenk de son kez gıcırdayarak katıldı.</t>
        </is>
      </c>
      <c r="H1104" s="6" t="inlineStr"/>
      <c r="I1104" s="6" t="inlineStr"/>
      <c r="J1104" s="6" t="inlineStr"/>
      <c r="K1104" s="6" t="inlineStr"/>
      <c r="L1104" s="6" t="inlineStr"/>
      <c r="M1104" s="5" t="inlineStr"/>
      <c r="N1104" s="5" t="inlineStr"/>
      <c r="O1104" s="6" t="inlineStr"/>
      <c r="P1104" s="6" t="inlineStr"/>
      <c r="Q1104" s="5" t="inlineStr"/>
      <c r="R1104" s="5" t="inlineStr"/>
      <c r="S1104" s="5" t="inlineStr"/>
      <c r="T1104" s="5" t="inlineStr"/>
      <c r="U1104" s="5" t="inlineStr">
        <is>
          <t>emekli</t>
        </is>
      </c>
      <c r="V1104" s="5" t="inlineStr"/>
      <c r="W1104" s="5" t="inlineStr"/>
      <c r="X1104" s="5" t="inlineStr"/>
      <c r="Y1104" s="5" t="inlineStr"/>
      <c r="Z1104" s="6" t="inlineStr"/>
    </row>
    <row r="1105">
      <c r="A1105" s="5" t="inlineStr">
        <is>
          <t>me-son-kepenk</t>
        </is>
      </c>
      <c r="B1105" s="5" t="n">
        <v>2</v>
      </c>
      <c r="C1105" s="6" t="inlineStr">
        <is>
          <t>Kepengi yardım almadan indir</t>
        </is>
      </c>
      <c r="D1105" s="5" t="inlineStr">
        <is>
          <t>Dayanıklılık</t>
        </is>
      </c>
      <c r="E1105" s="5" t="inlineStr">
        <is>
          <t>Orta</t>
        </is>
      </c>
      <c r="F1105" s="5" t="inlineStr"/>
      <c r="G1105" s="6" t="inlineStr"/>
      <c r="H1105" s="6" t="inlineStr">
        <is>
          <t>Tam ortada yirmi yıllık o takılma yaşandı. Aşıldı.</t>
        </is>
      </c>
      <c r="I1105" s="6" t="inlineStr">
        <is>
          <t>Kepengi indirdin, kilidini taktın, anahtarı mahalleden bir çocuğa uzattın: 'Yarın sen aç.'</t>
        </is>
      </c>
      <c r="J1105" s="6" t="inlineStr">
        <is>
          <t>Kepenk yarıda kaldı. Son iş günün yarım kepenkle tarihe geçti.</t>
        </is>
      </c>
      <c r="K1105" s="6" t="inlineStr">
        <is>
          <t>Kepengi indirdin; anahtar içeride kaldı. Emekliliğin çilingirde başladı.</t>
        </is>
      </c>
      <c r="L1105" s="6" t="inlineStr"/>
      <c r="M1105" s="5" t="inlineStr"/>
      <c r="N1105" s="5" t="inlineStr"/>
      <c r="O1105" s="6" t="inlineStr"/>
      <c r="P1105" s="6" t="inlineStr"/>
      <c r="Q1105" s="5" t="inlineStr"/>
      <c r="R1105" s="5" t="inlineStr"/>
      <c r="S1105" s="5" t="inlineStr"/>
      <c r="T1105" s="5" t="inlineStr"/>
      <c r="U1105" s="5" t="inlineStr">
        <is>
          <t>emekli</t>
        </is>
      </c>
      <c r="V1105" s="5" t="inlineStr"/>
      <c r="W1105" s="5" t="inlineStr"/>
      <c r="X1105" s="5" t="inlineStr"/>
      <c r="Y1105" s="5" t="n">
        <v>2</v>
      </c>
      <c r="Z1105" s="6" t="inlineStr">
        <is>
          <t>Son iş gününde, kepengi kimseden yardım istemeden indirirken. Kepenk sonunda yerine oturdu.</t>
        </is>
      </c>
    </row>
    <row r="1106">
      <c r="A1106" s="5" t="inlineStr">
        <is>
          <t>me-son-kepenk</t>
        </is>
      </c>
      <c r="B1106" s="5" t="n">
        <v>3</v>
      </c>
      <c r="C1106" s="6" t="inlineStr">
        <is>
          <t>Veda indirimi yap</t>
        </is>
      </c>
      <c r="D1106" s="5" t="inlineStr">
        <is>
          <t>Çene</t>
        </is>
      </c>
      <c r="E1106" s="5" t="inlineStr">
        <is>
          <t>Kolay</t>
        </is>
      </c>
      <c r="F1106" s="5" t="inlineStr"/>
      <c r="G1106" s="6" t="inlineStr"/>
      <c r="H1106" s="6" t="inlineStr">
        <is>
          <t>Her şey yarı fiyatına. Raflar üç saatte boşaldı. Otuz yıl bir öğleden sonraya sığdı.</t>
        </is>
      </c>
      <c r="I1106" s="6" t="inlineStr">
        <is>
          <t>Raflar boşaldı, müşteriler dükkânın tabelasını da hatıra olarak satın almak istedi. Sattın.</t>
        </is>
      </c>
      <c r="J1106" s="6" t="inlineStr">
        <is>
          <t>Veda indirimini kimse ciddiye almadı. 'Nasılsa yarın açıksın' dediler.</t>
        </is>
      </c>
      <c r="K1106" s="6" t="inlineStr">
        <is>
          <t>Müşteriler 'Toptan olur mu?' dedi. İndirimin üstüne indirim yaptın. Emekliliğe zararla girdin.</t>
        </is>
      </c>
      <c r="L1106" s="6" t="inlineStr"/>
      <c r="M1106" s="5" t="inlineStr"/>
      <c r="N1106" s="5" t="inlineStr"/>
      <c r="O1106" s="6" t="inlineStr"/>
      <c r="P1106" s="6" t="inlineStr"/>
      <c r="Q1106" s="5" t="inlineStr"/>
      <c r="R1106" s="5" t="inlineStr"/>
      <c r="S1106" s="5" t="inlineStr"/>
      <c r="T1106" s="5" t="inlineStr"/>
      <c r="U1106" s="5" t="inlineStr">
        <is>
          <t>emekli</t>
        </is>
      </c>
      <c r="V1106" s="5" t="inlineStr"/>
      <c r="W1106" s="5" t="inlineStr"/>
      <c r="X1106" s="5" t="inlineStr"/>
      <c r="Y1106" s="5" t="inlineStr"/>
      <c r="Z1106" s="6" t="inlineStr"/>
    </row>
    <row r="1107">
      <c r="A1107" s="5" t="inlineStr">
        <is>
          <t>me-son-kepenk</t>
        </is>
      </c>
      <c r="B1107" s="5" t="n">
        <v>4</v>
      </c>
      <c r="C1107" s="6" t="inlineStr">
        <is>
          <t>'Yarın yine gelirim' de</t>
        </is>
      </c>
      <c r="D1107" s="5" t="inlineStr"/>
      <c r="E1107" s="5" t="inlineStr"/>
      <c r="F1107" s="5" t="inlineStr">
        <is>
          <t>Dayanıklılık +1</t>
        </is>
      </c>
      <c r="G1107" s="6" t="inlineStr">
        <is>
          <t>Kepengi yarıya indirip çay demledin. Emeklilik resmen başladı; fiilen yarın 08.00'de yine buradasın.</t>
        </is>
      </c>
      <c r="H1107" s="6" t="inlineStr"/>
      <c r="I1107" s="6" t="inlineStr"/>
      <c r="J1107" s="6" t="inlineStr"/>
      <c r="K1107" s="6" t="inlineStr"/>
      <c r="L1107" s="6" t="inlineStr"/>
      <c r="M1107" s="5" t="inlineStr"/>
      <c r="N1107" s="5" t="inlineStr"/>
      <c r="O1107" s="6" t="inlineStr"/>
      <c r="P1107" s="6" t="inlineStr"/>
      <c r="Q1107" s="5" t="inlineStr"/>
      <c r="R1107" s="5" t="inlineStr"/>
      <c r="S1107" s="5" t="inlineStr"/>
      <c r="T1107" s="5" t="inlineStr"/>
      <c r="U1107" s="5" t="inlineStr"/>
      <c r="V1107" s="5" t="inlineStr"/>
      <c r="W1107" s="5" t="inlineStr"/>
      <c r="X1107" s="5" t="inlineStr"/>
      <c r="Y1107" s="5" t="inlineStr"/>
      <c r="Z1107" s="6" t="inlineStr"/>
    </row>
    <row r="1108">
      <c r="A1108" s="5" t="inlineStr">
        <is>
          <t>b9-emekli-seyahati</t>
        </is>
      </c>
      <c r="B1108" s="5" t="n">
        <v>1</v>
      </c>
      <c r="C1108" s="6" t="inlineStr">
        <is>
          <t>Programa harfiyen uy</t>
        </is>
      </c>
      <c r="D1108" s="5" t="inlineStr"/>
      <c r="E1108" s="5" t="inlineStr"/>
      <c r="F1108" s="5" t="inlineStr">
        <is>
          <t>Dayanıklılık +2</t>
        </is>
      </c>
      <c r="G1108" s="6" t="inlineStr">
        <is>
          <t>Yedi müze, üç dükkân ve bir halı mağazası. Dönüşte otobüste herkes uyudu. Şoför dahil kısa süreliğine.</t>
        </is>
      </c>
      <c r="H1108" s="6" t="inlineStr"/>
      <c r="I1108" s="6" t="inlineStr"/>
      <c r="J1108" s="6" t="inlineStr"/>
      <c r="K1108" s="6" t="inlineStr"/>
      <c r="L1108" s="6" t="inlineStr"/>
      <c r="M1108" s="5" t="inlineStr"/>
      <c r="N1108" s="5" t="inlineStr"/>
      <c r="O1108" s="6" t="inlineStr"/>
      <c r="P1108" s="6" t="inlineStr"/>
      <c r="Q1108" s="5" t="inlineStr"/>
      <c r="R1108" s="5" t="inlineStr"/>
      <c r="S1108" s="5" t="inlineStr"/>
      <c r="T1108" s="5" t="inlineStr"/>
      <c r="U1108" s="5" t="inlineStr"/>
      <c r="V1108" s="5" t="inlineStr"/>
      <c r="W1108" s="5" t="inlineStr"/>
      <c r="X1108" s="5" t="inlineStr"/>
      <c r="Y1108" s="5" t="inlineStr"/>
      <c r="Z1108" s="6" t="inlineStr"/>
    </row>
    <row r="1109">
      <c r="A1109" s="5" t="inlineStr">
        <is>
          <t>b9-emekli-seyahati</t>
        </is>
      </c>
      <c r="B1109" s="5" t="n">
        <v>2</v>
      </c>
      <c r="C1109" s="6" t="inlineStr">
        <is>
          <t>Son durakta bir fotoğraf daha çek</t>
        </is>
      </c>
      <c r="D1109" s="5" t="inlineStr">
        <is>
          <t>Cesaret</t>
        </is>
      </c>
      <c r="E1109" s="5" t="inlineStr">
        <is>
          <t>Orta</t>
        </is>
      </c>
      <c r="F1109" s="5" t="inlineStr"/>
      <c r="G1109" s="6" t="inlineStr"/>
      <c r="H1109" s="6" t="inlineStr">
        <is>
          <t>Uçurum kenarında fotoğraf çektin. Manzara muhteşem. Rehber seni otobüse geri çağırdı.</t>
        </is>
      </c>
      <c r="I1109" s="6" t="inlineStr">
        <is>
          <t>Fotoğraf öyle güzel çıktı ki dernek bunu yıllık takvimin kapağı yaptı. Herkes seni tanıyor.</t>
        </is>
      </c>
      <c r="J1109" s="6" t="inlineStr">
        <is>
          <t>Fotoğrafı çektin; parmağın objektifin önündeydi. Anı: bir parmak ve biraz gökyüzü.</t>
        </is>
      </c>
      <c r="K1109" s="6" t="inlineStr">
        <is>
          <t>Fotoğraf çekerken otobüs kalktı. Bir sonraki turla, ertesi yıl döndün.</t>
        </is>
      </c>
      <c r="L1109" s="6" t="inlineStr"/>
      <c r="M1109" s="5" t="inlineStr"/>
      <c r="N1109" s="5" t="inlineStr"/>
      <c r="O1109" s="6" t="inlineStr"/>
      <c r="P1109" s="6" t="inlineStr"/>
      <c r="Q1109" s="5" t="inlineStr"/>
      <c r="R1109" s="5" t="inlineStr"/>
      <c r="S1109" s="5" t="inlineStr"/>
      <c r="T1109" s="5" t="inlineStr"/>
      <c r="U1109" s="5" t="inlineStr"/>
      <c r="V1109" s="5" t="inlineStr"/>
      <c r="W1109" s="5" t="inlineStr"/>
      <c r="X1109" s="5" t="inlineStr"/>
      <c r="Y1109" s="5" t="n">
        <v>3</v>
      </c>
      <c r="Z1109" s="6" t="inlineStr">
        <is>
          <t>Emekli turunun son durağında, rehberin 'Son bir fotoğraf' demesinden sonra. Fotoğraf çok güzel çıktı.</t>
        </is>
      </c>
    </row>
    <row r="1110">
      <c r="A1110" s="5" t="inlineStr">
        <is>
          <t>b9-emekli-seyahati</t>
        </is>
      </c>
      <c r="B1110" s="5" t="n">
        <v>3</v>
      </c>
      <c r="C1110" s="6" t="inlineStr">
        <is>
          <t>Turun liderliğini devral</t>
        </is>
      </c>
      <c r="D1110" s="5" t="inlineStr">
        <is>
          <t>Çene</t>
        </is>
      </c>
      <c r="E1110" s="5" t="inlineStr">
        <is>
          <t>Zor</t>
        </is>
      </c>
      <c r="F1110" s="5" t="inlineStr"/>
      <c r="G1110" s="6" t="inlineStr"/>
      <c r="H1110" s="6" t="inlineStr">
        <is>
          <t>Rehberin mikrofonunu aldın. Programa bir çay molası ekledin. Otobüs seni sevdi.</t>
        </is>
      </c>
      <c r="I1110" s="6" t="inlineStr">
        <is>
          <t>Turun liderliğini devraldın; dernek sonraki turu sana verdi. Emekliliğin ikinci mesleği: tur rehberi.</t>
        </is>
      </c>
      <c r="J1110" s="6" t="inlineStr">
        <is>
          <t>Mikrofonu aldın ama ses sistemi arızalı. Sadece ön sıra seni duydu. Yönetim kurulu memnun.</t>
        </is>
      </c>
      <c r="K1110" s="6" t="inlineStr">
        <is>
          <t>Mikrofonu aldın, halı mağazasını programdan çıkardın. Rehberin komisyonu yandı. Dönüş yolu çok sessiz geçti.</t>
        </is>
      </c>
      <c r="L1110" s="6" t="inlineStr"/>
      <c r="M1110" s="5" t="inlineStr"/>
      <c r="N1110" s="5" t="inlineStr"/>
      <c r="O1110" s="6" t="inlineStr"/>
      <c r="P1110" s="6" t="inlineStr"/>
      <c r="Q1110" s="5" t="inlineStr">
        <is>
          <t>Organizatör</t>
        </is>
      </c>
      <c r="R1110" s="5" t="inlineStr"/>
      <c r="S1110" s="5" t="inlineStr"/>
      <c r="T1110" s="5" t="inlineStr"/>
      <c r="U1110" s="5" t="inlineStr"/>
      <c r="V1110" s="5" t="inlineStr"/>
      <c r="W1110" s="5" t="inlineStr"/>
      <c r="X1110" s="5" t="inlineStr"/>
      <c r="Y1110" s="5" t="inlineStr"/>
      <c r="Z1110" s="6" t="inlineStr"/>
    </row>
    <row r="1111">
      <c r="A1111" s="5" t="inlineStr">
        <is>
          <t>b9-sifre-unuttum</t>
        </is>
      </c>
      <c r="B1111" s="5" t="n">
        <v>1</v>
      </c>
      <c r="C1111" s="6" t="inlineStr">
        <is>
          <t>Şubeye git, sırada bekle</t>
        </is>
      </c>
      <c r="D1111" s="5" t="inlineStr"/>
      <c r="E1111" s="5" t="inlineStr"/>
      <c r="F1111" s="5" t="inlineStr">
        <is>
          <t>Dayanıklılık +2</t>
        </is>
      </c>
      <c r="G1111" s="6" t="inlineStr">
        <is>
          <t>Sırada bekledin. Sıra geldiğinde görevli yeni şifreni kâğıda yazmanı önerdi. Kâğıdı hâlâ arıyorsun.</t>
        </is>
      </c>
      <c r="H1111" s="6" t="inlineStr"/>
      <c r="I1111" s="6" t="inlineStr"/>
      <c r="J1111" s="6" t="inlineStr"/>
      <c r="K1111" s="6" t="inlineStr"/>
      <c r="L1111" s="6" t="inlineStr"/>
      <c r="M1111" s="5" t="inlineStr"/>
      <c r="N1111" s="5" t="inlineStr"/>
      <c r="O1111" s="6" t="inlineStr"/>
      <c r="P1111" s="6" t="inlineStr"/>
      <c r="Q1111" s="5" t="inlineStr"/>
      <c r="R1111" s="5" t="inlineStr"/>
      <c r="S1111" s="5" t="inlineStr"/>
      <c r="T1111" s="5" t="inlineStr"/>
      <c r="U1111" s="5" t="inlineStr"/>
      <c r="V1111" s="5" t="inlineStr"/>
      <c r="W1111" s="5" t="inlineStr"/>
      <c r="X1111" s="5" t="inlineStr"/>
      <c r="Y1111" s="5" t="inlineStr"/>
      <c r="Z1111" s="6" t="inlineStr"/>
    </row>
    <row r="1112">
      <c r="A1112" s="5" t="inlineStr">
        <is>
          <t>b9-sifre-unuttum</t>
        </is>
      </c>
      <c r="B1112" s="5" t="n">
        <v>2</v>
      </c>
      <c r="C1112" s="6" t="inlineStr">
        <is>
          <t>Şifreyi tahmin et</t>
        </is>
      </c>
      <c r="D1112" s="5" t="inlineStr">
        <is>
          <t>Akıl</t>
        </is>
      </c>
      <c r="E1112" s="5" t="inlineStr">
        <is>
          <t>Zor</t>
        </is>
      </c>
      <c r="F1112" s="5" t="inlineStr"/>
      <c r="G1112" s="6" t="inlineStr"/>
      <c r="H1112" s="6" t="inlineStr">
        <is>
          <t>Üçüncü denemede buldun: evlilik tarihin ters çevrilmiş hâli. Kendine hayran kaldın.</t>
        </is>
      </c>
      <c r="I1112" s="6" t="inlineStr">
        <is>
          <t>İlk denemede buldun. Banka seni 'dijital okuryazar' kampanyasına davet etti.</t>
        </is>
      </c>
      <c r="J1112" s="6" t="inlineStr">
        <is>
          <t>Tahminlerin yanlıştı. Hesabın on beş dakika kilitlendi. On beş dakika sonra yine yanlıştı.</t>
        </is>
      </c>
      <c r="K1112" s="6" t="inlineStr">
        <is>
          <t>Üç yanlış tahmin. Hesap kilitlendi. Kilidi açmak için gelen kod, yine eski telefona.</t>
        </is>
      </c>
      <c r="L1112" s="6" t="inlineStr"/>
      <c r="M1112" s="5" t="inlineStr"/>
      <c r="N1112" s="5" t="inlineStr"/>
      <c r="O1112" s="6" t="inlineStr"/>
      <c r="P1112" s="6" t="inlineStr"/>
      <c r="Q1112" s="5" t="inlineStr">
        <is>
          <t>Analitik Zihin</t>
        </is>
      </c>
      <c r="R1112" s="5" t="inlineStr"/>
      <c r="S1112" s="5" t="inlineStr"/>
      <c r="T1112" s="5" t="inlineStr"/>
      <c r="U1112" s="5" t="inlineStr"/>
      <c r="V1112" s="5" t="inlineStr"/>
      <c r="W1112" s="5" t="inlineStr"/>
      <c r="X1112" s="5" t="inlineStr"/>
      <c r="Y1112" s="5" t="inlineStr"/>
      <c r="Z1112" s="6" t="inlineStr"/>
    </row>
    <row r="1113">
      <c r="A1113" s="5" t="inlineStr">
        <is>
          <t>b9-sifre-unuttum</t>
        </is>
      </c>
      <c r="B1113" s="5" t="n">
        <v>3</v>
      </c>
      <c r="C1113" s="6" t="inlineStr">
        <is>
          <t>Torunu okuldan ara</t>
        </is>
      </c>
      <c r="D1113" s="5" t="inlineStr">
        <is>
          <t>Çene</t>
        </is>
      </c>
      <c r="E1113" s="5" t="inlineStr">
        <is>
          <t>Orta</t>
        </is>
      </c>
      <c r="F1113" s="5" t="inlineStr"/>
      <c r="G1113" s="6" t="inlineStr"/>
      <c r="H1113" s="6" t="inlineStr">
        <is>
          <t>Torun teneffüste kodu okudu. Hesabın açıldı. Torun karşılığında harçlık istedi. Ödeme de aynı hesaptan.</t>
        </is>
      </c>
      <c r="I1113" s="6" t="inlineStr">
        <is>
          <t>Torun kodu okudu ve şifreni de değiştirdi. Yeni şifren: torunun doğum günü. Unutmayacaksın.</t>
        </is>
      </c>
      <c r="J1113" s="6" t="inlineStr">
        <is>
          <t>Torun derste. Öğretmen telefonu açtı. Kodu öğretmen okudu. Artık öğretmen de şifreni biliyor.</t>
        </is>
      </c>
      <c r="K1113" s="6" t="inlineStr">
        <is>
          <t>Torunu aradın; müdür telefonu açtı. Kodu anons sistemiyle okuttun. Bütün okul artık şifreni biliyor.</t>
        </is>
      </c>
      <c r="L1113" s="6" t="inlineStr"/>
      <c r="M1113" s="5" t="inlineStr"/>
      <c r="N1113" s="5" t="inlineStr"/>
      <c r="O1113" s="6" t="inlineStr"/>
      <c r="P1113" s="6" t="inlineStr"/>
      <c r="Q1113" s="5" t="inlineStr"/>
      <c r="R1113" s="5" t="inlineStr"/>
      <c r="S1113" s="5" t="inlineStr"/>
      <c r="T1113" s="5" t="inlineStr"/>
      <c r="U1113" s="5" t="inlineStr"/>
      <c r="V1113" s="5" t="inlineStr"/>
      <c r="W1113" s="5" t="inlineStr"/>
      <c r="X1113" s="5" t="inlineStr"/>
      <c r="Y1113" s="5" t="inlineStr"/>
      <c r="Z1113" s="6" t="inlineStr"/>
    </row>
    <row r="1114">
      <c r="A1114" s="5" t="inlineStr">
        <is>
          <t>mb-son-kisa-gorusme</t>
        </is>
      </c>
      <c r="B1114" s="5" t="n">
        <v>1</v>
      </c>
      <c r="C1114" s="6" t="inlineStr">
        <is>
          <t>Telefonu kapat, bahçeye çık</t>
        </is>
      </c>
      <c r="D1114" s="5" t="inlineStr"/>
      <c r="E1114" s="5" t="inlineStr"/>
      <c r="F1114" s="5" t="inlineStr">
        <is>
          <t>Dayanıklılık +2</t>
        </is>
      </c>
      <c r="G1114" s="6" t="inlineStr">
        <is>
          <t>Telefonu kapattın. Otuz küsur yıldır ilk kez takviminde hiçbir şey yok. Korkutucu. Güzel.</t>
        </is>
      </c>
      <c r="H1114" s="6" t="inlineStr"/>
      <c r="I1114" s="6" t="inlineStr"/>
      <c r="J1114" s="6" t="inlineStr"/>
      <c r="K1114" s="6" t="inlineStr"/>
      <c r="L1114" s="6" t="inlineStr"/>
      <c r="M1114" s="5" t="inlineStr"/>
      <c r="N1114" s="5" t="inlineStr"/>
      <c r="O1114" s="6" t="inlineStr"/>
      <c r="P1114" s="6" t="inlineStr"/>
      <c r="Q1114" s="5" t="inlineStr"/>
      <c r="R1114" s="5" t="inlineStr"/>
      <c r="S1114" s="5" t="inlineStr"/>
      <c r="T1114" s="5" t="inlineStr"/>
      <c r="U1114" s="5" t="inlineStr"/>
      <c r="V1114" s="5" t="inlineStr"/>
      <c r="W1114" s="5" t="inlineStr"/>
      <c r="X1114" s="5" t="inlineStr"/>
      <c r="Y1114" s="5" t="inlineStr"/>
      <c r="Z1114" s="6" t="inlineStr"/>
    </row>
    <row r="1115">
      <c r="A1115" s="5" t="inlineStr">
        <is>
          <t>mb-son-kisa-gorusme</t>
        </is>
      </c>
      <c r="B1115" s="5" t="n">
        <v>2</v>
      </c>
      <c r="C1115" s="6" t="inlineStr">
        <is>
          <t>Danışman olarak dön</t>
        </is>
      </c>
      <c r="D1115" s="5" t="inlineStr">
        <is>
          <t>Çene</t>
        </is>
      </c>
      <c r="E1115" s="5" t="inlineStr">
        <is>
          <t>Orta</t>
        </is>
      </c>
      <c r="F1115" s="5" t="inlineStr"/>
      <c r="G1115" s="6" t="inlineStr"/>
      <c r="H1115" s="6" t="inlineStr">
        <is>
          <t>Haftada iki gün, yüksek saat ücretiyle döndün. Erişim kartın yine tanımlanmadı.</t>
        </is>
      </c>
      <c r="I1115" s="6" t="inlineStr">
        <is>
          <t>Danışman olarak döndün; yönetim kurulu seni 'kurumsal hafıza' ilan etti. Maaşından iyi ücret.</t>
        </is>
      </c>
      <c r="J1115" s="6" t="inlineStr">
        <is>
          <t>Döndün; üç gün sonra 'Yeni yapılanma' e-postası geldi. Danışmanlar dahil.</t>
        </is>
      </c>
      <c r="K1115" s="6" t="inlineStr">
        <is>
          <t>Döndün; ilk toplantın 'Toplantı hakkında toplantı' idi. Otuz yıl boyunca hiç kaçamamışsın.</t>
        </is>
      </c>
      <c r="L1115" s="6" t="inlineStr"/>
      <c r="M1115" s="5" t="inlineStr"/>
      <c r="N1115" s="5" t="inlineStr"/>
      <c r="O1115" s="6" t="inlineStr"/>
      <c r="P1115" s="6" t="inlineStr"/>
      <c r="Q1115" s="5" t="inlineStr"/>
      <c r="R1115" s="5" t="inlineStr"/>
      <c r="S1115" s="5" t="inlineStr"/>
      <c r="T1115" s="5" t="inlineStr"/>
      <c r="U1115" s="5" t="inlineStr"/>
      <c r="V1115" s="5" t="inlineStr"/>
      <c r="W1115" s="5" t="inlineStr"/>
      <c r="X1115" s="5" t="inlineStr"/>
      <c r="Y1115" s="5" t="inlineStr"/>
      <c r="Z1115" s="6" t="inlineStr"/>
    </row>
    <row r="1116">
      <c r="A1116" s="5" t="inlineStr">
        <is>
          <t>mb-son-kisa-gorusme</t>
        </is>
      </c>
      <c r="B1116" s="5" t="n">
        <v>3</v>
      </c>
      <c r="C1116" s="6" t="inlineStr">
        <is>
          <t>Bu kez 'kısa görüşmeyi' sen yönet</t>
        </is>
      </c>
      <c r="D1116" s="5" t="inlineStr">
        <is>
          <t>Pişkinlik</t>
        </is>
      </c>
      <c r="E1116" s="5" t="inlineStr">
        <is>
          <t>Kolay</t>
        </is>
      </c>
      <c r="F1116" s="5" t="inlineStr"/>
      <c r="G1116" s="6" t="inlineStr"/>
      <c r="H1116" s="6" t="inlineStr">
        <is>
          <t>Bu kez odada karşında şirket vardı. Saat ücretini sen belirledin.</t>
        </is>
      </c>
      <c r="I1116" s="6" t="inlineStr">
        <is>
          <t>Şartları sen koydun: uzaktan, kamera kapalı, pijamayla. Hepsi kabul edildi.</t>
        </is>
      </c>
      <c r="J1116" s="6" t="inlineStr">
        <is>
          <t>Pazarlık ettin; teklif yapay zekâ aracına gitti. Araç seni hatırladı. İyi anlamda değil.</t>
        </is>
      </c>
      <c r="K1116" s="6" t="inlineStr">
        <is>
          <t>Görüşmeyi yönettin; sonunda istemeden 'Kartını getirdin mi?' diye sordun. Karşı taraf ağladı.</t>
        </is>
      </c>
      <c r="L1116" s="6" t="inlineStr"/>
      <c r="M1116" s="5" t="inlineStr"/>
      <c r="N1116" s="5" t="inlineStr"/>
      <c r="O1116" s="6" t="inlineStr"/>
      <c r="P1116" s="6" t="inlineStr"/>
      <c r="Q1116" s="5" t="inlineStr"/>
      <c r="R1116" s="5" t="inlineStr">
        <is>
          <t>beyazyaka-sag-kaldi</t>
        </is>
      </c>
      <c r="S1116" s="5" t="inlineStr"/>
      <c r="T1116" s="5" t="inlineStr"/>
      <c r="U1116" s="5" t="inlineStr"/>
      <c r="V1116" s="5" t="inlineStr"/>
      <c r="W1116" s="5" t="inlineStr"/>
      <c r="X1116" s="5" t="inlineStr"/>
      <c r="Y1116" s="5" t="inlineStr"/>
      <c r="Z1116" s="6" t="inlineStr"/>
    </row>
    <row r="1117">
      <c r="A1117" s="5" t="inlineStr">
        <is>
          <t>b9-site-toplantisi</t>
        </is>
      </c>
      <c r="B1117" s="5" t="n">
        <v>1</v>
      </c>
      <c r="C1117" s="6" t="inlineStr">
        <is>
          <t>Yöneticiliği kabul et</t>
        </is>
      </c>
      <c r="D1117" s="5" t="inlineStr"/>
      <c r="E1117" s="5" t="inlineStr"/>
      <c r="F1117" s="5" t="inlineStr">
        <is>
          <t>Vicdan +1, Dayanıklılık +1</t>
        </is>
      </c>
      <c r="G1117" s="6" t="inlineStr">
        <is>
          <t>Yönetici oldun. Artık gece üçte biri kapını çalıp 'Kalorifer yanmıyor' diyor. Maaşı yok, prestiji tartışmalı.</t>
        </is>
      </c>
      <c r="H1117" s="6" t="inlineStr"/>
      <c r="I1117" s="6" t="inlineStr"/>
      <c r="J1117" s="6" t="inlineStr"/>
      <c r="K1117" s="6" t="inlineStr"/>
      <c r="L1117" s="6" t="inlineStr"/>
      <c r="M1117" s="5" t="inlineStr"/>
      <c r="N1117" s="5" t="inlineStr"/>
      <c r="O1117" s="6" t="inlineStr"/>
      <c r="P1117" s="6" t="inlineStr"/>
      <c r="Q1117" s="5" t="inlineStr"/>
      <c r="R1117" s="5" t="inlineStr"/>
      <c r="S1117" s="5" t="inlineStr"/>
      <c r="T1117" s="5" t="inlineStr"/>
      <c r="U1117" s="5" t="inlineStr">
        <is>
          <t>site-yoneticisi</t>
        </is>
      </c>
      <c r="V1117" s="5" t="inlineStr"/>
      <c r="W1117" s="5" t="inlineStr"/>
      <c r="X1117" s="5" t="inlineStr"/>
      <c r="Y1117" s="5" t="inlineStr"/>
      <c r="Z1117" s="6" t="inlineStr"/>
    </row>
    <row r="1118">
      <c r="A1118" s="5" t="inlineStr">
        <is>
          <t>b9-site-toplantisi</t>
        </is>
      </c>
      <c r="B1118" s="5" t="n">
        <v>2</v>
      </c>
      <c r="C1118" s="6" t="inlineStr">
        <is>
          <t>Asansör için söz al</t>
        </is>
      </c>
      <c r="D1118" s="5" t="inlineStr">
        <is>
          <t>Cesaret</t>
        </is>
      </c>
      <c r="E1118" s="5" t="inlineStr">
        <is>
          <t>Zor</t>
        </is>
      </c>
      <c r="F1118" s="5" t="inlineStr"/>
      <c r="G1118" s="6" t="inlineStr"/>
      <c r="H1118" s="6" t="inlineStr">
        <is>
          <t>Söz aldın ve asansör tamiri oy birliğiyle kabul edildi. Dördüncü kat sana bir tepsi baklava yolladı.</t>
        </is>
      </c>
      <c r="I1118" s="6" t="inlineStr">
        <is>
          <t>Söz aldın, asansör tamir edildi ve bir de çatı yenilendi. Toplantı tarihe 'Büyük Söz' olarak geçti.</t>
        </is>
      </c>
      <c r="J1118" s="6" t="inlineStr">
        <is>
          <t>Söz aldın, asansör oylandı; tamir değil, 'inceleme' kabul edildi. İnceleme üç yıl sürecek.</t>
        </is>
      </c>
      <c r="K1118" s="6" t="inlineStr">
        <is>
          <t>Söz aldın; aidat iki katına çıktı, asansör yine arızalı. Aidatın yarısı asansör için ayrılan fona gitti. Fon kaybolmuş.</t>
        </is>
      </c>
      <c r="L1118" s="6" t="inlineStr"/>
      <c r="M1118" s="5" t="inlineStr"/>
      <c r="N1118" s="5" t="inlineStr"/>
      <c r="O1118" s="6" t="inlineStr"/>
      <c r="P1118" s="6" t="inlineStr"/>
      <c r="Q1118" s="5" t="inlineStr"/>
      <c r="R1118" s="5" t="inlineStr"/>
      <c r="S1118" s="5" t="inlineStr"/>
      <c r="T1118" s="5" t="inlineStr"/>
      <c r="U1118" s="5" t="inlineStr"/>
      <c r="V1118" s="5" t="inlineStr"/>
      <c r="W1118" s="5" t="inlineStr"/>
      <c r="X1118" s="5" t="inlineStr"/>
      <c r="Y1118" s="5" t="n">
        <v>2</v>
      </c>
      <c r="Z1118" s="6" t="inlineStr">
        <is>
          <t>Apartman toplantısında asansör için söz alırken. Asansör ertesi gün tamir edildi.</t>
        </is>
      </c>
    </row>
    <row r="1119">
      <c r="A1119" s="5" t="inlineStr">
        <is>
          <t>b9-site-toplantisi</t>
        </is>
      </c>
      <c r="B1119" s="5" t="n">
        <v>3</v>
      </c>
      <c r="C1119" s="6" t="inlineStr">
        <is>
          <t>Toplantıyı yönet</t>
        </is>
      </c>
      <c r="D1119" s="5" t="inlineStr">
        <is>
          <t>Çene</t>
        </is>
      </c>
      <c r="E1119" s="5" t="inlineStr">
        <is>
          <t>Orta</t>
        </is>
      </c>
      <c r="F1119" s="5" t="inlineStr"/>
      <c r="G1119" s="6" t="inlineStr"/>
      <c r="H1119" s="6" t="inlineStr">
        <is>
          <t>Toplantıyı yönettin, gündem kırk dakikada bitti. Rekor. Sakinler sana şaşkınlıkla baktı.</t>
        </is>
      </c>
      <c r="I1119" s="6" t="inlineStr">
        <is>
          <t>Toplantıyı yönettin; aidat düştü, asansör tamir edildi. Seni bir sonraki yıl için oy birliğiyle yeniden seçtiler.</t>
        </is>
      </c>
      <c r="J1119" s="6" t="inlineStr">
        <is>
          <t>Toplantıyı yönettin; gündem aidat artışında takıldı. Toplantı üç saat sürdü. Sen de artık yönetici değil, mağdursun.</t>
        </is>
      </c>
      <c r="K1119" s="6" t="inlineStr">
        <is>
          <t>Toplantıyı yönetirken bir sakinin sözünü kestin. Sakin, eski sınıf arkadaşın çıktı. Başkanlık yarışı yeniden alevlendi.</t>
        </is>
      </c>
      <c r="L1119" s="6" t="inlineStr"/>
      <c r="M1119" s="5" t="inlineStr"/>
      <c r="N1119" s="5" t="inlineStr"/>
      <c r="O1119" s="6" t="inlineStr"/>
      <c r="P1119" s="6" t="inlineStr"/>
      <c r="Q1119" s="5" t="inlineStr"/>
      <c r="R1119" s="5" t="inlineStr">
        <is>
          <t>baskan</t>
        </is>
      </c>
      <c r="S1119" s="5" t="inlineStr"/>
      <c r="T1119" s="5" t="inlineStr"/>
      <c r="U1119" s="5" t="inlineStr"/>
      <c r="V1119" s="5" t="inlineStr">
        <is>
          <t>site-yoneticisi</t>
        </is>
      </c>
      <c r="W1119" s="5" t="inlineStr"/>
      <c r="X1119" s="5" t="inlineStr"/>
      <c r="Y1119" s="5" t="inlineStr"/>
      <c r="Z1119" s="6" t="inlineStr"/>
    </row>
    <row r="1120">
      <c r="A1120" s="5" t="inlineStr">
        <is>
          <t>b9-torunun-sorusu</t>
        </is>
      </c>
      <c r="B1120" s="5" t="n">
        <v>1</v>
      </c>
      <c r="C1120" s="6" t="inlineStr">
        <is>
          <t>Doğruyu anlat</t>
        </is>
      </c>
      <c r="D1120" s="5" t="inlineStr"/>
      <c r="E1120" s="5" t="inlineStr"/>
      <c r="F1120" s="5" t="inlineStr">
        <is>
          <t>Vicdan +1, Akıl +1</t>
        </is>
      </c>
      <c r="G1120" s="6" t="inlineStr">
        <is>
          <t>Kablolu telefonu anlattın. Torun 'Peki mesajları nereden yazıyordunuz?' dedi. Mektubu anlatman bir saat sürdü.</t>
        </is>
      </c>
      <c r="H1120" s="6" t="inlineStr"/>
      <c r="I1120" s="6" t="inlineStr"/>
      <c r="J1120" s="6" t="inlineStr"/>
      <c r="K1120" s="6" t="inlineStr"/>
      <c r="L1120" s="6" t="inlineStr"/>
      <c r="M1120" s="5" t="inlineStr"/>
      <c r="N1120" s="5" t="inlineStr"/>
      <c r="O1120" s="6" t="inlineStr"/>
      <c r="P1120" s="6" t="inlineStr"/>
      <c r="Q1120" s="5" t="inlineStr"/>
      <c r="R1120" s="5" t="inlineStr"/>
      <c r="S1120" s="5" t="inlineStr"/>
      <c r="T1120" s="5" t="inlineStr"/>
      <c r="U1120" s="5" t="inlineStr"/>
      <c r="V1120" s="5" t="inlineStr"/>
      <c r="W1120" s="5" t="inlineStr"/>
      <c r="X1120" s="5" t="inlineStr"/>
      <c r="Y1120" s="5" t="inlineStr"/>
      <c r="Z1120" s="6" t="inlineStr"/>
    </row>
    <row r="1121">
      <c r="A1121" s="5" t="inlineStr">
        <is>
          <t>b9-torunun-sorusu</t>
        </is>
      </c>
      <c r="B1121" s="5" t="n">
        <v>2</v>
      </c>
      <c r="C1121" s="6" t="inlineStr">
        <is>
          <t>Abartarak anlat</t>
        </is>
      </c>
      <c r="D1121" s="5" t="inlineStr">
        <is>
          <t>Pişkinlik</t>
        </is>
      </c>
      <c r="E1121" s="5" t="inlineStr">
        <is>
          <t>Orta</t>
        </is>
      </c>
      <c r="F1121" s="5" t="inlineStr"/>
      <c r="G1121" s="6" t="inlineStr"/>
      <c r="H1121" s="6" t="inlineStr">
        <is>
          <t>Telefonu bir güvercinle değiştirdin. Torun inandı. Okulda anlattı. Öğretmen seni aradı.</t>
        </is>
      </c>
      <c r="I1121" s="6" t="inlineStr">
        <is>
          <t>Hikâyen öyle iyiydi ki torun ödev olarak yazdı ve sınıf birincisi oldu. Hikâyenin telif hakkı sende.</t>
        </is>
      </c>
      <c r="J1121" s="6" t="inlineStr">
        <is>
          <t>Abarttın; torun internetten kontrol etti. 'Bu yalan' dedi. Teknoloji seni yine yakaladı.</t>
        </is>
      </c>
      <c r="K1121" s="6" t="inlineStr">
        <is>
          <t>Abarttın ve kendin de inandın. Artık gençliğinde bir güvercin sahibi olduğunu düşünüyorsun.</t>
        </is>
      </c>
      <c r="L1121" s="6" t="inlineStr"/>
      <c r="M1121" s="5" t="inlineStr"/>
      <c r="N1121" s="5" t="inlineStr"/>
      <c r="O1121" s="6" t="inlineStr"/>
      <c r="P1121" s="6" t="inlineStr"/>
      <c r="Q1121" s="5" t="inlineStr"/>
      <c r="R1121" s="5" t="inlineStr"/>
      <c r="S1121" s="5" t="inlineStr"/>
      <c r="T1121" s="5" t="inlineStr"/>
      <c r="U1121" s="5" t="inlineStr"/>
      <c r="V1121" s="5" t="inlineStr"/>
      <c r="W1121" s="5" t="inlineStr"/>
      <c r="X1121" s="5" t="inlineStr"/>
      <c r="Y1121" s="5" t="inlineStr"/>
      <c r="Z1121" s="6" t="inlineStr"/>
    </row>
    <row r="1122">
      <c r="A1122" s="5" t="inlineStr">
        <is>
          <t>b9-torunun-sorusu</t>
        </is>
      </c>
      <c r="B1122" s="5" t="n">
        <v>3</v>
      </c>
      <c r="C1122" s="6" t="inlineStr">
        <is>
          <t>Tavla öğret</t>
        </is>
      </c>
      <c r="D1122" s="5" t="inlineStr">
        <is>
          <t>Kurnazlık</t>
        </is>
      </c>
      <c r="E1122" s="5" t="inlineStr">
        <is>
          <t>Kolay</t>
        </is>
      </c>
      <c r="F1122" s="5" t="inlineStr"/>
      <c r="G1122" s="6" t="inlineStr"/>
      <c r="H1122" s="6" t="inlineStr">
        <is>
          <t>Telefonu bıraktın, tavla öğrettin. Torun ilk oyunda sana mars oldu. Başlangıç şansı dedin.</t>
        </is>
      </c>
      <c r="I1122" s="6" t="inlineStr">
        <is>
          <t>Torun tavlayı o kadar sevdi ki okulda bir lig kurdu. Adı: 'Kurt Ligi'. Kurucusu sensin.</t>
        </is>
      </c>
      <c r="J1122" s="6" t="inlineStr">
        <is>
          <t>Tavla öğrettin; torun sıkıldı ve telefonuna döndü. Telefonda bir tavla uygulaması açtı. Seni yendi.</t>
        </is>
      </c>
      <c r="K1122" s="6" t="inlineStr">
        <is>
          <t>Tavla öğrettin; torun kuralları senden iyi öğrendi ve bir hamleni itiraz etti. Haklıydı.</t>
        </is>
      </c>
      <c r="L1122" s="6" t="inlineStr"/>
      <c r="M1122" s="5" t="inlineStr"/>
      <c r="N1122" s="5" t="inlineStr"/>
      <c r="O1122" s="6" t="inlineStr"/>
      <c r="P1122" s="6" t="inlineStr"/>
      <c r="Q1122" s="5" t="inlineStr">
        <is>
          <t>Tavla Kurdu</t>
        </is>
      </c>
      <c r="R1122" s="5" t="inlineStr"/>
      <c r="S1122" s="5" t="inlineStr"/>
      <c r="T1122" s="5" t="inlineStr"/>
      <c r="U1122" s="5" t="inlineStr"/>
      <c r="V1122" s="5" t="inlineStr"/>
      <c r="W1122" s="5" t="inlineStr"/>
      <c r="X1122" s="5" t="inlineStr"/>
      <c r="Y1122" s="5" t="inlineStr"/>
      <c r="Z1122" s="6" t="inlineStr"/>
    </row>
    <row r="1123">
      <c r="A1123" s="5" t="inlineStr">
        <is>
          <t>ms-son-roportaj</t>
        </is>
      </c>
      <c r="B1123" s="5" t="n">
        <v>1</v>
      </c>
      <c r="C1123" s="6" t="inlineStr">
        <is>
          <t>Dürüst cevap ver</t>
        </is>
      </c>
      <c r="D1123" s="5" t="inlineStr"/>
      <c r="E1123" s="5" t="inlineStr"/>
      <c r="F1123" s="5" t="inlineStr">
        <is>
          <t>Vicdan +2</t>
        </is>
      </c>
      <c r="G1123" s="6" t="inlineStr">
        <is>
          <t>Cevabın 'Bilmiyorum' oldu. Öğrenci bunu tezine başlık yaptı.</t>
        </is>
      </c>
      <c r="H1123" s="6" t="inlineStr"/>
      <c r="I1123" s="6" t="inlineStr"/>
      <c r="J1123" s="6" t="inlineStr"/>
      <c r="K1123" s="6" t="inlineStr"/>
      <c r="L1123" s="6" t="inlineStr"/>
      <c r="M1123" s="5" t="inlineStr"/>
      <c r="N1123" s="5" t="inlineStr"/>
      <c r="O1123" s="6" t="inlineStr"/>
      <c r="P1123" s="6" t="inlineStr"/>
      <c r="Q1123" s="5" t="inlineStr"/>
      <c r="R1123" s="5" t="inlineStr"/>
      <c r="S1123" s="5" t="inlineStr"/>
      <c r="T1123" s="5" t="inlineStr"/>
      <c r="U1123" s="5" t="inlineStr"/>
      <c r="V1123" s="5" t="inlineStr"/>
      <c r="W1123" s="5" t="inlineStr"/>
      <c r="X1123" s="5" t="inlineStr"/>
      <c r="Y1123" s="5" t="inlineStr"/>
      <c r="Z1123" s="6" t="inlineStr"/>
    </row>
    <row r="1124">
      <c r="A1124" s="5" t="inlineStr">
        <is>
          <t>ms-son-roportaj</t>
        </is>
      </c>
      <c r="B1124" s="5" t="n">
        <v>2</v>
      </c>
      <c r="C1124" s="6" t="inlineStr">
        <is>
          <t>Efsane uydur</t>
        </is>
      </c>
      <c r="D1124" s="5" t="inlineStr">
        <is>
          <t>Pişkinlik</t>
        </is>
      </c>
      <c r="E1124" s="5" t="inlineStr">
        <is>
          <t>Orta</t>
        </is>
      </c>
      <c r="F1124" s="5" t="inlineStr"/>
      <c r="G1124" s="6" t="inlineStr"/>
      <c r="H1124" s="6" t="inlineStr">
        <is>
          <t>Bir koleksiyoncu, bir kayıp tablo ve bir fırtınalı gece anlattın. Tez çok beğenildi.</t>
        </is>
      </c>
      <c r="I1124" s="6" t="inlineStr">
        <is>
          <t>Uydurduğun hikâye o kadar sevildi ki üniversite ders kitabına girdi. Artık gerçek.</t>
        </is>
      </c>
      <c r="J1124" s="6" t="inlineStr">
        <is>
          <t>Öğrenci her şeyi kontrol etti. Fırtınalı gecenin hava durumu güneşli çıktı.</t>
        </is>
      </c>
      <c r="K1124" s="6" t="inlineStr">
        <is>
          <t>Hikâyeyi anlatırken üç kez farklı bitirdin. Tezin adı 'Güvenilmez Anlatıcı' oldu.</t>
        </is>
      </c>
      <c r="L1124" s="6" t="inlineStr"/>
      <c r="M1124" s="5" t="inlineStr"/>
      <c r="N1124" s="5" t="inlineStr"/>
      <c r="O1124" s="6" t="inlineStr"/>
      <c r="P1124" s="6" t="inlineStr"/>
      <c r="Q1124" s="5" t="inlineStr"/>
      <c r="R1124" s="5" t="inlineStr"/>
      <c r="S1124" s="5" t="inlineStr"/>
      <c r="T1124" s="5" t="inlineStr"/>
      <c r="U1124" s="5" t="inlineStr"/>
      <c r="V1124" s="5" t="inlineStr"/>
      <c r="W1124" s="5" t="inlineStr"/>
      <c r="X1124" s="5" t="inlineStr"/>
      <c r="Y1124" s="5" t="inlineStr"/>
      <c r="Z1124" s="6" t="inlineStr"/>
    </row>
    <row r="1125">
      <c r="A1125" s="5" t="inlineStr">
        <is>
          <t>ms-son-roportaj</t>
        </is>
      </c>
      <c r="B1125" s="5" t="n">
        <v>3</v>
      </c>
      <c r="C1125" s="6" t="inlineStr">
        <is>
          <t>'Tezine ücret ödeyemem ama görünürlük sağlarım' de</t>
        </is>
      </c>
      <c r="D1125" s="5" t="inlineStr">
        <is>
          <t>Kurnazlık</t>
        </is>
      </c>
      <c r="E1125" s="5" t="inlineStr">
        <is>
          <t>Kolay</t>
        </is>
      </c>
      <c r="F1125" s="5" t="inlineStr"/>
      <c r="G1125" s="6" t="inlineStr"/>
      <c r="H1125" s="6" t="inlineStr">
        <is>
          <t>Öğrenci güldü. Kırk yıllık döngü, bir kafe masasında sessizce tamamlandı.</t>
        </is>
      </c>
      <c r="I1125" s="6" t="inlineStr">
        <is>
          <t>Öğrenci 'Kabul' dedi. Tezin kapağında adın, altında 'görünürlük sponsoru' yazıyor.</t>
        </is>
      </c>
      <c r="J1125" s="6" t="inlineStr">
        <is>
          <t>Öğrenci şakayı anlamadı ve fatura kesmeye kalktı. Kaşesi yokmuş.</t>
        </is>
      </c>
      <c r="K1125" s="6" t="inlineStr">
        <is>
          <t>Öğrenci ciddi ciddi 'Kaç takipçiniz var?' diye sordu. Sayı yetmedi.</t>
        </is>
      </c>
      <c r="L1125" s="6" t="inlineStr"/>
      <c r="M1125" s="5" t="inlineStr"/>
      <c r="N1125" s="5" t="inlineStr"/>
      <c r="O1125" s="6" t="inlineStr"/>
      <c r="P1125" s="6" t="inlineStr"/>
      <c r="Q1125" s="5" t="inlineStr"/>
      <c r="R1125" s="5" t="inlineStr"/>
      <c r="S1125" s="5" t="inlineStr"/>
      <c r="T1125" s="5" t="inlineStr"/>
      <c r="U1125" s="5" t="inlineStr"/>
      <c r="V1125" s="5" t="inlineStr"/>
      <c r="W1125" s="5" t="inlineStr"/>
      <c r="X1125" s="5" t="inlineStr"/>
      <c r="Y1125" s="5" t="inlineStr"/>
      <c r="Z1125" s="6" t="inlineStr"/>
    </row>
    <row r="1126">
      <c r="A1126" s="5" t="inlineStr">
        <is>
          <t>ms-son-roportaj</t>
        </is>
      </c>
      <c r="B1126" s="5" t="n">
        <v>4</v>
      </c>
      <c r="C1126" s="6" t="inlineStr">
        <is>
          <t>Fon başvurusu yazmayı öğret</t>
        </is>
      </c>
      <c r="D1126" s="5" t="inlineStr">
        <is>
          <t>Akıl</t>
        </is>
      </c>
      <c r="E1126" s="5" t="inlineStr">
        <is>
          <t>Kolay</t>
        </is>
      </c>
      <c r="F1126" s="5" t="inlineStr"/>
      <c r="G1126" s="6" t="inlineStr"/>
      <c r="H1126" s="6" t="inlineStr">
        <is>
          <t>Kırk iki sayfalık formun sırlarını anlattın. Öğrencin ilk başvurusunda fonu aldı.</t>
        </is>
      </c>
      <c r="I1126" s="6" t="inlineStr">
        <is>
          <t>Öğrencin fonu aldı ve teşekkür bölümüne seni yazdı. Doğru yazılmış.</t>
        </is>
      </c>
      <c r="J1126" s="6" t="inlineStr">
        <is>
          <t>Anlattın; bu yıl form yüz sayfaya çıkmış.</t>
        </is>
      </c>
      <c r="K1126" s="6" t="inlineStr">
        <is>
          <t>Öğrettiğin her şey eskimiş. Artık başvuruyu yapay zekâ değerlendiriyor ve 'hafıza' kelimesini sevmiyor.</t>
        </is>
      </c>
      <c r="L1126" s="6" t="inlineStr"/>
      <c r="M1126" s="5" t="inlineStr"/>
      <c r="N1126" s="5" t="inlineStr"/>
      <c r="O1126" s="6" t="inlineStr"/>
      <c r="P1126" s="6" t="inlineStr"/>
      <c r="Q1126" s="5" t="inlineStr"/>
      <c r="R1126" s="5" t="inlineStr">
        <is>
          <t>serbest-fon-aldi</t>
        </is>
      </c>
      <c r="S1126" s="5" t="inlineStr"/>
      <c r="T1126" s="5" t="inlineStr"/>
      <c r="U1126" s="5" t="inlineStr"/>
      <c r="V1126" s="5" t="inlineStr"/>
      <c r="W1126" s="5" t="inlineStr"/>
      <c r="X1126" s="5" t="inlineStr"/>
      <c r="Y1126" s="5" t="inlineStr"/>
      <c r="Z1126" s="6" t="inlineStr"/>
    </row>
    <row r="1127">
      <c r="A1127" s="5" t="inlineStr">
        <is>
          <t>b9-hayat-muhasebesi</t>
        </is>
      </c>
      <c r="B1127" s="5" t="n">
        <v>1</v>
      </c>
      <c r="C1127" s="6" t="inlineStr">
        <is>
          <t>Alkışla, pastayı kes</t>
        </is>
      </c>
      <c r="D1127" s="5" t="inlineStr"/>
      <c r="E1127" s="5" t="inlineStr"/>
      <c r="F1127" s="5" t="inlineStr">
        <is>
          <t>Vicdan +1, Dayanıklılık +1</t>
        </is>
      </c>
      <c r="G1127" s="6" t="inlineStr">
        <is>
          <t>Alkışladın. Pastayı kestin. Mumları üflerken yetmiş mumun yarısı sönmedi. Kalanını torunlar üfledi.</t>
        </is>
      </c>
      <c r="H1127" s="6" t="inlineStr"/>
      <c r="I1127" s="6" t="inlineStr"/>
      <c r="J1127" s="6" t="inlineStr"/>
      <c r="K1127" s="6" t="inlineStr"/>
      <c r="L1127" s="6" t="inlineStr"/>
      <c r="M1127" s="5" t="inlineStr"/>
      <c r="N1127" s="5" t="inlineStr"/>
      <c r="O1127" s="6" t="inlineStr"/>
      <c r="P1127" s="6" t="inlineStr"/>
      <c r="Q1127" s="5" t="inlineStr"/>
      <c r="R1127" s="5" t="inlineStr"/>
      <c r="S1127" s="5" t="inlineStr"/>
      <c r="T1127" s="5" t="inlineStr"/>
      <c r="U1127" s="5" t="inlineStr"/>
      <c r="V1127" s="5" t="inlineStr"/>
      <c r="W1127" s="5" t="inlineStr"/>
      <c r="X1127" s="5" t="inlineStr"/>
      <c r="Y1127" s="5" t="inlineStr"/>
      <c r="Z1127" s="6" t="inlineStr"/>
    </row>
    <row r="1128">
      <c r="A1128" s="5" t="inlineStr">
        <is>
          <t>b9-hayat-muhasebesi</t>
        </is>
      </c>
      <c r="B1128" s="5" t="n">
        <v>2</v>
      </c>
      <c r="C1128" s="6" t="inlineStr">
        <is>
          <t>Her fotoğrafın hikâyesini anlat</t>
        </is>
      </c>
      <c r="D1128" s="5" t="inlineStr">
        <is>
          <t>Çene</t>
        </is>
      </c>
      <c r="E1128" s="5" t="inlineStr">
        <is>
          <t>Orta</t>
        </is>
      </c>
      <c r="F1128" s="5" t="inlineStr"/>
      <c r="G1128" s="6" t="inlineStr"/>
      <c r="H1128" s="6" t="inlineStr">
        <is>
          <t>Anlattın. Torunlar ilk kez dinledi. Bir saat sonra slaytların yarısında kaldınız.</t>
        </is>
      </c>
      <c r="I1128" s="6" t="inlineStr">
        <is>
          <t>Anlattığın her hikâyeyi bir torun kaydetti. Artık ailenin resmî arşivi sesli bir dosya.</t>
        </is>
      </c>
      <c r="J1128" s="6" t="inlineStr">
        <is>
          <t>Anlatmaya başladın; slayt gösterisi devam etti. Sen hikâyede, slayt başka yerde.</t>
        </is>
      </c>
      <c r="K1128" s="6" t="inlineStr">
        <is>
          <t>Anlattın ama fotoğraflardaki kişileri karıştırdın. Bir teyze, iki farklı düğünde gelin ilan edildi.</t>
        </is>
      </c>
      <c r="L1128" s="6" t="inlineStr"/>
      <c r="M1128" s="5" t="inlineStr"/>
      <c r="N1128" s="5" t="inlineStr"/>
      <c r="O1128" s="6" t="inlineStr"/>
      <c r="P1128" s="6" t="inlineStr"/>
      <c r="Q1128" s="5" t="inlineStr"/>
      <c r="R1128" s="5" t="inlineStr"/>
      <c r="S1128" s="5" t="inlineStr"/>
      <c r="T1128" s="5" t="inlineStr"/>
      <c r="U1128" s="5" t="inlineStr"/>
      <c r="V1128" s="5" t="inlineStr"/>
      <c r="W1128" s="5" t="inlineStr"/>
      <c r="X1128" s="5" t="inlineStr"/>
      <c r="Y1128" s="5" t="inlineStr"/>
      <c r="Z1128" s="6" t="inlineStr"/>
    </row>
    <row r="1129">
      <c r="A1129" s="5" t="inlineStr">
        <is>
          <t>b9-hayat-muhasebesi</t>
        </is>
      </c>
      <c r="B1129" s="5" t="n">
        <v>3</v>
      </c>
      <c r="C1129" s="6" t="inlineStr">
        <is>
          <t>Vazo meselesini itiraf et</t>
        </is>
      </c>
      <c r="D1129" s="5" t="inlineStr">
        <is>
          <t>Vicdan</t>
        </is>
      </c>
      <c r="E1129" s="5" t="inlineStr">
        <is>
          <t>Zor</t>
        </is>
      </c>
      <c r="F1129" s="5" t="inlineStr"/>
      <c r="G1129" s="6" t="inlineStr"/>
      <c r="H1129" s="6" t="inlineStr">
        <is>
          <t>İtiraf ettin: vazoyu sen kırmıştın. Salonda sessizlik. Sonra alkış. Kedinin ruhu nihayet aklandı.</t>
        </is>
      </c>
      <c r="I1129" s="6" t="inlineStr">
        <is>
          <t>İtiraf ettin ve bir kardeşin de ayağa kalkıp başka bir vazoyu itiraf etti. Aile bir itiraf gecesine dönüştü.</t>
        </is>
      </c>
      <c r="J1129" s="6" t="inlineStr">
        <is>
          <t>İtiraf ettin; kimse şaşırmadı. 'Biliyorduk' dediler. Yetmiş yıl boyunca sadece sen bilmediğini sanmışsın.</t>
        </is>
      </c>
      <c r="K1129" s="6" t="inlineStr">
        <is>
          <t>İtiraf ettin; kedinin adına bir anma dakikası talep edildi. Yaş günün, kedinin yas günü oldu.</t>
        </is>
      </c>
      <c r="L1129" s="6" t="inlineStr"/>
      <c r="M1129" s="5" t="inlineStr"/>
      <c r="N1129" s="5" t="inlineStr"/>
      <c r="O1129" s="6" t="inlineStr"/>
      <c r="P1129" s="6" t="inlineStr"/>
      <c r="Q1129" s="5" t="inlineStr"/>
      <c r="R1129" s="5" t="inlineStr">
        <is>
          <t>kediSuclu</t>
        </is>
      </c>
      <c r="S1129" s="5" t="inlineStr"/>
      <c r="T1129" s="5" t="inlineStr"/>
      <c r="U1129" s="5" t="inlineStr"/>
      <c r="V1129" s="5" t="inlineStr"/>
      <c r="W1129" s="5" t="inlineStr"/>
      <c r="X1129" s="5" t="inlineStr"/>
      <c r="Y1129" s="5" t="inlineStr"/>
      <c r="Z1129" s="6" t="inlineStr"/>
    </row>
    <row r="1130">
      <c r="A1130" s="5" t="inlineStr">
        <is>
          <t>b10-noter-vasiyet</t>
        </is>
      </c>
      <c r="B1130" s="5" t="n">
        <v>1</v>
      </c>
      <c r="C1130" s="6" t="inlineStr">
        <is>
          <t>Her şeyi eşit böl</t>
        </is>
      </c>
      <c r="D1130" s="5" t="inlineStr"/>
      <c r="E1130" s="5" t="inlineStr"/>
      <c r="F1130" s="5" t="inlineStr">
        <is>
          <t>Vicdan +2</t>
        </is>
      </c>
      <c r="G1130" s="6" t="inlineStr">
        <is>
          <t>Varlıklar eşit paylaştırıldı. Herkes, kendi payının en küçük olduğuna ayrı ayrı ikna oldu.</t>
        </is>
      </c>
      <c r="H1130" s="6" t="inlineStr"/>
      <c r="I1130" s="6" t="inlineStr"/>
      <c r="J1130" s="6" t="inlineStr"/>
      <c r="K1130" s="6" t="inlineStr"/>
      <c r="L1130" s="6" t="inlineStr"/>
      <c r="M1130" s="5" t="inlineStr"/>
      <c r="N1130" s="5" t="inlineStr"/>
      <c r="O1130" s="6" t="inlineStr"/>
      <c r="P1130" s="6" t="inlineStr"/>
      <c r="Q1130" s="5" t="inlineStr"/>
      <c r="R1130" s="5" t="inlineStr"/>
      <c r="S1130" s="5" t="inlineStr"/>
      <c r="T1130" s="5" t="inlineStr"/>
      <c r="U1130" s="5" t="inlineStr">
        <is>
          <t>vasiyet-yazildi</t>
        </is>
      </c>
      <c r="V1130" s="5" t="inlineStr"/>
      <c r="W1130" s="5" t="inlineStr"/>
      <c r="X1130" s="5" t="inlineStr"/>
      <c r="Y1130" s="5" t="inlineStr"/>
      <c r="Z1130" s="6" t="inlineStr"/>
    </row>
    <row r="1131">
      <c r="A1131" s="5" t="inlineStr">
        <is>
          <t>b10-noter-vasiyet</t>
        </is>
      </c>
      <c r="B1131" s="5" t="n">
        <v>2</v>
      </c>
      <c r="C1131" s="6" t="inlineStr">
        <is>
          <t>Maddeleri tek tek yazdır</t>
        </is>
      </c>
      <c r="D1131" s="5" t="inlineStr">
        <is>
          <t>Akıl</t>
        </is>
      </c>
      <c r="E1131" s="5" t="inlineStr">
        <is>
          <t>Zor</t>
        </is>
      </c>
      <c r="F1131" s="5" t="inlineStr"/>
      <c r="G1131" s="6" t="inlineStr"/>
      <c r="H1131" s="6" t="inlineStr">
        <is>
          <t>Kırk iki madde, üç ek, bir dipnot. Noter belgeyi 'örnek vasiyet' olarak arşivine aldı.</t>
        </is>
      </c>
      <c r="I1131" s="6" t="inlineStr">
        <is>
          <t>Vasiyet o kadar net oldu ki olası üç davayı önceden kapattın. Aile hukukçusu işsiz kaldı.</t>
        </is>
      </c>
      <c r="J1131" s="6" t="inlineStr">
        <is>
          <t>Madde sayısı yirmiyi geçince katip kalemi bıraktı. Kalan kısım ek protokole ertelendi.</t>
        </is>
      </c>
      <c r="K1131" s="6" t="inlineStr">
        <is>
          <t>Çaydanlığın kime kalacağını üç ayrı maddede üç farklı kişiye bıraktın. Çaydanlık artık bir hukuk sorunu.</t>
        </is>
      </c>
      <c r="L1131" s="6" t="inlineStr"/>
      <c r="M1131" s="5" t="inlineStr"/>
      <c r="N1131" s="5" t="inlineStr"/>
      <c r="O1131" s="6" t="inlineStr"/>
      <c r="P1131" s="6" t="inlineStr"/>
      <c r="Q1131" s="5" t="inlineStr"/>
      <c r="R1131" s="5" t="inlineStr"/>
      <c r="S1131" s="5" t="inlineStr"/>
      <c r="T1131" s="5" t="inlineStr">
        <is>
          <t>Hayat Arşivcisi</t>
        </is>
      </c>
      <c r="U1131" s="5" t="inlineStr"/>
      <c r="V1131" s="5" t="inlineStr">
        <is>
          <t>vasiyet-yazildi</t>
        </is>
      </c>
      <c r="W1131" s="5" t="inlineStr"/>
      <c r="X1131" s="5" t="inlineStr"/>
      <c r="Y1131" s="5" t="inlineStr"/>
      <c r="Z1131" s="6" t="inlineStr"/>
    </row>
    <row r="1132">
      <c r="A1132" s="5" t="inlineStr">
        <is>
          <t>b10-noter-vasiyet</t>
        </is>
      </c>
      <c r="B1132" s="5" t="n">
        <v>3</v>
      </c>
      <c r="C1132" s="6" t="inlineStr">
        <is>
          <t>Bir maddeyi gizemli bırak</t>
        </is>
      </c>
      <c r="D1132" s="5" t="inlineStr">
        <is>
          <t>Pişkinlik</t>
        </is>
      </c>
      <c r="E1132" s="5" t="inlineStr">
        <is>
          <t>Orta</t>
        </is>
      </c>
      <c r="F1132" s="5" t="inlineStr"/>
      <c r="G1132" s="6" t="inlineStr"/>
      <c r="H1132" s="6" t="inlineStr">
        <is>
          <t>'Mavi kutu, onu hak eden kişiye.' Aile ziyaretleri üç kat arttı.</t>
        </is>
      </c>
      <c r="I1132" s="6" t="inlineStr">
        <is>
          <t>Mavi kutuyu kimse bulamadı ama herkes seni her hafta aramaya başladı. Yaşlılık stratejisi tescillendi.</t>
        </is>
      </c>
      <c r="J1132" s="6" t="inlineStr">
        <is>
          <t>Gizemli madde noter tarafından 'lütfen açıklayınız' notuyla iade edildi.</t>
        </is>
      </c>
      <c r="K1132" s="6" t="inlineStr">
        <is>
          <t>Mavi kutunun içinde eski faturalar olduğu, daha sen ölmeden ortaya çıktı.</t>
        </is>
      </c>
      <c r="L1132" s="6" t="inlineStr"/>
      <c r="M1132" s="5" t="inlineStr"/>
      <c r="N1132" s="5" t="inlineStr"/>
      <c r="O1132" s="6" t="inlineStr"/>
      <c r="P1132" s="6" t="inlineStr"/>
      <c r="Q1132" s="5" t="inlineStr"/>
      <c r="R1132" s="5" t="inlineStr"/>
      <c r="S1132" s="5" t="inlineStr"/>
      <c r="T1132" s="5" t="inlineStr"/>
      <c r="U1132" s="5" t="inlineStr">
        <is>
          <t>vasiyet-yazildi</t>
        </is>
      </c>
      <c r="V1132" s="5" t="inlineStr"/>
      <c r="W1132" s="5" t="inlineStr"/>
      <c r="X1132" s="5" t="inlineStr"/>
      <c r="Y1132" s="5" t="inlineStr"/>
      <c r="Z1132" s="6" t="inlineStr"/>
    </row>
    <row r="1133">
      <c r="A1133" s="5" t="inlineStr">
        <is>
          <t>b10-noter-vasiyet</t>
        </is>
      </c>
      <c r="B1133" s="5" t="n">
        <v>4</v>
      </c>
      <c r="C1133" s="6" t="inlineStr">
        <is>
          <t>Kumbaranın yerini de yazdır</t>
        </is>
      </c>
      <c r="D1133" s="5" t="inlineStr"/>
      <c r="E1133" s="5" t="inlineStr"/>
      <c r="F1133" s="5" t="inlineStr">
        <is>
          <t>Kurnazlık +2</t>
        </is>
      </c>
      <c r="G1133" s="6" t="inlineStr">
        <is>
          <t>Çocukluktan kalan son kumbara vasiyete işlendi. İçindeki bozukluklar, enflasyonla birlikte manevi değere dönüştü.</t>
        </is>
      </c>
      <c r="H1133" s="6" t="inlineStr"/>
      <c r="I1133" s="6" t="inlineStr"/>
      <c r="J1133" s="6" t="inlineStr"/>
      <c r="K1133" s="6" t="inlineStr"/>
      <c r="L1133" s="6" t="inlineStr"/>
      <c r="M1133" s="5" t="inlineStr"/>
      <c r="N1133" s="5" t="inlineStr"/>
      <c r="O1133" s="6" t="inlineStr"/>
      <c r="P1133" s="6" t="inlineStr"/>
      <c r="Q1133" s="5" t="inlineStr"/>
      <c r="R1133" s="5" t="inlineStr">
        <is>
          <t>ilkKelimePara</t>
        </is>
      </c>
      <c r="S1133" s="5" t="inlineStr"/>
      <c r="T1133" s="5" t="inlineStr"/>
      <c r="U1133" s="5" t="inlineStr">
        <is>
          <t>vasiyet-yazildi</t>
        </is>
      </c>
      <c r="V1133" s="5" t="inlineStr"/>
      <c r="W1133" s="5" t="inlineStr"/>
      <c r="X1133" s="5" t="inlineStr"/>
      <c r="Y1133" s="5" t="inlineStr"/>
      <c r="Z1133" s="6" t="inlineStr"/>
    </row>
    <row r="1134">
      <c r="A1134" s="5" t="inlineStr">
        <is>
          <t>b10-miras-provasi</t>
        </is>
      </c>
      <c r="B1134" s="5" t="n">
        <v>1</v>
      </c>
      <c r="C1134" s="6" t="inlineStr">
        <is>
          <t>'Ben daha buradayım' de</t>
        </is>
      </c>
      <c r="D1134" s="5" t="inlineStr"/>
      <c r="E1134" s="5" t="inlineStr"/>
      <c r="F1134" s="5" t="inlineStr">
        <is>
          <t>Cesaret +1</t>
        </is>
      </c>
      <c r="G1134" s="6" t="inlineStr">
        <is>
          <t>Masada kısa bir sessizlik oldu. Sonra biri tatlıyı getirdi ve konu kapandı. Şimdilik.</t>
        </is>
      </c>
      <c r="H1134" s="6" t="inlineStr"/>
      <c r="I1134" s="6" t="inlineStr"/>
      <c r="J1134" s="6" t="inlineStr"/>
      <c r="K1134" s="6" t="inlineStr"/>
      <c r="L1134" s="6" t="inlineStr"/>
      <c r="M1134" s="5" t="inlineStr"/>
      <c r="N1134" s="5" t="inlineStr"/>
      <c r="O1134" s="6" t="inlineStr"/>
      <c r="P1134" s="6" t="inlineStr"/>
      <c r="Q1134" s="5" t="inlineStr"/>
      <c r="R1134" s="5" t="inlineStr"/>
      <c r="S1134" s="5" t="inlineStr"/>
      <c r="T1134" s="5" t="inlineStr"/>
      <c r="U1134" s="5" t="inlineStr"/>
      <c r="V1134" s="5" t="inlineStr"/>
      <c r="W1134" s="5" t="inlineStr"/>
      <c r="X1134" s="5" t="inlineStr"/>
      <c r="Y1134" s="5" t="inlineStr"/>
      <c r="Z1134" s="6" t="inlineStr"/>
    </row>
    <row r="1135">
      <c r="A1135" s="5" t="inlineStr">
        <is>
          <t>b10-miras-provasi</t>
        </is>
      </c>
      <c r="B1135" s="5" t="n">
        <v>2</v>
      </c>
      <c r="C1135" s="6" t="inlineStr">
        <is>
          <t>Sahte bir liste okut</t>
        </is>
      </c>
      <c r="D1135" s="5" t="inlineStr">
        <is>
          <t>Kurnazlık</t>
        </is>
      </c>
      <c r="E1135" s="5" t="inlineStr">
        <is>
          <t>Orta</t>
        </is>
      </c>
      <c r="F1135" s="5" t="inlineStr"/>
      <c r="G1135" s="6" t="inlineStr"/>
      <c r="H1135" s="6" t="inlineStr">
        <is>
          <t>Kimin neyi istediğini bir sahte listeyle ortaya çıkardın. Dosya kapandı, taraflar belirlendi.</t>
        </is>
      </c>
      <c r="I1135" s="6" t="inlineStr">
        <is>
          <t>Herkes kendi adını listede en üstte görmek için yarıştı. Bulaşıklar bile yıkandı.</t>
        </is>
      </c>
      <c r="J1135" s="6" t="inlineStr">
        <is>
          <t>Liste okununca kimse tepki vermedi. Herkes kendi gerçek listesini zaten hazırlamıştı.</t>
        </is>
      </c>
      <c r="K1135" s="6" t="inlineStr">
        <is>
          <t>Sahte listeyi gerçek sanan biri, vitrindeki takımı o gece paketledi.</t>
        </is>
      </c>
      <c r="L1135" s="6" t="inlineStr"/>
      <c r="M1135" s="5" t="inlineStr"/>
      <c r="N1135" s="5" t="inlineStr"/>
      <c r="O1135" s="6" t="inlineStr"/>
      <c r="P1135" s="6" t="inlineStr"/>
      <c r="Q1135" s="5" t="inlineStr"/>
      <c r="R1135" s="5" t="inlineStr"/>
      <c r="S1135" s="5" t="inlineStr"/>
      <c r="T1135" s="5" t="inlineStr"/>
      <c r="U1135" s="5" t="inlineStr"/>
      <c r="V1135" s="5" t="inlineStr"/>
      <c r="W1135" s="5" t="inlineStr"/>
      <c r="X1135" s="5" t="inlineStr"/>
      <c r="Y1135" s="5" t="inlineStr"/>
      <c r="Z1135" s="6" t="inlineStr"/>
    </row>
    <row r="1136">
      <c r="A1136" s="5" t="inlineStr">
        <is>
          <t>b10-miras-provasi</t>
        </is>
      </c>
      <c r="B1136" s="5" t="n">
        <v>3</v>
      </c>
      <c r="C1136" s="6" t="inlineStr">
        <is>
          <t>'Masanın sol ucu, konuşalım' de</t>
        </is>
      </c>
      <c r="D1136" s="5" t="inlineStr">
        <is>
          <t>Sosyal Radar</t>
        </is>
      </c>
      <c r="E1136" s="5" t="inlineStr">
        <is>
          <t>Kolay</t>
        </is>
      </c>
      <c r="F1136" s="5" t="inlineStr"/>
      <c r="G1136" s="6" t="inlineStr"/>
      <c r="H1136" s="6" t="inlineStr">
        <is>
          <t>Asıl talep sahibini adıyla çağırdın. Talep geri çekildi, tatlı servisi başladı.</t>
        </is>
      </c>
      <c r="I1136" s="6" t="inlineStr">
        <is>
          <t>Sol uç çözüldü, sağ uç da kendi talebini itiraf etti. Aile toplantısı erken bitti.</t>
        </is>
      </c>
      <c r="J1136" s="6" t="inlineStr">
        <is>
          <t>Sol uç 'Ben mi?' dedi, sağ uç güldü. Konu bir sonraki pazara ertelendi.</t>
        </is>
      </c>
      <c r="K1136" s="6" t="inlineStr">
        <is>
          <t>Yanlış kişiyi çağırdın. O kişi takımı hiç istememişti; şimdi istiyor.</t>
        </is>
      </c>
      <c r="L1136" s="6" t="inlineStr"/>
      <c r="M1136" s="5" t="inlineStr"/>
      <c r="N1136" s="5" t="inlineStr"/>
      <c r="O1136" s="6" t="inlineStr"/>
      <c r="P1136" s="6" t="inlineStr"/>
      <c r="Q1136" s="5" t="inlineStr"/>
      <c r="R1136" s="5" t="inlineStr"/>
      <c r="S1136" s="5" t="inlineStr">
        <is>
          <t>Sosyal Radar</t>
        </is>
      </c>
      <c r="T1136" s="5" t="inlineStr"/>
      <c r="U1136" s="5" t="inlineStr"/>
      <c r="V1136" s="5" t="inlineStr"/>
      <c r="W1136" s="5" t="inlineStr"/>
      <c r="X1136" s="5" t="inlineStr"/>
      <c r="Y1136" s="5" t="inlineStr"/>
      <c r="Z1136" s="6" t="inlineStr"/>
    </row>
    <row r="1137">
      <c r="A1137" s="5" t="inlineStr">
        <is>
          <t>b10-miras-provasi</t>
        </is>
      </c>
      <c r="B1137" s="5" t="n">
        <v>4</v>
      </c>
      <c r="C1137" s="6" t="inlineStr">
        <is>
          <t>Takımı hemen hediye et</t>
        </is>
      </c>
      <c r="D1137" s="5" t="inlineStr"/>
      <c r="E1137" s="5" t="inlineStr"/>
      <c r="F1137" s="5" t="inlineStr">
        <is>
          <t>Vicdan +2</t>
        </is>
      </c>
      <c r="G1137" s="6" t="inlineStr">
        <is>
          <t>Takım paketlendi. Diğerleri dolapta başka neler olduğunu not etmeye başladı.</t>
        </is>
      </c>
      <c r="H1137" s="6" t="inlineStr"/>
      <c r="I1137" s="6" t="inlineStr"/>
      <c r="J1137" s="6" t="inlineStr"/>
      <c r="K1137" s="6" t="inlineStr"/>
      <c r="L1137" s="6" t="inlineStr"/>
      <c r="M1137" s="5" t="inlineStr"/>
      <c r="N1137" s="5" t="inlineStr"/>
      <c r="O1137" s="6" t="inlineStr"/>
      <c r="P1137" s="6" t="inlineStr"/>
      <c r="Q1137" s="5" t="inlineStr"/>
      <c r="R1137" s="5" t="inlineStr"/>
      <c r="S1137" s="5" t="inlineStr"/>
      <c r="T1137" s="5" t="inlineStr"/>
      <c r="U1137" s="5" t="inlineStr"/>
      <c r="V1137" s="5" t="inlineStr"/>
      <c r="W1137" s="5" t="inlineStr"/>
      <c r="X1137" s="5" t="inlineStr"/>
      <c r="Y1137" s="5" t="inlineStr"/>
      <c r="Z1137" s="6" t="inlineStr"/>
    </row>
    <row r="1138">
      <c r="A1138" s="5" t="inlineStr">
        <is>
          <t>b10-teknoloji-kursu</t>
        </is>
      </c>
      <c r="B1138" s="5" t="n">
        <v>1</v>
      </c>
      <c r="C1138" s="6" t="inlineStr">
        <is>
          <t>Not al, sessizce öğren</t>
        </is>
      </c>
      <c r="D1138" s="5" t="inlineStr"/>
      <c r="E1138" s="5" t="inlineStr"/>
      <c r="F1138" s="5" t="inlineStr">
        <is>
          <t>Akıl +1</t>
        </is>
      </c>
      <c r="G1138" s="6" t="inlineStr">
        <is>
          <t>Defterine kırk adım yazdın. Görüntülü arama açılmadı ama defter çok düzenli.</t>
        </is>
      </c>
      <c r="H1138" s="6" t="inlineStr"/>
      <c r="I1138" s="6" t="inlineStr"/>
      <c r="J1138" s="6" t="inlineStr"/>
      <c r="K1138" s="6" t="inlineStr"/>
      <c r="L1138" s="6" t="inlineStr"/>
      <c r="M1138" s="5" t="inlineStr"/>
      <c r="N1138" s="5" t="inlineStr"/>
      <c r="O1138" s="6" t="inlineStr"/>
      <c r="P1138" s="6" t="inlineStr"/>
      <c r="Q1138" s="5" t="inlineStr"/>
      <c r="R1138" s="5" t="inlineStr"/>
      <c r="S1138" s="5" t="inlineStr"/>
      <c r="T1138" s="5" t="inlineStr"/>
      <c r="U1138" s="5" t="inlineStr"/>
      <c r="V1138" s="5" t="inlineStr"/>
      <c r="W1138" s="5" t="inlineStr"/>
      <c r="X1138" s="5" t="inlineStr"/>
      <c r="Y1138" s="5" t="inlineStr"/>
      <c r="Z1138" s="6" t="inlineStr"/>
    </row>
    <row r="1139">
      <c r="A1139" s="5" t="inlineStr">
        <is>
          <t>b10-teknoloji-kursu</t>
        </is>
      </c>
      <c r="B1139" s="5" t="n">
        <v>2</v>
      </c>
      <c r="C1139" s="6" t="inlineStr">
        <is>
          <t>Aile grubuna ilk sesli mesajı gönder</t>
        </is>
      </c>
      <c r="D1139" s="5" t="inlineStr">
        <is>
          <t>Pişkinlik</t>
        </is>
      </c>
      <c r="E1139" s="5" t="inlineStr">
        <is>
          <t>Orta</t>
        </is>
      </c>
      <c r="F1139" s="5" t="inlineStr"/>
      <c r="G1139" s="6" t="inlineStr"/>
      <c r="H1139" s="6" t="inlineStr">
        <is>
          <t>Kırk saniyelik sesli mesaj gönderdin. Aile grubu ilk kez tamamen sessizleşti.</t>
        </is>
      </c>
      <c r="I1139" s="6" t="inlineStr">
        <is>
          <t>Mesajın o kadar sevildi ki torunların seni her sabah sesli mesaja bağladı. Artık bir yayın organısın.</t>
        </is>
      </c>
      <c r="J1139" s="6" t="inlineStr">
        <is>
          <t>Mesajın ilk yirmi saniyesi 'Bu çalışıyor mu?' oldu.</t>
        </is>
      </c>
      <c r="K1139" s="6" t="inlineStr">
        <is>
          <t>Cep telefonun kulağında, sesli mesaj cebinde kaydedildi. Aile grubu üç dakika kumaş sesi dinledi.</t>
        </is>
      </c>
      <c r="L1139" s="6" t="inlineStr"/>
      <c r="M1139" s="5" t="inlineStr"/>
      <c r="N1139" s="5" t="inlineStr"/>
      <c r="O1139" s="6" t="inlineStr"/>
      <c r="P1139" s="6" t="inlineStr"/>
      <c r="Q1139" s="5" t="inlineStr"/>
      <c r="R1139" s="5" t="inlineStr"/>
      <c r="S1139" s="5" t="inlineStr"/>
      <c r="T1139" s="5" t="inlineStr"/>
      <c r="U1139" s="5" t="inlineStr"/>
      <c r="V1139" s="5" t="inlineStr"/>
      <c r="W1139" s="5" t="inlineStr"/>
      <c r="X1139" s="5" t="inlineStr"/>
      <c r="Y1139" s="5" t="inlineStr"/>
      <c r="Z1139" s="6" t="inlineStr"/>
    </row>
    <row r="1140">
      <c r="A1140" s="5" t="inlineStr">
        <is>
          <t>b10-teknoloji-kursu</t>
        </is>
      </c>
      <c r="B1140" s="5" t="n">
        <v>3</v>
      </c>
      <c r="C1140" s="6" t="inlineStr">
        <is>
          <t>Eğitmene ders ver</t>
        </is>
      </c>
      <c r="D1140" s="5" t="inlineStr">
        <is>
          <t>Akıl</t>
        </is>
      </c>
      <c r="E1140" s="5" t="inlineStr">
        <is>
          <t>Zor</t>
        </is>
      </c>
      <c r="F1140" s="5" t="inlineStr"/>
      <c r="G1140" s="6" t="inlineStr"/>
      <c r="H1140" s="6" t="inlineStr">
        <is>
          <t>Eğitmen, 'Aslında bu kısayolu bilmiyordum' dedi. Sınıf sana döndü.</t>
        </is>
      </c>
      <c r="I1140" s="6" t="inlineStr">
        <is>
          <t>Kursun ikinci döneminde eğitmen sensin. Belediye maaş değil, çay ikram ediyor.</t>
        </is>
      </c>
      <c r="J1140" s="6" t="inlineStr">
        <is>
          <t>Kısayolu gösterdin, telefon fabrika ayarlarına döndü.</t>
        </is>
      </c>
      <c r="K1140" s="6" t="inlineStr">
        <is>
          <t>Kısayol çalıştı; sınıftaki bütün telefonlar aynı anda aynı şarkıyı çalmaya başladı.</t>
        </is>
      </c>
      <c r="L1140" s="6" t="inlineStr"/>
      <c r="M1140" s="5" t="inlineStr"/>
      <c r="N1140" s="5" t="inlineStr"/>
      <c r="O1140" s="6" t="inlineStr"/>
      <c r="P1140" s="6" t="inlineStr"/>
      <c r="Q1140" s="5" t="inlineStr">
        <is>
          <t>Teknoloji Merakı</t>
        </is>
      </c>
      <c r="R1140" s="5" t="inlineStr"/>
      <c r="S1140" s="5" t="inlineStr"/>
      <c r="T1140" s="5" t="inlineStr"/>
      <c r="U1140" s="5" t="inlineStr"/>
      <c r="V1140" s="5" t="inlineStr"/>
      <c r="W1140" s="5" t="inlineStr"/>
      <c r="X1140" s="5" t="inlineStr"/>
      <c r="Y1140" s="5" t="inlineStr"/>
      <c r="Z1140" s="6" t="inlineStr"/>
    </row>
    <row r="1141">
      <c r="A1141" s="5" t="inlineStr">
        <is>
          <t>b10-teknoloji-kursu</t>
        </is>
      </c>
      <c r="B1141" s="5" t="n">
        <v>4</v>
      </c>
      <c r="C1141" s="6" t="inlineStr">
        <is>
          <t>Kursu yarıda bırak</t>
        </is>
      </c>
      <c r="D1141" s="5" t="inlineStr"/>
      <c r="E1141" s="5" t="inlineStr"/>
      <c r="F1141" s="5" t="inlineStr">
        <is>
          <t>Dayanıklılık +1</t>
        </is>
      </c>
      <c r="G1141" s="6" t="inlineStr">
        <is>
          <t>Kurs sertifikası verilmedi. Telefonun hâlâ yazı boyutu en büyükte.</t>
        </is>
      </c>
      <c r="H1141" s="6" t="inlineStr"/>
      <c r="I1141" s="6" t="inlineStr"/>
      <c r="J1141" s="6" t="inlineStr"/>
      <c r="K1141" s="6" t="inlineStr"/>
      <c r="L1141" s="6" t="inlineStr"/>
      <c r="M1141" s="5" t="inlineStr"/>
      <c r="N1141" s="5" t="inlineStr"/>
      <c r="O1141" s="6" t="inlineStr"/>
      <c r="P1141" s="6" t="inlineStr"/>
      <c r="Q1141" s="5" t="inlineStr"/>
      <c r="R1141" s="5" t="inlineStr"/>
      <c r="S1141" s="5" t="inlineStr"/>
      <c r="T1141" s="5" t="inlineStr"/>
      <c r="U1141" s="5" t="inlineStr"/>
      <c r="V1141" s="5" t="inlineStr"/>
      <c r="W1141" s="5" t="inlineStr"/>
      <c r="X1141" s="5" t="inlineStr"/>
      <c r="Y1141" s="5" t="inlineStr"/>
      <c r="Z1141" s="6" t="inlineStr"/>
    </row>
    <row r="1142">
      <c r="A1142" s="5" t="inlineStr">
        <is>
          <t>b10-balkon-kulesi</t>
        </is>
      </c>
      <c r="B1142" s="5" t="n">
        <v>1</v>
      </c>
      <c r="C1142" s="6" t="inlineStr">
        <is>
          <t>Sadece izle</t>
        </is>
      </c>
      <c r="D1142" s="5" t="inlineStr"/>
      <c r="E1142" s="5" t="inlineStr"/>
      <c r="F1142" s="5" t="inlineStr">
        <is>
          <t>Sosyal Radar +1</t>
        </is>
      </c>
      <c r="G1142" s="6" t="inlineStr">
        <is>
          <t>Günün raporu tamamlandı: iki taşınma, bir kavga, bir yanlış kargo. Kimse sormadı.</t>
        </is>
      </c>
      <c r="H1142" s="6" t="inlineStr"/>
      <c r="I1142" s="6" t="inlineStr"/>
      <c r="J1142" s="6" t="inlineStr"/>
      <c r="K1142" s="6" t="inlineStr"/>
      <c r="L1142" s="6" t="inlineStr"/>
      <c r="M1142" s="5" t="inlineStr"/>
      <c r="N1142" s="5" t="inlineStr"/>
      <c r="O1142" s="6" t="inlineStr"/>
      <c r="P1142" s="6" t="inlineStr"/>
      <c r="Q1142" s="5" t="inlineStr"/>
      <c r="R1142" s="5" t="inlineStr"/>
      <c r="S1142" s="5" t="inlineStr"/>
      <c r="T1142" s="5" t="inlineStr"/>
      <c r="U1142" s="5" t="inlineStr"/>
      <c r="V1142" s="5" t="inlineStr"/>
      <c r="W1142" s="5" t="inlineStr"/>
      <c r="X1142" s="5" t="inlineStr"/>
      <c r="Y1142" s="5" t="inlineStr"/>
      <c r="Z1142" s="6" t="inlineStr"/>
    </row>
    <row r="1143">
      <c r="A1143" s="5" t="inlineStr">
        <is>
          <t>b10-balkon-kulesi</t>
        </is>
      </c>
      <c r="B1143" s="5" t="n">
        <v>2</v>
      </c>
      <c r="C1143" s="6" t="inlineStr">
        <is>
          <t>Mahalle grubuna günlük rapor yaz</t>
        </is>
      </c>
      <c r="D1143" s="5" t="inlineStr">
        <is>
          <t>Sosyal Radar</t>
        </is>
      </c>
      <c r="E1143" s="5" t="inlineStr">
        <is>
          <t>Zor</t>
        </is>
      </c>
      <c r="F1143" s="5" t="inlineStr"/>
      <c r="G1143" s="6" t="inlineStr"/>
      <c r="H1143" s="6" t="inlineStr">
        <is>
          <t>Sabah raporun okunmadan kimse evden çıkmıyor. Resmî sıfatın yok, yetkin var.</t>
        </is>
      </c>
      <c r="I1143" s="6" t="inlineStr">
        <is>
          <t>Kayıp bir kargoyu, kayıp bir kediyi ve kayıp bir yönetici toplantısını aynı gün buldun. Sokak sana plaket verdi.</t>
        </is>
      </c>
      <c r="J1143" s="6" t="inlineStr">
        <is>
          <t>Raporun 'Bilgi kirliliği' gerekçesiyle gruptan kaldırıldı.</t>
        </is>
      </c>
      <c r="K1143" s="6" t="inlineStr">
        <is>
          <t>Raporuna kendi balkonunun fotoğrafı eklenmiş. Denetleyen denetlendi.</t>
        </is>
      </c>
      <c r="L1143" s="6" t="inlineStr"/>
      <c r="M1143" s="5" t="inlineStr"/>
      <c r="N1143" s="5" t="inlineStr"/>
      <c r="O1143" s="6" t="inlineStr"/>
      <c r="P1143" s="6" t="inlineStr"/>
      <c r="Q1143" s="5" t="inlineStr"/>
      <c r="R1143" s="5" t="inlineStr"/>
      <c r="S1143" s="5" t="inlineStr"/>
      <c r="T1143" s="5" t="inlineStr">
        <is>
          <t>Balkon Müfettişi</t>
        </is>
      </c>
      <c r="U1143" s="5" t="inlineStr"/>
      <c r="V1143" s="5" t="inlineStr"/>
      <c r="W1143" s="5" t="inlineStr"/>
      <c r="X1143" s="5" t="inlineStr"/>
      <c r="Y1143" s="5" t="inlineStr"/>
      <c r="Z1143" s="6" t="inlineStr"/>
    </row>
    <row r="1144">
      <c r="A1144" s="5" t="inlineStr">
        <is>
          <t>b10-balkon-kulesi</t>
        </is>
      </c>
      <c r="B1144" s="5" t="n">
        <v>3</v>
      </c>
      <c r="C1144" s="6" t="inlineStr">
        <is>
          <t>Sarkıp aşağıdaki tartışmaya katıl</t>
        </is>
      </c>
      <c r="D1144" s="5" t="inlineStr">
        <is>
          <t>Çene</t>
        </is>
      </c>
      <c r="E1144" s="5" t="inlineStr">
        <is>
          <t>Orta</t>
        </is>
      </c>
      <c r="F1144" s="5" t="inlineStr"/>
      <c r="G1144" s="6" t="inlineStr"/>
      <c r="H1144" s="6" t="inlineStr">
        <is>
          <t>Tek cümleyle park kavgasını çözdün. İki şoför de sana teşekkür etti.</t>
        </is>
      </c>
      <c r="I1144" s="6" t="inlineStr">
        <is>
          <t>Arabalar yer değiştirdi, taraflar barıştı, biri sana simit getirdi.</t>
        </is>
      </c>
      <c r="J1144" s="6" t="inlineStr">
        <is>
          <t>Sesin aşağıya ulaşmadı. Tartışma sensiz sonuçlandı.</t>
        </is>
      </c>
      <c r="K1144" s="6" t="inlineStr">
        <is>
          <t>Tartışmaya katıldın; iki taraf birleşip sana döndü.</t>
        </is>
      </c>
      <c r="L1144" s="6" t="inlineStr"/>
      <c r="M1144" s="5" t="inlineStr"/>
      <c r="N1144" s="5" t="inlineStr"/>
      <c r="O1144" s="6" t="inlineStr"/>
      <c r="P1144" s="6" t="inlineStr"/>
      <c r="Q1144" s="5" t="inlineStr"/>
      <c r="R1144" s="5" t="inlineStr"/>
      <c r="S1144" s="5" t="inlineStr"/>
      <c r="T1144" s="5" t="inlineStr"/>
      <c r="U1144" s="5" t="inlineStr"/>
      <c r="V1144" s="5" t="inlineStr"/>
      <c r="W1144" s="5" t="inlineStr"/>
      <c r="X1144" s="5" t="inlineStr"/>
      <c r="Y1144" s="5" t="n">
        <v>3</v>
      </c>
      <c r="Z1144" s="6" t="inlineStr">
        <is>
          <t>Balkondan aşağıdaki park tartışmasına hakem olarak katılırken. Kararı hâlâ geçerli.</t>
        </is>
      </c>
    </row>
    <row r="1145">
      <c r="A1145" s="5" t="inlineStr">
        <is>
          <t>b10-balkon-kulesi</t>
        </is>
      </c>
      <c r="B1145" s="5" t="n">
        <v>4</v>
      </c>
      <c r="C1145" s="6" t="inlineStr">
        <is>
          <t>Termosu yenile, perdeyi çek</t>
        </is>
      </c>
      <c r="D1145" s="5" t="inlineStr"/>
      <c r="E1145" s="5" t="inlineStr"/>
      <c r="F1145" s="5" t="inlineStr">
        <is>
          <t>Dayanıklılık +1</t>
        </is>
      </c>
      <c r="G1145" s="6" t="inlineStr">
        <is>
          <t>Gözlem kulesi bir günlüğüne kapatıldı. Sokak ne yapacağını bilemedi.</t>
        </is>
      </c>
      <c r="H1145" s="6" t="inlineStr"/>
      <c r="I1145" s="6" t="inlineStr"/>
      <c r="J1145" s="6" t="inlineStr"/>
      <c r="K1145" s="6" t="inlineStr"/>
      <c r="L1145" s="6" t="inlineStr"/>
      <c r="M1145" s="5" t="inlineStr"/>
      <c r="N1145" s="5" t="inlineStr"/>
      <c r="O1145" s="6" t="inlineStr"/>
      <c r="P1145" s="6" t="inlineStr"/>
      <c r="Q1145" s="5" t="inlineStr"/>
      <c r="R1145" s="5" t="inlineStr"/>
      <c r="S1145" s="5" t="inlineStr"/>
      <c r="T1145" s="5" t="inlineStr"/>
      <c r="U1145" s="5" t="inlineStr"/>
      <c r="V1145" s="5" t="inlineStr"/>
      <c r="W1145" s="5" t="inlineStr"/>
      <c r="X1145" s="5" t="inlineStr"/>
      <c r="Y1145" s="5" t="inlineStr"/>
      <c r="Z1145" s="6" t="inlineStr"/>
    </row>
    <row r="1146">
      <c r="A1146" s="5" t="inlineStr">
        <is>
          <t>b10-sinif-bulusmasi</t>
        </is>
      </c>
      <c r="B1146" s="5" t="n">
        <v>1</v>
      </c>
      <c r="C1146" s="6" t="inlineStr">
        <is>
          <t>Herkesi tek tek dinle</t>
        </is>
      </c>
      <c r="D1146" s="5" t="inlineStr"/>
      <c r="E1146" s="5" t="inlineStr"/>
      <c r="F1146" s="5" t="inlineStr">
        <is>
          <t>Vicdan +1, Sosyal Radar +1</t>
        </is>
      </c>
      <c r="G1146" s="6" t="inlineStr">
        <is>
          <t>On bir hayat, üç saat, dört demlik çay. Kimse sınav notunu hatırlamıyor, herkes teneffüsü hatırlıyor.</t>
        </is>
      </c>
      <c r="H1146" s="6" t="inlineStr"/>
      <c r="I1146" s="6" t="inlineStr"/>
      <c r="J1146" s="6" t="inlineStr"/>
      <c r="K1146" s="6" t="inlineStr"/>
      <c r="L1146" s="6" t="inlineStr"/>
      <c r="M1146" s="5" t="inlineStr"/>
      <c r="N1146" s="5" t="inlineStr"/>
      <c r="O1146" s="6" t="inlineStr"/>
      <c r="P1146" s="6" t="inlineStr"/>
      <c r="Q1146" s="5" t="inlineStr"/>
      <c r="R1146" s="5" t="inlineStr"/>
      <c r="S1146" s="5" t="inlineStr"/>
      <c r="T1146" s="5" t="inlineStr"/>
      <c r="U1146" s="5" t="inlineStr"/>
      <c r="V1146" s="5" t="inlineStr"/>
      <c r="W1146" s="5" t="inlineStr"/>
      <c r="X1146" s="5" t="inlineStr"/>
      <c r="Y1146" s="5" t="inlineStr"/>
      <c r="Z1146" s="6" t="inlineStr"/>
    </row>
    <row r="1147">
      <c r="A1147" s="5" t="inlineStr">
        <is>
          <t>b10-sinif-bulusmasi</t>
        </is>
      </c>
      <c r="B1147" s="5" t="n">
        <v>2</v>
      </c>
      <c r="C1147" s="6" t="inlineStr">
        <is>
          <t>Eski bir sırrı nihayet açıkla</t>
        </is>
      </c>
      <c r="D1147" s="5" t="inlineStr">
        <is>
          <t>Pişkinlik</t>
        </is>
      </c>
      <c r="E1147" s="5" t="inlineStr">
        <is>
          <t>Orta</t>
        </is>
      </c>
      <c r="F1147" s="5" t="inlineStr"/>
      <c r="G1147" s="6" t="inlineStr"/>
      <c r="H1147" s="6" t="inlineStr">
        <is>
          <t>Kırık tebeşirlerin hesabını verdin. Zaman aşımı nedeniyle beraat ettin.</t>
        </is>
      </c>
      <c r="I1147" s="6" t="inlineStr">
        <is>
          <t>İtirafın o kadar sevildi ki herkes kendi sırrını açıkladı. Buluşma, halka açık bir arşive dönüştü.</t>
        </is>
      </c>
      <c r="J1147" s="6" t="inlineStr">
        <is>
          <t>Sırrı açıkladın, kimse hatırlamadı. İtiraf boşa gitti.</t>
        </is>
      </c>
      <c r="K1147" s="6" t="inlineStr">
        <is>
          <t>Sırrı açıkladın; o gün cezayı çeken kişi karşında oturuyordu.</t>
        </is>
      </c>
      <c r="L1147" s="6" t="inlineStr"/>
      <c r="M1147" s="5" t="inlineStr"/>
      <c r="N1147" s="5" t="inlineStr"/>
      <c r="O1147" s="6" t="inlineStr"/>
      <c r="P1147" s="6" t="inlineStr"/>
      <c r="Q1147" s="5" t="inlineStr"/>
      <c r="R1147" s="5" t="inlineStr"/>
      <c r="S1147" s="5" t="inlineStr"/>
      <c r="T1147" s="5" t="inlineStr"/>
      <c r="U1147" s="5" t="inlineStr"/>
      <c r="V1147" s="5" t="inlineStr"/>
      <c r="W1147" s="5" t="inlineStr"/>
      <c r="X1147" s="5" t="inlineStr"/>
      <c r="Y1147" s="5" t="inlineStr"/>
      <c r="Z1147" s="6" t="inlineStr"/>
    </row>
    <row r="1148">
      <c r="A1148" s="5" t="inlineStr">
        <is>
          <t>b10-sinif-bulusmasi</t>
        </is>
      </c>
      <c r="B1148" s="5" t="n">
        <v>3</v>
      </c>
      <c r="C1148" s="6" t="inlineStr">
        <is>
          <t>Yoklama al</t>
        </is>
      </c>
      <c r="D1148" s="5" t="inlineStr"/>
      <c r="E1148" s="5" t="inlineStr"/>
      <c r="F1148" s="5" t="inlineStr">
        <is>
          <t>Çene +2</t>
        </is>
      </c>
      <c r="G1148" s="6" t="inlineStr">
        <is>
          <t>Defteri açtın, yoklama aldın. Gelmeyenlerin yanına sessizce not düştün. Başkanlık görevi resmen tamamlandı.</t>
        </is>
      </c>
      <c r="H1148" s="6" t="inlineStr"/>
      <c r="I1148" s="6" t="inlineStr"/>
      <c r="J1148" s="6" t="inlineStr"/>
      <c r="K1148" s="6" t="inlineStr"/>
      <c r="L1148" s="6" t="inlineStr"/>
      <c r="M1148" s="5" t="inlineStr"/>
      <c r="N1148" s="5" t="inlineStr"/>
      <c r="O1148" s="6" t="inlineStr"/>
      <c r="P1148" s="6" t="inlineStr"/>
      <c r="Q1148" s="5" t="inlineStr"/>
      <c r="R1148" s="5" t="inlineStr">
        <is>
          <t>baskan</t>
        </is>
      </c>
      <c r="S1148" s="5" t="inlineStr"/>
      <c r="T1148" s="5" t="inlineStr"/>
      <c r="U1148" s="5" t="inlineStr"/>
      <c r="V1148" s="5" t="inlineStr"/>
      <c r="W1148" s="5" t="inlineStr"/>
      <c r="X1148" s="5" t="inlineStr"/>
      <c r="Y1148" s="5" t="inlineStr"/>
      <c r="Z1148" s="6" t="inlineStr"/>
    </row>
    <row r="1149">
      <c r="A1149" s="5" t="inlineStr">
        <is>
          <t>b10-doktor-gomersiniz</t>
        </is>
      </c>
      <c r="B1149" s="5" t="n">
        <v>1</v>
      </c>
      <c r="C1149" s="6" t="inlineStr">
        <is>
          <t>Teşekkür et</t>
        </is>
      </c>
      <c r="D1149" s="5" t="inlineStr"/>
      <c r="E1149" s="5" t="inlineStr"/>
      <c r="F1149" s="5" t="inlineStr">
        <is>
          <t>Vicdan +1</t>
        </is>
      </c>
      <c r="G1149" s="6" t="inlineStr">
        <is>
          <t>İltifat dosyaya işlendi. Bir sonraki randevu altı ay sonraya verildi. Bu da bir iltifat.</t>
        </is>
      </c>
      <c r="H1149" s="6" t="inlineStr"/>
      <c r="I1149" s="6" t="inlineStr"/>
      <c r="J1149" s="6" t="inlineStr"/>
      <c r="K1149" s="6" t="inlineStr"/>
      <c r="L1149" s="6" t="inlineStr"/>
      <c r="M1149" s="5" t="inlineStr"/>
      <c r="N1149" s="5" t="inlineStr"/>
      <c r="O1149" s="6" t="inlineStr"/>
      <c r="P1149" s="6" t="inlineStr"/>
      <c r="Q1149" s="5" t="inlineStr"/>
      <c r="R1149" s="5" t="inlineStr"/>
      <c r="S1149" s="5" t="inlineStr"/>
      <c r="T1149" s="5" t="inlineStr"/>
      <c r="U1149" s="5" t="inlineStr"/>
      <c r="V1149" s="5" t="inlineStr"/>
      <c r="W1149" s="5" t="inlineStr"/>
      <c r="X1149" s="5" t="inlineStr"/>
      <c r="Y1149" s="5" t="inlineStr"/>
      <c r="Z1149" s="6" t="inlineStr"/>
    </row>
    <row r="1150">
      <c r="A1150" s="5" t="inlineStr">
        <is>
          <t>b10-doktor-gomersiniz</t>
        </is>
      </c>
      <c r="B1150" s="5" t="n">
        <v>2</v>
      </c>
      <c r="C1150" s="6" t="inlineStr">
        <is>
          <t>'Söz mü?' diye sor</t>
        </is>
      </c>
      <c r="D1150" s="5" t="inlineStr">
        <is>
          <t>Pişkinlik</t>
        </is>
      </c>
      <c r="E1150" s="5" t="inlineStr">
        <is>
          <t>Orta</t>
        </is>
      </c>
      <c r="F1150" s="5" t="inlineStr"/>
      <c r="G1150" s="6" t="inlineStr"/>
      <c r="H1150" s="6" t="inlineStr">
        <is>
          <t>Doktor güldü ve raporuna 'Hasta iyimser' yazdı.</t>
        </is>
      </c>
      <c r="I1150" s="6" t="inlineStr">
        <is>
          <t>Doktor elini sıktı: 'Söz.' Hastane bu sözü resmî bir belgeyle onaylamadı ama herkes duydu.</t>
        </is>
      </c>
      <c r="J1150" s="6" t="inlineStr">
        <is>
          <t>Doktor ciddileşti, 'Tıbben söz verilmez' dedi.</t>
        </is>
      </c>
      <c r="K1150" s="6" t="inlineStr">
        <is>
          <t>Doktor sözünü geri aldı ve iki tahlil daha istedi.</t>
        </is>
      </c>
      <c r="L1150" s="6" t="inlineStr"/>
      <c r="M1150" s="5" t="inlineStr"/>
      <c r="N1150" s="5" t="inlineStr"/>
      <c r="O1150" s="6" t="inlineStr"/>
      <c r="P1150" s="6" t="inlineStr"/>
      <c r="Q1150" s="5" t="inlineStr"/>
      <c r="R1150" s="5" t="inlineStr"/>
      <c r="S1150" s="5" t="inlineStr"/>
      <c r="T1150" s="5" t="inlineStr"/>
      <c r="U1150" s="5" t="inlineStr"/>
      <c r="V1150" s="5" t="inlineStr"/>
      <c r="W1150" s="5" t="inlineStr"/>
      <c r="X1150" s="5" t="inlineStr"/>
      <c r="Y1150" s="5" t="inlineStr"/>
      <c r="Z1150" s="6" t="inlineStr"/>
    </row>
    <row r="1151">
      <c r="A1151" s="5" t="inlineStr">
        <is>
          <t>b10-doktor-gomersiniz</t>
        </is>
      </c>
      <c r="B1151" s="5" t="n">
        <v>3</v>
      </c>
      <c r="C1151" s="6" t="inlineStr">
        <is>
          <t>Koridorda ısınma hareketi yap</t>
        </is>
      </c>
      <c r="D1151" s="5" t="inlineStr">
        <is>
          <t>Dayanıklılık</t>
        </is>
      </c>
      <c r="E1151" s="5" t="inlineStr">
        <is>
          <t>Orta</t>
        </is>
      </c>
      <c r="F1151" s="5" t="inlineStr"/>
      <c r="G1151" s="6" t="inlineStr"/>
      <c r="H1151" s="6" t="inlineStr">
        <is>
          <t>Koridordaki bekleyenler seni alkışladı. Tahlil sonuçların da.</t>
        </is>
      </c>
      <c r="I1151" s="6" t="inlineStr">
        <is>
          <t>Bekleme salonundaki herkes sana katıldı. Hastanede ilk sabah jimnastiği başlatıldı.</t>
        </is>
      </c>
      <c r="J1151" s="6" t="inlineStr">
        <is>
          <t>İki esneme hareketinden sonra koridordaki bankta dinlenmeye karar verdin.</t>
        </is>
      </c>
      <c r="K1151" s="6" t="inlineStr">
        <is>
          <t>Esnerken sıranı kaçırdın. Numaran iptal edildi.</t>
        </is>
      </c>
      <c r="L1151" s="6" t="inlineStr"/>
      <c r="M1151" s="5" t="inlineStr"/>
      <c r="N1151" s="5" t="inlineStr"/>
      <c r="O1151" s="6" t="inlineStr"/>
      <c r="P1151" s="6" t="inlineStr"/>
      <c r="Q1151" s="5" t="inlineStr"/>
      <c r="R1151" s="5" t="inlineStr"/>
      <c r="S1151" s="5" t="inlineStr">
        <is>
          <t>Dayanıklılık</t>
        </is>
      </c>
      <c r="T1151" s="5" t="inlineStr"/>
      <c r="U1151" s="5" t="inlineStr"/>
      <c r="V1151" s="5" t="inlineStr"/>
      <c r="W1151" s="5" t="inlineStr"/>
      <c r="X1151" s="5" t="inlineStr"/>
      <c r="Y1151" s="5" t="inlineStr"/>
      <c r="Z1151" s="6" t="inlineStr"/>
    </row>
    <row r="1152">
      <c r="A1152" s="5" t="inlineStr">
        <is>
          <t>b10-bayram-harcligi</t>
        </is>
      </c>
      <c r="B1152" s="5" t="n">
        <v>1</v>
      </c>
      <c r="C1152" s="6" t="inlineStr">
        <is>
          <t>Herkese eşit zarf</t>
        </is>
      </c>
      <c r="D1152" s="5" t="inlineStr"/>
      <c r="E1152" s="5" t="inlineStr"/>
      <c r="F1152" s="5" t="inlineStr">
        <is>
          <t>Vicdan +2</t>
        </is>
      </c>
      <c r="G1152" s="6" t="inlineStr">
        <is>
          <t>Bütün zarflar eşit. Çocuklar zarfları kapıda karşılaştırdı ve hayal kırıklığını eşit paylaştı.</t>
        </is>
      </c>
      <c r="H1152" s="6" t="inlineStr"/>
      <c r="I1152" s="6" t="inlineStr"/>
      <c r="J1152" s="6" t="inlineStr"/>
      <c r="K1152" s="6" t="inlineStr"/>
      <c r="L1152" s="6" t="inlineStr"/>
      <c r="M1152" s="5" t="inlineStr"/>
      <c r="N1152" s="5" t="inlineStr"/>
      <c r="O1152" s="6" t="inlineStr"/>
      <c r="P1152" s="6" t="inlineStr"/>
      <c r="Q1152" s="5" t="inlineStr"/>
      <c r="R1152" s="5" t="inlineStr"/>
      <c r="S1152" s="5" t="inlineStr"/>
      <c r="T1152" s="5" t="inlineStr"/>
      <c r="U1152" s="5" t="inlineStr"/>
      <c r="V1152" s="5" t="inlineStr"/>
      <c r="W1152" s="5" t="inlineStr"/>
      <c r="X1152" s="5" t="inlineStr"/>
      <c r="Y1152" s="5" t="inlineStr"/>
      <c r="Z1152" s="6" t="inlineStr"/>
    </row>
    <row r="1153">
      <c r="A1153" s="5" t="inlineStr">
        <is>
          <t>b10-bayram-harcligi</t>
        </is>
      </c>
      <c r="B1153" s="5" t="n">
        <v>2</v>
      </c>
      <c r="C1153" s="6" t="inlineStr">
        <is>
          <t>Montunu değiştiren çocuğu yakala</t>
        </is>
      </c>
      <c r="D1153" s="5" t="inlineStr">
        <is>
          <t>Kurnazlık</t>
        </is>
      </c>
      <c r="E1153" s="5" t="inlineStr">
        <is>
          <t>Kolay</t>
        </is>
      </c>
      <c r="F1153" s="5" t="inlineStr"/>
      <c r="G1153" s="6" t="inlineStr"/>
      <c r="H1153" s="6" t="inlineStr">
        <is>
          <t>'Az önce kırmızı montla gelmiştin' dedin. Çocuk saygıyla eğildi ve sıradan çıktı.</t>
        </is>
      </c>
      <c r="I1153" s="6" t="inlineStr">
        <is>
          <t>Yakaladın, ama taktiği o kadar beğendin ki ikinci zarfı da verdin. Yetenek desteklendi.</t>
        </is>
      </c>
      <c r="J1153" s="6" t="inlineStr">
        <is>
          <t>Çocuğu yakalayamadın. Mont değişimi başarılı oldu.</t>
        </is>
      </c>
      <c r="K1153" s="6" t="inlineStr">
        <is>
          <t>Yanlış çocuğu suçladın. İkizmiş.</t>
        </is>
      </c>
      <c r="L1153" s="6" t="inlineStr"/>
      <c r="M1153" s="5" t="inlineStr"/>
      <c r="N1153" s="5" t="inlineStr"/>
      <c r="O1153" s="6" t="inlineStr"/>
      <c r="P1153" s="6" t="inlineStr"/>
      <c r="Q1153" s="5" t="inlineStr"/>
      <c r="R1153" s="5" t="inlineStr"/>
      <c r="S1153" s="5" t="inlineStr"/>
      <c r="T1153" s="5" t="inlineStr"/>
      <c r="U1153" s="5" t="inlineStr"/>
      <c r="V1153" s="5" t="inlineStr"/>
      <c r="W1153" s="5" t="inlineStr"/>
      <c r="X1153" s="5" t="inlineStr"/>
      <c r="Y1153" s="5" t="inlineStr"/>
      <c r="Z1153" s="6" t="inlineStr"/>
    </row>
    <row r="1154">
      <c r="A1154" s="5" t="inlineStr">
        <is>
          <t>b10-bayram-harcligi</t>
        </is>
      </c>
      <c r="B1154" s="5" t="n">
        <v>3</v>
      </c>
      <c r="C1154" s="6" t="inlineStr">
        <is>
          <t>Zarfları yastık altından ver</t>
        </is>
      </c>
      <c r="D1154" s="5" t="inlineStr">
        <is>
          <t>Kurnazlık</t>
        </is>
      </c>
      <c r="E1154" s="5" t="inlineStr">
        <is>
          <t>Orta</t>
        </is>
      </c>
      <c r="F1154" s="5" t="inlineStr"/>
      <c r="G1154" s="6" t="inlineStr"/>
      <c r="H1154" s="6" t="inlineStr">
        <is>
          <t>Yastık altındaki zarflar eski banknotlarla doluydu ama hâlâ geçerliydi. Çocuklar tarih dersi aldı.</t>
        </is>
      </c>
      <c r="I1154" s="6" t="inlineStr">
        <is>
          <t>Yastığın altından yıllardır birikmiş bir hazine çıktı. Çocuklar bu bayramı destan olarak anlatıyor.</t>
        </is>
      </c>
      <c r="J1154" s="6" t="inlineStr">
        <is>
          <t>Yastık altındaki paraların bir kısmı tedavülden kalkmıştı. Çocuklar nazikçe teşekkür etti.</t>
        </is>
      </c>
      <c r="K1154" s="6" t="inlineStr">
        <is>
          <t>Yastığın altında zarf yerine eski kira makbuzları çıktı. Çocuklar yine de teşekkür etti.</t>
        </is>
      </c>
      <c r="L1154" s="6" t="inlineStr"/>
      <c r="M1154" s="5" t="inlineStr"/>
      <c r="N1154" s="5" t="inlineStr"/>
      <c r="O1154" s="6" t="inlineStr"/>
      <c r="P1154" s="6" t="inlineStr"/>
      <c r="Q1154" s="5" t="inlineStr">
        <is>
          <t>Yastık Altı Ekonomisti</t>
        </is>
      </c>
      <c r="R1154" s="5" t="inlineStr"/>
      <c r="S1154" s="5" t="inlineStr"/>
      <c r="T1154" s="5" t="inlineStr"/>
      <c r="U1154" s="5" t="inlineStr"/>
      <c r="V1154" s="5" t="inlineStr"/>
      <c r="W1154" s="5" t="inlineStr"/>
      <c r="X1154" s="5" t="inlineStr"/>
      <c r="Y1154" s="5" t="inlineStr"/>
      <c r="Z1154" s="6" t="inlineStr"/>
    </row>
    <row r="1155">
      <c r="A1155" s="5" t="inlineStr">
        <is>
          <t>b10-bayram-harcligi</t>
        </is>
      </c>
      <c r="B1155" s="5" t="n">
        <v>4</v>
      </c>
      <c r="C1155" s="6" t="inlineStr">
        <is>
          <t>Zarf yerine öğüt ver</t>
        </is>
      </c>
      <c r="D1155" s="5" t="inlineStr"/>
      <c r="E1155" s="5" t="inlineStr"/>
      <c r="F1155" s="5" t="inlineStr">
        <is>
          <t>Çene +1</t>
        </is>
      </c>
      <c r="G1155" s="6" t="inlineStr">
        <is>
          <t>Her çocuğa bir öğüt verildi. Sıra, rekor sürede dağıldı.</t>
        </is>
      </c>
      <c r="H1155" s="6" t="inlineStr"/>
      <c r="I1155" s="6" t="inlineStr"/>
      <c r="J1155" s="6" t="inlineStr"/>
      <c r="K1155" s="6" t="inlineStr"/>
      <c r="L1155" s="6" t="inlineStr"/>
      <c r="M1155" s="5" t="inlineStr"/>
      <c r="N1155" s="5" t="inlineStr"/>
      <c r="O1155" s="6" t="inlineStr"/>
      <c r="P1155" s="6" t="inlineStr"/>
      <c r="Q1155" s="5" t="inlineStr"/>
      <c r="R1155" s="5" t="inlineStr"/>
      <c r="S1155" s="5" t="inlineStr"/>
      <c r="T1155" s="5" t="inlineStr"/>
      <c r="U1155" s="5" t="inlineStr"/>
      <c r="V1155" s="5" t="inlineStr"/>
      <c r="W1155" s="5" t="inlineStr"/>
      <c r="X1155" s="5" t="inlineStr"/>
      <c r="Y1155" s="5" t="inlineStr"/>
      <c r="Z1155" s="6" t="inlineStr"/>
    </row>
    <row r="1156">
      <c r="A1156" s="5" t="inlineStr">
        <is>
          <t>b10-dijital-miras</t>
        </is>
      </c>
      <c r="B1156" s="5" t="n">
        <v>1</v>
      </c>
      <c r="C1156" s="6" t="inlineStr">
        <is>
          <t>Hepsini bir kâğıda yaz</t>
        </is>
      </c>
      <c r="D1156" s="5" t="inlineStr"/>
      <c r="E1156" s="5" t="inlineStr"/>
      <c r="F1156" s="5" t="inlineStr">
        <is>
          <t>Vicdan +1</t>
        </is>
      </c>
      <c r="G1156" s="6" t="inlineStr">
        <is>
          <t>Kırk şifre tek bir kâğıtta. Kâğıt buzdolabının üstünde. Siber güvenlik ekibi bu sahneyi eğitimlerde kullanıyor.</t>
        </is>
      </c>
      <c r="H1156" s="6" t="inlineStr"/>
      <c r="I1156" s="6" t="inlineStr"/>
      <c r="J1156" s="6" t="inlineStr"/>
      <c r="K1156" s="6" t="inlineStr"/>
      <c r="L1156" s="6" t="inlineStr"/>
      <c r="M1156" s="5" t="inlineStr"/>
      <c r="N1156" s="5" t="inlineStr"/>
      <c r="O1156" s="6" t="inlineStr"/>
      <c r="P1156" s="6" t="inlineStr"/>
      <c r="Q1156" s="5" t="inlineStr"/>
      <c r="R1156" s="5" t="inlineStr"/>
      <c r="S1156" s="5" t="inlineStr"/>
      <c r="T1156" s="5" t="inlineStr"/>
      <c r="U1156" s="5" t="inlineStr"/>
      <c r="V1156" s="5" t="inlineStr"/>
      <c r="W1156" s="5" t="inlineStr"/>
      <c r="X1156" s="5" t="inlineStr"/>
      <c r="Y1156" s="5" t="inlineStr"/>
      <c r="Z1156" s="6" t="inlineStr"/>
    </row>
    <row r="1157">
      <c r="A1157" s="5" t="inlineStr">
        <is>
          <t>b10-dijital-miras</t>
        </is>
      </c>
      <c r="B1157" s="5" t="n">
        <v>2</v>
      </c>
      <c r="C1157" s="6" t="inlineStr">
        <is>
          <t>Fotoğraf arşivini düzenle</t>
        </is>
      </c>
      <c r="D1157" s="5" t="inlineStr">
        <is>
          <t>Dayanıklılık</t>
        </is>
      </c>
      <c r="E1157" s="5" t="inlineStr">
        <is>
          <t>Zor</t>
        </is>
      </c>
      <c r="F1157" s="5" t="inlineStr"/>
      <c r="G1157" s="6" t="inlineStr"/>
      <c r="H1157" s="6" t="inlineStr">
        <is>
          <t>On iki bin fotoğrafı yıllara göre sıraladın. Arşiv, torunlar için bir müzeye dönüştü.</t>
        </is>
      </c>
      <c r="I1157" s="6" t="inlineStr">
        <is>
          <t>Klasör adları o kadar düzenli oldu ki aile her bayram arşiv turu yapıyor.</t>
        </is>
      </c>
      <c r="J1157" s="6" t="inlineStr">
        <is>
          <t>Üçüncü klasörde durdun. 'Adsız 1' ile 'Adsız 847' arasında bir yerde kayboldun.</t>
        </is>
      </c>
      <c r="K1157" s="6" t="inlineStr">
        <is>
          <t>Yanlışlıkla bütün arşivi 'Silinenler' klasörüne taşıdın. Torun üç gün kurtarma yaptı.</t>
        </is>
      </c>
      <c r="L1157" s="6" t="inlineStr"/>
      <c r="M1157" s="5" t="inlineStr"/>
      <c r="N1157" s="5" t="inlineStr"/>
      <c r="O1157" s="6" t="inlineStr"/>
      <c r="P1157" s="6" t="inlineStr"/>
      <c r="Q1157" s="5" t="inlineStr"/>
      <c r="R1157" s="5" t="inlineStr"/>
      <c r="S1157" s="5" t="inlineStr"/>
      <c r="T1157" s="5" t="inlineStr">
        <is>
          <t>Hayat Arşivcisi</t>
        </is>
      </c>
      <c r="U1157" s="5" t="inlineStr"/>
      <c r="V1157" s="5" t="inlineStr"/>
      <c r="W1157" s="5" t="inlineStr"/>
      <c r="X1157" s="5" t="inlineStr"/>
      <c r="Y1157" s="5" t="inlineStr"/>
      <c r="Z1157" s="6" t="inlineStr"/>
    </row>
    <row r="1158">
      <c r="A1158" s="5" t="inlineStr">
        <is>
          <t>b10-dijital-miras</t>
        </is>
      </c>
      <c r="B1158" s="5" t="n">
        <v>3</v>
      </c>
      <c r="C1158" s="6" t="inlineStr">
        <is>
          <t>Şifre sistemini torundan sakla</t>
        </is>
      </c>
      <c r="D1158" s="5" t="inlineStr">
        <is>
          <t>Akıl</t>
        </is>
      </c>
      <c r="E1158" s="5" t="inlineStr">
        <is>
          <t>Orta</t>
        </is>
      </c>
      <c r="F1158" s="5" t="inlineStr"/>
      <c r="G1158" s="6" t="inlineStr"/>
      <c r="H1158" s="6" t="inlineStr">
        <is>
          <t>Şifrelerin yerini bir bilmeceye gömdün. Miras, bir zekâ yarışmasına dönüştü.</t>
        </is>
      </c>
      <c r="I1158" s="6" t="inlineStr">
        <is>
          <t>Bilmece o kadar iyi ki torunlar çözmek için her pazar ziyarete geliyor.</t>
        </is>
      </c>
      <c r="J1158" s="6" t="inlineStr">
        <is>
          <t>Bilmeceyi sen de çözemedin. Hesaplar kilitlendi.</t>
        </is>
      </c>
      <c r="K1158" s="6" t="inlineStr">
        <is>
          <t>Bilmece ilk ipucunda çözüldü. İpucu kedinin adıydı.</t>
        </is>
      </c>
      <c r="L1158" s="6" t="inlineStr"/>
      <c r="M1158" s="5" t="inlineStr"/>
      <c r="N1158" s="5" t="inlineStr"/>
      <c r="O1158" s="6" t="inlineStr"/>
      <c r="P1158" s="6" t="inlineStr"/>
      <c r="Q1158" s="5" t="inlineStr"/>
      <c r="R1158" s="5" t="inlineStr"/>
      <c r="S1158" s="5" t="inlineStr">
        <is>
          <t>Akıl</t>
        </is>
      </c>
      <c r="T1158" s="5" t="inlineStr"/>
      <c r="U1158" s="5" t="inlineStr"/>
      <c r="V1158" s="5" t="inlineStr"/>
      <c r="W1158" s="5" t="inlineStr"/>
      <c r="X1158" s="5" t="inlineStr"/>
      <c r="Y1158" s="5" t="inlineStr"/>
      <c r="Z1158" s="6" t="inlineStr"/>
    </row>
    <row r="1159">
      <c r="A1159" s="5" t="inlineStr">
        <is>
          <t>b10-mezar-parseli</t>
        </is>
      </c>
      <c r="B1159" s="5" t="n">
        <v>1</v>
      </c>
      <c r="C1159" s="6" t="inlineStr">
        <is>
          <t>Otoparka bakan parseli al</t>
        </is>
      </c>
      <c r="D1159" s="5" t="inlineStr"/>
      <c r="E1159" s="5" t="inlineStr"/>
      <c r="F1159" s="5" t="inlineStr">
        <is>
          <t>Kurnazlık +1</t>
        </is>
      </c>
      <c r="G1159" s="6" t="inlineStr">
        <is>
          <t>Uygun fiyatlı parsel alındı. Ziyaretçiler en azından park yeri aramayacak.</t>
        </is>
      </c>
      <c r="H1159" s="6" t="inlineStr"/>
      <c r="I1159" s="6" t="inlineStr"/>
      <c r="J1159" s="6" t="inlineStr"/>
      <c r="K1159" s="6" t="inlineStr"/>
      <c r="L1159" s="6" t="inlineStr"/>
      <c r="M1159" s="5" t="inlineStr"/>
      <c r="N1159" s="5" t="inlineStr"/>
      <c r="O1159" s="6" t="inlineStr"/>
      <c r="P1159" s="6" t="inlineStr"/>
      <c r="Q1159" s="5" t="inlineStr"/>
      <c r="R1159" s="5" t="inlineStr"/>
      <c r="S1159" s="5" t="inlineStr"/>
      <c r="T1159" s="5" t="inlineStr"/>
      <c r="U1159" s="5" t="inlineStr">
        <is>
          <t>manzarali-parsel</t>
        </is>
      </c>
      <c r="V1159" s="5" t="inlineStr"/>
      <c r="W1159" s="5" t="inlineStr"/>
      <c r="X1159" s="5" t="inlineStr"/>
      <c r="Y1159" s="5" t="inlineStr"/>
      <c r="Z1159" s="6" t="inlineStr"/>
    </row>
    <row r="1160">
      <c r="A1160" s="5" t="inlineStr">
        <is>
          <t>b10-mezar-parseli</t>
        </is>
      </c>
      <c r="B1160" s="5" t="n">
        <v>2</v>
      </c>
      <c r="C1160" s="6" t="inlineStr">
        <is>
          <t>Manzaralı parsel için pazarlık et</t>
        </is>
      </c>
      <c r="D1160" s="5" t="inlineStr">
        <is>
          <t>Çene</t>
        </is>
      </c>
      <c r="E1160" s="5" t="inlineStr">
        <is>
          <t>Zor</t>
        </is>
      </c>
      <c r="F1160" s="5" t="inlineStr"/>
      <c r="G1160" s="6" t="inlineStr"/>
      <c r="H1160" s="6" t="inlineStr">
        <is>
          <t>Manzaralı parsel indirimle alındı. Görevli 'Bunu kimseye söylemeyin' dedi.</t>
        </is>
      </c>
      <c r="I1160" s="6" t="inlineStr">
        <is>
          <t>Manzaralı parseli aldın, yanına bir de bank konuldu. Ziyaret saatleri artık piknik saatleri.</t>
        </is>
      </c>
      <c r="J1160" s="6" t="inlineStr">
        <is>
          <t>Pazarlık uzadı, manzaralı parsel başka birine satıldı. O kişi de pazarlık ediyordu.</t>
        </is>
      </c>
      <c r="K1160" s="6" t="inlineStr">
        <is>
          <t>Pazarlık sırasında parselin fiyatı zamlandı. Sen tartışırken tarife değişti.</t>
        </is>
      </c>
      <c r="L1160" s="6" t="inlineStr"/>
      <c r="M1160" s="5" t="inlineStr"/>
      <c r="N1160" s="5" t="inlineStr"/>
      <c r="O1160" s="6" t="inlineStr"/>
      <c r="P1160" s="6" t="inlineStr"/>
      <c r="Q1160" s="5" t="inlineStr"/>
      <c r="R1160" s="5" t="inlineStr"/>
      <c r="S1160" s="5" t="inlineStr"/>
      <c r="T1160" s="5" t="inlineStr">
        <is>
          <t>Son Sözü Söyler</t>
        </is>
      </c>
      <c r="U1160" s="5" t="inlineStr"/>
      <c r="V1160" s="5" t="inlineStr">
        <is>
          <t>manzarali-parsel</t>
        </is>
      </c>
      <c r="W1160" s="5" t="inlineStr"/>
      <c r="X1160" s="5" t="inlineStr"/>
      <c r="Y1160" s="5" t="inlineStr"/>
      <c r="Z1160" s="6" t="inlineStr"/>
    </row>
    <row r="1161">
      <c r="A1161" s="5" t="inlineStr">
        <is>
          <t>b10-mezar-parseli</t>
        </is>
      </c>
      <c r="B1161" s="5" t="n">
        <v>3</v>
      </c>
      <c r="C1161" s="6" t="inlineStr">
        <is>
          <t>Parseli yatarak test et</t>
        </is>
      </c>
      <c r="D1161" s="5" t="inlineStr">
        <is>
          <t>Cesaret</t>
        </is>
      </c>
      <c r="E1161" s="5" t="inlineStr">
        <is>
          <t>Orta</t>
        </is>
      </c>
      <c r="F1161" s="5" t="inlineStr"/>
      <c r="G1161" s="6" t="inlineStr"/>
      <c r="H1161" s="6" t="inlineStr">
        <is>
          <t>Uzandın, gökyüzüne baktın ve onayladın. Görevli ilk kez bir müşteriyi bu kadar ciddi gördü.</t>
        </is>
      </c>
      <c r="I1161" s="6" t="inlineStr">
        <is>
          <t>Uzandın, manzara mükemmeldi, bir kuş tam üstünde tünedi. İmza atıldı.</t>
        </is>
      </c>
      <c r="J1161" s="6" t="inlineStr">
        <is>
          <t>Uzandın, görevli fiyat listesini tepende yüksek sesle okudu. Manzara bozuldu.</t>
        </is>
      </c>
      <c r="K1161" s="6" t="inlineStr">
        <is>
          <t>Uzandın ve biraz fazla rahat ettin. Görevli seni uyandırmak için iki kez öksürdü.</t>
        </is>
      </c>
      <c r="L1161" s="6" t="inlineStr"/>
      <c r="M1161" s="5" t="inlineStr"/>
      <c r="N1161" s="5" t="inlineStr"/>
      <c r="O1161" s="6" t="inlineStr"/>
      <c r="P1161" s="6" t="inlineStr"/>
      <c r="Q1161" s="5" t="inlineStr"/>
      <c r="R1161" s="5" t="inlineStr"/>
      <c r="S1161" s="5" t="inlineStr"/>
      <c r="T1161" s="5" t="inlineStr"/>
      <c r="U1161" s="5" t="inlineStr"/>
      <c r="V1161" s="5" t="inlineStr">
        <is>
          <t>manzarali-parsel</t>
        </is>
      </c>
      <c r="W1161" s="5" t="inlineStr"/>
      <c r="X1161" s="5" t="inlineStr"/>
      <c r="Y1161" s="5" t="n">
        <v>3</v>
      </c>
      <c r="Z1161" s="6" t="inlineStr">
        <is>
          <t>Manzaralı parseli yerinde incelerken. Manzarayı onayladı.</t>
        </is>
      </c>
    </row>
    <row r="1162">
      <c r="A1162" s="5" t="inlineStr">
        <is>
          <t>b10-danismanlik</t>
        </is>
      </c>
      <c r="B1162" s="5" t="n">
        <v>1</v>
      </c>
      <c r="C1162" s="6" t="inlineStr">
        <is>
          <t>Yerini telefonda söyle</t>
        </is>
      </c>
      <c r="D1162" s="5" t="inlineStr"/>
      <c r="E1162" s="5" t="inlineStr"/>
      <c r="F1162" s="5" t="inlineStr">
        <is>
          <t>Vicdan +1</t>
        </is>
      </c>
      <c r="G1162" s="6" t="inlineStr">
        <is>
          <t>Dosya bulundu. Teşekkür mesajı ikinci gün gelmedi.</t>
        </is>
      </c>
      <c r="H1162" s="6" t="inlineStr"/>
      <c r="I1162" s="6" t="inlineStr"/>
      <c r="J1162" s="6" t="inlineStr"/>
      <c r="K1162" s="6" t="inlineStr"/>
      <c r="L1162" s="6" t="inlineStr"/>
      <c r="M1162" s="5" t="inlineStr"/>
      <c r="N1162" s="5" t="inlineStr"/>
      <c r="O1162" s="6" t="inlineStr"/>
      <c r="P1162" s="6" t="inlineStr"/>
      <c r="Q1162" s="5" t="inlineStr"/>
      <c r="R1162" s="5" t="inlineStr"/>
      <c r="S1162" s="5" t="inlineStr"/>
      <c r="T1162" s="5" t="inlineStr"/>
      <c r="U1162" s="5" t="inlineStr"/>
      <c r="V1162" s="5" t="inlineStr"/>
      <c r="W1162" s="5" t="inlineStr"/>
      <c r="X1162" s="5" t="inlineStr"/>
      <c r="Y1162" s="5" t="inlineStr"/>
      <c r="Z1162" s="6" t="inlineStr"/>
    </row>
    <row r="1163">
      <c r="A1163" s="5" t="inlineStr">
        <is>
          <t>b10-danismanlik</t>
        </is>
      </c>
      <c r="B1163" s="5" t="n">
        <v>2</v>
      </c>
      <c r="C1163" s="6" t="inlineStr">
        <is>
          <t>Danışmanlık ücreti iste</t>
        </is>
      </c>
      <c r="D1163" s="5" t="inlineStr">
        <is>
          <t>Kurnazlık</t>
        </is>
      </c>
      <c r="E1163" s="5" t="inlineStr">
        <is>
          <t>Orta</t>
        </is>
      </c>
      <c r="F1163" s="5" t="inlineStr"/>
      <c r="G1163" s="6" t="inlineStr"/>
      <c r="H1163" s="6" t="inlineStr">
        <is>
          <t>Tek cümlelik bilgi için yarım aylık maaş aldın. Kurumsal hafıza pahalıdır.</t>
        </is>
      </c>
      <c r="I1163" s="6" t="inlineStr">
        <is>
          <t>Aylık danışmanlık sözleşmesi imzalandı. Görevin: ayda bir kez telefon açmak.</t>
        </is>
      </c>
      <c r="J1163" s="6" t="inlineStr">
        <is>
          <t>Ücret istedin, onlar dosyayı kendileri buldu. Danışmanlık teklifi rafa kaldırıldı.</t>
        </is>
      </c>
      <c r="K1163" s="6" t="inlineStr">
        <is>
          <t>Ücret istedin, dosyayı sen getirmek zorunda kaldın. Otobüs parası da senden.</t>
        </is>
      </c>
      <c r="L1163" s="6" t="inlineStr"/>
      <c r="M1163" s="5" t="inlineStr"/>
      <c r="N1163" s="5" t="inlineStr"/>
      <c r="O1163" s="6" t="inlineStr"/>
      <c r="P1163" s="6" t="inlineStr"/>
      <c r="Q1163" s="5" t="inlineStr"/>
      <c r="R1163" s="5" t="inlineStr"/>
      <c r="S1163" s="5" t="inlineStr"/>
      <c r="T1163" s="5" t="inlineStr"/>
      <c r="U1163" s="5" t="inlineStr"/>
      <c r="V1163" s="5" t="inlineStr"/>
      <c r="W1163" s="5" t="inlineStr"/>
      <c r="X1163" s="5" t="inlineStr"/>
      <c r="Y1163" s="5" t="inlineStr"/>
      <c r="Z1163" s="6" t="inlineStr"/>
    </row>
    <row r="1164">
      <c r="A1164" s="5" t="inlineStr">
        <is>
          <t>b10-danismanlik</t>
        </is>
      </c>
      <c r="B1164" s="5" t="n">
        <v>3</v>
      </c>
      <c r="C1164" s="6" t="inlineStr">
        <is>
          <t>Arşivin yerini söyle</t>
        </is>
      </c>
      <c r="D1164" s="5" t="inlineStr"/>
      <c r="E1164" s="5" t="inlineStr"/>
      <c r="F1164" s="5" t="inlineStr">
        <is>
          <t>Akıl +2</t>
        </is>
      </c>
      <c r="G1164" s="6" t="inlineStr">
        <is>
          <t>'Üçüncü kat, ikinci oda, dolabın arkası, mavi klasör.' Kurum seni kırk dakika alkışladı. Ödeme yapılmadı.</t>
        </is>
      </c>
      <c r="H1164" s="6" t="inlineStr"/>
      <c r="I1164" s="6" t="inlineStr"/>
      <c r="J1164" s="6" t="inlineStr"/>
      <c r="K1164" s="6" t="inlineStr"/>
      <c r="L1164" s="6" t="inlineStr"/>
      <c r="M1164" s="5" t="inlineStr"/>
      <c r="N1164" s="5" t="inlineStr"/>
      <c r="O1164" s="6" t="inlineStr"/>
      <c r="P1164" s="6" t="inlineStr"/>
      <c r="Q1164" s="5" t="inlineStr"/>
      <c r="R1164" s="5" t="inlineStr">
        <is>
          <t>meslek-memur</t>
        </is>
      </c>
      <c r="S1164" s="5" t="inlineStr"/>
      <c r="T1164" s="5" t="inlineStr"/>
      <c r="U1164" s="5" t="inlineStr"/>
      <c r="V1164" s="5" t="inlineStr"/>
      <c r="W1164" s="5" t="inlineStr"/>
      <c r="X1164" s="5" t="inlineStr"/>
      <c r="Y1164" s="5" t="inlineStr"/>
      <c r="Z1164" s="6" t="inlineStr"/>
    </row>
    <row r="1165">
      <c r="A1165" s="5" t="inlineStr">
        <is>
          <t>b10-eski-dost-cenazesi</t>
        </is>
      </c>
      <c r="B1165" s="5" t="n">
        <v>1</v>
      </c>
      <c r="C1165" s="6" t="inlineStr">
        <is>
          <t>Sadece yanında dur</t>
        </is>
      </c>
      <c r="D1165" s="5" t="inlineStr"/>
      <c r="E1165" s="5" t="inlineStr"/>
      <c r="F1165" s="5" t="inlineStr">
        <is>
          <t>Vicdan +2</t>
        </is>
      </c>
      <c r="G1165" s="6" t="inlineStr">
        <is>
          <t>Not almadın. Bazı şeyler belgelenmez.</t>
        </is>
      </c>
      <c r="H1165" s="6" t="inlineStr"/>
      <c r="I1165" s="6" t="inlineStr"/>
      <c r="J1165" s="6" t="inlineStr"/>
      <c r="K1165" s="6" t="inlineStr"/>
      <c r="L1165" s="6" t="inlineStr"/>
      <c r="M1165" s="5" t="inlineStr"/>
      <c r="N1165" s="5" t="inlineStr"/>
      <c r="O1165" s="6" t="inlineStr"/>
      <c r="P1165" s="6" t="inlineStr"/>
      <c r="Q1165" s="5" t="inlineStr"/>
      <c r="R1165" s="5" t="inlineStr"/>
      <c r="S1165" s="5" t="inlineStr"/>
      <c r="T1165" s="5" t="inlineStr"/>
      <c r="U1165" s="5" t="inlineStr"/>
      <c r="V1165" s="5" t="inlineStr"/>
      <c r="W1165" s="5" t="inlineStr"/>
      <c r="X1165" s="5" t="inlineStr"/>
      <c r="Y1165" s="5" t="inlineStr"/>
      <c r="Z1165" s="6" t="inlineStr"/>
    </row>
    <row r="1166">
      <c r="A1166" s="5" t="inlineStr">
        <is>
          <t>b10-eski-dost-cenazesi</t>
        </is>
      </c>
      <c r="B1166" s="5" t="n">
        <v>2</v>
      </c>
      <c r="C1166" s="6" t="inlineStr">
        <is>
          <t>Kısa bir konuşma yap</t>
        </is>
      </c>
      <c r="D1166" s="5" t="inlineStr">
        <is>
          <t>Çene</t>
        </is>
      </c>
      <c r="E1166" s="5" t="inlineStr">
        <is>
          <t>Zor</t>
        </is>
      </c>
      <c r="F1166" s="5" t="inlineStr"/>
      <c r="G1166" s="6" t="inlineStr"/>
      <c r="H1166" s="6" t="inlineStr">
        <is>
          <t>Üç cümle konuştun. Kalabalık aynı anda hem güldü hem ağladı.</t>
        </is>
      </c>
      <c r="I1166" s="6" t="inlineStr">
        <is>
          <t>Konuşman o kadar iyi oldu ki üç kişi kendi cenazeleri için seni rezerve etti.</t>
        </is>
      </c>
      <c r="J1166" s="6" t="inlineStr">
        <is>
          <t>Hazırladığın notları kaybettin ve yalnızca 'İyi insandı' dedin. Yeterliydi.</t>
        </is>
      </c>
      <c r="K1166" s="6" t="inlineStr">
        <is>
          <t>Konuşmanın ortasında dostunun adını ikinci adıyla karıştırdın. Kimse düzeltmedi, herkes hatırladı.</t>
        </is>
      </c>
      <c r="L1166" s="6" t="inlineStr"/>
      <c r="M1166" s="5" t="inlineStr"/>
      <c r="N1166" s="5" t="inlineStr"/>
      <c r="O1166" s="6" t="inlineStr"/>
      <c r="P1166" s="6" t="inlineStr"/>
      <c r="Q1166" s="5" t="inlineStr"/>
      <c r="R1166" s="5" t="inlineStr"/>
      <c r="S1166" s="5" t="inlineStr"/>
      <c r="T1166" s="5" t="inlineStr">
        <is>
          <t>Son Sözü Söyler</t>
        </is>
      </c>
      <c r="U1166" s="5" t="inlineStr"/>
      <c r="V1166" s="5" t="inlineStr"/>
      <c r="W1166" s="5" t="inlineStr"/>
      <c r="X1166" s="5" t="inlineStr"/>
      <c r="Y1166" s="5" t="inlineStr"/>
      <c r="Z1166" s="6" t="inlineStr"/>
    </row>
    <row r="1167">
      <c r="A1167" s="5" t="inlineStr">
        <is>
          <t>b10-eski-dost-cenazesi</t>
        </is>
      </c>
      <c r="B1167" s="5" t="n">
        <v>3</v>
      </c>
      <c r="C1167" s="6" t="inlineStr">
        <is>
          <t>Uzun konuşana nazikçe süre bildir</t>
        </is>
      </c>
      <c r="D1167" s="5" t="inlineStr">
        <is>
          <t>Sosyal Radar</t>
        </is>
      </c>
      <c r="E1167" s="5" t="inlineStr">
        <is>
          <t>Kolay</t>
        </is>
      </c>
      <c r="F1167" s="5" t="inlineStr"/>
      <c r="G1167" s="6" t="inlineStr"/>
      <c r="H1167" s="6" t="inlineStr">
        <is>
          <t>Uzun konuşan kişiye göz ucuyla saat gösterdin. Konuşma zarif bir şekilde bitti.</t>
        </is>
      </c>
      <c r="I1167" s="6" t="inlineStr">
        <is>
          <t>Uzun konuşan kişi mesajını anladı ve sana kendi cenazesinde konuşma sırası teklif etti.</t>
        </is>
      </c>
      <c r="J1167" s="6" t="inlineStr">
        <is>
          <t>İşaretin anlaşılmadı. Konuşma üçüncü perdeye geçti.</t>
        </is>
      </c>
      <c r="K1167" s="6" t="inlineStr">
        <is>
          <t>İşaretini gören başka biri de konuşmaya başladı. Tören iki saat uzadı.</t>
        </is>
      </c>
      <c r="L1167" s="6" t="inlineStr"/>
      <c r="M1167" s="5" t="inlineStr"/>
      <c r="N1167" s="5" t="inlineStr"/>
      <c r="O1167" s="6" t="inlineStr"/>
      <c r="P1167" s="6" t="inlineStr"/>
      <c r="Q1167" s="5" t="inlineStr"/>
      <c r="R1167" s="5" t="inlineStr"/>
      <c r="S1167" s="5" t="inlineStr">
        <is>
          <t>Sosyal Radar</t>
        </is>
      </c>
      <c r="T1167" s="5" t="inlineStr"/>
      <c r="U1167" s="5" t="inlineStr"/>
      <c r="V1167" s="5" t="inlineStr"/>
      <c r="W1167" s="5" t="inlineStr"/>
      <c r="X1167" s="5" t="inlineStr"/>
      <c r="Y1167" s="5" t="inlineStr"/>
      <c r="Z1167" s="6" t="inlineStr"/>
    </row>
    <row r="1168">
      <c r="A1168" s="5" t="inlineStr">
        <is>
          <t>b10-ani-defteri</t>
        </is>
      </c>
      <c r="B1168" s="5" t="n">
        <v>1</v>
      </c>
      <c r="C1168" s="6" t="inlineStr">
        <is>
          <t>Olduğu gibi yaz</t>
        </is>
      </c>
      <c r="D1168" s="5" t="inlineStr"/>
      <c r="E1168" s="5" t="inlineStr"/>
      <c r="F1168" s="5" t="inlineStr">
        <is>
          <t>Vicdan +2</t>
        </is>
      </c>
      <c r="G1168" s="6" t="inlineStr">
        <is>
          <t>Defter bitti. Aile okudu, üç kişi aradı, bir kişi özür diledi.</t>
        </is>
      </c>
      <c r="H1168" s="6" t="inlineStr"/>
      <c r="I1168" s="6" t="inlineStr"/>
      <c r="J1168" s="6" t="inlineStr"/>
      <c r="K1168" s="6" t="inlineStr"/>
      <c r="L1168" s="6" t="inlineStr"/>
      <c r="M1168" s="5" t="inlineStr"/>
      <c r="N1168" s="5" t="inlineStr"/>
      <c r="O1168" s="6" t="inlineStr"/>
      <c r="P1168" s="6" t="inlineStr"/>
      <c r="Q1168" s="5" t="inlineStr"/>
      <c r="R1168" s="5" t="inlineStr"/>
      <c r="S1168" s="5" t="inlineStr"/>
      <c r="T1168" s="5" t="inlineStr"/>
      <c r="U1168" s="5" t="inlineStr">
        <is>
          <t>ani-defteri</t>
        </is>
      </c>
      <c r="V1168" s="5" t="inlineStr"/>
      <c r="W1168" s="5" t="inlineStr"/>
      <c r="X1168" s="5" t="inlineStr"/>
      <c r="Y1168" s="5" t="inlineStr"/>
      <c r="Z1168" s="6" t="inlineStr"/>
    </row>
    <row r="1169">
      <c r="A1169" s="5" t="inlineStr">
        <is>
          <t>b10-ani-defteri</t>
        </is>
      </c>
      <c r="B1169" s="5" t="n">
        <v>2</v>
      </c>
      <c r="C1169" s="6" t="inlineStr">
        <is>
          <t>Anıları biraz süsle</t>
        </is>
      </c>
      <c r="D1169" s="5" t="inlineStr">
        <is>
          <t>Pişkinlik</t>
        </is>
      </c>
      <c r="E1169" s="5" t="inlineStr">
        <is>
          <t>Orta</t>
        </is>
      </c>
      <c r="F1169" s="5" t="inlineStr"/>
      <c r="G1169" s="6" t="inlineStr"/>
      <c r="H1169" s="6" t="inlineStr">
        <is>
          <t>Anılar biraz süslendi. Ailede kimse düzeltemedi, çünkü o yıllarda kimse doğmamıştı.</t>
        </is>
      </c>
      <c r="I1169" s="6" t="inlineStr">
        <is>
          <t>Anı defteri o kadar sürükleyici oldu ki mahallede elden ele dolaşmaya başladı. Bazı komşular kitaba itiraz dilekçesi yazdı.</t>
        </is>
      </c>
      <c r="J1169" s="6" t="inlineStr">
        <is>
          <t>Süslemeler fark edildi. Deftere 'Kurgu' etiketi yapıştırıldı.</t>
        </is>
      </c>
      <c r="K1169" s="6" t="inlineStr">
        <is>
          <t>Anlattığın olaydaki kişi hâlâ hayatta ve anı defterini okudu.</t>
        </is>
      </c>
      <c r="L1169" s="6" t="inlineStr"/>
      <c r="M1169" s="5" t="inlineStr"/>
      <c r="N1169" s="5" t="inlineStr"/>
      <c r="O1169" s="6" t="inlineStr"/>
      <c r="P1169" s="6" t="inlineStr"/>
      <c r="Q1169" s="5" t="inlineStr"/>
      <c r="R1169" s="5" t="inlineStr"/>
      <c r="S1169" s="5" t="inlineStr"/>
      <c r="T1169" s="5" t="inlineStr"/>
      <c r="U1169" s="5" t="inlineStr">
        <is>
          <t>ani-defteri</t>
        </is>
      </c>
      <c r="V1169" s="5" t="inlineStr"/>
      <c r="W1169" s="5" t="inlineStr"/>
      <c r="X1169" s="5" t="inlineStr"/>
      <c r="Y1169" s="5" t="inlineStr"/>
      <c r="Z1169" s="6" t="inlineStr"/>
    </row>
    <row r="1170">
      <c r="A1170" s="5" t="inlineStr">
        <is>
          <t>b10-ani-defteri</t>
        </is>
      </c>
      <c r="B1170" s="5" t="n">
        <v>3</v>
      </c>
      <c r="C1170" s="6" t="inlineStr">
        <is>
          <t>Vazo olayının gerçeğini yaz</t>
        </is>
      </c>
      <c r="D1170" s="5" t="inlineStr">
        <is>
          <t>Vicdan</t>
        </is>
      </c>
      <c r="E1170" s="5" t="inlineStr">
        <is>
          <t>Kolay</t>
        </is>
      </c>
      <c r="F1170" s="5" t="inlineStr"/>
      <c r="G1170" s="6" t="inlineStr"/>
      <c r="H1170" s="6" t="inlineStr">
        <is>
          <t>Yetmiş yıllık bir dosya kapandı. Kedi, ölümünden yıllar sonra aklandı.</t>
        </is>
      </c>
      <c r="I1170" s="6" t="inlineStr">
        <is>
          <t>İtirafı okuyan aile üyeleri ayağa kalktı ve kedinin anısına bir dakikalık saygı duruşu yapıldı.</t>
        </is>
      </c>
      <c r="J1170" s="6" t="inlineStr">
        <is>
          <t>İtirafı yazdın ama sayfa kahveye bulandı. Kedinin sicili değişmedi.</t>
        </is>
      </c>
      <c r="K1170" s="6" t="inlineStr">
        <is>
          <t>Gerçeği yazdın; aile üyelerinden biri 'O vazoyu ben kırmıştım' dedi. Dosya yeniden açıldı.</t>
        </is>
      </c>
      <c r="L1170" s="6" t="inlineStr"/>
      <c r="M1170" s="5" t="inlineStr"/>
      <c r="N1170" s="5" t="inlineStr"/>
      <c r="O1170" s="6" t="inlineStr"/>
      <c r="P1170" s="6" t="inlineStr"/>
      <c r="Q1170" s="5" t="inlineStr"/>
      <c r="R1170" s="5" t="inlineStr">
        <is>
          <t>kediSuclu</t>
        </is>
      </c>
      <c r="S1170" s="5" t="inlineStr"/>
      <c r="T1170" s="5" t="inlineStr"/>
      <c r="U1170" s="5" t="inlineStr">
        <is>
          <t>ani-defteri</t>
        </is>
      </c>
      <c r="V1170" s="5" t="inlineStr"/>
      <c r="W1170" s="5" t="inlineStr"/>
      <c r="X1170" s="5" t="inlineStr"/>
      <c r="Y1170" s="5" t="inlineStr"/>
      <c r="Z1170" s="6" t="inlineStr"/>
    </row>
    <row r="1171">
      <c r="A1171" s="5" t="inlineStr">
        <is>
          <t>b10-seksen-yas-partisi</t>
        </is>
      </c>
      <c r="B1171" s="5" t="n">
        <v>1</v>
      </c>
      <c r="C1171" s="6" t="inlineStr">
        <is>
          <t>Mumları tek nefeste söndür</t>
        </is>
      </c>
      <c r="D1171" s="5" t="inlineStr">
        <is>
          <t>Dayanıklılık</t>
        </is>
      </c>
      <c r="E1171" s="5" t="inlineStr">
        <is>
          <t>Orta</t>
        </is>
      </c>
      <c r="F1171" s="5" t="inlineStr"/>
      <c r="G1171" s="6" t="inlineStr"/>
      <c r="H1171" s="6" t="inlineStr">
        <is>
          <t>Tek nefes, tüm mumlar. Oda alkışa, pasta kurtarılmaya geçti.</t>
        </is>
      </c>
      <c r="I1171" s="6" t="inlineStr">
        <is>
          <t>Tek nefesle söndürdün, yan masadaki mumları da. Rekor kayda geçti, pasta bozulmadı.</t>
        </is>
      </c>
      <c r="J1171" s="6" t="inlineStr">
        <is>
          <t>Mumların yarısı söndü. Yarısı dilek hakkı saymadı.</t>
        </is>
      </c>
      <c r="K1171" s="6" t="inlineStr">
        <is>
          <t>Üfledin, kremalar duvara yayıldı. Duvar kâğıdının adı artık 'Seksenlik Parti'.</t>
        </is>
      </c>
      <c r="L1171" s="6" t="inlineStr">
        <is>
          <t>Mumların çoğu söndü. Kalanları torunlar gizlice söndürdü. Toplam başarı ailevi.</t>
        </is>
      </c>
      <c r="M1171" s="5" t="inlineStr">
        <is>
          <t>breath</t>
        </is>
      </c>
      <c r="N1171" s="5" t="inlineStr">
        <is>
          <t>Mumları Söndür</t>
        </is>
      </c>
      <c r="O1171" s="6" t="inlineStr">
        <is>
          <t>Daire büyürken bas, küçülürken bırak. Nefesini doğru anda boşalt.</t>
        </is>
      </c>
      <c r="P1171" s="6" t="inlineStr"/>
      <c r="Q1171" s="5" t="inlineStr"/>
      <c r="R1171" s="5" t="inlineStr"/>
      <c r="S1171" s="5" t="inlineStr"/>
      <c r="T1171" s="5" t="inlineStr"/>
      <c r="U1171" s="5" t="inlineStr"/>
      <c r="V1171" s="5" t="inlineStr"/>
      <c r="W1171" s="5" t="inlineStr"/>
      <c r="X1171" s="5" t="inlineStr"/>
      <c r="Y1171" s="5" t="inlineStr"/>
      <c r="Z1171" s="6" t="inlineStr"/>
    </row>
    <row r="1172">
      <c r="A1172" s="5" t="inlineStr">
        <is>
          <t>b10-seksen-yas-partisi</t>
        </is>
      </c>
      <c r="B1172" s="5" t="n">
        <v>2</v>
      </c>
      <c r="C1172" s="6" t="inlineStr">
        <is>
          <t>Mumları çocuklara söndürt</t>
        </is>
      </c>
      <c r="D1172" s="5" t="inlineStr"/>
      <c r="E1172" s="5" t="inlineStr"/>
      <c r="F1172" s="5" t="inlineStr">
        <is>
          <t>Vicdan +1</t>
        </is>
      </c>
      <c r="G1172" s="6" t="inlineStr">
        <is>
          <t>Mumlar kolektif olarak söndürüldü. Dilek hakkı ortak mülkiyete geçti.</t>
        </is>
      </c>
      <c r="H1172" s="6" t="inlineStr"/>
      <c r="I1172" s="6" t="inlineStr"/>
      <c r="J1172" s="6" t="inlineStr"/>
      <c r="K1172" s="6" t="inlineStr"/>
      <c r="L1172" s="6" t="inlineStr"/>
      <c r="M1172" s="5" t="inlineStr"/>
      <c r="N1172" s="5" t="inlineStr"/>
      <c r="O1172" s="6" t="inlineStr"/>
      <c r="P1172" s="6" t="inlineStr"/>
      <c r="Q1172" s="5" t="inlineStr"/>
      <c r="R1172" s="5" t="inlineStr"/>
      <c r="S1172" s="5" t="inlineStr"/>
      <c r="T1172" s="5" t="inlineStr"/>
      <c r="U1172" s="5" t="inlineStr"/>
      <c r="V1172" s="5" t="inlineStr"/>
      <c r="W1172" s="5" t="inlineStr"/>
      <c r="X1172" s="5" t="inlineStr"/>
      <c r="Y1172" s="5" t="inlineStr"/>
      <c r="Z1172" s="6" t="inlineStr"/>
    </row>
    <row r="1173">
      <c r="A1173" s="5" t="inlineStr">
        <is>
          <t>b10-seksen-yas-partisi</t>
        </is>
      </c>
      <c r="B1173" s="5" t="n">
        <v>3</v>
      </c>
      <c r="C1173" s="6" t="inlineStr">
        <is>
          <t>Kısa bir konuşma yap</t>
        </is>
      </c>
      <c r="D1173" s="5" t="inlineStr">
        <is>
          <t>Çene</t>
        </is>
      </c>
      <c r="E1173" s="5" t="inlineStr">
        <is>
          <t>Orta</t>
        </is>
      </c>
      <c r="F1173" s="5" t="inlineStr"/>
      <c r="G1173" s="6" t="inlineStr"/>
      <c r="H1173" s="6" t="inlineStr">
        <is>
          <t>Seksen yılı dört cümleye sığdırdın. Kimse telefonuna bakmadı.</t>
        </is>
      </c>
      <c r="I1173" s="6" t="inlineStr">
        <is>
          <t>Konuşman videoya çekildi, aile grubunda sabitlendi. Artık her doğum gününde açılışta oynatılıyor.</t>
        </is>
      </c>
      <c r="J1173" s="6" t="inlineStr">
        <is>
          <t>Konuşman uzadı, mumlar kendi kendine söndü.</t>
        </is>
      </c>
      <c r="K1173" s="6" t="inlineStr">
        <is>
          <t>Konuşmanın ortasında zil çaldı. Kargo geldi. Salonun yarısı kapıya koştu.</t>
        </is>
      </c>
      <c r="L1173" s="6" t="inlineStr"/>
      <c r="M1173" s="5" t="inlineStr"/>
      <c r="N1173" s="5" t="inlineStr"/>
      <c r="O1173" s="6" t="inlineStr"/>
      <c r="P1173" s="6" t="inlineStr"/>
      <c r="Q1173" s="5" t="inlineStr"/>
      <c r="R1173" s="5" t="inlineStr"/>
      <c r="S1173" s="5" t="inlineStr"/>
      <c r="T1173" s="5" t="inlineStr"/>
      <c r="U1173" s="5" t="inlineStr"/>
      <c r="V1173" s="5" t="inlineStr"/>
      <c r="W1173" s="5" t="inlineStr"/>
      <c r="X1173" s="5" t="inlineStr"/>
      <c r="Y1173" s="5" t="inlineStr"/>
      <c r="Z1173" s="6" t="inlineStr"/>
    </row>
    <row r="1174">
      <c r="A1174" s="5" t="inlineStr">
        <is>
          <t>b10-seksen-yas-partisi</t>
        </is>
      </c>
      <c r="B1174" s="5" t="n">
        <v>4</v>
      </c>
      <c r="C1174" s="6" t="inlineStr">
        <is>
          <t>Pastayı gizlice kes</t>
        </is>
      </c>
      <c r="D1174" s="5" t="inlineStr"/>
      <c r="E1174" s="5" t="inlineStr"/>
      <c r="F1174" s="5" t="inlineStr">
        <is>
          <t>Kurnazlık +1</t>
        </is>
      </c>
      <c r="G1174" s="6" t="inlineStr">
        <is>
          <t>Konuşmalar bitmeden ilk dilim senin tabağındaydı. Seksen yıllık tecrübe.</t>
        </is>
      </c>
      <c r="H1174" s="6" t="inlineStr"/>
      <c r="I1174" s="6" t="inlineStr"/>
      <c r="J1174" s="6" t="inlineStr"/>
      <c r="K1174" s="6" t="inlineStr"/>
      <c r="L1174" s="6" t="inlineStr"/>
      <c r="M1174" s="5" t="inlineStr"/>
      <c r="N1174" s="5" t="inlineStr"/>
      <c r="O1174" s="6" t="inlineStr"/>
      <c r="P1174" s="6" t="inlineStr"/>
      <c r="Q1174" s="5" t="inlineStr"/>
      <c r="R1174" s="5" t="inlineStr"/>
      <c r="S1174" s="5" t="inlineStr"/>
      <c r="T1174" s="5" t="inlineStr"/>
      <c r="U1174" s="5" t="inlineStr"/>
      <c r="V1174" s="5" t="inlineStr"/>
      <c r="W1174" s="5" t="inlineStr"/>
      <c r="X1174" s="5" t="inlineStr"/>
      <c r="Y1174" s="5" t="inlineStr"/>
      <c r="Z1174" s="6" t="inlineStr"/>
    </row>
    <row r="1175">
      <c r="A1175" s="5" t="inlineStr">
        <is>
          <t>b10-huzurevi-turu</t>
        </is>
      </c>
      <c r="B1175" s="5" t="n">
        <v>1</v>
      </c>
      <c r="C1175" s="6" t="inlineStr">
        <is>
          <t>Nazikçe teşekkür et, evine dön</t>
        </is>
      </c>
      <c r="D1175" s="5" t="inlineStr"/>
      <c r="E1175" s="5" t="inlineStr"/>
      <c r="F1175" s="5" t="inlineStr">
        <is>
          <t>Dayanıklılık +1</t>
        </is>
      </c>
      <c r="G1175" s="6" t="inlineStr">
        <is>
          <t>Broşür alındı. Evdeki koltuk bir kez daha tercih edildi.</t>
        </is>
      </c>
      <c r="H1175" s="6" t="inlineStr"/>
      <c r="I1175" s="6" t="inlineStr"/>
      <c r="J1175" s="6" t="inlineStr"/>
      <c r="K1175" s="6" t="inlineStr"/>
      <c r="L1175" s="6" t="inlineStr"/>
      <c r="M1175" s="5" t="inlineStr"/>
      <c r="N1175" s="5" t="inlineStr"/>
      <c r="O1175" s="6" t="inlineStr"/>
      <c r="P1175" s="6" t="inlineStr"/>
      <c r="Q1175" s="5" t="inlineStr"/>
      <c r="R1175" s="5" t="inlineStr"/>
      <c r="S1175" s="5" t="inlineStr"/>
      <c r="T1175" s="5" t="inlineStr"/>
      <c r="U1175" s="5" t="inlineStr"/>
      <c r="V1175" s="5" t="inlineStr"/>
      <c r="W1175" s="5" t="inlineStr"/>
      <c r="X1175" s="5" t="inlineStr"/>
      <c r="Y1175" s="5" t="inlineStr"/>
      <c r="Z1175" s="6" t="inlineStr"/>
    </row>
    <row r="1176">
      <c r="A1176" s="5" t="inlineStr">
        <is>
          <t>b10-huzurevi-turu</t>
        </is>
      </c>
      <c r="B1176" s="5" t="n">
        <v>2</v>
      </c>
      <c r="C1176" s="6" t="inlineStr">
        <is>
          <t>Hemen kayıt ol</t>
        </is>
      </c>
      <c r="D1176" s="5" t="inlineStr"/>
      <c r="E1176" s="5" t="inlineStr"/>
      <c r="F1176" s="5" t="inlineStr">
        <is>
          <t>Sosyal Radar +2</t>
        </is>
      </c>
      <c r="G1176" s="6" t="inlineStr">
        <is>
          <t>Kayıt tamamlandı. Üç gün içinde bütün sakinlerin hayat hikâyesine vakıfsın; onlar da seninkine.</t>
        </is>
      </c>
      <c r="H1176" s="6" t="inlineStr"/>
      <c r="I1176" s="6" t="inlineStr"/>
      <c r="J1176" s="6" t="inlineStr"/>
      <c r="K1176" s="6" t="inlineStr"/>
      <c r="L1176" s="6" t="inlineStr"/>
      <c r="M1176" s="5" t="inlineStr"/>
      <c r="N1176" s="5" t="inlineStr"/>
      <c r="O1176" s="6" t="inlineStr"/>
      <c r="P1176" s="6" t="inlineStr"/>
      <c r="Q1176" s="5" t="inlineStr"/>
      <c r="R1176" s="5" t="inlineStr"/>
      <c r="S1176" s="5" t="inlineStr"/>
      <c r="T1176" s="5" t="inlineStr"/>
      <c r="U1176" s="5" t="inlineStr">
        <is>
          <t>huzurevi-sakini</t>
        </is>
      </c>
      <c r="V1176" s="5" t="inlineStr"/>
      <c r="W1176" s="5" t="inlineStr"/>
      <c r="X1176" s="5" t="inlineStr"/>
      <c r="Y1176" s="5" t="inlineStr"/>
      <c r="Z1176" s="6" t="inlineStr"/>
    </row>
    <row r="1177">
      <c r="A1177" s="5" t="inlineStr">
        <is>
          <t>b10-huzurevi-turu</t>
        </is>
      </c>
      <c r="B1177" s="5" t="n">
        <v>3</v>
      </c>
      <c r="C1177" s="6" t="inlineStr">
        <is>
          <t>Çay saatinin yönetimini devral</t>
        </is>
      </c>
      <c r="D1177" s="5" t="inlineStr">
        <is>
          <t>Çene</t>
        </is>
      </c>
      <c r="E1177" s="5" t="inlineStr">
        <is>
          <t>Zor</t>
        </is>
      </c>
      <c r="F1177" s="5" t="inlineStr"/>
      <c r="G1177" s="6" t="inlineStr"/>
      <c r="H1177" s="6" t="inlineStr">
        <is>
          <t>Çay saati sana devredildi. Kurabiye tedariki için tedarikçi değişikliği yapıldı.</t>
        </is>
      </c>
      <c r="I1177" s="6" t="inlineStr">
        <is>
          <t>Çay saati o kadar iyi yönetildi ki komşu huzurevinden transfer talepleri gelmeye başladı.</t>
        </is>
      </c>
      <c r="J1177" s="6" t="inlineStr">
        <is>
          <t>Çay saatini devralmaya çalıştın; mevcut yönetim güçlü çıktı.</t>
        </is>
      </c>
      <c r="K1177" s="6" t="inlineStr">
        <is>
          <t>Devralma denemesinden sonra kurabiye tabağın son sıraya kondu.</t>
        </is>
      </c>
      <c r="L1177" s="6" t="inlineStr"/>
      <c r="M1177" s="5" t="inlineStr"/>
      <c r="N1177" s="5" t="inlineStr"/>
      <c r="O1177" s="6" t="inlineStr"/>
      <c r="P1177" s="6" t="inlineStr"/>
      <c r="Q1177" s="5" t="inlineStr">
        <is>
          <t>Organizatör</t>
        </is>
      </c>
      <c r="R1177" s="5" t="inlineStr"/>
      <c r="S1177" s="5" t="inlineStr"/>
      <c r="T1177" s="5" t="inlineStr"/>
      <c r="U1177" s="5" t="inlineStr"/>
      <c r="V1177" s="5" t="inlineStr">
        <is>
          <t>huzurevi-sakini</t>
        </is>
      </c>
      <c r="W1177" s="5" t="inlineStr"/>
      <c r="X1177" s="5" t="inlineStr"/>
      <c r="Y1177" s="5" t="inlineStr"/>
      <c r="Z1177" s="6" t="inlineStr"/>
    </row>
    <row r="1178">
      <c r="A1178" s="5" t="inlineStr">
        <is>
          <t>b10-torunun-dugunu</t>
        </is>
      </c>
      <c r="B1178" s="5" t="n">
        <v>1</v>
      </c>
      <c r="C1178" s="6" t="inlineStr">
        <is>
          <t>Torunla dans figürlerini tekrarla</t>
        </is>
      </c>
      <c r="D1178" s="5" t="inlineStr">
        <is>
          <t>Dayanıklılık</t>
        </is>
      </c>
      <c r="E1178" s="5" t="inlineStr">
        <is>
          <t>Orta</t>
        </is>
      </c>
      <c r="F1178" s="5" t="inlineStr"/>
      <c r="G1178" s="6" t="inlineStr"/>
      <c r="H1178" s="6" t="inlineStr">
        <is>
          <t>Figürler kusursuz tekrarlandı. Düğün videosunun en çok izlenen kısmı oldu.</t>
        </is>
      </c>
      <c r="I1178" s="6" t="inlineStr">
        <is>
          <t>Dansınız o kadar iyi ki kısa video uygulamasında milyonlarca kez izlendi. Torun ikinci kez ünlü oldu: senin sayende.</t>
        </is>
      </c>
      <c r="J1178" s="6" t="inlineStr">
        <is>
          <t>İki figürü karıştırdın. Torun gülerek senin versiyonuna uydu.</t>
        </is>
      </c>
      <c r="K1178" s="6" t="inlineStr">
        <is>
          <t>Figürleri karıştırdın, salon da karıştı. Pistte kendi başına yeni bir dans akımı başlattın.</t>
        </is>
      </c>
      <c r="L1178" s="6" t="inlineStr">
        <is>
          <t>Dört figürün üçü tamam. Dördüncüsünde torun seni kucakladı; kimse hatayı görmedi.</t>
        </is>
      </c>
      <c r="M1178" s="5" t="inlineStr">
        <is>
          <t>simon</t>
        </is>
      </c>
      <c r="N1178" s="5" t="inlineStr">
        <is>
          <t>Torunla Dans</t>
        </is>
      </c>
      <c r="O1178" s="6" t="inlineStr">
        <is>
          <t>Torunun gösterdiği figür sırasını aynen tekrarla.</t>
        </is>
      </c>
      <c r="P1178" s="6" t="inlineStr">
        <is>
          <t>{"items": ["👏", "💃", "🕺", "🙌"]}</t>
        </is>
      </c>
      <c r="Q1178" s="5" t="inlineStr"/>
      <c r="R1178" s="5" t="inlineStr"/>
      <c r="S1178" s="5" t="inlineStr"/>
      <c r="T1178" s="5" t="inlineStr"/>
      <c r="U1178" s="5" t="inlineStr"/>
      <c r="V1178" s="5" t="inlineStr"/>
      <c r="W1178" s="5" t="inlineStr"/>
      <c r="X1178" s="5" t="inlineStr"/>
      <c r="Y1178" s="5" t="inlineStr"/>
      <c r="Z1178" s="6" t="inlineStr"/>
    </row>
    <row r="1179">
      <c r="A1179" s="5" t="inlineStr">
        <is>
          <t>b10-torunun-dugunu</t>
        </is>
      </c>
      <c r="B1179" s="5" t="n">
        <v>2</v>
      </c>
      <c r="C1179" s="6" t="inlineStr">
        <is>
          <t>Kısa bir konuşma yap</t>
        </is>
      </c>
      <c r="D1179" s="5" t="inlineStr"/>
      <c r="E1179" s="5" t="inlineStr"/>
      <c r="F1179" s="5" t="inlineStr">
        <is>
          <t>Çene +1, Vicdan +1</t>
        </is>
      </c>
      <c r="G1179" s="6" t="inlineStr">
        <is>
          <t>'Siz de birbirinizi benim kadar sabırla dinleyin.' Salon ayağa kalktı.</t>
        </is>
      </c>
      <c r="H1179" s="6" t="inlineStr"/>
      <c r="I1179" s="6" t="inlineStr"/>
      <c r="J1179" s="6" t="inlineStr"/>
      <c r="K1179" s="6" t="inlineStr"/>
      <c r="L1179" s="6" t="inlineStr"/>
      <c r="M1179" s="5" t="inlineStr"/>
      <c r="N1179" s="5" t="inlineStr"/>
      <c r="O1179" s="6" t="inlineStr"/>
      <c r="P1179" s="6" t="inlineStr"/>
      <c r="Q1179" s="5" t="inlineStr"/>
      <c r="R1179" s="5" t="inlineStr"/>
      <c r="S1179" s="5" t="inlineStr"/>
      <c r="T1179" s="5" t="inlineStr"/>
      <c r="U1179" s="5" t="inlineStr"/>
      <c r="V1179" s="5" t="inlineStr"/>
      <c r="W1179" s="5" t="inlineStr"/>
      <c r="X1179" s="5" t="inlineStr"/>
      <c r="Y1179" s="5" t="inlineStr"/>
      <c r="Z1179" s="6" t="inlineStr"/>
    </row>
    <row r="1180">
      <c r="A1180" s="5" t="inlineStr">
        <is>
          <t>b10-torunun-dugunu</t>
        </is>
      </c>
      <c r="B1180" s="5" t="n">
        <v>3</v>
      </c>
      <c r="C1180" s="6" t="inlineStr">
        <is>
          <t>Halayın başını çek</t>
        </is>
      </c>
      <c r="D1180" s="5" t="inlineStr">
        <is>
          <t>Cesaret</t>
        </is>
      </c>
      <c r="E1180" s="5" t="inlineStr">
        <is>
          <t>Zor</t>
        </is>
      </c>
      <c r="F1180" s="5" t="inlineStr"/>
      <c r="G1180" s="6" t="inlineStr"/>
      <c r="H1180" s="6" t="inlineStr">
        <is>
          <t>Halayı başlattın, salon takip etti. Mendil hâlâ senin elinde.</t>
        </is>
      </c>
      <c r="I1180" s="6" t="inlineStr">
        <is>
          <t>Halayı öyle bir çektin ki orkestra bir şarkı daha çaldı. Kimse durmayı teklif etmedi.</t>
        </is>
      </c>
      <c r="J1180" s="6" t="inlineStr">
        <is>
          <t>Halayı başlattın, üçüncü turda mendili bir torununa devrettin.</t>
        </is>
      </c>
      <c r="K1180" s="6" t="inlineStr">
        <is>
          <t>Halay kalabalığı seni ters yöne taşıdı. Kendini pastanın yanında buldun.</t>
        </is>
      </c>
      <c r="L1180" s="6" t="inlineStr"/>
      <c r="M1180" s="5" t="inlineStr"/>
      <c r="N1180" s="5" t="inlineStr"/>
      <c r="O1180" s="6" t="inlineStr"/>
      <c r="P1180" s="6" t="inlineStr"/>
      <c r="Q1180" s="5" t="inlineStr"/>
      <c r="R1180" s="5" t="inlineStr"/>
      <c r="S1180" s="5" t="inlineStr"/>
      <c r="T1180" s="5" t="inlineStr"/>
      <c r="U1180" s="5" t="inlineStr"/>
      <c r="V1180" s="5" t="inlineStr"/>
      <c r="W1180" s="5" t="inlineStr"/>
      <c r="X1180" s="5" t="inlineStr"/>
      <c r="Y1180" s="5" t="n">
        <v>5</v>
      </c>
      <c r="Z1180" s="6" t="inlineStr">
        <is>
          <t>Torununun düğününde halayın başını çekerken. Mendil hâlâ havada.</t>
        </is>
      </c>
    </row>
    <row r="1181">
      <c r="A1181" s="5" t="inlineStr">
        <is>
          <t>b10-yapay-zeka-kitap</t>
        </is>
      </c>
      <c r="B1181" s="5" t="n">
        <v>1</v>
      </c>
      <c r="C1181" s="6" t="inlineStr">
        <is>
          <t>Kitabı olduğu gibi onayla</t>
        </is>
      </c>
      <c r="D1181" s="5" t="inlineStr"/>
      <c r="E1181" s="5" t="inlineStr"/>
      <c r="F1181" s="5" t="inlineStr">
        <is>
          <t>Vicdan +1</t>
        </is>
      </c>
      <c r="G1181" s="6" t="inlineStr">
        <is>
          <t>Kitap basıldı. Kendi hayatını okudun ve biraz kıskandın.</t>
        </is>
      </c>
      <c r="H1181" s="6" t="inlineStr"/>
      <c r="I1181" s="6" t="inlineStr"/>
      <c r="J1181" s="6" t="inlineStr"/>
      <c r="K1181" s="6" t="inlineStr"/>
      <c r="L1181" s="6" t="inlineStr"/>
      <c r="M1181" s="5" t="inlineStr"/>
      <c r="N1181" s="5" t="inlineStr"/>
      <c r="O1181" s="6" t="inlineStr"/>
      <c r="P1181" s="6" t="inlineStr"/>
      <c r="Q1181" s="5" t="inlineStr"/>
      <c r="R1181" s="5" t="inlineStr"/>
      <c r="S1181" s="5" t="inlineStr"/>
      <c r="T1181" s="5" t="inlineStr"/>
      <c r="U1181" s="5" t="inlineStr">
        <is>
          <t>kitaplasti</t>
        </is>
      </c>
      <c r="V1181" s="5" t="inlineStr"/>
      <c r="W1181" s="5" t="inlineStr"/>
      <c r="X1181" s="5" t="inlineStr"/>
      <c r="Y1181" s="5" t="inlineStr"/>
      <c r="Z1181" s="6" t="inlineStr"/>
    </row>
    <row r="1182">
      <c r="A1182" s="5" t="inlineStr">
        <is>
          <t>b10-yapay-zeka-kitap</t>
        </is>
      </c>
      <c r="B1182" s="5" t="n">
        <v>2</v>
      </c>
      <c r="C1182" s="6" t="inlineStr">
        <is>
          <t>Yapay zekâyla tartış</t>
        </is>
      </c>
      <c r="D1182" s="5" t="inlineStr">
        <is>
          <t>Akıl</t>
        </is>
      </c>
      <c r="E1182" s="5" t="inlineStr">
        <is>
          <t>Zor</t>
        </is>
      </c>
      <c r="F1182" s="5" t="inlineStr"/>
      <c r="G1182" s="6" t="inlineStr"/>
      <c r="H1182" s="6" t="inlineStr">
        <is>
          <t>Üç bölümü yeniden yazdırdın. Makine 'Haklısınız, özür dilerim' dedi. Hayatında en kolay kazandığın tartışma.</t>
        </is>
      </c>
      <c r="I1182" s="6" t="inlineStr">
        <is>
          <t>Makine hayatından o kadar etkilendi ki kitabın ikinci cildini önerdi. Sen daha birinci cildi okumadın.</t>
        </is>
      </c>
      <c r="J1182" s="6" t="inlineStr">
        <is>
          <t>Makine her itirazına 'Harika bir nokta!' dedi ve hiçbir şeyi değiştirmedi.</t>
        </is>
      </c>
      <c r="K1182" s="6" t="inlineStr">
        <is>
          <t>Tartışma sonunda makine kitabın sonuna bir bölüm ekledi: 'Yazarla Tartışma Süreci.'</t>
        </is>
      </c>
      <c r="L1182" s="6" t="inlineStr"/>
      <c r="M1182" s="5" t="inlineStr"/>
      <c r="N1182" s="5" t="inlineStr"/>
      <c r="O1182" s="6" t="inlineStr"/>
      <c r="P1182" s="6" t="inlineStr"/>
      <c r="Q1182" s="5" t="inlineStr"/>
      <c r="R1182" s="5" t="inlineStr"/>
      <c r="S1182" s="5" t="inlineStr"/>
      <c r="T1182" s="5" t="inlineStr"/>
      <c r="U1182" s="5" t="inlineStr"/>
      <c r="V1182" s="5" t="inlineStr">
        <is>
          <t>kitaplasti</t>
        </is>
      </c>
      <c r="W1182" s="5" t="inlineStr"/>
      <c r="X1182" s="5" t="inlineStr"/>
      <c r="Y1182" s="5" t="inlineStr"/>
      <c r="Z1182" s="6" t="inlineStr"/>
    </row>
    <row r="1183">
      <c r="A1183" s="5" t="inlineStr">
        <is>
          <t>b10-yapay-zeka-kitap</t>
        </is>
      </c>
      <c r="B1183" s="5" t="n">
        <v>3</v>
      </c>
      <c r="C1183" s="6" t="inlineStr">
        <is>
          <t>'Güzel olmayanları da yaz' de</t>
        </is>
      </c>
      <c r="D1183" s="5" t="inlineStr">
        <is>
          <t>Vicdan</t>
        </is>
      </c>
      <c r="E1183" s="5" t="inlineStr">
        <is>
          <t>Kolay</t>
        </is>
      </c>
      <c r="F1183" s="5" t="inlineStr"/>
      <c r="G1183" s="6" t="inlineStr"/>
      <c r="H1183" s="6" t="inlineStr">
        <is>
          <t>Kitaba kırık camlar, borçlar ve kaçırılmış otobüsler eklendi. Artık gerçekten senin hayatın.</t>
        </is>
      </c>
      <c r="I1183" s="6" t="inlineStr">
        <is>
          <t>Kitap o kadar dürüst oldu ki aile her bayram bir bölümünü sesli okuyor.</t>
        </is>
      </c>
      <c r="J1183" s="6" t="inlineStr">
        <is>
          <t>Makine 'güzel olmayanları' da güzel anlattı. Borç dönemin 'finansal öğrenme süreci' oldu.</t>
        </is>
      </c>
      <c r="K1183" s="6" t="inlineStr">
        <is>
          <t>Makine güzel olmayanları kitabın başına koydu. Kitap bir hüzün romanı gibi açılıyor.</t>
        </is>
      </c>
      <c r="L1183" s="6" t="inlineStr"/>
      <c r="M1183" s="5" t="inlineStr"/>
      <c r="N1183" s="5" t="inlineStr"/>
      <c r="O1183" s="6" t="inlineStr"/>
      <c r="P1183" s="6" t="inlineStr"/>
      <c r="Q1183" s="5" t="inlineStr"/>
      <c r="R1183" s="5" t="inlineStr"/>
      <c r="S1183" s="5" t="inlineStr">
        <is>
          <t>Vicdan</t>
        </is>
      </c>
      <c r="T1183" s="5" t="inlineStr"/>
      <c r="U1183" s="5" t="inlineStr">
        <is>
          <t>kitaplasti</t>
        </is>
      </c>
      <c r="V1183" s="5" t="inlineStr"/>
      <c r="W1183" s="5" t="inlineStr"/>
      <c r="X1183" s="5" t="inlineStr"/>
      <c r="Y1183" s="5" t="inlineStr"/>
      <c r="Z1183" s="6" t="inlineStr"/>
    </row>
    <row r="1184">
      <c r="A1184" s="5" t="inlineStr">
        <is>
          <t>b10-eski-ev</t>
        </is>
      </c>
      <c r="B1184" s="5" t="n">
        <v>1</v>
      </c>
      <c r="C1184" s="6" t="inlineStr">
        <is>
          <t>Durup bak, sonra yürü</t>
        </is>
      </c>
      <c r="D1184" s="5" t="inlineStr"/>
      <c r="E1184" s="5" t="inlineStr"/>
      <c r="F1184" s="5" t="inlineStr">
        <is>
          <t>Vicdan +1</t>
        </is>
      </c>
      <c r="G1184" s="6" t="inlineStr">
        <is>
          <t>Ev sana bakmadı. Sen ona uzun uzun baktın. Hesap kapandı.</t>
        </is>
      </c>
      <c r="H1184" s="6" t="inlineStr"/>
      <c r="I1184" s="6" t="inlineStr"/>
      <c r="J1184" s="6" t="inlineStr"/>
      <c r="K1184" s="6" t="inlineStr"/>
      <c r="L1184" s="6" t="inlineStr"/>
      <c r="M1184" s="5" t="inlineStr"/>
      <c r="N1184" s="5" t="inlineStr"/>
      <c r="O1184" s="6" t="inlineStr"/>
      <c r="P1184" s="6" t="inlineStr"/>
      <c r="Q1184" s="5" t="inlineStr"/>
      <c r="R1184" s="5" t="inlineStr"/>
      <c r="S1184" s="5" t="inlineStr"/>
      <c r="T1184" s="5" t="inlineStr"/>
      <c r="U1184" s="5" t="inlineStr"/>
      <c r="V1184" s="5" t="inlineStr"/>
      <c r="W1184" s="5" t="inlineStr"/>
      <c r="X1184" s="5" t="inlineStr"/>
      <c r="Y1184" s="5" t="inlineStr"/>
      <c r="Z1184" s="6" t="inlineStr"/>
    </row>
    <row r="1185">
      <c r="A1185" s="5" t="inlineStr">
        <is>
          <t>b10-eski-ev</t>
        </is>
      </c>
      <c r="B1185" s="5" t="n">
        <v>2</v>
      </c>
      <c r="C1185" s="6" t="inlineStr">
        <is>
          <t>Kapıyı çal</t>
        </is>
      </c>
      <c r="D1185" s="5" t="inlineStr">
        <is>
          <t>Cesaret</t>
        </is>
      </c>
      <c r="E1185" s="5" t="inlineStr">
        <is>
          <t>Orta</t>
        </is>
      </c>
      <c r="F1185" s="5" t="inlineStr"/>
      <c r="G1185" s="6" t="inlineStr"/>
      <c r="H1185" s="6" t="inlineStr">
        <is>
          <t>Yeni sahipler seni içeri aldı. Senin odan şimdi bir çocuk odası. Döngü devam ediyor.</t>
        </is>
      </c>
      <c r="I1185" s="6" t="inlineStr">
        <is>
          <t>İçeri aldılar, çay verdiler ve duvarda senin adını kazıdığın yeri gösterdiler. Hâlâ orada.</t>
        </is>
      </c>
      <c r="J1185" s="6" t="inlineStr">
        <is>
          <t>Kapı açılmadı. İçeriden bir kargo bildirimi sesi geldi.</t>
        </is>
      </c>
      <c r="K1185" s="6" t="inlineStr">
        <is>
          <t>Kapıyı açan kişi seni kargo görevlisi sandı ve bir paket teslim etti.</t>
        </is>
      </c>
      <c r="L1185" s="6" t="inlineStr"/>
      <c r="M1185" s="5" t="inlineStr"/>
      <c r="N1185" s="5" t="inlineStr"/>
      <c r="O1185" s="6" t="inlineStr"/>
      <c r="P1185" s="6" t="inlineStr"/>
      <c r="Q1185" s="5" t="inlineStr"/>
      <c r="R1185" s="5" t="inlineStr"/>
      <c r="S1185" s="5" t="inlineStr"/>
      <c r="T1185" s="5" t="inlineStr"/>
      <c r="U1185" s="5" t="inlineStr"/>
      <c r="V1185" s="5" t="inlineStr"/>
      <c r="W1185" s="5" t="inlineStr"/>
      <c r="X1185" s="5" t="inlineStr"/>
      <c r="Y1185" s="5" t="inlineStr"/>
      <c r="Z1185" s="6" t="inlineStr"/>
    </row>
    <row r="1186">
      <c r="A1186" s="5" t="inlineStr">
        <is>
          <t>b10-eski-ev</t>
        </is>
      </c>
      <c r="B1186" s="5" t="n">
        <v>3</v>
      </c>
      <c r="C1186" s="6" t="inlineStr">
        <is>
          <t>Komşunun camına selam ver</t>
        </is>
      </c>
      <c r="D1186" s="5" t="inlineStr"/>
      <c r="E1186" s="5" t="inlineStr"/>
      <c r="F1186" s="5" t="inlineStr">
        <is>
          <t>Pişkinlik +2</t>
        </is>
      </c>
      <c r="G1186" s="6" t="inlineStr">
        <is>
          <t>Cama el salladın. Cam cevap vermedi. Ama pencerede biri seni hatırladı ve perdeyi kapattı.</t>
        </is>
      </c>
      <c r="H1186" s="6" t="inlineStr"/>
      <c r="I1186" s="6" t="inlineStr"/>
      <c r="J1186" s="6" t="inlineStr"/>
      <c r="K1186" s="6" t="inlineStr"/>
      <c r="L1186" s="6" t="inlineStr"/>
      <c r="M1186" s="5" t="inlineStr"/>
      <c r="N1186" s="5" t="inlineStr"/>
      <c r="O1186" s="6" t="inlineStr"/>
      <c r="P1186" s="6" t="inlineStr"/>
      <c r="Q1186" s="5" t="inlineStr"/>
      <c r="R1186" s="5" t="inlineStr">
        <is>
          <t>camKirildi</t>
        </is>
      </c>
      <c r="S1186" s="5" t="inlineStr"/>
      <c r="T1186" s="5" t="inlineStr"/>
      <c r="U1186" s="5" t="inlineStr"/>
      <c r="V1186" s="5" t="inlineStr"/>
      <c r="W1186" s="5" t="inlineStr"/>
      <c r="X1186" s="5" t="inlineStr"/>
      <c r="Y1186" s="5" t="inlineStr"/>
      <c r="Z1186" s="6" t="inlineStr"/>
    </row>
    <row r="1187">
      <c r="A1187" s="5" t="inlineStr">
        <is>
          <t>b10-son-dans</t>
        </is>
      </c>
      <c r="B1187" s="5" t="n">
        <v>1</v>
      </c>
      <c r="C1187" s="6" t="inlineStr">
        <is>
          <t>Yavaş dans et</t>
        </is>
      </c>
      <c r="D1187" s="5" t="inlineStr"/>
      <c r="E1187" s="5" t="inlineStr"/>
      <c r="F1187" s="5" t="inlineStr">
        <is>
          <t>Vicdan +2</t>
        </is>
      </c>
      <c r="G1187" s="6" t="inlineStr">
        <is>
          <t>Şarkı bitti, siz bitmediniz. Radyo bir şarkı daha çaldı.</t>
        </is>
      </c>
      <c r="H1187" s="6" t="inlineStr"/>
      <c r="I1187" s="6" t="inlineStr"/>
      <c r="J1187" s="6" t="inlineStr"/>
      <c r="K1187" s="6" t="inlineStr"/>
      <c r="L1187" s="6" t="inlineStr"/>
      <c r="M1187" s="5" t="inlineStr"/>
      <c r="N1187" s="5" t="inlineStr"/>
      <c r="O1187" s="6" t="inlineStr"/>
      <c r="P1187" s="6" t="inlineStr"/>
      <c r="Q1187" s="5" t="inlineStr"/>
      <c r="R1187" s="5" t="inlineStr"/>
      <c r="S1187" s="5" t="inlineStr"/>
      <c r="T1187" s="5" t="inlineStr"/>
      <c r="U1187" s="5" t="inlineStr"/>
      <c r="V1187" s="5" t="inlineStr"/>
      <c r="W1187" s="5" t="inlineStr"/>
      <c r="X1187" s="5" t="inlineStr"/>
      <c r="Y1187" s="5" t="inlineStr"/>
      <c r="Z1187" s="6" t="inlineStr"/>
    </row>
    <row r="1188">
      <c r="A1188" s="5" t="inlineStr">
        <is>
          <t>b10-son-dans</t>
        </is>
      </c>
      <c r="B1188" s="5" t="n">
        <v>2</v>
      </c>
      <c r="C1188" s="6" t="inlineStr">
        <is>
          <t>Eski kaldırış figürünü dene</t>
        </is>
      </c>
      <c r="D1188" s="5" t="inlineStr">
        <is>
          <t>Cesaret</t>
        </is>
      </c>
      <c r="E1188" s="5" t="inlineStr">
        <is>
          <t>Çok Zor</t>
        </is>
      </c>
      <c r="F1188" s="5" t="inlineStr"/>
      <c r="G1188" s="6" t="inlineStr"/>
      <c r="H1188" s="6" t="inlineStr">
        <is>
          <t>Figür tamamlandı. Eşin 'Bunu hâlâ hatırlıyorsun' dedi. Sen de şaşırdın.</t>
        </is>
      </c>
      <c r="I1188" s="6" t="inlineStr">
        <is>
          <t>Figür kusursuz. Eşin kahkahalar içinde yere indi. O gece ikiniz de ayrı ayrı gülümseyerek uyudunuz.</t>
        </is>
      </c>
      <c r="J1188" s="6" t="inlineStr">
        <is>
          <t>Figürü yarım bıraktınız. Kahkahalarınız şarkıdan uzun sürdü.</t>
        </is>
      </c>
      <c r="K1188" s="6" t="inlineStr">
        <is>
          <t>Figür yarıda kaldı; ikiniz de halının üstüne oturdunuz ve şarkıyı oradan dinlediniz.</t>
        </is>
      </c>
      <c r="L1188" s="6" t="inlineStr"/>
      <c r="M1188" s="5" t="inlineStr"/>
      <c r="N1188" s="5" t="inlineStr"/>
      <c r="O1188" s="6" t="inlineStr"/>
      <c r="P1188" s="6" t="inlineStr"/>
      <c r="Q1188" s="5" t="inlineStr"/>
      <c r="R1188" s="5" t="inlineStr"/>
      <c r="S1188" s="5" t="inlineStr"/>
      <c r="T1188" s="5" t="inlineStr"/>
      <c r="U1188" s="5" t="inlineStr"/>
      <c r="V1188" s="5" t="inlineStr"/>
      <c r="W1188" s="5" t="inlineStr"/>
      <c r="X1188" s="5" t="inlineStr"/>
      <c r="Y1188" s="5" t="n">
        <v>4</v>
      </c>
      <c r="Z1188" s="6" t="inlineStr">
        <is>
          <t>Eşiyle son dansında eski kaldırış figürünü denerken. Figür tamamlandı.</t>
        </is>
      </c>
    </row>
    <row r="1189">
      <c r="A1189" s="5" t="inlineStr">
        <is>
          <t>b10-son-dans</t>
        </is>
      </c>
      <c r="B1189" s="5" t="n">
        <v>3</v>
      </c>
      <c r="C1189" s="6" t="inlineStr">
        <is>
          <t>Şarkıyı birlikte söyle</t>
        </is>
      </c>
      <c r="D1189" s="5" t="inlineStr">
        <is>
          <t>Çene</t>
        </is>
      </c>
      <c r="E1189" s="5" t="inlineStr">
        <is>
          <t>Kolay</t>
        </is>
      </c>
      <c r="F1189" s="5" t="inlineStr"/>
      <c r="G1189" s="6" t="inlineStr"/>
      <c r="H1189" s="6" t="inlineStr">
        <is>
          <t>Sözlerin yarısı yanlış, ikisi de aynı yanlış. Uyum mükemmel.</t>
        </is>
      </c>
      <c r="I1189" s="6" t="inlineStr">
        <is>
          <t>Komşular balkona çıktı. Apartmanda bir akşam şarkı yayını başladı.</t>
        </is>
      </c>
      <c r="J1189" s="6" t="inlineStr">
        <is>
          <t>Sözleri unuttun. Eşin hatırladı. Her zaman olduğu gibi.</t>
        </is>
      </c>
      <c r="K1189" s="6" t="inlineStr">
        <is>
          <t>Farklı şarkıları söylediğinizi nakaratta fark ettiniz.</t>
        </is>
      </c>
      <c r="L1189" s="6" t="inlineStr"/>
      <c r="M1189" s="5" t="inlineStr"/>
      <c r="N1189" s="5" t="inlineStr"/>
      <c r="O1189" s="6" t="inlineStr"/>
      <c r="P1189" s="6" t="inlineStr"/>
      <c r="Q1189" s="5" t="inlineStr"/>
      <c r="R1189" s="5" t="inlineStr"/>
      <c r="S1189" s="5" t="inlineStr"/>
      <c r="T1189" s="5" t="inlineStr"/>
      <c r="U1189" s="5" t="inlineStr"/>
      <c r="V1189" s="5" t="inlineStr"/>
      <c r="W1189" s="5" t="inlineStr"/>
      <c r="X1189" s="5" t="inlineStr"/>
      <c r="Y1189" s="5" t="inlineStr"/>
      <c r="Z1189" s="6" t="inlineStr"/>
    </row>
    <row r="1190">
      <c r="A1190" s="5" t="inlineStr">
        <is>
          <t>b10-yalniz-ozgur</t>
        </is>
      </c>
      <c r="B1190" s="5" t="n">
        <v>1</v>
      </c>
      <c r="C1190" s="6" t="inlineStr">
        <is>
          <t>Akşamı kendi başına geçir</t>
        </is>
      </c>
      <c r="D1190" s="5" t="inlineStr"/>
      <c r="E1190" s="5" t="inlineStr"/>
      <c r="F1190" s="5" t="inlineStr">
        <is>
          <t>Dayanıklılık +2</t>
        </is>
      </c>
      <c r="G1190" s="6" t="inlineStr">
        <is>
          <t>Dizi, çay, sessizlik. Kimseye rapor verilmedi.</t>
        </is>
      </c>
      <c r="H1190" s="6" t="inlineStr"/>
      <c r="I1190" s="6" t="inlineStr"/>
      <c r="J1190" s="6" t="inlineStr"/>
      <c r="K1190" s="6" t="inlineStr"/>
      <c r="L1190" s="6" t="inlineStr"/>
      <c r="M1190" s="5" t="inlineStr"/>
      <c r="N1190" s="5" t="inlineStr"/>
      <c r="O1190" s="6" t="inlineStr"/>
      <c r="P1190" s="6" t="inlineStr"/>
      <c r="Q1190" s="5" t="inlineStr"/>
      <c r="R1190" s="5" t="inlineStr"/>
      <c r="S1190" s="5" t="inlineStr"/>
      <c r="T1190" s="5" t="inlineStr"/>
      <c r="U1190" s="5" t="inlineStr"/>
      <c r="V1190" s="5" t="inlineStr"/>
      <c r="W1190" s="5" t="inlineStr"/>
      <c r="X1190" s="5" t="inlineStr"/>
      <c r="Y1190" s="5" t="inlineStr"/>
      <c r="Z1190" s="6" t="inlineStr"/>
    </row>
    <row r="1191">
      <c r="A1191" s="5" t="inlineStr">
        <is>
          <t>b10-yalniz-ozgur</t>
        </is>
      </c>
      <c r="B1191" s="5" t="n">
        <v>2</v>
      </c>
      <c r="C1191" s="6" t="inlineStr">
        <is>
          <t>Yeni bir hobiye başla</t>
        </is>
      </c>
      <c r="D1191" s="5" t="inlineStr">
        <is>
          <t>Akıl</t>
        </is>
      </c>
      <c r="E1191" s="5" t="inlineStr">
        <is>
          <t>Orta</t>
        </is>
      </c>
      <c r="F1191" s="5" t="inlineStr"/>
      <c r="G1191" s="6" t="inlineStr"/>
      <c r="H1191" s="6" t="inlineStr">
        <is>
          <t>Sulu boya kursuna yazıldın. Üçüncü resim, eski evinin tablosu. Duvara asıldı.</t>
        </is>
      </c>
      <c r="I1191" s="6" t="inlineStr">
        <is>
          <t>Sulu boya tabloların mahalle kütüphanesinde sergilendi. Ziyaretçi defteri doldu.</t>
        </is>
      </c>
      <c r="J1191" s="6" t="inlineStr">
        <is>
          <t>Başladığın hobi, ilk gün yarım kaldı. Malzemeler dolaba kaldırıldı.</t>
        </is>
      </c>
      <c r="K1191" s="6" t="inlineStr">
        <is>
          <t>Hobi malzemesi kargosu yanlış adrese gitti. Komşun şimdi sulu boya yapıyor.</t>
        </is>
      </c>
      <c r="L1191" s="6" t="inlineStr"/>
      <c r="M1191" s="5" t="inlineStr"/>
      <c r="N1191" s="5" t="inlineStr"/>
      <c r="O1191" s="6" t="inlineStr"/>
      <c r="P1191" s="6" t="inlineStr"/>
      <c r="Q1191" s="5" t="inlineStr"/>
      <c r="R1191" s="5" t="inlineStr"/>
      <c r="S1191" s="5" t="inlineStr"/>
      <c r="T1191" s="5" t="inlineStr"/>
      <c r="U1191" s="5" t="inlineStr"/>
      <c r="V1191" s="5" t="inlineStr"/>
      <c r="W1191" s="5" t="inlineStr"/>
      <c r="X1191" s="5" t="inlineStr"/>
      <c r="Y1191" s="5" t="inlineStr"/>
      <c r="Z1191" s="6" t="inlineStr"/>
    </row>
    <row r="1192">
      <c r="A1192" s="5" t="inlineStr">
        <is>
          <t>b10-yalniz-ozgur</t>
        </is>
      </c>
      <c r="B1192" s="5" t="n">
        <v>3</v>
      </c>
      <c r="C1192" s="6" t="inlineStr">
        <is>
          <t>Eski dostlara telefon aç</t>
        </is>
      </c>
      <c r="D1192" s="5" t="inlineStr">
        <is>
          <t>Sosyal Radar</t>
        </is>
      </c>
      <c r="E1192" s="5" t="inlineStr">
        <is>
          <t>Kolay</t>
        </is>
      </c>
      <c r="F1192" s="5" t="inlineStr"/>
      <c r="G1192" s="6" t="inlineStr"/>
      <c r="H1192" s="6" t="inlineStr">
        <is>
          <t>Üç kişiyi aradın, ikisi açtı. Bir buluşma ayarlandı.</t>
        </is>
      </c>
      <c r="I1192" s="6" t="inlineStr">
        <is>
          <t>Telefon zincirin bütün eski dostları bir çay bahçesinde topladı. Yeni bir grup kuruldu.</t>
        </is>
      </c>
      <c r="J1192" s="6" t="inlineStr">
        <is>
          <t>Aradığın kişilerin yarısı telefonunu duymadı.</t>
        </is>
      </c>
      <c r="K1192" s="6" t="inlineStr">
        <is>
          <t>Yanlış kişiyi aradın. Ama o da sohbet etmek istiyordu. Yeni bir dost.</t>
        </is>
      </c>
      <c r="L1192" s="6" t="inlineStr"/>
      <c r="M1192" s="5" t="inlineStr"/>
      <c r="N1192" s="5" t="inlineStr"/>
      <c r="O1192" s="6" t="inlineStr"/>
      <c r="P1192" s="6" t="inlineStr"/>
      <c r="Q1192" s="5" t="inlineStr"/>
      <c r="R1192" s="5" t="inlineStr"/>
      <c r="S1192" s="5" t="inlineStr"/>
      <c r="T1192" s="5" t="inlineStr"/>
      <c r="U1192" s="5" t="inlineStr"/>
      <c r="V1192" s="5" t="inlineStr"/>
      <c r="W1192" s="5" t="inlineStr"/>
      <c r="X1192" s="5" t="inlineStr"/>
      <c r="Y1192" s="5" t="inlineStr"/>
      <c r="Z1192" s="6" t="inlineStr"/>
    </row>
    <row r="1193">
      <c r="A1193" s="5" t="inlineStr">
        <is>
          <t>b10-komsu-kedisi</t>
        </is>
      </c>
      <c r="B1193" s="5" t="n">
        <v>1</v>
      </c>
      <c r="C1193" s="6" t="inlineStr">
        <is>
          <t>Mama koy</t>
        </is>
      </c>
      <c r="D1193" s="5" t="inlineStr"/>
      <c r="E1193" s="5" t="inlineStr"/>
      <c r="F1193" s="5" t="inlineStr">
        <is>
          <t>Vicdan +1</t>
        </is>
      </c>
      <c r="G1193" s="6" t="inlineStr">
        <is>
          <t>Kedi mamayı yedi ve gitti. Denetim başarıyla tamamlandı.</t>
        </is>
      </c>
      <c r="H1193" s="6" t="inlineStr"/>
      <c r="I1193" s="6" t="inlineStr"/>
      <c r="J1193" s="6" t="inlineStr"/>
      <c r="K1193" s="6" t="inlineStr"/>
      <c r="L1193" s="6" t="inlineStr"/>
      <c r="M1193" s="5" t="inlineStr"/>
      <c r="N1193" s="5" t="inlineStr"/>
      <c r="O1193" s="6" t="inlineStr"/>
      <c r="P1193" s="6" t="inlineStr"/>
      <c r="Q1193" s="5" t="inlineStr"/>
      <c r="R1193" s="5" t="inlineStr"/>
      <c r="S1193" s="5" t="inlineStr"/>
      <c r="T1193" s="5" t="inlineStr"/>
      <c r="U1193" s="5" t="inlineStr"/>
      <c r="V1193" s="5" t="inlineStr"/>
      <c r="W1193" s="5" t="inlineStr"/>
      <c r="X1193" s="5" t="inlineStr"/>
      <c r="Y1193" s="5" t="inlineStr"/>
      <c r="Z1193" s="6" t="inlineStr"/>
    </row>
    <row r="1194">
      <c r="A1194" s="5" t="inlineStr">
        <is>
          <t>b10-komsu-kedisi</t>
        </is>
      </c>
      <c r="B1194" s="5" t="n">
        <v>2</v>
      </c>
      <c r="C1194" s="6" t="inlineStr">
        <is>
          <t>Kediyi evlat edin</t>
        </is>
      </c>
      <c r="D1194" s="5" t="inlineStr">
        <is>
          <t>Sosyal Radar</t>
        </is>
      </c>
      <c r="E1194" s="5" t="inlineStr">
        <is>
          <t>Orta</t>
        </is>
      </c>
      <c r="F1194" s="5" t="inlineStr"/>
      <c r="G1194" s="6" t="inlineStr"/>
      <c r="H1194" s="6" t="inlineStr">
        <is>
          <t>Kedi ertesi gün yatağına geçti. Artık ev onun.</t>
        </is>
      </c>
      <c r="I1194" s="6" t="inlineStr">
        <is>
          <t>Kedi yerleşti, komşu da seni ziyarete gelmeye başladı. Bir kedi, iki dostluk.</t>
        </is>
      </c>
      <c r="J1194" s="6" t="inlineStr">
        <is>
          <t>Kedi içeri girdi, her şeyi kokladı ve çıktı. Başvurun reddedildi.</t>
        </is>
      </c>
      <c r="K1194" s="6" t="inlineStr">
        <is>
          <t>Kedi senin yerine komşuyu tercih etti ve sana bunu balkondan gösterdi.</t>
        </is>
      </c>
      <c r="L1194" s="6" t="inlineStr"/>
      <c r="M1194" s="5" t="inlineStr"/>
      <c r="N1194" s="5" t="inlineStr"/>
      <c r="O1194" s="6" t="inlineStr"/>
      <c r="P1194" s="6" t="inlineStr"/>
      <c r="Q1194" s="5" t="inlineStr"/>
      <c r="R1194" s="5" t="inlineStr"/>
      <c r="S1194" s="5" t="inlineStr"/>
      <c r="T1194" s="5" t="inlineStr"/>
      <c r="U1194" s="5" t="inlineStr"/>
      <c r="V1194" s="5" t="inlineStr"/>
      <c r="W1194" s="5" t="inlineStr"/>
      <c r="X1194" s="5" t="inlineStr"/>
      <c r="Y1194" s="5" t="inlineStr"/>
      <c r="Z1194" s="6" t="inlineStr"/>
    </row>
    <row r="1195">
      <c r="A1195" s="5" t="inlineStr">
        <is>
          <t>b10-komsu-kedisi</t>
        </is>
      </c>
      <c r="B1195" s="5" t="n">
        <v>3</v>
      </c>
      <c r="C1195" s="6" t="inlineStr">
        <is>
          <t>Kediden özür dile</t>
        </is>
      </c>
      <c r="D1195" s="5" t="inlineStr"/>
      <c r="E1195" s="5" t="inlineStr"/>
      <c r="F1195" s="5" t="inlineStr">
        <is>
          <t>Vicdan +3</t>
        </is>
      </c>
      <c r="G1195" s="6" t="inlineStr">
        <is>
          <t>'O vazoyu ben kırdım.' Kedi sana uzun uzun baktı ve kucağına yerleşti. Dosya kapandı.</t>
        </is>
      </c>
      <c r="H1195" s="6" t="inlineStr"/>
      <c r="I1195" s="6" t="inlineStr"/>
      <c r="J1195" s="6" t="inlineStr"/>
      <c r="K1195" s="6" t="inlineStr"/>
      <c r="L1195" s="6" t="inlineStr"/>
      <c r="M1195" s="5" t="inlineStr"/>
      <c r="N1195" s="5" t="inlineStr"/>
      <c r="O1195" s="6" t="inlineStr"/>
      <c r="P1195" s="6" t="inlineStr"/>
      <c r="Q1195" s="5" t="inlineStr"/>
      <c r="R1195" s="5" t="inlineStr">
        <is>
          <t>kediSuclu</t>
        </is>
      </c>
      <c r="S1195" s="5" t="inlineStr"/>
      <c r="T1195" s="5" t="inlineStr"/>
      <c r="U1195" s="5" t="inlineStr"/>
      <c r="V1195" s="5" t="inlineStr"/>
      <c r="W1195" s="5" t="inlineStr"/>
      <c r="X1195" s="5" t="inlineStr"/>
      <c r="Y1195" s="5" t="inlineStr"/>
      <c r="Z1195" s="6" t="inlineStr"/>
    </row>
    <row r="1196">
      <c r="A1196" s="5" t="inlineStr">
        <is>
          <t>b10-sabah-yuruyusu</t>
        </is>
      </c>
      <c r="B1196" s="5" t="n">
        <v>1</v>
      </c>
      <c r="C1196" s="6" t="inlineStr">
        <is>
          <t>Kendi temponda yürü</t>
        </is>
      </c>
      <c r="D1196" s="5" t="inlineStr"/>
      <c r="E1196" s="5" t="inlineStr"/>
      <c r="F1196" s="5" t="inlineStr">
        <is>
          <t>Dayanıklılık +1</t>
        </is>
      </c>
      <c r="G1196" s="6" t="inlineStr">
        <is>
          <t>Grup önden gitti. Sen kendi yürüyüşünü yaptın ve bankta onları bekledin.</t>
        </is>
      </c>
      <c r="H1196" s="6" t="inlineStr"/>
      <c r="I1196" s="6" t="inlineStr"/>
      <c r="J1196" s="6" t="inlineStr"/>
      <c r="K1196" s="6" t="inlineStr"/>
      <c r="L1196" s="6" t="inlineStr"/>
      <c r="M1196" s="5" t="inlineStr"/>
      <c r="N1196" s="5" t="inlineStr"/>
      <c r="O1196" s="6" t="inlineStr"/>
      <c r="P1196" s="6" t="inlineStr"/>
      <c r="Q1196" s="5" t="inlineStr"/>
      <c r="R1196" s="5" t="inlineStr"/>
      <c r="S1196" s="5" t="inlineStr"/>
      <c r="T1196" s="5" t="inlineStr"/>
      <c r="U1196" s="5" t="inlineStr"/>
      <c r="V1196" s="5" t="inlineStr"/>
      <c r="W1196" s="5" t="inlineStr"/>
      <c r="X1196" s="5" t="inlineStr"/>
      <c r="Y1196" s="5" t="inlineStr"/>
      <c r="Z1196" s="6" t="inlineStr"/>
    </row>
    <row r="1197">
      <c r="A1197" s="5" t="inlineStr">
        <is>
          <t>b10-sabah-yuruyusu</t>
        </is>
      </c>
      <c r="B1197" s="5" t="n">
        <v>2</v>
      </c>
      <c r="C1197" s="6" t="inlineStr">
        <is>
          <t>Grubun önüne geç</t>
        </is>
      </c>
      <c r="D1197" s="5" t="inlineStr">
        <is>
          <t>Dayanıklılık</t>
        </is>
      </c>
      <c r="E1197" s="5" t="inlineStr">
        <is>
          <t>Zor</t>
        </is>
      </c>
      <c r="F1197" s="5" t="inlineStr"/>
      <c r="G1197" s="6" t="inlineStr"/>
      <c r="H1197" s="6" t="inlineStr">
        <is>
          <t>Grubun önüne geçtin. Kimse bir şey demedi, ama ertesi gün herkes erken geldi.</t>
        </is>
      </c>
      <c r="I1197" s="6" t="inlineStr">
        <is>
          <t>Önüne geçtin ve bir tur boyunca liderliği bırakmadın. Grup sana şapka hediye etti.</t>
        </is>
      </c>
      <c r="J1197" s="6" t="inlineStr">
        <is>
          <t>Önüne geçtin, ikinci köşede geri düştün. Grup sana bir kez nazikçe el salladı.</t>
        </is>
      </c>
      <c r="K1197" s="6" t="inlineStr">
        <is>
          <t>Önüne geçmek için hızlandın, grup seni takip etti ve hep birlikte yanlış yola saptınız.</t>
        </is>
      </c>
      <c r="L1197" s="6" t="inlineStr"/>
      <c r="M1197" s="5" t="inlineStr"/>
      <c r="N1197" s="5" t="inlineStr"/>
      <c r="O1197" s="6" t="inlineStr"/>
      <c r="P1197" s="6" t="inlineStr"/>
      <c r="Q1197" s="5" t="inlineStr"/>
      <c r="R1197" s="5" t="inlineStr"/>
      <c r="S1197" s="5" t="inlineStr"/>
      <c r="T1197" s="5" t="inlineStr"/>
      <c r="U1197" s="5" t="inlineStr"/>
      <c r="V1197" s="5" t="inlineStr"/>
      <c r="W1197" s="5" t="inlineStr"/>
      <c r="X1197" s="5" t="inlineStr"/>
      <c r="Y1197" s="5" t="n">
        <v>5</v>
      </c>
      <c r="Z1197" s="6" t="inlineStr">
        <is>
          <t>Sabah yürüyüş grubunda ilk kez en öne geçtiği anda. Kupa yoktu, onur vardı.</t>
        </is>
      </c>
    </row>
    <row r="1198">
      <c r="A1198" s="5" t="inlineStr">
        <is>
          <t>b10-sabah-yuruyusu</t>
        </is>
      </c>
      <c r="B1198" s="5" t="n">
        <v>3</v>
      </c>
      <c r="C1198" s="6" t="inlineStr">
        <is>
          <t>Köşeyi kısa kes</t>
        </is>
      </c>
      <c r="D1198" s="5" t="inlineStr"/>
      <c r="E1198" s="5" t="inlineStr"/>
      <c r="F1198" s="5" t="inlineStr">
        <is>
          <t>Kurnazlık +2</t>
        </is>
      </c>
      <c r="G1198" s="6" t="inlineStr">
        <is>
          <t>Kısa kestin, grubun önüne çıktın. Park görevlisi bunu gördü ama saygıyla sessiz kaldı.</t>
        </is>
      </c>
      <c r="H1198" s="6" t="inlineStr"/>
      <c r="I1198" s="6" t="inlineStr"/>
      <c r="J1198" s="6" t="inlineStr"/>
      <c r="K1198" s="6" t="inlineStr"/>
      <c r="L1198" s="6" t="inlineStr"/>
      <c r="M1198" s="5" t="inlineStr"/>
      <c r="N1198" s="5" t="inlineStr"/>
      <c r="O1198" s="6" t="inlineStr"/>
      <c r="P1198" s="6" t="inlineStr"/>
      <c r="Q1198" s="5" t="inlineStr"/>
      <c r="R1198" s="5" t="inlineStr"/>
      <c r="S1198" s="5" t="inlineStr"/>
      <c r="T1198" s="5" t="inlineStr"/>
      <c r="U1198" s="5" t="inlineStr"/>
      <c r="V1198" s="5" t="inlineStr"/>
      <c r="W1198" s="5" t="inlineStr"/>
      <c r="X1198" s="5" t="inlineStr"/>
      <c r="Y1198" s="5" t="inlineStr"/>
      <c r="Z1198" s="6" t="inlineStr"/>
    </row>
    <row r="1199">
      <c r="A1199" s="5" t="inlineStr">
        <is>
          <t>b10-son-taksit</t>
        </is>
      </c>
      <c r="B1199" s="5" t="n">
        <v>1</v>
      </c>
      <c r="C1199" s="6" t="inlineStr">
        <is>
          <t>Mektubu çerçevelet</t>
        </is>
      </c>
      <c r="D1199" s="5" t="inlineStr"/>
      <c r="E1199" s="5" t="inlineStr"/>
      <c r="F1199" s="5" t="inlineStr">
        <is>
          <t>Vicdan +1</t>
        </is>
      </c>
      <c r="G1199" s="6" t="inlineStr">
        <is>
          <t>Mektup salonun duvarına asıldı. Ziyaretçiler önce ona, sonra sana bakıyor.</t>
        </is>
      </c>
      <c r="H1199" s="6" t="inlineStr"/>
      <c r="I1199" s="6" t="inlineStr"/>
      <c r="J1199" s="6" t="inlineStr"/>
      <c r="K1199" s="6" t="inlineStr"/>
      <c r="L1199" s="6" t="inlineStr"/>
      <c r="M1199" s="5" t="inlineStr"/>
      <c r="N1199" s="5" t="inlineStr"/>
      <c r="O1199" s="6" t="inlineStr"/>
      <c r="P1199" s="6" t="inlineStr"/>
      <c r="Q1199" s="5" t="inlineStr"/>
      <c r="R1199" s="5" t="inlineStr"/>
      <c r="S1199" s="5" t="inlineStr"/>
      <c r="T1199" s="5" t="inlineStr"/>
      <c r="U1199" s="5" t="inlineStr"/>
      <c r="V1199" s="5" t="inlineStr"/>
      <c r="W1199" s="5" t="inlineStr"/>
      <c r="X1199" s="5" t="inlineStr"/>
      <c r="Y1199" s="5" t="inlineStr"/>
      <c r="Z1199" s="6" t="inlineStr"/>
    </row>
    <row r="1200">
      <c r="A1200" s="5" t="inlineStr">
        <is>
          <t>b10-son-taksit</t>
        </is>
      </c>
      <c r="B1200" s="5" t="n">
        <v>2</v>
      </c>
      <c r="C1200" s="6" t="inlineStr">
        <is>
          <t>Yeni kredi teklifini kabul et</t>
        </is>
      </c>
      <c r="D1200" s="5" t="inlineStr">
        <is>
          <t>Pişkinlik</t>
        </is>
      </c>
      <c r="E1200" s="5" t="inlineStr">
        <is>
          <t>Orta</t>
        </is>
      </c>
      <c r="F1200" s="5" t="inlineStr"/>
      <c r="G1200" s="6" t="inlineStr"/>
      <c r="H1200" s="6" t="inlineStr">
        <is>
          <t>Kredi onaylandı. Bankanın risk departmanında sessiz bir toplantı yapıldı.</t>
        </is>
      </c>
      <c r="I1200" s="6" t="inlineStr">
        <is>
          <t>Otuz yıl vadeli kredi onaylandı. Banka müdürü sana saygıyla eğildi. Senin iyimserliğin onu aştı.</t>
        </is>
      </c>
      <c r="J1200" s="6" t="inlineStr">
        <is>
          <t>Başvuru 'değerlendirme aşamasında' kaldı. Değerlendirme süresi belirsiz.</t>
        </is>
      </c>
      <c r="K1200" s="6" t="inlineStr">
        <is>
          <t>Başvuru formundaki doğum yılı kutucuğu yeterince geniş değildi. Form reddedildi.</t>
        </is>
      </c>
      <c r="L1200" s="6" t="inlineStr"/>
      <c r="M1200" s="5" t="inlineStr"/>
      <c r="N1200" s="5" t="inlineStr"/>
      <c r="O1200" s="6" t="inlineStr"/>
      <c r="P1200" s="6" t="inlineStr"/>
      <c r="Q1200" s="5" t="inlineStr"/>
      <c r="R1200" s="5" t="inlineStr"/>
      <c r="S1200" s="5" t="inlineStr"/>
      <c r="T1200" s="5" t="inlineStr"/>
      <c r="U1200" s="5" t="inlineStr"/>
      <c r="V1200" s="5" t="inlineStr"/>
      <c r="W1200" s="5" t="inlineStr"/>
      <c r="X1200" s="5" t="inlineStr"/>
      <c r="Y1200" s="5" t="inlineStr"/>
      <c r="Z1200" s="6" t="inlineStr"/>
    </row>
    <row r="1201">
      <c r="A1201" s="5" t="inlineStr">
        <is>
          <t>b10-son-taksit</t>
        </is>
      </c>
      <c r="B1201" s="5" t="n">
        <v>3</v>
      </c>
      <c r="C1201" s="6" t="inlineStr">
        <is>
          <t>Bankaya ayrılık görüşmesine git</t>
        </is>
      </c>
      <c r="D1201" s="5" t="inlineStr"/>
      <c r="E1201" s="5" t="inlineStr"/>
      <c r="F1201" s="5" t="inlineStr">
        <is>
          <t>Çene +2</t>
        </is>
      </c>
      <c r="G1201" s="6" t="inlineStr">
        <is>
          <t>Banka müdürüne 'Sen değilsin, benim' dedin. Kırk yıllık ilişki olgunlukla bitirildi.</t>
        </is>
      </c>
      <c r="H1201" s="6" t="inlineStr"/>
      <c r="I1201" s="6" t="inlineStr"/>
      <c r="J1201" s="6" t="inlineStr"/>
      <c r="K1201" s="6" t="inlineStr"/>
      <c r="L1201" s="6" t="inlineStr"/>
      <c r="M1201" s="5" t="inlineStr"/>
      <c r="N1201" s="5" t="inlineStr"/>
      <c r="O1201" s="6" t="inlineStr"/>
      <c r="P1201" s="6" t="inlineStr"/>
      <c r="Q1201" s="5" t="inlineStr"/>
      <c r="R1201" s="5" t="inlineStr">
        <is>
          <t>borclu</t>
        </is>
      </c>
      <c r="S1201" s="5" t="inlineStr"/>
      <c r="T1201" s="5" t="inlineStr"/>
      <c r="U1201" s="5" t="inlineStr"/>
      <c r="V1201" s="5" t="inlineStr"/>
      <c r="W1201" s="5" t="inlineStr"/>
      <c r="X1201" s="5" t="inlineStr"/>
      <c r="Y1201" s="5" t="inlineStr"/>
      <c r="Z1201" s="6" t="inlineStr"/>
    </row>
    <row r="1202">
      <c r="A1202" s="5" t="inlineStr">
        <is>
          <t>b10-ehliyet-yenileme</t>
        </is>
      </c>
      <c r="B1202" s="5" t="n">
        <v>1</v>
      </c>
      <c r="C1202" s="6" t="inlineStr">
        <is>
          <t>Ehliyeti torunlara devret</t>
        </is>
      </c>
      <c r="D1202" s="5" t="inlineStr"/>
      <c r="E1202" s="5" t="inlineStr"/>
      <c r="F1202" s="5" t="inlineStr">
        <is>
          <t>Vicdan +2</t>
        </is>
      </c>
      <c r="G1202" s="6" t="inlineStr">
        <is>
          <t>Anahtarlar teslim edildi. Artık yolcu koltuğunun hükümdarısın.</t>
        </is>
      </c>
      <c r="H1202" s="6" t="inlineStr"/>
      <c r="I1202" s="6" t="inlineStr"/>
      <c r="J1202" s="6" t="inlineStr"/>
      <c r="K1202" s="6" t="inlineStr"/>
      <c r="L1202" s="6" t="inlineStr"/>
      <c r="M1202" s="5" t="inlineStr"/>
      <c r="N1202" s="5" t="inlineStr"/>
      <c r="O1202" s="6" t="inlineStr"/>
      <c r="P1202" s="6" t="inlineStr"/>
      <c r="Q1202" s="5" t="inlineStr"/>
      <c r="R1202" s="5" t="inlineStr"/>
      <c r="S1202" s="5" t="inlineStr"/>
      <c r="T1202" s="5" t="inlineStr"/>
      <c r="U1202" s="5" t="inlineStr"/>
      <c r="V1202" s="5" t="inlineStr"/>
      <c r="W1202" s="5" t="inlineStr"/>
      <c r="X1202" s="5" t="inlineStr"/>
      <c r="Y1202" s="5" t="inlineStr"/>
      <c r="Z1202" s="6" t="inlineStr"/>
    </row>
    <row r="1203">
      <c r="A1203" s="5" t="inlineStr">
        <is>
          <t>b10-ehliyet-yenileme</t>
        </is>
      </c>
      <c r="B1203" s="5" t="n">
        <v>2</v>
      </c>
      <c r="C1203" s="6" t="inlineStr">
        <is>
          <t>Göz testini ezberden geç</t>
        </is>
      </c>
      <c r="D1203" s="5" t="inlineStr">
        <is>
          <t>Akıl</t>
        </is>
      </c>
      <c r="E1203" s="5" t="inlineStr">
        <is>
          <t>Orta</t>
        </is>
      </c>
      <c r="F1203" s="5" t="inlineStr"/>
      <c r="G1203" s="6" t="inlineStr"/>
      <c r="H1203" s="6" t="inlineStr">
        <is>
          <t>Üçüncü satırı ezberden okudun. Muayene tamamlandı.</t>
        </is>
      </c>
      <c r="I1203" s="6" t="inlineStr">
        <is>
          <t>Doktor senin ezberini fark etti ve seni tebrik etti: 'Hafızanız gözlerinizden iyi.' Rapor imzalandı.</t>
        </is>
      </c>
      <c r="J1203" s="6" t="inlineStr">
        <is>
          <t>Doktor satırları değiştirdi. Ezber boşa gitti.</t>
        </is>
      </c>
      <c r="K1203" s="6" t="inlineStr">
        <is>
          <t>Ezberlediğin satır başka bir tablonun satırıymış. Doktor tabloyu çevirip sana gösterdi.</t>
        </is>
      </c>
      <c r="L1203" s="6" t="inlineStr"/>
      <c r="M1203" s="5" t="inlineStr"/>
      <c r="N1203" s="5" t="inlineStr"/>
      <c r="O1203" s="6" t="inlineStr"/>
      <c r="P1203" s="6" t="inlineStr"/>
      <c r="Q1203" s="5" t="inlineStr"/>
      <c r="R1203" s="5" t="inlineStr"/>
      <c r="S1203" s="5" t="inlineStr"/>
      <c r="T1203" s="5" t="inlineStr"/>
      <c r="U1203" s="5" t="inlineStr"/>
      <c r="V1203" s="5" t="inlineStr"/>
      <c r="W1203" s="5" t="inlineStr"/>
      <c r="X1203" s="5" t="inlineStr"/>
      <c r="Y1203" s="5" t="inlineStr"/>
      <c r="Z1203" s="6" t="inlineStr"/>
    </row>
    <row r="1204">
      <c r="A1204" s="5" t="inlineStr">
        <is>
          <t>b10-ehliyet-yenileme</t>
        </is>
      </c>
      <c r="B1204" s="5" t="n">
        <v>3</v>
      </c>
      <c r="C1204" s="6" t="inlineStr">
        <is>
          <t>Direksiyon sınavına gir</t>
        </is>
      </c>
      <c r="D1204" s="5" t="inlineStr">
        <is>
          <t>Cesaret</t>
        </is>
      </c>
      <c r="E1204" s="5" t="inlineStr">
        <is>
          <t>Zor</t>
        </is>
      </c>
      <c r="F1204" s="5" t="inlineStr"/>
      <c r="G1204" s="6" t="inlineStr"/>
      <c r="H1204" s="6" t="inlineStr">
        <is>
          <t>Sınavı geçtin. Sınav görevlisi seni kapıya kadar alkışladı.</t>
        </is>
      </c>
      <c r="I1204" s="6" t="inlineStr">
        <is>
          <t>Sınavı hatasız geçtin ve görevli sana 'Gençlere de böyle sürmeyi öğretin' dedi.</t>
        </is>
      </c>
      <c r="J1204" s="6" t="inlineStr">
        <is>
          <t>Park manevrasını dört denemede yaptın. Sınav görevlisi 'Bir dahaki sefere' dedi.</t>
        </is>
      </c>
      <c r="K1204" s="6" t="inlineStr">
        <is>
          <t>Park manevrası sırasında sınav aracı sınav görevlisinin kendi arabasına yaklaştı. Görevli kendi kararını verdi.</t>
        </is>
      </c>
      <c r="L1204" s="6" t="inlineStr"/>
      <c r="M1204" s="5" t="inlineStr"/>
      <c r="N1204" s="5" t="inlineStr"/>
      <c r="O1204" s="6" t="inlineStr"/>
      <c r="P1204" s="6" t="inlineStr"/>
      <c r="Q1204" s="5" t="inlineStr"/>
      <c r="R1204" s="5" t="inlineStr"/>
      <c r="S1204" s="5" t="inlineStr"/>
      <c r="T1204" s="5" t="inlineStr"/>
      <c r="U1204" s="5" t="inlineStr"/>
      <c r="V1204" s="5" t="inlineStr"/>
      <c r="W1204" s="5" t="inlineStr"/>
      <c r="X1204" s="5" t="inlineStr"/>
      <c r="Y1204" s="5" t="n">
        <v>6</v>
      </c>
      <c r="Z1204" s="6" t="inlineStr">
        <is>
          <t>Ehliyetini yeniledikten sonra ilk kavşakta sağ şeridi seçti. Sağ şerit onu seçmedi.</t>
        </is>
      </c>
    </row>
    <row r="1205">
      <c r="A1205" s="5" t="inlineStr">
        <is>
          <t>b10-mahallenin-en-yaslisi</t>
        </is>
      </c>
      <c r="B1205" s="5" t="n">
        <v>1</v>
      </c>
      <c r="C1205" s="6" t="inlineStr">
        <is>
          <t>Plaketi alıp teşekkür et</t>
        </is>
      </c>
      <c r="D1205" s="5" t="inlineStr"/>
      <c r="E1205" s="5" t="inlineStr"/>
      <c r="F1205" s="5" t="inlineStr">
        <is>
          <t>Vicdan +1</t>
        </is>
      </c>
      <c r="G1205" s="6" t="inlineStr">
        <is>
          <t>Plaket teslim alındı, fotoğraf çekildi. Plaket buzdolabının üstüne yerleştirildi.</t>
        </is>
      </c>
      <c r="H1205" s="6" t="inlineStr"/>
      <c r="I1205" s="6" t="inlineStr"/>
      <c r="J1205" s="6" t="inlineStr"/>
      <c r="K1205" s="6" t="inlineStr"/>
      <c r="L1205" s="6" t="inlineStr"/>
      <c r="M1205" s="5" t="inlineStr"/>
      <c r="N1205" s="5" t="inlineStr"/>
      <c r="O1205" s="6" t="inlineStr"/>
      <c r="P1205" s="6" t="inlineStr"/>
      <c r="Q1205" s="5" t="inlineStr"/>
      <c r="R1205" s="5" t="inlineStr"/>
      <c r="S1205" s="5" t="inlineStr"/>
      <c r="T1205" s="5" t="inlineStr"/>
      <c r="U1205" s="5" t="inlineStr"/>
      <c r="V1205" s="5" t="inlineStr"/>
      <c r="W1205" s="5" t="inlineStr"/>
      <c r="X1205" s="5" t="inlineStr"/>
      <c r="Y1205" s="5" t="inlineStr"/>
      <c r="Z1205" s="6" t="inlineStr"/>
    </row>
    <row r="1206">
      <c r="A1206" s="5" t="inlineStr">
        <is>
          <t>b10-mahallenin-en-yaslisi</t>
        </is>
      </c>
      <c r="B1206" s="5" t="n">
        <v>2</v>
      </c>
      <c r="C1206" s="6" t="inlineStr">
        <is>
          <t>Uzun yaşamanın sırrını açıkla</t>
        </is>
      </c>
      <c r="D1206" s="5" t="inlineStr">
        <is>
          <t>Çene</t>
        </is>
      </c>
      <c r="E1206" s="5" t="inlineStr">
        <is>
          <t>Orta</t>
        </is>
      </c>
      <c r="F1206" s="5" t="inlineStr"/>
      <c r="G1206" s="6" t="inlineStr"/>
      <c r="H1206" s="6" t="inlineStr">
        <is>
          <t>'Kimseye inat etmedim, ama kimseye de inat bırakmadım.' Konuşma haber bültenine girdi.</t>
        </is>
      </c>
      <c r="I1206" s="6" t="inlineStr">
        <is>
          <t>Sırrın o kadar sevildi ki mahallede tişörtü basıldı. Satışlardan sana pay verilmedi.</t>
        </is>
      </c>
      <c r="J1206" s="6" t="inlineStr">
        <is>
          <t>Sırrı açıklamadan önce çay istedin. Çay geldi, konuşma bitti. Sır belki de buydu.</t>
        </is>
      </c>
      <c r="K1206" s="6" t="inlineStr">
        <is>
          <t>Sırrını açıkladın: 'Hiçbir öneriyi dinlemedim.' Salondaki doktor önerilerini geri çekti.</t>
        </is>
      </c>
      <c r="L1206" s="6" t="inlineStr"/>
      <c r="M1206" s="5" t="inlineStr"/>
      <c r="N1206" s="5" t="inlineStr"/>
      <c r="O1206" s="6" t="inlineStr"/>
      <c r="P1206" s="6" t="inlineStr"/>
      <c r="Q1206" s="5" t="inlineStr"/>
      <c r="R1206" s="5" t="inlineStr"/>
      <c r="S1206" s="5" t="inlineStr"/>
      <c r="T1206" s="5" t="inlineStr"/>
      <c r="U1206" s="5" t="inlineStr"/>
      <c r="V1206" s="5" t="inlineStr"/>
      <c r="W1206" s="5" t="inlineStr"/>
      <c r="X1206" s="5" t="inlineStr"/>
      <c r="Y1206" s="5" t="inlineStr"/>
      <c r="Z1206" s="6" t="inlineStr"/>
    </row>
    <row r="1207">
      <c r="A1207" s="5" t="inlineStr">
        <is>
          <t>b10-mahallenin-en-yaslisi</t>
        </is>
      </c>
      <c r="B1207" s="5" t="n">
        <v>3</v>
      </c>
      <c r="C1207" s="6" t="inlineStr">
        <is>
          <t>Plaketi bir sonraki adaya ithaf et</t>
        </is>
      </c>
      <c r="D1207" s="5" t="inlineStr">
        <is>
          <t>Pişkinlik</t>
        </is>
      </c>
      <c r="E1207" s="5" t="inlineStr">
        <is>
          <t>Kolay</t>
        </is>
      </c>
      <c r="F1207" s="5" t="inlineStr"/>
      <c r="G1207" s="6" t="inlineStr"/>
      <c r="H1207" s="6" t="inlineStr">
        <is>
          <t>Plaketi salondaki ikinci en yaşlıya gösterdin: 'Bir sonraki sen.' Salon hem güldü hem ürperdi.</t>
        </is>
      </c>
      <c r="I1207" s="6" t="inlineStr">
        <is>
          <t>Salondaki bütün yaşlılar ayağa kalkıp birbirine plaket işaret etti. Belediye bir yarışma formatı düşünmeye başladı.</t>
        </is>
      </c>
      <c r="J1207" s="6" t="inlineStr">
        <is>
          <t>İkinci en yaşlı seni duymadı. Ya da duymamış gibi yaptı.</t>
        </is>
      </c>
      <c r="K1207" s="6" t="inlineStr">
        <is>
          <t>İkinci en yaşlı sana 'Ben senden büyüğüm, belgeler hatalı' dedi. Plaket üzerine itiraz dilekçesi verildi.</t>
        </is>
      </c>
      <c r="L1207" s="6" t="inlineStr"/>
      <c r="M1207" s="5" t="inlineStr"/>
      <c r="N1207" s="5" t="inlineStr"/>
      <c r="O1207" s="6" t="inlineStr"/>
      <c r="P1207" s="6" t="inlineStr"/>
      <c r="Q1207" s="5" t="inlineStr"/>
      <c r="R1207" s="5" t="inlineStr"/>
      <c r="S1207" s="5" t="inlineStr">
        <is>
          <t>Pişkinlik</t>
        </is>
      </c>
      <c r="T1207" s="5" t="inlineStr"/>
      <c r="U1207" s="5" t="inlineStr"/>
      <c r="V1207" s="5" t="inlineStr"/>
      <c r="W1207" s="5" t="inlineStr"/>
      <c r="X1207" s="5" t="inlineStr"/>
      <c r="Y1207" s="5" t="inlineStr"/>
      <c r="Z1207" s="6" t="inlineStr"/>
    </row>
    <row r="1208">
      <c r="A1208" s="5" t="inlineStr">
        <is>
          <t>b10-mezar-tasi-fotografi</t>
        </is>
      </c>
      <c r="B1208" s="5" t="n">
        <v>1</v>
      </c>
      <c r="C1208" s="6" t="inlineStr">
        <is>
          <t>Ciddi poz ver</t>
        </is>
      </c>
      <c r="D1208" s="5" t="inlineStr"/>
      <c r="E1208" s="5" t="inlineStr"/>
      <c r="F1208" s="5" t="inlineStr">
        <is>
          <t>Vicdan +1</t>
        </is>
      </c>
      <c r="G1208" s="6" t="inlineStr">
        <is>
          <t>Fotoğraf çekildi. Resmî, net, ağırbaşlı. Ziyaretçiler önünde sessizce duracak.</t>
        </is>
      </c>
      <c r="H1208" s="6" t="inlineStr"/>
      <c r="I1208" s="6" t="inlineStr"/>
      <c r="J1208" s="6" t="inlineStr"/>
      <c r="K1208" s="6" t="inlineStr"/>
      <c r="L1208" s="6" t="inlineStr"/>
      <c r="M1208" s="5" t="inlineStr"/>
      <c r="N1208" s="5" t="inlineStr"/>
      <c r="O1208" s="6" t="inlineStr"/>
      <c r="P1208" s="6" t="inlineStr"/>
      <c r="Q1208" s="5" t="inlineStr"/>
      <c r="R1208" s="5" t="inlineStr"/>
      <c r="S1208" s="5" t="inlineStr"/>
      <c r="T1208" s="5" t="inlineStr"/>
      <c r="U1208" s="5" t="inlineStr"/>
      <c r="V1208" s="5" t="inlineStr"/>
      <c r="W1208" s="5" t="inlineStr"/>
      <c r="X1208" s="5" t="inlineStr"/>
      <c r="Y1208" s="5" t="inlineStr"/>
      <c r="Z1208" s="6" t="inlineStr"/>
    </row>
    <row r="1209">
      <c r="A1209" s="5" t="inlineStr">
        <is>
          <t>b10-mezar-tasi-fotografi</t>
        </is>
      </c>
      <c r="B1209" s="5" t="n">
        <v>2</v>
      </c>
      <c r="C1209" s="6" t="inlineStr">
        <is>
          <t>Göz kırparak poz ver</t>
        </is>
      </c>
      <c r="D1209" s="5" t="inlineStr">
        <is>
          <t>Pişkinlik</t>
        </is>
      </c>
      <c r="E1209" s="5" t="inlineStr">
        <is>
          <t>Orta</t>
        </is>
      </c>
      <c r="F1209" s="5" t="inlineStr"/>
      <c r="G1209" s="6" t="inlineStr"/>
      <c r="H1209" s="6" t="inlineStr">
        <is>
          <t>Fotoğraf çekildi. Ziyaretçiler önünde gülümseyerek duracak.</t>
        </is>
      </c>
      <c r="I1209" s="6" t="inlineStr">
        <is>
          <t>Göz kırpman o kadar yerinde oldu ki fotoğrafçı fotoğrafı vitrine koydu. Bir ölümsüzlük türü.</t>
        </is>
      </c>
      <c r="J1209" s="6" t="inlineStr">
        <is>
          <t>Tam göz kırparken flaş patladı. İki gözün de kapalı çıktı.</t>
        </is>
      </c>
      <c r="K1209" s="6" t="inlineStr">
        <is>
          <t>Göz kırptın, fotoğrafçı 'Bir daha' dedi. On iki fotoğrafın on ikisinde de göz kırpıyorsun. Hepsi seçildi.</t>
        </is>
      </c>
      <c r="L1209" s="6" t="inlineStr"/>
      <c r="M1209" s="5" t="inlineStr"/>
      <c r="N1209" s="5" t="inlineStr"/>
      <c r="O1209" s="6" t="inlineStr"/>
      <c r="P1209" s="6" t="inlineStr"/>
      <c r="Q1209" s="5" t="inlineStr"/>
      <c r="R1209" s="5" t="inlineStr"/>
      <c r="S1209" s="5" t="inlineStr"/>
      <c r="T1209" s="5" t="inlineStr"/>
      <c r="U1209" s="5" t="inlineStr"/>
      <c r="V1209" s="5" t="inlineStr"/>
      <c r="W1209" s="5" t="inlineStr"/>
      <c r="X1209" s="5" t="inlineStr"/>
      <c r="Y1209" s="5" t="inlineStr"/>
      <c r="Z1209" s="6" t="inlineStr"/>
    </row>
    <row r="1210">
      <c r="A1210" s="5" t="inlineStr">
        <is>
          <t>b10-mezar-tasi-fotografi</t>
        </is>
      </c>
      <c r="B1210" s="5" t="n">
        <v>3</v>
      </c>
      <c r="C1210" s="6" t="inlineStr">
        <is>
          <t>Arka planı kendin seç</t>
        </is>
      </c>
      <c r="D1210" s="5" t="inlineStr">
        <is>
          <t>Sosyal Radar</t>
        </is>
      </c>
      <c r="E1210" s="5" t="inlineStr">
        <is>
          <t>Kolay</t>
        </is>
      </c>
      <c r="F1210" s="5" t="inlineStr"/>
      <c r="G1210" s="6" t="inlineStr"/>
      <c r="H1210" s="6" t="inlineStr">
        <is>
          <t>Arka planı sahil manzarası yaptın. Taş artık bir tatil kartı gibi.</t>
        </is>
      </c>
      <c r="I1210" s="6" t="inlineStr">
        <is>
          <t>Arka plan o kadar iyi oldu ki ziyaretçiler taşın önünde fotoğraf çektirmeye başladı.</t>
        </is>
      </c>
      <c r="J1210" s="6" t="inlineStr">
        <is>
          <t>Arka plan seçenekleri arasında sadece gri vardı. Seçim yapıldı.</t>
        </is>
      </c>
      <c r="K1210" s="6" t="inlineStr">
        <is>
          <t>Yanlış arka planı seçtin. Portren bir ofis toplantı odasında çekilmiş gibi duruyor.</t>
        </is>
      </c>
      <c r="L1210" s="6" t="inlineStr"/>
      <c r="M1210" s="5" t="inlineStr"/>
      <c r="N1210" s="5" t="inlineStr"/>
      <c r="O1210" s="6" t="inlineStr"/>
      <c r="P1210" s="6" t="inlineStr"/>
      <c r="Q1210" s="5" t="inlineStr"/>
      <c r="R1210" s="5" t="inlineStr"/>
      <c r="S1210" s="5" t="inlineStr"/>
      <c r="T1210" s="5" t="inlineStr"/>
      <c r="U1210" s="5" t="inlineStr"/>
      <c r="V1210" s="5" t="inlineStr"/>
      <c r="W1210" s="5" t="inlineStr"/>
      <c r="X1210" s="5" t="inlineStr"/>
      <c r="Y1210" s="5" t="inlineStr"/>
      <c r="Z1210" s="6" t="inlineStr"/>
    </row>
    <row r="1211">
      <c r="A1211" s="5" t="inlineStr">
        <is>
          <t>son-soz</t>
        </is>
      </c>
      <c r="B1211" s="5" t="n">
        <v>1</v>
      </c>
      <c r="C1211" s="6" t="inlineStr">
        <is>
          <t>'Kombiyi kapattınız mı?'</t>
        </is>
      </c>
      <c r="D1211" s="5" t="inlineStr"/>
      <c r="E1211" s="5" t="inlineStr"/>
      <c r="F1211" s="5" t="inlineStr">
        <is>
          <t>Akıl +1</t>
        </is>
      </c>
      <c r="G1211" s="6" t="inlineStr">
        <is>
          <t>Herkes aynı anda kalktı.</t>
        </is>
      </c>
      <c r="H1211" s="6" t="inlineStr"/>
      <c r="I1211" s="6" t="inlineStr"/>
      <c r="J1211" s="6" t="inlineStr"/>
      <c r="K1211" s="6" t="inlineStr"/>
      <c r="L1211" s="6" t="inlineStr"/>
      <c r="M1211" s="5" t="inlineStr"/>
      <c r="N1211" s="5" t="inlineStr"/>
      <c r="O1211" s="6" t="inlineStr"/>
      <c r="P1211" s="6" t="inlineStr"/>
      <c r="Q1211" s="5" t="inlineStr"/>
      <c r="R1211" s="5" t="inlineStr"/>
      <c r="S1211" s="5" t="inlineStr"/>
      <c r="T1211" s="5" t="inlineStr"/>
      <c r="U1211" s="5" t="inlineStr"/>
      <c r="V1211" s="5" t="inlineStr"/>
      <c r="W1211" s="5" t="inlineStr"/>
      <c r="X1211" s="5" t="inlineStr"/>
      <c r="Y1211" s="5" t="n">
        <v>100</v>
      </c>
      <c r="Z1211" s="6" t="inlineStr">
        <is>
          <t>Son sözü 'Kombiyi kapattınız mı?' oldu. Kapatılmıştı.</t>
        </is>
      </c>
    </row>
    <row r="1212">
      <c r="A1212" s="5" t="inlineStr">
        <is>
          <t>son-soz</t>
        </is>
      </c>
      <c r="B1212" s="5" t="n">
        <v>2</v>
      </c>
      <c r="C1212" s="6" t="inlineStr">
        <is>
          <t>'Hepinizi seviyorum. Bazılarınızı daha çok.'</t>
        </is>
      </c>
      <c r="D1212" s="5" t="inlineStr"/>
      <c r="E1212" s="5" t="inlineStr"/>
      <c r="F1212" s="5" t="inlineStr">
        <is>
          <t>Pişkinlik +1</t>
        </is>
      </c>
      <c r="G1212" s="6" t="inlineStr">
        <is>
          <t>Oda bir an sustu, sonra herkes birbirine baktı.</t>
        </is>
      </c>
      <c r="H1212" s="6" t="inlineStr"/>
      <c r="I1212" s="6" t="inlineStr"/>
      <c r="J1212" s="6" t="inlineStr"/>
      <c r="K1212" s="6" t="inlineStr"/>
      <c r="L1212" s="6" t="inlineStr"/>
      <c r="M1212" s="5" t="inlineStr"/>
      <c r="N1212" s="5" t="inlineStr"/>
      <c r="O1212" s="6" t="inlineStr"/>
      <c r="P1212" s="6" t="inlineStr"/>
      <c r="Q1212" s="5" t="inlineStr"/>
      <c r="R1212" s="5" t="inlineStr"/>
      <c r="S1212" s="5" t="inlineStr"/>
      <c r="T1212" s="5" t="inlineStr"/>
      <c r="U1212" s="5" t="inlineStr"/>
      <c r="V1212" s="5" t="inlineStr"/>
      <c r="W1212" s="5" t="inlineStr"/>
      <c r="X1212" s="5" t="inlineStr"/>
      <c r="Y1212" s="5" t="n">
        <v>100</v>
      </c>
      <c r="Z1212" s="6" t="inlineStr">
        <is>
          <t>Son sözü 'Hepinizi seviyorum. Bazılarınızı daha çok.' oldu. Liste açıklanmadı.</t>
        </is>
      </c>
    </row>
    <row r="1213">
      <c r="A1213" s="5" t="inlineStr">
        <is>
          <t>son-soz</t>
        </is>
      </c>
      <c r="B1213" s="5" t="n">
        <v>3</v>
      </c>
      <c r="C1213" s="6" t="inlineStr">
        <is>
          <t>'İyi bir hayattı.'</t>
        </is>
      </c>
      <c r="D1213" s="5" t="inlineStr"/>
      <c r="E1213" s="5" t="inlineStr"/>
      <c r="F1213" s="5" t="inlineStr">
        <is>
          <t>Vicdan +1</t>
        </is>
      </c>
      <c r="G1213" s="6" t="inlineStr">
        <is>
          <t>Kimse itiraz etmedi.</t>
        </is>
      </c>
      <c r="H1213" s="6" t="inlineStr"/>
      <c r="I1213" s="6" t="inlineStr"/>
      <c r="J1213" s="6" t="inlineStr"/>
      <c r="K1213" s="6" t="inlineStr"/>
      <c r="L1213" s="6" t="inlineStr"/>
      <c r="M1213" s="5" t="inlineStr"/>
      <c r="N1213" s="5" t="inlineStr"/>
      <c r="O1213" s="6" t="inlineStr"/>
      <c r="P1213" s="6" t="inlineStr"/>
      <c r="Q1213" s="5" t="inlineStr"/>
      <c r="R1213" s="5" t="inlineStr"/>
      <c r="S1213" s="5" t="inlineStr"/>
      <c r="T1213" s="5" t="inlineStr"/>
      <c r="U1213" s="5" t="inlineStr"/>
      <c r="V1213" s="5" t="inlineStr"/>
      <c r="W1213" s="5" t="inlineStr"/>
      <c r="X1213" s="5" t="inlineStr"/>
      <c r="Y1213" s="5" t="n">
        <v>100</v>
      </c>
      <c r="Z1213" s="6" t="inlineStr">
        <is>
          <t>Son sözü 'İyi bir hayattı' oldu. İtiraz süresi dolmuştur.</t>
        </is>
      </c>
    </row>
    <row r="1214">
      <c r="A1214" s="5" t="inlineStr">
        <is>
          <t>son-soz</t>
        </is>
      </c>
      <c r="B1214" s="5" t="n">
        <v>4</v>
      </c>
      <c r="C1214" s="6" t="inlineStr">
        <is>
          <t>'Vazoyu ben kırdım.'</t>
        </is>
      </c>
      <c r="D1214" s="5" t="inlineStr"/>
      <c r="E1214" s="5" t="inlineStr"/>
      <c r="F1214" s="5" t="inlineStr">
        <is>
          <t>Vicdan +2</t>
        </is>
      </c>
      <c r="G1214" s="6" t="inlineStr">
        <is>
          <t>Oda uzun bir süre sessiz kaldı. Sonra biri kediye baktı.</t>
        </is>
      </c>
      <c r="H1214" s="6" t="inlineStr"/>
      <c r="I1214" s="6" t="inlineStr"/>
      <c r="J1214" s="6" t="inlineStr"/>
      <c r="K1214" s="6" t="inlineStr"/>
      <c r="L1214" s="6" t="inlineStr"/>
      <c r="M1214" s="5" t="inlineStr"/>
      <c r="N1214" s="5" t="inlineStr"/>
      <c r="O1214" s="6" t="inlineStr"/>
      <c r="P1214" s="6" t="inlineStr"/>
      <c r="Q1214" s="5" t="inlineStr"/>
      <c r="R1214" s="5" t="inlineStr">
        <is>
          <t>kediSuclu</t>
        </is>
      </c>
      <c r="S1214" s="5" t="inlineStr"/>
      <c r="T1214" s="5" t="inlineStr"/>
      <c r="U1214" s="5" t="inlineStr"/>
      <c r="V1214" s="5" t="inlineStr"/>
      <c r="W1214" s="5" t="inlineStr"/>
      <c r="X1214" s="5" t="inlineStr"/>
      <c r="Y1214" s="5" t="n">
        <v>100</v>
      </c>
      <c r="Z1214" s="6" t="inlineStr">
        <is>
          <t>Son sözü 'Vazoyu ben kırdım' oldu. Kedi, uzun bir aradan sonra aklandı.</t>
        </is>
      </c>
    </row>
    <row r="1215">
      <c r="A1215" s="5" t="inlineStr">
        <is>
          <t>son-soz</t>
        </is>
      </c>
      <c r="B1215" s="5" t="n">
        <v>5</v>
      </c>
      <c r="C1215" s="6" t="inlineStr">
        <is>
          <t>'Para...'</t>
        </is>
      </c>
      <c r="D1215" s="5" t="inlineStr"/>
      <c r="E1215" s="5" t="inlineStr"/>
      <c r="F1215" s="5" t="inlineStr">
        <is>
          <t>Kurnazlık +1</t>
        </is>
      </c>
      <c r="G1215" s="6" t="inlineStr">
        <is>
          <t>Herkes öne eğildi. Cümlenin devamı gelmedi.</t>
        </is>
      </c>
      <c r="H1215" s="6" t="inlineStr"/>
      <c r="I1215" s="6" t="inlineStr"/>
      <c r="J1215" s="6" t="inlineStr"/>
      <c r="K1215" s="6" t="inlineStr"/>
      <c r="L1215" s="6" t="inlineStr"/>
      <c r="M1215" s="5" t="inlineStr"/>
      <c r="N1215" s="5" t="inlineStr"/>
      <c r="O1215" s="6" t="inlineStr"/>
      <c r="P1215" s="6" t="inlineStr"/>
      <c r="Q1215" s="5" t="inlineStr"/>
      <c r="R1215" s="5" t="inlineStr">
        <is>
          <t>ilkKelimePara</t>
        </is>
      </c>
      <c r="S1215" s="5" t="inlineStr"/>
      <c r="T1215" s="5" t="inlineStr"/>
      <c r="U1215" s="5" t="inlineStr"/>
      <c r="V1215" s="5" t="inlineStr"/>
      <c r="W1215" s="5" t="inlineStr"/>
      <c r="X1215" s="5" t="inlineStr"/>
      <c r="Y1215" s="5" t="n">
        <v>100</v>
      </c>
      <c r="Z1215" s="6" t="inlineStr">
        <is>
          <t>İlk sözü de son sözü de 'Para' oldu. Arada yaşadıkları kayıt altındadır.</t>
        </is>
      </c>
    </row>
    <row r="1216">
      <c r="A1216" s="5" t="inlineStr">
        <is>
          <t>sokak-mi-ekran-mi</t>
        </is>
      </c>
      <c r="B1216" s="5" t="n">
        <v>1</v>
      </c>
      <c r="C1216" s="6" t="inlineStr">
        <is>
          <t>Sokağa koş</t>
        </is>
      </c>
      <c r="D1216" s="5" t="inlineStr">
        <is>
          <t>Cesaret</t>
        </is>
      </c>
      <c r="E1216" s="5" t="inlineStr">
        <is>
          <t>Kolay</t>
        </is>
      </c>
      <c r="F1216" s="5" t="inlineStr"/>
      <c r="G1216" s="6" t="inlineStr"/>
      <c r="H1216" s="6" t="inlineStr">
        <is>
          <t>Merdivenleri ikişer ikişer indin. Akşama kadar dizlerin yara bandı, ceplerin çakıl taşı doldu.</t>
        </is>
      </c>
      <c r="I1216" s="6" t="inlineStr">
        <is>
          <t>İlk gün kaleye geçtin, ikinci gün takım kaptanı oldun. Mahalle seni adınla çağırmaya başladı.</t>
        </is>
      </c>
      <c r="J1216" s="6" t="inlineStr">
        <is>
          <t>Aşağı indin ama oyun çoktan kurulmuştu. Kenardan izledin; yine de oradaydın.</t>
        </is>
      </c>
      <c r="K1216" s="6" t="inlineStr">
        <is>
          <t>Koşarken ayakkabının teki merdivende kaldı. Mahalleye tek ayakkabıyla giriş yaptın; lakabın hazır.</t>
        </is>
      </c>
      <c r="L1216" s="6" t="inlineStr"/>
      <c r="M1216" s="5" t="inlineStr"/>
      <c r="N1216" s="5" t="inlineStr"/>
      <c r="O1216" s="6" t="inlineStr"/>
      <c r="P1216" s="6" t="inlineStr"/>
      <c r="Q1216" s="5" t="inlineStr"/>
      <c r="R1216" s="5" t="inlineStr"/>
      <c r="S1216" s="5" t="inlineStr"/>
      <c r="T1216" s="5" t="inlineStr"/>
      <c r="U1216" s="5" t="inlineStr">
        <is>
          <t>mahalle-cocugu</t>
        </is>
      </c>
      <c r="V1216" s="5" t="inlineStr"/>
      <c r="W1216" s="5" t="inlineStr"/>
      <c r="X1216" s="5" t="inlineStr"/>
      <c r="Y1216" s="5" t="inlineStr"/>
      <c r="Z1216" s="6" t="inlineStr"/>
    </row>
    <row r="1217">
      <c r="A1217" s="5" t="inlineStr">
        <is>
          <t>sokak-mi-ekran-mi</t>
        </is>
      </c>
      <c r="B1217" s="5" t="n">
        <v>2</v>
      </c>
      <c r="C1217" s="6" t="inlineStr">
        <is>
          <t>Tableti al</t>
        </is>
      </c>
      <c r="D1217" s="5" t="inlineStr">
        <is>
          <t>Kurnazlık</t>
        </is>
      </c>
      <c r="E1217" s="5" t="inlineStr">
        <is>
          <t>Kolay</t>
        </is>
      </c>
      <c r="F1217" s="5" t="inlineStr"/>
      <c r="G1217" s="6" t="inlineStr"/>
      <c r="H1217" s="6" t="inlineStr">
        <is>
          <t>Şifreyi annenden önce öğrendin. Akşam yemeğine kadar üç oyun bitirdin, birini baştan.</t>
        </is>
      </c>
      <c r="I1217" s="6" t="inlineStr">
        <is>
          <t>Ebeveyn ayarını kimse fark etmeden değiştirdin. Ekran süresini artık sen belirliyorsun.</t>
        </is>
      </c>
      <c r="J1217" s="6" t="inlineStr">
        <is>
          <t>Tablet açıldı ama şarj seni yarı yolda bıraktı. Kabloyu bulana kadar akşam oldu.</t>
        </is>
      </c>
      <c r="K1217" s="6" t="inlineStr">
        <is>
          <t>Tableti kanepeden düşürdün. Ekranın köşesinde artık bir örümcek ağı var; her açışında hatırlıyorsun.</t>
        </is>
      </c>
      <c r="L1217" s="6" t="inlineStr"/>
      <c r="M1217" s="5" t="inlineStr"/>
      <c r="N1217" s="5" t="inlineStr"/>
      <c r="O1217" s="6" t="inlineStr"/>
      <c r="P1217" s="6" t="inlineStr"/>
      <c r="Q1217" s="5" t="inlineStr"/>
      <c r="R1217" s="5" t="inlineStr"/>
      <c r="S1217" s="5" t="inlineStr"/>
      <c r="T1217" s="5" t="inlineStr"/>
      <c r="U1217" s="5" t="inlineStr">
        <is>
          <t>ekran-cocugu</t>
        </is>
      </c>
      <c r="V1217" s="5" t="inlineStr"/>
      <c r="W1217" s="5" t="inlineStr"/>
      <c r="X1217" s="5" t="inlineStr"/>
      <c r="Y1217" s="5" t="inlineStr"/>
      <c r="Z1217" s="6" t="inlineStr"/>
    </row>
    <row r="1218">
      <c r="A1218" s="5" t="inlineStr">
        <is>
          <t>sokak-mi-ekran-mi</t>
        </is>
      </c>
      <c r="B1218" s="5" t="n">
        <v>3</v>
      </c>
      <c r="C1218" s="6" t="inlineStr">
        <is>
          <t>Tableti sokağa indir</t>
        </is>
      </c>
      <c r="D1218" s="5" t="inlineStr">
        <is>
          <t>Pişkinlik</t>
        </is>
      </c>
      <c r="E1218" s="5" t="inlineStr">
        <is>
          <t>Zor</t>
        </is>
      </c>
      <c r="F1218" s="5" t="inlineStr"/>
      <c r="G1218" s="6" t="inlineStr"/>
      <c r="H1218" s="6" t="inlineStr">
        <is>
          <t>Tableti aşağı indirdin; mahalle bir anda seyirciye dönüştü. Hem sokağın hem ekranın çocuğusun.</t>
        </is>
      </c>
      <c r="I1218" s="6" t="inlineStr">
        <is>
          <t>Tabletle mahallede oyun turnuvası kurdun. Giriş ücreti bir bisküvi, sıra hep sende.</t>
        </is>
      </c>
      <c r="J1218" s="6" t="inlineStr">
        <is>
          <t>Tableti indirdin ama güneş ekranı okunmaz yaptı. Herkes topa döndü, sen de.</t>
        </is>
      </c>
      <c r="K1218" s="6" t="inlineStr">
        <is>
          <t>Tablet top gibi elden ele dolaştı. Sonunda bir kedinin altında bulundu; kedi memnundu.</t>
        </is>
      </c>
      <c r="L1218" s="6" t="inlineStr"/>
      <c r="M1218" s="5" t="inlineStr"/>
      <c r="N1218" s="5" t="inlineStr"/>
      <c r="O1218" s="6" t="inlineStr"/>
      <c r="P1218" s="6" t="inlineStr"/>
      <c r="Q1218" s="5" t="inlineStr"/>
      <c r="R1218" s="5" t="inlineStr"/>
      <c r="S1218" s="5" t="inlineStr"/>
      <c r="T1218" s="5" t="inlineStr"/>
      <c r="U1218" s="5" t="inlineStr">
        <is>
          <t>mahalle-cocugu</t>
        </is>
      </c>
      <c r="V1218" s="5" t="inlineStr">
        <is>
          <t>ekran-cocugu</t>
        </is>
      </c>
      <c r="W1218" s="5" t="inlineStr"/>
      <c r="X1218" s="5" t="inlineStr"/>
      <c r="Y1218" s="5" t="inlineStr"/>
      <c r="Z1218" s="6" t="inlineStr"/>
    </row>
    <row r="1219">
      <c r="A1219" s="5" t="inlineStr">
        <is>
          <t>sokak-mi-ekran-mi</t>
        </is>
      </c>
      <c r="B1219" s="5" t="n">
        <v>4</v>
      </c>
      <c r="C1219" s="6" t="inlineStr">
        <is>
          <t>Pencereden ikisini de izle</t>
        </is>
      </c>
      <c r="D1219" s="5" t="inlineStr"/>
      <c r="E1219" s="5" t="inlineStr"/>
      <c r="F1219" s="5" t="inlineStr">
        <is>
          <t>Sosyal Radar +1</t>
        </is>
      </c>
      <c r="G1219" s="6" t="inlineStr">
        <is>
          <t>Pencerede durup hem sokağı hem ekranı izledin. İkisine de katılmadın ama ikisini de anlatabilirsin.</t>
        </is>
      </c>
      <c r="H1219" s="6" t="inlineStr"/>
      <c r="I1219" s="6" t="inlineStr"/>
      <c r="J1219" s="6" t="inlineStr"/>
      <c r="K1219" s="6" t="inlineStr"/>
      <c r="L1219" s="6" t="inlineStr"/>
      <c r="M1219" s="5" t="inlineStr"/>
      <c r="N1219" s="5" t="inlineStr"/>
      <c r="O1219" s="6" t="inlineStr"/>
      <c r="P1219" s="6" t="inlineStr"/>
      <c r="Q1219" s="5" t="inlineStr"/>
      <c r="R1219" s="5" t="inlineStr"/>
      <c r="S1219" s="5" t="inlineStr"/>
      <c r="T1219" s="5" t="inlineStr"/>
      <c r="U1219" s="5" t="inlineStr"/>
      <c r="V1219" s="5" t="inlineStr"/>
      <c r="W1219" s="5" t="inlineStr"/>
      <c r="X1219" s="5" t="inlineStr"/>
      <c r="Y1219" s="5" t="inlineStr"/>
      <c r="Z1219" s="6" t="inlineStr"/>
    </row>
  </sheetData>
  <autoFilter ref="A1:Z1219"/>
  <dataValidations count="4">
    <dataValidation sqref="D2:D1618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E2:E1618" showDropDown="0" showInputMessage="0" showErrorMessage="1" allowBlank="1" errorTitle="Geçersiz değer" error="Listeden bir değer seçin." type="list">
      <formula1>"Çok Kolay,Kolay,Orta,Zor,Çok Zor"</formula1>
    </dataValidation>
    <dataValidation sqref="M2:M1618" showDropDown="0" showInputMessage="0" showErrorMessage="1" allowBlank="1" errorTitle="Geçersiz değer" error="Listeden bir değer seçin." type="list">
      <formula1>"timing,hold,collect,race,memory,cups,doors,rhythm,lanes,simon,poker,trace,bargain,swipe,breath,balance"</formula1>
    </dataValidation>
    <dataValidation sqref="S2:S1618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0" customWidth="1" min="3" max="3"/>
    <col width="70" customWidth="1" min="4" max="4"/>
    <col width="40" customWidth="1" min="5" max="5"/>
    <col width="9" customWidth="1" min="6" max="6"/>
  </cols>
  <sheetData>
    <row r="1" ht="32" customHeight="1">
      <c r="A1" s="4" t="inlineStr">
        <is>
          <t>Olay ID</t>
        </is>
      </c>
      <c r="B1" s="4" t="inlineStr">
        <is>
          <t>Stat</t>
        </is>
      </c>
      <c r="C1" s="4" t="inlineStr">
        <is>
          <t>Zorluk</t>
        </is>
      </c>
      <c r="D1" s="4" t="inlineStr">
        <is>
          <t>İç ses metni</t>
        </is>
      </c>
      <c r="E1" s="4" t="inlineStr">
        <is>
          <t>Başarısızlık metni</t>
        </is>
      </c>
      <c r="F1" s="4" t="inlineStr">
        <is>
          <t>Seçenek açar</t>
        </is>
      </c>
    </row>
    <row r="2">
      <c r="A2" s="5" t="inlineStr">
        <is>
          <t>dogum</t>
        </is>
      </c>
      <c r="B2" s="5" t="inlineStr">
        <is>
          <t>Sosyal Radar</t>
        </is>
      </c>
      <c r="C2" s="5" t="inlineStr">
        <is>
          <t>Kolay</t>
        </is>
      </c>
      <c r="D2" s="6" t="inlineStr">
        <is>
          <t>Odada altı kişi var. Beşi sana bakıyor. Altıncısı faturaya.</t>
        </is>
      </c>
      <c r="E2" s="6" t="inlineStr"/>
      <c r="F2" s="5" t="inlineStr"/>
    </row>
    <row r="3">
      <c r="A3" s="5" t="inlineStr">
        <is>
          <t>dogum</t>
        </is>
      </c>
      <c r="B3" s="5" t="inlineStr">
        <is>
          <t>Pişkinlik</t>
        </is>
      </c>
      <c r="C3" s="5" t="inlineStr">
        <is>
          <t>Orta</t>
        </is>
      </c>
      <c r="D3" s="6" t="inlineStr">
        <is>
          <t>Sahne senin. Işıklar hazır. Ağlamak, açılış için yeterince güçlü bir performans.</t>
        </is>
      </c>
      <c r="E3" s="6" t="inlineStr"/>
      <c r="F3" s="5" t="inlineStr"/>
    </row>
    <row r="4">
      <c r="A4" s="5" t="inlineStr">
        <is>
          <t>yasak-nesne</t>
        </is>
      </c>
      <c r="B4" s="5" t="inlineStr">
        <is>
          <t>Kurnazlık</t>
        </is>
      </c>
      <c r="C4" s="5" t="inlineStr">
        <is>
          <t>Kolay</t>
        </is>
      </c>
      <c r="D4" s="6" t="inlineStr">
        <is>
          <t>Parlak şeyler pahalıdır. Pahalı şeyler yüksekte durur. Bu masada bir planlama hatası var.</t>
        </is>
      </c>
      <c r="E4" s="6" t="inlineStr"/>
      <c r="F4" s="5" t="inlineStr"/>
    </row>
    <row r="5">
      <c r="A5" s="5" t="inlineStr">
        <is>
          <t>yasak-nesne</t>
        </is>
      </c>
      <c r="B5" s="5" t="inlineStr">
        <is>
          <t>Vicdan</t>
        </is>
      </c>
      <c r="C5" s="5" t="inlineStr">
        <is>
          <t>Orta</t>
        </is>
      </c>
      <c r="D5" s="6" t="inlineStr">
        <is>
          <t>Bu nesneye dokunursan birileri üzülecek. Muhtemelen sen, biraz sonra.</t>
        </is>
      </c>
      <c r="E5" s="6" t="inlineStr"/>
      <c r="F5" s="5" t="inlineStr"/>
    </row>
    <row r="6">
      <c r="A6" s="5" t="inlineStr">
        <is>
          <t>vazo-kirildi</t>
        </is>
      </c>
      <c r="B6" s="5" t="inlineStr">
        <is>
          <t>Sosyal Radar</t>
        </is>
      </c>
      <c r="C6" s="5" t="inlineStr">
        <is>
          <t>Orta</t>
        </is>
      </c>
      <c r="D6" s="6" t="inlineStr">
        <is>
          <t>Kedi seni izlemiyor. Annenin ayak seslerini izliyor. Dört saniyen var.</t>
        </is>
      </c>
      <c r="E6" s="6" t="inlineStr"/>
      <c r="F6" s="5" t="inlineStr">
        <is>
          <t>E</t>
        </is>
      </c>
    </row>
    <row r="7">
      <c r="A7" s="5" t="inlineStr">
        <is>
          <t>vazo-kirildi</t>
        </is>
      </c>
      <c r="B7" s="5" t="inlineStr">
        <is>
          <t>Pişkinlik</t>
        </is>
      </c>
      <c r="C7" s="5" t="inlineStr">
        <is>
          <t>Zor</t>
        </is>
      </c>
      <c r="D7" s="6" t="inlineStr">
        <is>
          <t>Kedinin avukatı yok. Sadece söylüyorum.</t>
        </is>
      </c>
      <c r="E7" s="6" t="inlineStr"/>
      <c r="F7" s="5" t="inlineStr"/>
    </row>
    <row r="8">
      <c r="A8" s="5" t="inlineStr">
        <is>
          <t>vazo-kirildi</t>
        </is>
      </c>
      <c r="B8" s="5" t="inlineStr">
        <is>
          <t>Vicdan</t>
        </is>
      </c>
      <c r="C8" s="5" t="inlineStr">
        <is>
          <t>Kolay</t>
        </is>
      </c>
      <c r="D8" s="6" t="inlineStr">
        <is>
          <t>Bu vazo babaanneden kalmaydı. Babaanne hâlâ hayatta. Bu durumu daha da kötüleştiriyor.</t>
        </is>
      </c>
      <c r="E8" s="6" t="inlineStr">
        <is>
          <t>…Vicdan bu sırada başka bir şeyle meşguldü.</t>
        </is>
      </c>
      <c r="F8" s="5" t="inlineStr"/>
    </row>
    <row r="9">
      <c r="A9" s="5" t="inlineStr">
        <is>
          <t>ilk-harclik</t>
        </is>
      </c>
      <c r="B9" s="5" t="inlineStr">
        <is>
          <t>Kurnazlık</t>
        </is>
      </c>
      <c r="C9" s="5" t="inlineStr">
        <is>
          <t>Orta</t>
        </is>
      </c>
      <c r="D9" s="6" t="inlineStr">
        <is>
          <t>Bu bozuk paralar tek başına bir şey değil. Biriktirirsen de bir şey değil. Ama biriktirirsen.</t>
        </is>
      </c>
      <c r="E9" s="6" t="inlineStr"/>
      <c r="F9" s="5" t="inlineStr"/>
    </row>
    <row r="10">
      <c r="A10" s="5" t="inlineStr">
        <is>
          <t>ilk-harclik</t>
        </is>
      </c>
      <c r="B10" s="5" t="inlineStr">
        <is>
          <t>Çene</t>
        </is>
      </c>
      <c r="C10" s="5" t="inlineStr">
        <is>
          <t>Kolay</t>
        </is>
      </c>
      <c r="D10" s="6" t="inlineStr">
        <is>
          <t>Karşıdaki çocuğun elinde kraker var. Kraker de bir para birimidir.</t>
        </is>
      </c>
      <c r="E10" s="6" t="inlineStr"/>
      <c r="F10" s="5" t="inlineStr"/>
    </row>
    <row r="11">
      <c r="A11" s="5" t="inlineStr">
        <is>
          <t>kim-yapti</t>
        </is>
      </c>
      <c r="B11" s="5" t="inlineStr">
        <is>
          <t>Vicdan</t>
        </is>
      </c>
      <c r="C11" s="5" t="inlineStr">
        <is>
          <t>Kolay</t>
        </is>
      </c>
      <c r="D11" s="6" t="inlineStr">
        <is>
          <t>Doğruyu söylersen bugün kötü geçer. Yalan söylersen bu gece kötü geçer.</t>
        </is>
      </c>
      <c r="E11" s="6" t="inlineStr"/>
      <c r="F11" s="5" t="inlineStr"/>
    </row>
    <row r="12">
      <c r="A12" s="5" t="inlineStr">
        <is>
          <t>kim-yapti</t>
        </is>
      </c>
      <c r="B12" s="5" t="inlineStr">
        <is>
          <t>Akıl</t>
        </is>
      </c>
      <c r="C12" s="5" t="inlineStr">
        <is>
          <t>Orta</t>
        </is>
      </c>
      <c r="D12" s="6" t="inlineStr">
        <is>
          <t>Soruyu soran yetişkin cevabı zaten biliyor. Bu bir soruşturma değil, bir sadakat testi.</t>
        </is>
      </c>
      <c r="E12" s="6" t="inlineStr"/>
      <c r="F12" s="5" t="inlineStr">
        <is>
          <t>E</t>
        </is>
      </c>
    </row>
    <row r="13">
      <c r="A13" s="5" t="inlineStr">
        <is>
          <t>ilk-gercek-yalan</t>
        </is>
      </c>
      <c r="B13" s="5" t="inlineStr">
        <is>
          <t>Pişkinlik</t>
        </is>
      </c>
      <c r="C13" s="5" t="inlineStr">
        <is>
          <t>Orta</t>
        </is>
      </c>
      <c r="D13" s="6" t="inlineStr">
        <is>
          <t>Göz teması kur. Gözünü kırpma. Kırpma dedik.</t>
        </is>
      </c>
      <c r="E13" s="6" t="inlineStr"/>
      <c r="F13" s="5" t="inlineStr"/>
    </row>
    <row r="14">
      <c r="A14" s="5" t="inlineStr">
        <is>
          <t>ilk-gercek-yalan</t>
        </is>
      </c>
      <c r="B14" s="5" t="inlineStr">
        <is>
          <t>Vicdan</t>
        </is>
      </c>
      <c r="C14" s="5" t="inlineStr">
        <is>
          <t>Kolay</t>
        </is>
      </c>
      <c r="D14" s="6" t="inlineStr">
        <is>
          <t>Bu yetişkin sana güveniyor. Bu, işi hem kolaylaştırıyor hem zorlaştırıyor.</t>
        </is>
      </c>
      <c r="E14" s="6" t="inlineStr"/>
      <c r="F14" s="5" t="inlineStr"/>
    </row>
    <row r="15">
      <c r="A15" s="5" t="inlineStr">
        <is>
          <t>mahalle-bakkali</t>
        </is>
      </c>
      <c r="B15" s="5" t="inlineStr">
        <is>
          <t>Sosyal Radar</t>
        </is>
      </c>
      <c r="C15" s="5" t="inlineStr">
        <is>
          <t>Orta</t>
        </is>
      </c>
      <c r="D15" s="6" t="inlineStr">
        <is>
          <t>Bakkal mahalledeki herkesin borcunu ezbere biliyor. Seninkini de. Henüz yok ama biliyor.</t>
        </is>
      </c>
      <c r="E15" s="6" t="inlineStr"/>
      <c r="F15" s="5" t="inlineStr"/>
    </row>
    <row r="16">
      <c r="A16" s="5" t="inlineStr">
        <is>
          <t>mahalle-bakkali</t>
        </is>
      </c>
      <c r="B16" s="5" t="inlineStr">
        <is>
          <t>Kurnazlık</t>
        </is>
      </c>
      <c r="C16" s="5" t="inlineStr">
        <is>
          <t>Zor</t>
        </is>
      </c>
      <c r="D16" s="6" t="inlineStr">
        <is>
          <t>Terazinin kefesinin altında bir sakız yapışık. Yıllardır orada. Terazi yıllardır bir sakız ağırlığında yanılıyor.</t>
        </is>
      </c>
      <c r="E16" s="6" t="inlineStr"/>
      <c r="F16" s="5" t="inlineStr"/>
    </row>
    <row r="17">
      <c r="A17" s="5" t="inlineStr">
        <is>
          <t>sana-guluyorlar</t>
        </is>
      </c>
      <c r="B17" s="5" t="inlineStr">
        <is>
          <t>Dayanıklılık</t>
        </is>
      </c>
      <c r="C17" s="5" t="inlineStr">
        <is>
          <t>Kolay</t>
        </is>
      </c>
      <c r="D17" s="6" t="inlineStr">
        <is>
          <t>Bu an geçecek. Otuz yıl sonra bir düğünde biri hatırlatacak. O an da geçecek.</t>
        </is>
      </c>
      <c r="E17" s="6" t="inlineStr"/>
      <c r="F17" s="5" t="inlineStr"/>
    </row>
    <row r="18">
      <c r="A18" s="5" t="inlineStr">
        <is>
          <t>sana-guluyorlar</t>
        </is>
      </c>
      <c r="B18" s="5" t="inlineStr">
        <is>
          <t>Cesaret</t>
        </is>
      </c>
      <c r="C18" s="5" t="inlineStr">
        <is>
          <t>Orta</t>
        </is>
      </c>
      <c r="D18" s="6" t="inlineStr">
        <is>
          <t>Gülen üç kişi. İkisi neye güldüğünü bilmiyor. Üçüncüsü de emin değil.</t>
        </is>
      </c>
      <c r="E18" s="6" t="inlineStr"/>
      <c r="F18" s="5" t="inlineStr"/>
    </row>
    <row r="19">
      <c r="A19" s="5" t="inlineStr">
        <is>
          <t>aileler-kiyasliyor</t>
        </is>
      </c>
      <c r="B19" s="5" t="inlineStr">
        <is>
          <t>Sosyal Radar</t>
        </is>
      </c>
      <c r="C19" s="5" t="inlineStr">
        <is>
          <t>Orta</t>
        </is>
      </c>
      <c r="D19" s="6" t="inlineStr">
        <is>
          <t>Karşıdaki annenin gülümsemesi 'Bizimki de okuyor' diyor. Gözleri 'Ama sizinki kadar değil' diyor.</t>
        </is>
      </c>
      <c r="E19" s="6" t="inlineStr"/>
      <c r="F19" s="5" t="inlineStr"/>
    </row>
    <row r="20">
      <c r="A20" s="5" t="inlineStr">
        <is>
          <t>tepsiyle-kayak</t>
        </is>
      </c>
      <c r="B20" s="5" t="inlineStr">
        <is>
          <t>Akıl</t>
        </is>
      </c>
      <c r="C20" s="5" t="inlineStr">
        <is>
          <t>Orta</t>
        </is>
      </c>
      <c r="D20" s="6" t="inlineStr">
        <is>
          <t>Yokuşun sonunda bir çöp konteyneri var. Tepsinin freni yok. Bu iki bilgiyi aynı cümlede düşün.</t>
        </is>
      </c>
      <c r="E20" s="6" t="inlineStr"/>
      <c r="F20" s="5" t="inlineStr"/>
    </row>
    <row r="21">
      <c r="A21" s="5" t="inlineStr">
        <is>
          <t>tepsiyle-kayak</t>
        </is>
      </c>
      <c r="B21" s="5" t="inlineStr">
        <is>
          <t>Cesaret</t>
        </is>
      </c>
      <c r="C21" s="5" t="inlineStr">
        <is>
          <t>Kolay</t>
        </is>
      </c>
      <c r="D21" s="6" t="inlineStr">
        <is>
          <t>Hayatta bazı yokuşlar bir kez kaydırılır. Genelde son kez değil. Genelde.</t>
        </is>
      </c>
      <c r="E21" s="6" t="inlineStr"/>
      <c r="F21" s="5" t="inlineStr"/>
    </row>
    <row r="22">
      <c r="A22" s="5" t="inlineStr">
        <is>
          <t>ilkokul-kapisi</t>
        </is>
      </c>
      <c r="B22" s="5" t="inlineStr">
        <is>
          <t>Cesaret</t>
        </is>
      </c>
      <c r="C22" s="5" t="inlineStr">
        <is>
          <t>Kolay</t>
        </is>
      </c>
      <c r="D22" s="6" t="inlineStr">
        <is>
          <t>Bina büyük ama kapı normal boyutta. Başlangıç için yeterli.</t>
        </is>
      </c>
      <c r="E22" s="6" t="inlineStr"/>
      <c r="F22" s="5" t="inlineStr"/>
    </row>
    <row r="23">
      <c r="A23" s="5" t="inlineStr">
        <is>
          <t>ilkokul-kapisi</t>
        </is>
      </c>
      <c r="B23" s="5" t="inlineStr">
        <is>
          <t>Akıl</t>
        </is>
      </c>
      <c r="C23" s="5" t="inlineStr">
        <is>
          <t>Orta</t>
        </is>
      </c>
      <c r="D23" s="6" t="inlineStr">
        <is>
          <t>Koridorda on iki kapı var. Resimli olanlar küçük sınıflar. Sen artık küçük sınıfsın. Bunu kabullen.</t>
        </is>
      </c>
      <c r="E23" s="6" t="inlineStr"/>
      <c r="F23" s="5" t="inlineStr"/>
    </row>
    <row r="24">
      <c r="A24" s="5" t="inlineStr">
        <is>
          <t>sinif-baskani</t>
        </is>
      </c>
      <c r="B24" s="5" t="inlineStr">
        <is>
          <t>Çene</t>
        </is>
      </c>
      <c r="C24" s="5" t="inlineStr">
        <is>
          <t>Orta</t>
        </is>
      </c>
      <c r="D24" s="6" t="inlineStr">
        <is>
          <t>Vaat ne kadar büyükse oy o kadar çok. Uygulama kısmı seçimden sonraki bir sorun.</t>
        </is>
      </c>
      <c r="E24" s="6" t="inlineStr"/>
      <c r="F24" s="5" t="inlineStr"/>
    </row>
    <row r="25">
      <c r="A25" s="5" t="inlineStr">
        <is>
          <t>sinif-baskani</t>
        </is>
      </c>
      <c r="B25" s="5" t="inlineStr">
        <is>
          <t>Vicdan</t>
        </is>
      </c>
      <c r="C25" s="5" t="inlineStr">
        <is>
          <t>Orta</t>
        </is>
      </c>
      <c r="D25" s="6" t="inlineStr">
        <is>
          <t>Akvaryum vaat eden aday, balıklara kimin bakacağını söylemedi. Seçim kampanyalarına hoş geldin.</t>
        </is>
      </c>
      <c r="E25" s="6" t="inlineStr"/>
      <c r="F25" s="5" t="inlineStr"/>
    </row>
    <row r="26">
      <c r="A26" s="5" t="inlineStr">
        <is>
          <t>balkondaki-ucurtma</t>
        </is>
      </c>
      <c r="B26" s="5" t="inlineStr">
        <is>
          <t>Cesaret</t>
        </is>
      </c>
      <c r="C26" s="5" t="inlineStr">
        <is>
          <t>Kolay</t>
        </is>
      </c>
      <c r="D26" s="6" t="inlineStr">
        <is>
          <t>İki kat. Aslında bir buçuk. Bir de korkuluk var. Korkuluklar bunun için yapılmış olabilir mi? Hayır.</t>
        </is>
      </c>
      <c r="E26" s="6" t="inlineStr"/>
      <c r="F26" s="5" t="inlineStr"/>
    </row>
    <row r="27">
      <c r="A27" s="5" t="inlineStr">
        <is>
          <t>balkondaki-ucurtma</t>
        </is>
      </c>
      <c r="B27" s="5" t="inlineStr">
        <is>
          <t>Vicdan</t>
        </is>
      </c>
      <c r="C27" s="5" t="inlineStr">
        <is>
          <t>Orta</t>
        </is>
      </c>
      <c r="D27" s="6" t="inlineStr">
        <is>
          <t>Bu uçurtmayı sana dedenin aldığını hatırlıyor musun? Dede de seni hatırlıyor. Canlı olarak.</t>
        </is>
      </c>
      <c r="E27" s="6" t="inlineStr">
        <is>
          <t>…Vicdan sesini rüzgâra kaptırdı.</t>
        </is>
      </c>
      <c r="F27" s="5" t="inlineStr"/>
    </row>
    <row r="28">
      <c r="A28" s="5" t="inlineStr">
        <is>
          <t>veli-toplantisi</t>
        </is>
      </c>
      <c r="B28" s="5" t="inlineStr">
        <is>
          <t>Sosyal Radar</t>
        </is>
      </c>
      <c r="C28" s="5" t="inlineStr">
        <is>
          <t>Zor</t>
        </is>
      </c>
      <c r="D28" s="6" t="inlineStr">
        <is>
          <t>Öğretmenin elindeki dosya kalın. İnce dosyalar iyi haberdir. Kalın dosyalar tarihtir.</t>
        </is>
      </c>
      <c r="E28" s="6" t="inlineStr"/>
      <c r="F28" s="5" t="inlineStr"/>
    </row>
    <row r="29">
      <c r="A29" s="5" t="inlineStr">
        <is>
          <t>veli-toplantisi</t>
        </is>
      </c>
      <c r="B29" s="5" t="inlineStr">
        <is>
          <t>Dayanıklılık</t>
        </is>
      </c>
      <c r="C29" s="5" t="inlineStr">
        <is>
          <t>Kolay</t>
        </is>
      </c>
      <c r="D29" s="6" t="inlineStr">
        <is>
          <t>Kapının bu tarafında olmak, ömrünün en uzun yirmi dakikası olacak. Şimdilik.</t>
        </is>
      </c>
      <c r="E29" s="6" t="inlineStr"/>
      <c r="F29" s="5" t="inlineStr"/>
    </row>
    <row r="30">
      <c r="A30" s="5" t="inlineStr">
        <is>
          <t>karne-gunu</t>
        </is>
      </c>
      <c r="B30" s="5" t="inlineStr">
        <is>
          <t>Dayanıklılık</t>
        </is>
      </c>
      <c r="C30" s="5" t="inlineStr">
        <is>
          <t>Orta</t>
        </is>
      </c>
      <c r="D30" s="6" t="inlineStr">
        <is>
          <t>Eve 800 metre var. Her adım bir savunma cümlesi. Yeterince yürüdün, yeterince yazdın.</t>
        </is>
      </c>
      <c r="E30" s="6" t="inlineStr"/>
      <c r="F30" s="5" t="inlineStr"/>
    </row>
    <row r="31">
      <c r="A31" s="5" t="inlineStr">
        <is>
          <t>karne-gunu</t>
        </is>
      </c>
      <c r="B31" s="5" t="inlineStr">
        <is>
          <t>Akıl</t>
        </is>
      </c>
      <c r="C31" s="5" t="inlineStr">
        <is>
          <t>Kolay</t>
        </is>
      </c>
      <c r="D31" s="6" t="inlineStr">
        <is>
          <t>Karnedeki notlar değişmeyecek. Değişecek tek şey, onları nasıl sunduğun. Bu da bir tür matematik.</t>
        </is>
      </c>
      <c r="E31" s="6" t="inlineStr"/>
      <c r="F31" s="5" t="inlineStr"/>
    </row>
    <row r="32">
      <c r="A32" s="5" t="inlineStr">
        <is>
          <t>b4-ilk-telefon</t>
        </is>
      </c>
      <c r="B32" s="5" t="inlineStr">
        <is>
          <t>Kurnazlık</t>
        </is>
      </c>
      <c r="C32" s="5" t="inlineStr">
        <is>
          <t>Orta</t>
        </is>
      </c>
      <c r="D32" s="6" t="inlineStr">
        <is>
          <t>Denetim şifresi babanın doğum yılı. Bütün şifreler gibi.</t>
        </is>
      </c>
      <c r="E32" s="6" t="inlineStr"/>
      <c r="F32" s="5" t="inlineStr">
        <is>
          <t>E</t>
        </is>
      </c>
    </row>
    <row r="33">
      <c r="A33" s="5" t="inlineStr">
        <is>
          <t>b4-ilk-telefon</t>
        </is>
      </c>
      <c r="B33" s="5" t="inlineStr">
        <is>
          <t>Vicdan</t>
        </is>
      </c>
      <c r="C33" s="5" t="inlineStr">
        <is>
          <t>Kolay</t>
        </is>
      </c>
      <c r="D33" s="6" t="inlineStr">
        <is>
          <t>Bu telefonun faturası annenin adına. Her bildirim bir gün onun ekranına da düşecek.</t>
        </is>
      </c>
      <c r="E33" s="6" t="inlineStr"/>
      <c r="F33" s="5" t="inlineStr"/>
    </row>
    <row r="34">
      <c r="A34" s="5" t="inlineStr">
        <is>
          <t>b4-aile-grubu</t>
        </is>
      </c>
      <c r="B34" s="5" t="inlineStr">
        <is>
          <t>Sosyal Radar</t>
        </is>
      </c>
      <c r="C34" s="5" t="inlineStr">
        <is>
          <t>Orta</t>
        </is>
      </c>
      <c r="D34" s="6" t="inlineStr">
        <is>
          <t>Halanın 'Herkes görüyor ama kimse yazmıyor' mesajı sana. Henüz bilmiyorsun.</t>
        </is>
      </c>
      <c r="E34" s="6" t="inlineStr"/>
      <c r="F34" s="5" t="inlineStr"/>
    </row>
    <row r="35">
      <c r="A35" s="5" t="inlineStr">
        <is>
          <t>b4-aile-grubu</t>
        </is>
      </c>
      <c r="B35" s="5" t="inlineStr">
        <is>
          <t>Pişkinlik</t>
        </is>
      </c>
      <c r="C35" s="5" t="inlineStr">
        <is>
          <t>Zor</t>
        </is>
      </c>
      <c r="D35" s="6" t="inlineStr">
        <is>
          <t>Bu grup bir sahne. Seyirci yaşlı ama sadık.</t>
        </is>
      </c>
      <c r="E35" s="6" t="inlineStr"/>
      <c r="F35" s="5" t="inlineStr"/>
    </row>
    <row r="36">
      <c r="A36" s="5" t="inlineStr">
        <is>
          <t>b4-oyun-faturasi</t>
        </is>
      </c>
      <c r="B36" s="5" t="inlineStr">
        <is>
          <t>Akıl</t>
        </is>
      </c>
      <c r="C36" s="5" t="inlineStr">
        <is>
          <t>Orta</t>
        </is>
      </c>
      <c r="D36" s="6" t="inlineStr">
        <is>
          <t>Bir elmas paketi, bir haftalık market alışverişi. Oyun bunu söylemiyor. Ekstre söyleyecek.</t>
        </is>
      </c>
      <c r="E36" s="6" t="inlineStr"/>
      <c r="F36" s="5" t="inlineStr"/>
    </row>
    <row r="37">
      <c r="A37" s="5" t="inlineStr">
        <is>
          <t>b4-oyun-faturasi</t>
        </is>
      </c>
      <c r="B37" s="5" t="inlineStr">
        <is>
          <t>Kurnazlık</t>
        </is>
      </c>
      <c r="C37" s="5" t="inlineStr">
        <is>
          <t>Zor</t>
        </is>
      </c>
      <c r="D37" s="6" t="inlineStr">
        <is>
          <t>Ödeme, annenin parmak iziyle onaylanıyor. Annen şu an kanepede, akşam dizisinin karşısında uyukluyor.</t>
        </is>
      </c>
      <c r="E37" s="6" t="inlineStr"/>
      <c r="F37" s="5" t="inlineStr">
        <is>
          <t>E</t>
        </is>
      </c>
    </row>
    <row r="38">
      <c r="A38" s="5" t="inlineStr">
        <is>
          <t>b4-flut</t>
        </is>
      </c>
      <c r="B38" s="5" t="inlineStr">
        <is>
          <t>Vicdan</t>
        </is>
      </c>
      <c r="C38" s="5" t="inlineStr">
        <is>
          <t>Kolay</t>
        </is>
      </c>
      <c r="D38" s="6" t="inlineStr">
        <is>
          <t>Flüt, bir ailenin sabrını ölçmek için icat edildi. Bu, bilimsel değil ama doğru.</t>
        </is>
      </c>
      <c r="E38" s="6" t="inlineStr"/>
      <c r="F38" s="5" t="inlineStr"/>
    </row>
    <row r="39">
      <c r="A39" s="5" t="inlineStr">
        <is>
          <t>b4-sinif-grubu</t>
        </is>
      </c>
      <c r="B39" s="5" t="inlineStr">
        <is>
          <t>Sosyal Radar</t>
        </is>
      </c>
      <c r="C39" s="5" t="inlineStr">
        <is>
          <t>Orta</t>
        </is>
      </c>
      <c r="D39" s="6" t="inlineStr">
        <is>
          <t>Grupta öğretmenin kızı da var. Kimse bunu hatırlamıyor.</t>
        </is>
      </c>
      <c r="E39" s="6" t="inlineStr"/>
      <c r="F39" s="5" t="inlineStr">
        <is>
          <t>E</t>
        </is>
      </c>
    </row>
    <row r="40">
      <c r="A40" s="5" t="inlineStr">
        <is>
          <t>b4-sinif-grubu</t>
        </is>
      </c>
      <c r="B40" s="5" t="inlineStr">
        <is>
          <t>Vicdan</t>
        </is>
      </c>
      <c r="C40" s="5" t="inlineStr">
        <is>
          <t>Kolay</t>
        </is>
      </c>
      <c r="D40" s="6" t="inlineStr">
        <is>
          <t>Yazdığın her şey birinin ekran görüntüsü klasörüne gidecek. Oradan hiçbir şey çıkmaz.</t>
        </is>
      </c>
      <c r="E40" s="6" t="inlineStr"/>
      <c r="F40" s="5" t="inlineStr"/>
    </row>
    <row r="41">
      <c r="A41" s="5" t="inlineStr">
        <is>
          <t>b4-kisa-video</t>
        </is>
      </c>
      <c r="B41" s="5" t="inlineStr">
        <is>
          <t>Pişkinlik</t>
        </is>
      </c>
      <c r="C41" s="5" t="inlineStr">
        <is>
          <t>Orta</t>
        </is>
      </c>
      <c r="D41" s="6" t="inlineStr">
        <is>
          <t>Kamera açılınca utanç kapanır. Bu bir teknik özellik.</t>
        </is>
      </c>
      <c r="E41" s="6" t="inlineStr"/>
      <c r="F41" s="5" t="inlineStr"/>
    </row>
    <row r="42">
      <c r="A42" s="5" t="inlineStr">
        <is>
          <t>b4-kisa-video</t>
        </is>
      </c>
      <c r="B42" s="5" t="inlineStr">
        <is>
          <t>Dayanıklılık</t>
        </is>
      </c>
      <c r="C42" s="5" t="inlineStr">
        <is>
          <t>Kolay</t>
        </is>
      </c>
      <c r="D42" s="6" t="inlineStr">
        <is>
          <t>Aynı dansı kırk kez çekeceksin. Otuz dokuzu yalnızca senin telefonunda kalacak.</t>
        </is>
      </c>
      <c r="E42" s="6" t="inlineStr"/>
      <c r="F42" s="5" t="inlineStr"/>
    </row>
    <row r="43">
      <c r="A43" s="5" t="inlineStr">
        <is>
          <t>b4-kuzen-kiyaslama</t>
        </is>
      </c>
      <c r="B43" s="5" t="inlineStr">
        <is>
          <t>Vicdan</t>
        </is>
      </c>
      <c r="C43" s="5" t="inlineStr">
        <is>
          <t>Orta</t>
        </is>
      </c>
      <c r="D43" s="6" t="inlineStr">
        <is>
          <t>Kuzenin de mutlu görünmüyor. Onun annesi de onu bir başkasıyla kıyaslıyor. Zincir uzun.</t>
        </is>
      </c>
      <c r="E43" s="6" t="inlineStr"/>
      <c r="F43" s="5" t="inlineStr"/>
    </row>
    <row r="44">
      <c r="A44" s="5" t="inlineStr">
        <is>
          <t>b4-kuzen-kiyaslama</t>
        </is>
      </c>
      <c r="B44" s="5" t="inlineStr">
        <is>
          <t>Çene</t>
        </is>
      </c>
      <c r="C44" s="5" t="inlineStr">
        <is>
          <t>Kolay</t>
        </is>
      </c>
      <c r="D44" s="6" t="inlineStr">
        <is>
          <t>Her kıyaslamanın bir karşı argümanı vardır. Kuzenin henüz yapmadığı tek şeyi bul.</t>
        </is>
      </c>
      <c r="E44" s="6" t="inlineStr"/>
      <c r="F44" s="5" t="inlineStr"/>
    </row>
    <row r="45">
      <c r="A45" s="5" t="inlineStr">
        <is>
          <t>b4-ekran-suresi</t>
        </is>
      </c>
      <c r="B45" s="5" t="inlineStr">
        <is>
          <t>Kurnazlık</t>
        </is>
      </c>
      <c r="C45" s="5" t="inlineStr">
        <is>
          <t>Orta</t>
        </is>
      </c>
      <c r="D45" s="6" t="inlineStr">
        <is>
          <t>Babanın telefonunda da boş bir hesap makinesi var. İki suçlu, bir suçludan daha az suçludur.</t>
        </is>
      </c>
      <c r="E45" s="6" t="inlineStr"/>
      <c r="F45" s="5" t="inlineStr">
        <is>
          <t>E</t>
        </is>
      </c>
    </row>
    <row r="46">
      <c r="A46" s="5" t="inlineStr">
        <is>
          <t>b4-ekran-suresi</t>
        </is>
      </c>
      <c r="B46" s="5" t="inlineStr">
        <is>
          <t>Çene</t>
        </is>
      </c>
      <c r="C46" s="5" t="inlineStr">
        <is>
          <t>Kolay</t>
        </is>
      </c>
      <c r="D46" s="6" t="inlineStr">
        <is>
          <t>Rakam konuşmaz. Rakamı yorumlayan konuşur. Sen yorumla.</t>
        </is>
      </c>
      <c r="E46" s="6" t="inlineStr"/>
      <c r="F46" s="5" t="inlineStr"/>
    </row>
    <row r="47">
      <c r="A47" s="5" t="inlineStr">
        <is>
          <t>b4-mahalle-haraccilari</t>
        </is>
      </c>
      <c r="B47" s="5" t="inlineStr">
        <is>
          <t>Kurnazlık</t>
        </is>
      </c>
      <c r="C47" s="5" t="inlineStr">
        <is>
          <t>Kolay</t>
        </is>
      </c>
      <c r="D47" s="6" t="inlineStr">
        <is>
          <t>Bakkalın kamerası var. Çalışıp çalışmadığını kimse bilmiyor. Onlar da bilmiyor.</t>
        </is>
      </c>
      <c r="E47" s="6" t="inlineStr"/>
      <c r="F47" s="5" t="inlineStr"/>
    </row>
    <row r="48">
      <c r="A48" s="5" t="inlineStr">
        <is>
          <t>b4-mahalle-haraccilari</t>
        </is>
      </c>
      <c r="B48" s="5" t="inlineStr">
        <is>
          <t>Sosyal Radar</t>
        </is>
      </c>
      <c r="C48" s="5" t="inlineStr">
        <is>
          <t>Zor</t>
        </is>
      </c>
      <c r="D48" s="6" t="inlineStr">
        <is>
          <t>Ortadaki, bakkalın yeğeni. Bakkal da annenin eski sınıf arkadaşı.</t>
        </is>
      </c>
      <c r="E48" s="6" t="inlineStr"/>
      <c r="F48" s="5" t="inlineStr">
        <is>
          <t>E</t>
        </is>
      </c>
    </row>
    <row r="49">
      <c r="A49" s="5" t="inlineStr">
        <is>
          <t>b4-sivilce</t>
        </is>
      </c>
      <c r="B49" s="5" t="inlineStr">
        <is>
          <t>Pişkinlik</t>
        </is>
      </c>
      <c r="C49" s="5" t="inlineStr">
        <is>
          <t>Orta</t>
        </is>
      </c>
      <c r="D49" s="6" t="inlineStr">
        <is>
          <t>O bir sivilce değil, bir karakter unsuru.</t>
        </is>
      </c>
      <c r="E49" s="6" t="inlineStr"/>
      <c r="F49" s="5" t="inlineStr"/>
    </row>
    <row r="50">
      <c r="A50" s="5" t="inlineStr">
        <is>
          <t>b4-sivilce</t>
        </is>
      </c>
      <c r="B50" s="5" t="inlineStr">
        <is>
          <t>Akıl</t>
        </is>
      </c>
      <c r="C50" s="5" t="inlineStr">
        <is>
          <t>Kolay</t>
        </is>
      </c>
      <c r="D50" s="6" t="inlineStr">
        <is>
          <t>Sıkarsan iki katı olur. Bu bir fizik kuralı değil ama öyle işler.</t>
        </is>
      </c>
      <c r="E50" s="6" t="inlineStr"/>
      <c r="F50" s="5" t="inlineStr"/>
    </row>
    <row r="51">
      <c r="A51" s="5" t="inlineStr">
        <is>
          <t>b4-ses-catlamasi</t>
        </is>
      </c>
      <c r="B51" s="5" t="inlineStr">
        <is>
          <t>Dayanıklılık</t>
        </is>
      </c>
      <c r="C51" s="5" t="inlineStr">
        <is>
          <t>Orta</t>
        </is>
      </c>
      <c r="D51" s="6" t="inlineStr">
        <is>
          <t>Ses tellerin şu an bir şantiye. Baret tak, devam et.</t>
        </is>
      </c>
      <c r="E51" s="6" t="inlineStr"/>
      <c r="F51" s="5" t="inlineStr"/>
    </row>
    <row r="52">
      <c r="A52" s="5" t="inlineStr">
        <is>
          <t>b4-ses-catlamasi</t>
        </is>
      </c>
      <c r="B52" s="5" t="inlineStr">
        <is>
          <t>Cesaret</t>
        </is>
      </c>
      <c r="C52" s="5" t="inlineStr">
        <is>
          <t>Kolay</t>
        </is>
      </c>
      <c r="D52" s="6" t="inlineStr">
        <is>
          <t>Herkes bu yoldan geçti. Öğretmen de. Onun sesi de böyle çatladı. Sadece çok eskiden.</t>
        </is>
      </c>
      <c r="E52" s="6" t="inlineStr"/>
      <c r="F52" s="5" t="inlineStr"/>
    </row>
    <row r="53">
      <c r="A53" s="5" t="inlineStr">
        <is>
          <t>b4-ogretmenler-gunu</t>
        </is>
      </c>
      <c r="B53" s="5" t="inlineStr">
        <is>
          <t>Sosyal Radar</t>
        </is>
      </c>
      <c r="C53" s="5" t="inlineStr">
        <is>
          <t>Orta</t>
        </is>
      </c>
      <c r="D53" s="6" t="inlineStr">
        <is>
          <t>Veli grubundaki tartışma hediyeyle ilgili değil. İki anne geçen yılki doğum günü partisinden beri küs.</t>
        </is>
      </c>
      <c r="E53" s="6" t="inlineStr"/>
      <c r="F53" s="5" t="inlineStr"/>
    </row>
    <row r="54">
      <c r="A54" s="5" t="inlineStr">
        <is>
          <t>b4-ogretmenler-gunu</t>
        </is>
      </c>
      <c r="B54" s="5" t="inlineStr">
        <is>
          <t>Vicdan</t>
        </is>
      </c>
      <c r="C54" s="5" t="inlineStr">
        <is>
          <t>Kolay</t>
        </is>
      </c>
      <c r="D54" s="6" t="inlineStr">
        <is>
          <t>Öğretmenin evinde yirmi yıldır biriken kupalar var. Bir el yazısı, bir kupadan ağırdır.</t>
        </is>
      </c>
      <c r="E54" s="6" t="inlineStr"/>
      <c r="F54" s="5" t="inlineStr"/>
    </row>
    <row r="55">
      <c r="A55" s="5" t="inlineStr">
        <is>
          <t>b4-ilk-hoslanti</t>
        </is>
      </c>
      <c r="B55" s="5" t="inlineStr">
        <is>
          <t>Sosyal Radar</t>
        </is>
      </c>
      <c r="C55" s="5" t="inlineStr">
        <is>
          <t>Zor</t>
        </is>
      </c>
      <c r="D55" s="6" t="inlineStr">
        <is>
          <t>Hikâyeni beğendi ama iki saniye sonra. Demek ki iki saniye düşündü.</t>
        </is>
      </c>
      <c r="E55" s="6" t="inlineStr"/>
      <c r="F55" s="5" t="inlineStr">
        <is>
          <t>E</t>
        </is>
      </c>
    </row>
    <row r="56">
      <c r="A56" s="5" t="inlineStr">
        <is>
          <t>b4-ilk-hoslanti</t>
        </is>
      </c>
      <c r="B56" s="5" t="inlineStr">
        <is>
          <t>Vicdan</t>
        </is>
      </c>
      <c r="C56" s="5" t="inlineStr">
        <is>
          <t>Kolay</t>
        </is>
      </c>
      <c r="D56" s="6" t="inlineStr">
        <is>
          <t>En yakın arkadaşın da ondan hoşlanıyor. Sadece söylüyorum.</t>
        </is>
      </c>
      <c r="E56" s="6" t="inlineStr"/>
      <c r="F56" s="5" t="inlineStr"/>
    </row>
    <row r="57">
      <c r="A57" s="5" t="inlineStr">
        <is>
          <t>b4-grup-odevi</t>
        </is>
      </c>
      <c r="B57" s="5" t="inlineStr">
        <is>
          <t>Sosyal Radar</t>
        </is>
      </c>
      <c r="C57" s="5" t="inlineStr">
        <is>
          <t>Zor</t>
        </is>
      </c>
      <c r="D57" s="6" t="inlineStr">
        <is>
          <t>Grubun en sessizi aslında hepsini yapmak istiyor. Ona fırsat ver.</t>
        </is>
      </c>
      <c r="E57" s="6" t="inlineStr"/>
      <c r="F57" s="5" t="inlineStr">
        <is>
          <t>E</t>
        </is>
      </c>
    </row>
    <row r="58">
      <c r="A58" s="5" t="inlineStr">
        <is>
          <t>b4-grup-odevi</t>
        </is>
      </c>
      <c r="B58" s="5" t="inlineStr">
        <is>
          <t>Kurnazlık</t>
        </is>
      </c>
      <c r="C58" s="5" t="inlineStr">
        <is>
          <t>Orta</t>
        </is>
      </c>
      <c r="D58" s="6" t="inlineStr">
        <is>
          <t>İlk mesajı atan, işi alır. Bekle.</t>
        </is>
      </c>
      <c r="E58" s="6" t="inlineStr"/>
      <c r="F58" s="5" t="inlineStr"/>
    </row>
    <row r="59">
      <c r="A59" s="5" t="inlineStr">
        <is>
          <t>b4-okul-gezisi</t>
        </is>
      </c>
      <c r="B59" s="5" t="inlineStr">
        <is>
          <t>Kurnazlık</t>
        </is>
      </c>
      <c r="C59" s="5" t="inlineStr">
        <is>
          <t>Orta</t>
        </is>
      </c>
      <c r="D59" s="6" t="inlineStr">
        <is>
          <t>Arka koltuk bir statü sembolü. Ön koltuk bir mide önlemi. İkisini de seçemezsin.</t>
        </is>
      </c>
      <c r="E59" s="6" t="inlineStr"/>
      <c r="F59" s="5" t="inlineStr"/>
    </row>
    <row r="60">
      <c r="A60" s="5" t="inlineStr">
        <is>
          <t>b4-okul-gezisi</t>
        </is>
      </c>
      <c r="B60" s="5" t="inlineStr">
        <is>
          <t>Sosyal Radar</t>
        </is>
      </c>
      <c r="C60" s="5" t="inlineStr">
        <is>
          <t>Kolay</t>
        </is>
      </c>
      <c r="D60" s="6" t="inlineStr">
        <is>
          <t>Kiminle oturduğun, pazartesi kiminle konuşacağını belirler.</t>
        </is>
      </c>
      <c r="E60" s="6" t="inlineStr"/>
      <c r="F60" s="5" t="inlineStr"/>
    </row>
    <row r="61">
      <c r="A61" s="5" t="inlineStr">
        <is>
          <t>b4-ayna</t>
        </is>
      </c>
      <c r="B61" s="5" t="inlineStr">
        <is>
          <t>Pişkinlik</t>
        </is>
      </c>
      <c r="C61" s="5" t="inlineStr">
        <is>
          <t>Kolay</t>
        </is>
      </c>
      <c r="D61" s="6" t="inlineStr">
        <is>
          <t>Bu saç ya çok iyi ya çok kötü. Arası yok. Bugün öğreneceğiz.</t>
        </is>
      </c>
      <c r="E61" s="6" t="inlineStr"/>
      <c r="F61" s="5" t="inlineStr"/>
    </row>
    <row r="62">
      <c r="A62" s="5" t="inlineStr">
        <is>
          <t>b4-bilim-fuari</t>
        </is>
      </c>
      <c r="B62" s="5" t="inlineStr">
        <is>
          <t>Akıl</t>
        </is>
      </c>
      <c r="C62" s="5" t="inlineStr">
        <is>
          <t>Orta</t>
        </is>
      </c>
      <c r="D62" s="6" t="inlineStr">
        <is>
          <t>Jürideki fizik öğretmeni yanardağlardan bıkmış. Soru soran bir çocuk arıyor.</t>
        </is>
      </c>
      <c r="E62" s="6" t="inlineStr"/>
      <c r="F62" s="5" t="inlineStr">
        <is>
          <t>E</t>
        </is>
      </c>
    </row>
    <row r="63">
      <c r="A63" s="5" t="inlineStr">
        <is>
          <t>b4-bilim-fuari</t>
        </is>
      </c>
      <c r="B63" s="5" t="inlineStr">
        <is>
          <t>Vicdan</t>
        </is>
      </c>
      <c r="C63" s="5" t="inlineStr">
        <is>
          <t>Kolay</t>
        </is>
      </c>
      <c r="D63" s="6" t="inlineStr">
        <is>
          <t>Projeyi annen yaptı, sen yapıştırdın. Bu da bir katkı. Dar anlamda.</t>
        </is>
      </c>
      <c r="E63" s="6" t="inlineStr"/>
      <c r="F63" s="5" t="inlineStr"/>
    </row>
    <row r="64">
      <c r="A64" s="5" t="inlineStr">
        <is>
          <t>b4-kotu-not</t>
        </is>
      </c>
      <c r="B64" s="5" t="inlineStr">
        <is>
          <t>Pişkinlik</t>
        </is>
      </c>
      <c r="C64" s="5" t="inlineStr">
        <is>
          <t>Orta</t>
        </is>
      </c>
      <c r="D64" s="6" t="inlineStr">
        <is>
          <t>Yüz ifadesi bir kapıdır. Kilitle.</t>
        </is>
      </c>
      <c r="E64" s="6" t="inlineStr"/>
      <c r="F64" s="5" t="inlineStr"/>
    </row>
    <row r="65">
      <c r="A65" s="5" t="inlineStr">
        <is>
          <t>b4-kotu-not</t>
        </is>
      </c>
      <c r="B65" s="5" t="inlineStr">
        <is>
          <t>Vicdan</t>
        </is>
      </c>
      <c r="C65" s="5" t="inlineStr">
        <is>
          <t>Kolay</t>
        </is>
      </c>
      <c r="D65" s="6" t="inlineStr">
        <is>
          <t>Kâğıt çantada bekledikçe ağırlaşır. Bu bir fizik kuralı. Babaanne fiziği.</t>
        </is>
      </c>
      <c r="E65" s="6" t="inlineStr"/>
      <c r="F65" s="5" t="inlineStr"/>
    </row>
    <row r="66">
      <c r="A66" s="5" t="inlineStr">
        <is>
          <t>b4-kedinin-hesabi</t>
        </is>
      </c>
      <c r="B66" s="5" t="inlineStr">
        <is>
          <t>Sosyal Radar</t>
        </is>
      </c>
      <c r="C66" s="5" t="inlineStr">
        <is>
          <t>Orta</t>
        </is>
      </c>
      <c r="D66" s="6" t="inlineStr">
        <is>
          <t>İnsanlar kediyi değil, kedinin sana bakışını seviyor. O bakışta bir yargı var.</t>
        </is>
      </c>
      <c r="E66" s="6" t="inlineStr"/>
      <c r="F66" s="5" t="inlineStr"/>
    </row>
    <row r="67">
      <c r="A67" s="5" t="inlineStr">
        <is>
          <t>b4-dershane</t>
        </is>
      </c>
      <c r="B67" s="5" t="inlineStr">
        <is>
          <t>Dayanıklılık</t>
        </is>
      </c>
      <c r="C67" s="5" t="inlineStr">
        <is>
          <t>Orta</t>
        </is>
      </c>
      <c r="D67" s="6" t="inlineStr">
        <is>
          <t>Hafta içi okul, hafta sonu dershane. Pazartesiyle pazar arasındaki fark resmen kaldırıldı.</t>
        </is>
      </c>
      <c r="E67" s="6" t="inlineStr"/>
      <c r="F67" s="5" t="inlineStr"/>
    </row>
    <row r="68">
      <c r="A68" s="5" t="inlineStr">
        <is>
          <t>b4-dershane</t>
        </is>
      </c>
      <c r="B68" s="5" t="inlineStr">
        <is>
          <t>Kurnazlık</t>
        </is>
      </c>
      <c r="C68" s="5" t="inlineStr">
        <is>
          <t>Zor</t>
        </is>
      </c>
      <c r="D68" s="6" t="inlineStr">
        <is>
          <t>Deneme dersi ücretsiz. Yeterince pazarlık edersen deneme dersi beş hafta sürer.</t>
        </is>
      </c>
      <c r="E68" s="6" t="inlineStr"/>
      <c r="F68" s="5" t="inlineStr"/>
    </row>
    <row r="69">
      <c r="A69" s="5" t="inlineStr">
        <is>
          <t>b4-yanlis-grup</t>
        </is>
      </c>
      <c r="B69" s="5" t="inlineStr">
        <is>
          <t>Kurnazlık</t>
        </is>
      </c>
      <c r="C69" s="5" t="inlineStr">
        <is>
          <t>Orta</t>
        </is>
      </c>
      <c r="D69" s="6" t="inlineStr">
        <is>
          <t>Annen sebze doğruyor. Telefonu tezgâhta, ekranı ters. Yedi dakikan var.</t>
        </is>
      </c>
      <c r="E69" s="6" t="inlineStr"/>
      <c r="F69" s="5" t="inlineStr">
        <is>
          <t>E</t>
        </is>
      </c>
    </row>
    <row r="70">
      <c r="A70" s="5" t="inlineStr">
        <is>
          <t>b4-yanlis-grup</t>
        </is>
      </c>
      <c r="B70" s="5" t="inlineStr">
        <is>
          <t>Pişkinlik</t>
        </is>
      </c>
      <c r="C70" s="5" t="inlineStr">
        <is>
          <t>Kolay</t>
        </is>
      </c>
      <c r="D70" s="6" t="inlineStr">
        <is>
          <t>Bu bir hata değil, bir geri bildirim.</t>
        </is>
      </c>
      <c r="E70" s="6" t="inlineStr"/>
      <c r="F70" s="5" t="inlineStr"/>
    </row>
    <row r="71">
      <c r="A71" s="5" t="inlineStr">
        <is>
          <t>b4-apartman-toplantisi</t>
        </is>
      </c>
      <c r="B71" s="5" t="inlineStr">
        <is>
          <t>Sosyal Radar</t>
        </is>
      </c>
      <c r="C71" s="5" t="inlineStr">
        <is>
          <t>Orta</t>
        </is>
      </c>
      <c r="D71" s="6" t="inlineStr">
        <is>
          <t>Üçüncü kattaki teyze de artışa karşı. Söylemeye cesareti yok. Ona ses ol.</t>
        </is>
      </c>
      <c r="E71" s="6" t="inlineStr"/>
      <c r="F71" s="5" t="inlineStr">
        <is>
          <t>E</t>
        </is>
      </c>
    </row>
    <row r="72">
      <c r="A72" s="5" t="inlineStr">
        <is>
          <t>b4-apartman-toplantisi</t>
        </is>
      </c>
      <c r="B72" s="5" t="inlineStr">
        <is>
          <t>Akıl</t>
        </is>
      </c>
      <c r="C72" s="5" t="inlineStr">
        <is>
          <t>Zor</t>
        </is>
      </c>
      <c r="D72" s="6" t="inlineStr">
        <is>
          <t>Yönetici tutanağı toplantı başlamadan yazmış. Toplantı bir formalite.</t>
        </is>
      </c>
      <c r="E72" s="6" t="inlineStr"/>
      <c r="F72" s="5" t="inlineStr"/>
    </row>
    <row r="73">
      <c r="A73" s="5" t="inlineStr">
        <is>
          <t>b4-yz-odev</t>
        </is>
      </c>
      <c r="B73" s="5" t="inlineStr">
        <is>
          <t>Akıl</t>
        </is>
      </c>
      <c r="C73" s="5" t="inlineStr">
        <is>
          <t>Orta</t>
        </is>
      </c>
      <c r="D73" s="6" t="inlineStr">
        <is>
          <t>Öğretmen metinlerde 'ayrıca' kelimesini sayıyor. Yapay zekâ 'ayrıca'ya bayılır.</t>
        </is>
      </c>
      <c r="E73" s="6" t="inlineStr"/>
      <c r="F73" s="5" t="inlineStr">
        <is>
          <t>E</t>
        </is>
      </c>
    </row>
    <row r="74">
      <c r="A74" s="5" t="inlineStr">
        <is>
          <t>b4-yz-odev</t>
        </is>
      </c>
      <c r="B74" s="5" t="inlineStr">
        <is>
          <t>Vicdan</t>
        </is>
      </c>
      <c r="C74" s="5" t="inlineStr">
        <is>
          <t>Kolay</t>
        </is>
      </c>
      <c r="D74" s="6" t="inlineStr">
        <is>
          <t>Tatilini makineye anlatacak kadar hatırlıyorsan kendin de yazabilirsin. Babaanne böyle derdi. Diyor.</t>
        </is>
      </c>
      <c r="E74" s="6" t="inlineStr"/>
      <c r="F74" s="5" t="inlineStr"/>
    </row>
    <row r="75">
      <c r="A75" s="5" t="inlineStr">
        <is>
          <t>b4-kisisel-oda</t>
        </is>
      </c>
      <c r="B75" s="5" t="inlineStr">
        <is>
          <t>Çene</t>
        </is>
      </c>
      <c r="C75" s="5" t="inlineStr">
        <is>
          <t>Orta</t>
        </is>
      </c>
      <c r="D75" s="6" t="inlineStr">
        <is>
          <t>Koşu bandı iki yıldır askılık. Bunu delil olarak sun.</t>
        </is>
      </c>
      <c r="E75" s="6" t="inlineStr"/>
      <c r="F75" s="5" t="inlineStr">
        <is>
          <t>E</t>
        </is>
      </c>
    </row>
    <row r="76">
      <c r="A76" s="5" t="inlineStr">
        <is>
          <t>b4-kisisel-oda</t>
        </is>
      </c>
      <c r="B76" s="5" t="inlineStr">
        <is>
          <t>Cesaret</t>
        </is>
      </c>
      <c r="C76" s="5" t="inlineStr">
        <is>
          <t>Kolay</t>
        </is>
      </c>
      <c r="D76" s="6" t="inlineStr">
        <is>
          <t>Oda savaşları ailenin en uzun savaşlarıdır. İlk hamle önemli.</t>
        </is>
      </c>
      <c r="E76" s="6" t="inlineStr"/>
      <c r="F76" s="5" t="inlineStr"/>
    </row>
    <row r="77">
      <c r="A77" s="5" t="inlineStr">
        <is>
          <t>b4-fenomen-denemesi</t>
        </is>
      </c>
      <c r="B77" s="5" t="inlineStr">
        <is>
          <t>Pişkinlik</t>
        </is>
      </c>
      <c r="C77" s="5" t="inlineStr">
        <is>
          <t>Orta</t>
        </is>
      </c>
      <c r="D77" s="6" t="inlineStr">
        <is>
          <t>Kamera canlıyken insanlar daha çok affeder. Canlı yayın, affın hızlandırılmış hâlidir.</t>
        </is>
      </c>
      <c r="E77" s="6" t="inlineStr"/>
      <c r="F77" s="5" t="inlineStr">
        <is>
          <t>E</t>
        </is>
      </c>
    </row>
    <row r="78">
      <c r="A78" s="5" t="inlineStr">
        <is>
          <t>b4-fenomen-denemesi</t>
        </is>
      </c>
      <c r="B78" s="5" t="inlineStr">
        <is>
          <t>Akıl</t>
        </is>
      </c>
      <c r="C78" s="5" t="inlineStr">
        <is>
          <t>Kolay</t>
        </is>
      </c>
      <c r="D78" s="6" t="inlineStr">
        <is>
          <t>Takipçi sayısıyla harçlık arasında şu an hiçbir ilişki yok. Şu an.</t>
        </is>
      </c>
      <c r="E78" s="6" t="inlineStr"/>
      <c r="F78" s="5" t="inlineStr"/>
    </row>
    <row r="79">
      <c r="A79" s="5" t="inlineStr">
        <is>
          <t>b4-haracci-rovans</t>
        </is>
      </c>
      <c r="B79" s="5" t="inlineStr">
        <is>
          <t>Cesaret</t>
        </is>
      </c>
      <c r="C79" s="5" t="inlineStr">
        <is>
          <t>Orta</t>
        </is>
      </c>
      <c r="D79" s="6" t="inlineStr">
        <is>
          <t>Artık onlarla neredeyse aynı boydasın. Ayakkabı tabanını da say.</t>
        </is>
      </c>
      <c r="E79" s="6" t="inlineStr"/>
      <c r="F79" s="5" t="inlineStr">
        <is>
          <t>E</t>
        </is>
      </c>
    </row>
    <row r="80">
      <c r="A80" s="5" t="inlineStr">
        <is>
          <t>b4-haracci-rovans</t>
        </is>
      </c>
      <c r="B80" s="5" t="inlineStr">
        <is>
          <t>Kurnazlık</t>
        </is>
      </c>
      <c r="C80" s="5" t="inlineStr">
        <is>
          <t>Kolay</t>
        </is>
      </c>
      <c r="D80" s="6" t="inlineStr">
        <is>
          <t>Ellerinde top var. Top, eli meşgul eder.</t>
        </is>
      </c>
      <c r="E80" s="6" t="inlineStr"/>
      <c r="F80" s="5" t="inlineStr"/>
    </row>
    <row r="81">
      <c r="A81" s="5" t="inlineStr">
        <is>
          <t>b4-kantin-ekonomisi</t>
        </is>
      </c>
      <c r="B81" s="5" t="inlineStr">
        <is>
          <t>Kurnazlık</t>
        </is>
      </c>
      <c r="C81" s="5" t="inlineStr">
        <is>
          <t>Orta</t>
        </is>
      </c>
      <c r="D81" s="6" t="inlineStr">
        <is>
          <t>Kuyruğun önündekinden al, arkadakine sat. Buna aracılık denir. Büyüyünce de denecek.</t>
        </is>
      </c>
      <c r="E81" s="6" t="inlineStr"/>
      <c r="F81" s="5" t="inlineStr"/>
    </row>
    <row r="82">
      <c r="A82" s="5" t="inlineStr">
        <is>
          <t>b4-kantin-ekonomisi</t>
        </is>
      </c>
      <c r="B82" s="5" t="inlineStr">
        <is>
          <t>Çene</t>
        </is>
      </c>
      <c r="C82" s="5" t="inlineStr">
        <is>
          <t>Kolay</t>
        </is>
      </c>
      <c r="D82" s="6" t="inlineStr">
        <is>
          <t>Kantinci sabah erken gelir, akşam geç çıkar. İnsan gibi selam veren tek müşteriyi unutmaz.</t>
        </is>
      </c>
      <c r="E82" s="6" t="inlineStr"/>
      <c r="F82" s="5" t="inlineStr"/>
    </row>
    <row r="83">
      <c r="A83" s="5" t="inlineStr">
        <is>
          <t>b4-bayram-yatirim</t>
        </is>
      </c>
      <c r="B83" s="5" t="inlineStr">
        <is>
          <t>Akıl</t>
        </is>
      </c>
      <c r="C83" s="5" t="inlineStr">
        <is>
          <t>Orta</t>
        </is>
      </c>
      <c r="D83" s="6" t="inlineStr">
        <is>
          <t>Kumbara yüzde sıfır getiri. Enflasyon yüzde bilmemkaç. Matematik ağlıyor.</t>
        </is>
      </c>
      <c r="E83" s="6" t="inlineStr"/>
      <c r="F83" s="5" t="inlineStr"/>
    </row>
    <row r="84">
      <c r="A84" s="5" t="inlineStr">
        <is>
          <t>b4-bayram-yatirim</t>
        </is>
      </c>
      <c r="B84" s="5" t="inlineStr">
        <is>
          <t>Kurnazlık</t>
        </is>
      </c>
      <c r="C84" s="5" t="inlineStr">
        <is>
          <t>Zor</t>
        </is>
      </c>
      <c r="D84" s="6" t="inlineStr">
        <is>
          <t>Arkadaşının abisi 'Kesin kazanç' dedi. 'Kesin' kelimesi, piyasada bir alarm sesidir.</t>
        </is>
      </c>
      <c r="E84" s="6" t="inlineStr"/>
      <c r="F84" s="5" t="inlineStr"/>
    </row>
    <row r="85">
      <c r="A85" s="5" t="inlineStr">
        <is>
          <t>b4-ilk-bulusma</t>
        </is>
      </c>
      <c r="B85" s="5" t="inlineStr">
        <is>
          <t>Cesaret</t>
        </is>
      </c>
      <c r="C85" s="5" t="inlineStr">
        <is>
          <t>Orta</t>
        </is>
      </c>
      <c r="D85" s="6" t="inlineStr">
        <is>
          <t>Dondurma soğuk, eller terli. Kimse kusursuz değil. Git.</t>
        </is>
      </c>
      <c r="E85" s="6" t="inlineStr"/>
      <c r="F85" s="5" t="inlineStr"/>
    </row>
    <row r="86">
      <c r="A86" s="5" t="inlineStr">
        <is>
          <t>b4-ilk-bulusma</t>
        </is>
      </c>
      <c r="B86" s="5" t="inlineStr">
        <is>
          <t>Sosyal Radar</t>
        </is>
      </c>
      <c r="C86" s="5" t="inlineStr">
        <is>
          <t>Kolay</t>
        </is>
      </c>
      <c r="D86" s="6" t="inlineStr">
        <is>
          <t>Yanında arkadaş götürürsen o ikisi anlaşır. Tarih bu örneklerle dolu.</t>
        </is>
      </c>
      <c r="E86" s="6" t="inlineStr"/>
      <c r="F86" s="5" t="inlineStr"/>
    </row>
    <row r="87">
      <c r="A87" s="5" t="inlineStr">
        <is>
          <t>b4-spor-secmeleri</t>
        </is>
      </c>
      <c r="B87" s="5" t="inlineStr">
        <is>
          <t>Dayanıklılık</t>
        </is>
      </c>
      <c r="C87" s="5" t="inlineStr">
        <is>
          <t>Orta</t>
        </is>
      </c>
      <c r="D87" s="6" t="inlineStr">
        <is>
          <t>Isınma üç tur. Sen iki buçuk tura hazırsın. Yarım turu inançla koşacaksın.</t>
        </is>
      </c>
      <c r="E87" s="6" t="inlineStr"/>
      <c r="F87" s="5" t="inlineStr"/>
    </row>
    <row r="88">
      <c r="A88" s="5" t="inlineStr">
        <is>
          <t>b4-spor-secmeleri</t>
        </is>
      </c>
      <c r="B88" s="5" t="inlineStr">
        <is>
          <t>Cesaret</t>
        </is>
      </c>
      <c r="C88" s="5" t="inlineStr">
        <is>
          <t>Kolay</t>
        </is>
      </c>
      <c r="D88" s="6" t="inlineStr">
        <is>
          <t>Yeğen de insan. Topu da senin kadar görüyor. Belki daha az.</t>
        </is>
      </c>
      <c r="E88" s="6" t="inlineStr"/>
      <c r="F88" s="5" t="inlineStr"/>
    </row>
    <row r="89">
      <c r="A89" s="5" t="inlineStr">
        <is>
          <t>b4-eski-telefon</t>
        </is>
      </c>
      <c r="B89" s="5" t="inlineStr">
        <is>
          <t>Kurnazlık</t>
        </is>
      </c>
      <c r="C89" s="5" t="inlineStr">
        <is>
          <t>Orta</t>
        </is>
      </c>
      <c r="D89" s="6" t="inlineStr">
        <is>
          <t>'Son fiyat' diyen, fiyatı zaten biliyordur. Bekle.</t>
        </is>
      </c>
      <c r="E89" s="6" t="inlineStr"/>
      <c r="F89" s="5" t="inlineStr"/>
    </row>
    <row r="90">
      <c r="A90" s="5" t="inlineStr">
        <is>
          <t>b4-yaz-tatili</t>
        </is>
      </c>
      <c r="B90" s="5" t="inlineStr">
        <is>
          <t>Dayanıklılık</t>
        </is>
      </c>
      <c r="C90" s="5" t="inlineStr">
        <is>
          <t>Orta</t>
        </is>
      </c>
      <c r="D90" s="6" t="inlineStr">
        <is>
          <t>Tek ayak üstünde bir mesaj, iki mesaj... Denge çalışması, sosyal medya bahanesiyle.</t>
        </is>
      </c>
      <c r="E90" s="6" t="inlineStr"/>
      <c r="F90" s="5" t="inlineStr"/>
    </row>
    <row r="91">
      <c r="A91" s="5" t="inlineStr">
        <is>
          <t>b4-yaz-tatili</t>
        </is>
      </c>
      <c r="B91" s="5" t="inlineStr">
        <is>
          <t>Sosyal Radar</t>
        </is>
      </c>
      <c r="C91" s="5" t="inlineStr">
        <is>
          <t>Zor</t>
        </is>
      </c>
      <c r="D91" s="6" t="inlineStr">
        <is>
          <t>Yan yazlıktaki çocuklar da balkonda tek ayak üstünde. Göz göze geldiniz.</t>
        </is>
      </c>
      <c r="E91" s="6" t="inlineStr"/>
      <c r="F91" s="5" t="inlineStr">
        <is>
          <t>E</t>
        </is>
      </c>
    </row>
    <row r="92">
      <c r="A92" s="5" t="inlineStr">
        <is>
          <t>b4-dershane-denemesi</t>
        </is>
      </c>
      <c r="B92" s="5" t="inlineStr">
        <is>
          <t>Sosyal Radar</t>
        </is>
      </c>
      <c r="C92" s="5" t="inlineStr">
        <is>
          <t>Orta</t>
        </is>
      </c>
      <c r="D92" s="6" t="inlineStr">
        <is>
          <t>Listenin üst sırasındakiler de mutlu değil. Onların ailesi bir üst sırayı istiyor.</t>
        </is>
      </c>
      <c r="E92" s="6" t="inlineStr"/>
      <c r="F92" s="5" t="inlineStr"/>
    </row>
    <row r="93">
      <c r="A93" s="5" t="inlineStr">
        <is>
          <t>b4-lise-sinavi</t>
        </is>
      </c>
      <c r="B93" s="5" t="inlineStr">
        <is>
          <t>Akıl</t>
        </is>
      </c>
      <c r="C93" s="5" t="inlineStr">
        <is>
          <t>Orta</t>
        </is>
      </c>
      <c r="D93" s="6" t="inlineStr">
        <is>
          <t>Sorular zor değil. Kitapçık kalın. Bunlar farklı şeyler.</t>
        </is>
      </c>
      <c r="E93" s="6" t="inlineStr"/>
      <c r="F93" s="5" t="inlineStr"/>
    </row>
    <row r="94">
      <c r="A94" s="5" t="inlineStr">
        <is>
          <t>b4-lise-sinavi</t>
        </is>
      </c>
      <c r="B94" s="5" t="inlineStr">
        <is>
          <t>Dayanıklılık</t>
        </is>
      </c>
      <c r="C94" s="5" t="inlineStr">
        <is>
          <t>Kolay</t>
        </is>
      </c>
      <c r="D94" s="6" t="inlineStr">
        <is>
          <t>Üç saat. Maraton değil. Ama maratondan sonra eve yürümek gibi.</t>
        </is>
      </c>
      <c r="E94" s="6" t="inlineStr"/>
      <c r="F94" s="5" t="inlineStr"/>
    </row>
    <row r="95">
      <c r="A95" s="5" t="inlineStr">
        <is>
          <t>b5-lise-ilk-gun</t>
        </is>
      </c>
      <c r="B95" s="5" t="inlineStr">
        <is>
          <t>Sosyal Radar</t>
        </is>
      </c>
      <c r="C95" s="5" t="inlineStr">
        <is>
          <t>Orta</t>
        </is>
      </c>
      <c r="D95" s="6" t="inlineStr">
        <is>
          <t>İlk hafta oturduğun masa, dört yıl boyunca kim olduğunu belirler. Masa seçimi bir kariyer kararıdır.</t>
        </is>
      </c>
      <c r="E95" s="6" t="inlineStr"/>
      <c r="F95" s="5" t="inlineStr">
        <is>
          <t>E</t>
        </is>
      </c>
    </row>
    <row r="96">
      <c r="A96" s="5" t="inlineStr">
        <is>
          <t>b5-lise-ilk-gun</t>
        </is>
      </c>
      <c r="B96" s="5" t="inlineStr">
        <is>
          <t>Akıl</t>
        </is>
      </c>
      <c r="C96" s="5" t="inlineStr">
        <is>
          <t>Kolay</t>
        </is>
      </c>
      <c r="D96" s="6" t="inlineStr">
        <is>
          <t>Bu binada seni kimse tanımıyor. Bu hem bir tehdit hem de tertemiz bir sicil.</t>
        </is>
      </c>
      <c r="E96" s="6" t="inlineStr"/>
      <c r="F96" s="5" t="inlineStr"/>
    </row>
    <row r="97">
      <c r="A97" s="5" t="inlineStr">
        <is>
          <t>b5-sac-devrimi</t>
        </is>
      </c>
      <c r="B97" s="5" t="inlineStr">
        <is>
          <t>Pişkinlik</t>
        </is>
      </c>
      <c r="C97" s="5" t="inlineStr">
        <is>
          <t>Orta</t>
        </is>
      </c>
      <c r="D97" s="6" t="inlineStr">
        <is>
          <t>Yeni saç, yeni kişilik. Kimse eskisini hatırlamayacak. Okul fotoğrafları hariç.</t>
        </is>
      </c>
      <c r="E97" s="6" t="inlineStr"/>
      <c r="F97" s="5" t="inlineStr"/>
    </row>
    <row r="98">
      <c r="A98" s="5" t="inlineStr">
        <is>
          <t>b5-sac-devrimi</t>
        </is>
      </c>
      <c r="B98" s="5" t="inlineStr">
        <is>
          <t>Vicdan</t>
        </is>
      </c>
      <c r="C98" s="5" t="inlineStr">
        <is>
          <t>Kolay</t>
        </is>
      </c>
      <c r="D98" s="6" t="inlineStr">
        <is>
          <t>Annen bu saçı görünce bir şey demeyecek. Bu çok daha kötü.</t>
        </is>
      </c>
      <c r="E98" s="6" t="inlineStr"/>
      <c r="F98" s="5" t="inlineStr"/>
    </row>
    <row r="99">
      <c r="A99" s="5" t="inlineStr">
        <is>
          <t>b5-kulup-secimi</t>
        </is>
      </c>
      <c r="B99" s="5" t="inlineStr">
        <is>
          <t>Kurnazlık</t>
        </is>
      </c>
      <c r="C99" s="5" t="inlineStr">
        <is>
          <t>Orta</t>
        </is>
      </c>
      <c r="D99" s="6" t="inlineStr">
        <is>
          <t>Satranç kulübü haftada bir toplanıyor ve kimse yoklama almıyor. Bu bir kulüp değil, bir boşluk.</t>
        </is>
      </c>
      <c r="E99" s="6" t="inlineStr"/>
      <c r="F99" s="5" t="inlineStr"/>
    </row>
    <row r="100">
      <c r="A100" s="5" t="inlineStr">
        <is>
          <t>b5-kulup-secimi</t>
        </is>
      </c>
      <c r="B100" s="5" t="inlineStr">
        <is>
          <t>Sosyal Radar</t>
        </is>
      </c>
      <c r="C100" s="5" t="inlineStr">
        <is>
          <t>Zor</t>
        </is>
      </c>
      <c r="D100" s="6" t="inlineStr">
        <is>
          <t>Münazaraya sınıfın en iddialıları gidiyor. Tartışmak için resmî izin belgesi.</t>
        </is>
      </c>
      <c r="E100" s="6" t="inlineStr"/>
      <c r="F100" s="5" t="inlineStr"/>
    </row>
    <row r="101">
      <c r="A101" s="5" t="inlineStr">
        <is>
          <t>b5-dershane-kaydi</t>
        </is>
      </c>
      <c r="B101" s="5" t="inlineStr">
        <is>
          <t>Kurnazlık</t>
        </is>
      </c>
      <c r="C101" s="5" t="inlineStr">
        <is>
          <t>Kolay</t>
        </is>
      </c>
      <c r="D101" s="6" t="inlineStr">
        <is>
          <t>'Erken kayıt indirimi' ile 'son kontenjan' aynı broşürde yazıyor. İkisinden biri doğru değil.</t>
        </is>
      </c>
      <c r="E101" s="6" t="inlineStr"/>
      <c r="F101" s="5" t="inlineStr"/>
    </row>
    <row r="102">
      <c r="A102" s="5" t="inlineStr">
        <is>
          <t>b5-dershane-kaydi</t>
        </is>
      </c>
      <c r="B102" s="5" t="inlineStr">
        <is>
          <t>Vicdan</t>
        </is>
      </c>
      <c r="C102" s="5" t="inlineStr">
        <is>
          <t>Orta</t>
        </is>
      </c>
      <c r="D102" s="6" t="inlineStr">
        <is>
          <t>Bu kayıt ücreti, babanın arabayı bir yıl daha değiştirmeme kararının ta kendisi.</t>
        </is>
      </c>
      <c r="E102" s="6" t="inlineStr"/>
      <c r="F102" s="5" t="inlineStr"/>
    </row>
    <row r="103">
      <c r="A103" s="5" t="inlineStr">
        <is>
          <t>b5-sigara-teklifi</t>
        </is>
      </c>
      <c r="B103" s="5" t="inlineStr">
        <is>
          <t>Sosyal Radar</t>
        </is>
      </c>
      <c r="C103" s="5" t="inlineStr">
        <is>
          <t>Kolay</t>
        </is>
      </c>
      <c r="D103" s="6" t="inlineStr">
        <is>
          <t>Kimse gerçekten keyif almıyor. Hepsi sadece burada durmak için burada duruyor.</t>
        </is>
      </c>
      <c r="E103" s="6" t="inlineStr"/>
      <c r="F103" s="5" t="inlineStr">
        <is>
          <t>E</t>
        </is>
      </c>
    </row>
    <row r="104">
      <c r="A104" s="5" t="inlineStr">
        <is>
          <t>b5-sigara-teklifi</t>
        </is>
      </c>
      <c r="B104" s="5" t="inlineStr">
        <is>
          <t>Dayanıklılık</t>
        </is>
      </c>
      <c r="C104" s="5" t="inlineStr">
        <is>
          <t>Orta</t>
        </is>
      </c>
      <c r="D104" s="6" t="inlineStr">
        <is>
          <t>Bu duvarın dibindekilerin hiçbiri merdiven çıkarken konuşamıyor. Not al.</t>
        </is>
      </c>
      <c r="E104" s="6" t="inlineStr"/>
      <c r="F104" s="5" t="inlineStr"/>
    </row>
    <row r="105">
      <c r="A105" s="5" t="inlineStr">
        <is>
          <t>b5-mesaj-grubu</t>
        </is>
      </c>
      <c r="B105" s="5" t="inlineStr">
        <is>
          <t>Sosyal Radar</t>
        </is>
      </c>
      <c r="C105" s="5" t="inlineStr">
        <is>
          <t>Orta</t>
        </is>
      </c>
      <c r="D105" s="6" t="inlineStr">
        <is>
          <t>Asıl grubun da bir asıl grubu var. Piramidin tepesinde üç kişi ve bir kedi fotoğrafı duruyor.</t>
        </is>
      </c>
      <c r="E105" s="6" t="inlineStr"/>
      <c r="F105" s="5" t="inlineStr"/>
    </row>
    <row r="106">
      <c r="A106" s="5" t="inlineStr">
        <is>
          <t>b5-mesaj-grubu</t>
        </is>
      </c>
      <c r="B106" s="5" t="inlineStr">
        <is>
          <t>Pişkinlik</t>
        </is>
      </c>
      <c r="C106" s="5" t="inlineStr">
        <is>
          <t>Zor</t>
        </is>
      </c>
      <c r="D106" s="6" t="inlineStr">
        <is>
          <t>Davet beklemek amatörlüktür. Kapıyı çal, gir, çay iste.</t>
        </is>
      </c>
      <c r="E106" s="6" t="inlineStr"/>
      <c r="F106" s="5" t="inlineStr">
        <is>
          <t>E</t>
        </is>
      </c>
    </row>
    <row r="107">
      <c r="A107" s="5" t="inlineStr">
        <is>
          <t>b5-kantin-vergisi</t>
        </is>
      </c>
      <c r="B107" s="5" t="inlineStr">
        <is>
          <t>Kurnazlık</t>
        </is>
      </c>
      <c r="C107" s="5" t="inlineStr">
        <is>
          <t>Orta</t>
        </is>
      </c>
      <c r="D107" s="6" t="inlineStr">
        <is>
          <t>Bunlar mahallenin eski haraççılarının küçük kardeşleri. Sektör aile şirketi.</t>
        </is>
      </c>
      <c r="E107" s="6" t="inlineStr"/>
      <c r="F107" s="5" t="inlineStr"/>
    </row>
    <row r="108">
      <c r="A108" s="5" t="inlineStr">
        <is>
          <t>b5-kantin-vergisi</t>
        </is>
      </c>
      <c r="B108" s="5" t="inlineStr">
        <is>
          <t>Cesaret</t>
        </is>
      </c>
      <c r="C108" s="5" t="inlineStr">
        <is>
          <t>Zor</t>
        </is>
      </c>
      <c r="D108" s="6" t="inlineStr">
        <is>
          <t>Karşında üç kişi var. Üçü de akşam yemeğine kadar evde olmak zorunda.</t>
        </is>
      </c>
      <c r="E108" s="6" t="inlineStr"/>
      <c r="F108" s="5" t="inlineStr"/>
    </row>
    <row r="109">
      <c r="A109" s="5" t="inlineStr">
        <is>
          <t>b5-ilk-sevgili</t>
        </is>
      </c>
      <c r="B109" s="5" t="inlineStr">
        <is>
          <t>Cesaret</t>
        </is>
      </c>
      <c r="C109" s="5" t="inlineStr">
        <is>
          <t>Orta</t>
        </is>
      </c>
      <c r="D109" s="6" t="inlineStr">
        <is>
          <t>Bir karış, bir asker için hiçbir şeydir. Uzan, elini tut.</t>
        </is>
      </c>
      <c r="E109" s="6" t="inlineStr"/>
      <c r="F109" s="5" t="inlineStr"/>
    </row>
    <row r="110">
      <c r="A110" s="5" t="inlineStr">
        <is>
          <t>b5-ilk-sevgili</t>
        </is>
      </c>
      <c r="B110" s="5" t="inlineStr">
        <is>
          <t>Sosyal Radar</t>
        </is>
      </c>
      <c r="C110" s="5" t="inlineStr">
        <is>
          <t>Zor</t>
        </is>
      </c>
      <c r="D110" s="6" t="inlineStr">
        <is>
          <t>Karşındaki telefonunu üç kez kontrol etti. O da heyecanlı. Ya da annesi arıyor.</t>
        </is>
      </c>
      <c r="E110" s="6" t="inlineStr"/>
      <c r="F110" s="5" t="inlineStr">
        <is>
          <t>E</t>
        </is>
      </c>
    </row>
    <row r="111">
      <c r="A111" s="5" t="inlineStr">
        <is>
          <t>b5-veli-bilgilendirme</t>
        </is>
      </c>
      <c r="B111" s="5" t="inlineStr">
        <is>
          <t>Kurnazlık</t>
        </is>
      </c>
      <c r="C111" s="5" t="inlineStr">
        <is>
          <t>Zor</t>
        </is>
      </c>
      <c r="D111" s="6" t="inlineStr">
        <is>
          <t>Bildirimlerin gideceği numara bir forma yazılıyordu. O form hâlâ senin çantanda.</t>
        </is>
      </c>
      <c r="E111" s="6" t="inlineStr"/>
      <c r="F111" s="5" t="inlineStr">
        <is>
          <t>E</t>
        </is>
      </c>
    </row>
    <row r="112">
      <c r="A112" s="5" t="inlineStr">
        <is>
          <t>b5-veli-bilgilendirme</t>
        </is>
      </c>
      <c r="B112" s="5" t="inlineStr">
        <is>
          <t>Akıl</t>
        </is>
      </c>
      <c r="C112" s="5" t="inlineStr">
        <is>
          <t>Kolay</t>
        </is>
      </c>
      <c r="D112" s="6" t="inlineStr">
        <is>
          <t>Düşük not kötüdür. Ailenin bunu senden önce öğrenmesi daha kötüdür.</t>
        </is>
      </c>
      <c r="E112" s="6" t="inlineStr"/>
      <c r="F112" s="5" t="inlineStr"/>
    </row>
    <row r="113">
      <c r="A113" s="5" t="inlineStr">
        <is>
          <t>b5-okul-temsilcisi</t>
        </is>
      </c>
      <c r="B113" s="5" t="inlineStr">
        <is>
          <t>Çene</t>
        </is>
      </c>
      <c r="C113" s="5" t="inlineStr">
        <is>
          <t>Orta</t>
        </is>
      </c>
      <c r="D113" s="6" t="inlineStr">
        <is>
          <t>Bu vaatleri kimse yerine getiremez. Tam da bu yüzden inandırıcılar.</t>
        </is>
      </c>
      <c r="E113" s="6" t="inlineStr"/>
      <c r="F113" s="5" t="inlineStr"/>
    </row>
    <row r="114">
      <c r="A114" s="5" t="inlineStr">
        <is>
          <t>b5-okul-temsilcisi</t>
        </is>
      </c>
      <c r="B114" s="5" t="inlineStr">
        <is>
          <t>Vicdan</t>
        </is>
      </c>
      <c r="C114" s="5" t="inlineStr">
        <is>
          <t>Kolay</t>
        </is>
      </c>
      <c r="D114" s="6" t="inlineStr">
        <is>
          <t>İkinci tost makinesi, bu binada herkesin üzerinde uzlaştığı tek konu.</t>
        </is>
      </c>
      <c r="E114" s="6" t="inlineStr"/>
      <c r="F114" s="5" t="inlineStr"/>
    </row>
    <row r="115">
      <c r="A115" s="5" t="inlineStr">
        <is>
          <t>b5-yapay-zeka-odev</t>
        </is>
      </c>
      <c r="B115" s="5" t="inlineStr">
        <is>
          <t>Akıl</t>
        </is>
      </c>
      <c r="C115" s="5" t="inlineStr">
        <is>
          <t>Orta</t>
        </is>
      </c>
      <c r="D115" s="6" t="inlineStr">
        <is>
          <t>Öğretmen de aynı asistanı kullanıyor. Kendi cümlelerini tanıyacaktır.</t>
        </is>
      </c>
      <c r="E115" s="6" t="inlineStr"/>
      <c r="F115" s="5" t="inlineStr"/>
    </row>
    <row r="116">
      <c r="A116" s="5" t="inlineStr">
        <is>
          <t>b5-yapay-zeka-odev</t>
        </is>
      </c>
      <c r="B116" s="5" t="inlineStr">
        <is>
          <t>Vicdan</t>
        </is>
      </c>
      <c r="C116" s="5" t="inlineStr">
        <is>
          <t>Kolay</t>
        </is>
      </c>
      <c r="D116" s="6" t="inlineStr">
        <is>
          <t>Babaannen bu ödevi mum ışığında, el yazısıyla yapardı. Hiçbir işe yaramazdı ama yapardı.</t>
        </is>
      </c>
      <c r="E116" s="6" t="inlineStr"/>
      <c r="F116" s="5" t="inlineStr"/>
    </row>
    <row r="117">
      <c r="A117" s="5" t="inlineStr">
        <is>
          <t>b5-akraba-sorgusu</t>
        </is>
      </c>
      <c r="B117" s="5" t="inlineStr">
        <is>
          <t>Sosyal Radar</t>
        </is>
      </c>
      <c r="C117" s="5" t="inlineStr">
        <is>
          <t>Kolay</t>
        </is>
      </c>
      <c r="D117" s="6" t="inlineStr">
        <is>
          <t>Teyzenin kızı tıp kazandı. Bu sorunun cevabı bu salonda çoktan yazılmış.</t>
        </is>
      </c>
      <c r="E117" s="6" t="inlineStr"/>
      <c r="F117" s="5" t="inlineStr"/>
    </row>
    <row r="118">
      <c r="A118" s="5" t="inlineStr">
        <is>
          <t>b5-akraba-sorgusu</t>
        </is>
      </c>
      <c r="B118" s="5" t="inlineStr">
        <is>
          <t>Çene</t>
        </is>
      </c>
      <c r="C118" s="5" t="inlineStr">
        <is>
          <t>Orta</t>
        </is>
      </c>
      <c r="D118" s="6" t="inlineStr">
        <is>
          <t>Cevap verme, soruyu geri at. On bir kişi yarım saat kendi arasında tartışır.</t>
        </is>
      </c>
      <c r="E118" s="6" t="inlineStr"/>
      <c r="F118" s="5" t="inlineStr">
        <is>
          <t>E</t>
        </is>
      </c>
    </row>
    <row r="119">
      <c r="A119" s="5" t="inlineStr">
        <is>
          <t>b5-okul-gezisi</t>
        </is>
      </c>
      <c r="B119" s="5" t="inlineStr">
        <is>
          <t>Sosyal Radar</t>
        </is>
      </c>
      <c r="C119" s="5" t="inlineStr">
        <is>
          <t>Orta</t>
        </is>
      </c>
      <c r="D119" s="6" t="inlineStr">
        <is>
          <t>Arkadakiler müziği açacak, öndekiler öğretmeni idare edecek. Ortadakiler midelerini idare edecek.</t>
        </is>
      </c>
      <c r="E119" s="6" t="inlineStr"/>
      <c r="F119" s="5" t="inlineStr"/>
    </row>
    <row r="120">
      <c r="A120" s="5" t="inlineStr">
        <is>
          <t>b5-okul-gezisi</t>
        </is>
      </c>
      <c r="B120" s="5" t="inlineStr">
        <is>
          <t>Dayanıklılık</t>
        </is>
      </c>
      <c r="C120" s="5" t="inlineStr">
        <is>
          <t>Kolay</t>
        </is>
      </c>
      <c r="D120" s="6" t="inlineStr">
        <is>
          <t>Yol dört saat. Mola bir tane. Su içme.</t>
        </is>
      </c>
      <c r="E120" s="6" t="inlineStr"/>
      <c r="F120" s="5" t="inlineStr"/>
    </row>
    <row r="121">
      <c r="A121" s="5" t="inlineStr">
        <is>
          <t>b5-fenomen-video</t>
        </is>
      </c>
      <c r="B121" s="5" t="inlineStr">
        <is>
          <t>Pişkinlik</t>
        </is>
      </c>
      <c r="C121" s="5" t="inlineStr">
        <is>
          <t>Orta</t>
        </is>
      </c>
      <c r="D121" s="6" t="inlineStr">
        <is>
          <t>İnternetin hafızası bir akvaryum balığınınki kadar. İkinci videoyu hemen çek.</t>
        </is>
      </c>
      <c r="E121" s="6" t="inlineStr"/>
      <c r="F121" s="5" t="inlineStr"/>
    </row>
    <row r="122">
      <c r="A122" s="5" t="inlineStr">
        <is>
          <t>b5-fenomen-video</t>
        </is>
      </c>
      <c r="B122" s="5" t="inlineStr">
        <is>
          <t>Vicdan</t>
        </is>
      </c>
      <c r="C122" s="5" t="inlineStr">
        <is>
          <t>Zor</t>
        </is>
      </c>
      <c r="D122" s="6" t="inlineStr">
        <is>
          <t>Videonun arka planında annen görünüyor. Bornozla.</t>
        </is>
      </c>
      <c r="E122" s="6" t="inlineStr"/>
      <c r="F122" s="5" t="inlineStr"/>
    </row>
    <row r="123">
      <c r="A123" s="5" t="inlineStr">
        <is>
          <t>b5-yaz-isi-garson</t>
        </is>
      </c>
      <c r="B123" s="5" t="inlineStr">
        <is>
          <t>Dayanıklılık</t>
        </is>
      </c>
      <c r="C123" s="5" t="inlineStr">
        <is>
          <t>Orta</t>
        </is>
      </c>
      <c r="D123" s="6" t="inlineStr">
        <is>
          <t>Tepsi koldan değil, dizden taşınır. Dizlerini kır, bileğini gevşet.</t>
        </is>
      </c>
      <c r="E123" s="6" t="inlineStr"/>
      <c r="F123" s="5" t="inlineStr"/>
    </row>
    <row r="124">
      <c r="A124" s="5" t="inlineStr">
        <is>
          <t>b5-yaz-isi-garson</t>
        </is>
      </c>
      <c r="B124" s="5" t="inlineStr">
        <is>
          <t>Kurnazlık</t>
        </is>
      </c>
      <c r="C124" s="5" t="inlineStr">
        <is>
          <t>Kolay</t>
        </is>
      </c>
      <c r="D124" s="6" t="inlineStr">
        <is>
          <t>Bahşiş, çayı getirene değil, müşterinin adını hatırlayana gider.</t>
        </is>
      </c>
      <c r="E124" s="6" t="inlineStr"/>
      <c r="F124" s="5" t="inlineStr"/>
    </row>
    <row r="125">
      <c r="A125" s="5" t="inlineStr">
        <is>
          <t>b5-ilk-maas</t>
        </is>
      </c>
      <c r="B125" s="5" t="inlineStr">
        <is>
          <t>Vicdan</t>
        </is>
      </c>
      <c r="C125" s="5" t="inlineStr">
        <is>
          <t>Orta</t>
        </is>
      </c>
      <c r="D125" s="6" t="inlineStr">
        <is>
          <t>Annene bir hediye al. Beğenmeyecek ama saklayacak.</t>
        </is>
      </c>
      <c r="E125" s="6" t="inlineStr"/>
      <c r="F125" s="5" t="inlineStr"/>
    </row>
    <row r="126">
      <c r="A126" s="5" t="inlineStr">
        <is>
          <t>b5-ilk-maas</t>
        </is>
      </c>
      <c r="B126" s="5" t="inlineStr">
        <is>
          <t>Kurnazlık</t>
        </is>
      </c>
      <c r="C126" s="5" t="inlineStr">
        <is>
          <t>Zor</t>
        </is>
      </c>
      <c r="D126" s="6" t="inlineStr">
        <is>
          <t>Enflasyon bu zarfı her gün biraz daha inceltiyor. Beklemek de bir harcama türüdür.</t>
        </is>
      </c>
      <c r="E126" s="6" t="inlineStr"/>
      <c r="F126" s="5" t="inlineStr">
        <is>
          <t>E</t>
        </is>
      </c>
    </row>
    <row r="127">
      <c r="A127" s="5" t="inlineStr">
        <is>
          <t>b5-ayrilik</t>
        </is>
      </c>
      <c r="B127" s="5" t="inlineStr">
        <is>
          <t>Sosyal Radar</t>
        </is>
      </c>
      <c r="C127" s="5" t="inlineStr">
        <is>
          <t>Kolay</t>
        </is>
      </c>
      <c r="D127" s="6" t="inlineStr">
        <is>
          <t>İki haftadır mesajların sonundaki gülen yüzler azalıyordu. Veri yalan söylemez.</t>
        </is>
      </c>
      <c r="E127" s="6" t="inlineStr"/>
      <c r="F127" s="5" t="inlineStr"/>
    </row>
    <row r="128">
      <c r="A128" s="5" t="inlineStr">
        <is>
          <t>b5-ayrilik</t>
        </is>
      </c>
      <c r="B128" s="5" t="inlineStr">
        <is>
          <t>Dayanıklılık</t>
        </is>
      </c>
      <c r="C128" s="5" t="inlineStr">
        <is>
          <t>Orta</t>
        </is>
      </c>
      <c r="D128" s="6" t="inlineStr">
        <is>
          <t>İlk ayrılık, bir maratonun ilk kilometresidir. Canın yanar ama daha çok yol var.</t>
        </is>
      </c>
      <c r="E128" s="6" t="inlineStr"/>
      <c r="F128" s="5" t="inlineStr"/>
    </row>
    <row r="129">
      <c r="A129" s="5" t="inlineStr">
        <is>
          <t>b5-beden-dersi</t>
        </is>
      </c>
      <c r="B129" s="5" t="inlineStr">
        <is>
          <t>Dayanıklılık</t>
        </is>
      </c>
      <c r="C129" s="5" t="inlineStr">
        <is>
          <t>Orta</t>
        </is>
      </c>
      <c r="D129" s="6" t="inlineStr">
        <is>
          <t>Top sana geldiğinde düşünme. Düşünenlerin hepsi topu yüzüyle karşıladı.</t>
        </is>
      </c>
      <c r="E129" s="6" t="inlineStr"/>
      <c r="F129" s="5" t="inlineStr"/>
    </row>
    <row r="130">
      <c r="A130" s="5" t="inlineStr">
        <is>
          <t>b5-beden-dersi</t>
        </is>
      </c>
      <c r="B130" s="5" t="inlineStr">
        <is>
          <t>Kurnazlık</t>
        </is>
      </c>
      <c r="C130" s="5" t="inlineStr">
        <is>
          <t>Kolay</t>
        </is>
      </c>
      <c r="D130" s="6" t="inlineStr">
        <is>
          <t>Raporu olanlar kenarda oturup puan tutuyor. Sahadaki en iyi pozisyon, saha dışı.</t>
        </is>
      </c>
      <c r="E130" s="6" t="inlineStr"/>
      <c r="F130" s="5" t="inlineStr"/>
    </row>
    <row r="131">
      <c r="A131" s="5" t="inlineStr">
        <is>
          <t>b5-kafede-ders</t>
        </is>
      </c>
      <c r="B131" s="5" t="inlineStr">
        <is>
          <t>Akıl</t>
        </is>
      </c>
      <c r="C131" s="5" t="inlineStr">
        <is>
          <t>Orta</t>
        </is>
      </c>
      <c r="D131" s="6" t="inlineStr">
        <is>
          <t>Burada çalışılacak tek konu, garsonun sabrının sınırlarıdır.</t>
        </is>
      </c>
      <c r="E131" s="6" t="inlineStr"/>
      <c r="F131" s="5" t="inlineStr"/>
    </row>
    <row r="132">
      <c r="A132" s="5" t="inlineStr">
        <is>
          <t>b5-kafede-ders</t>
        </is>
      </c>
      <c r="B132" s="5" t="inlineStr">
        <is>
          <t>Sosyal Radar</t>
        </is>
      </c>
      <c r="C132" s="5" t="inlineStr">
        <is>
          <t>Kolay</t>
        </is>
      </c>
      <c r="D132" s="6" t="inlineStr">
        <is>
          <t>Garson üçüncü kez masaya baktı. Dördüncüde hesabı getirecek.</t>
        </is>
      </c>
      <c r="E132" s="6" t="inlineStr"/>
      <c r="F132" s="5" t="inlineStr"/>
    </row>
    <row r="133">
      <c r="A133" s="5" t="inlineStr">
        <is>
          <t>b5-deneme-sinavi</t>
        </is>
      </c>
      <c r="B133" s="5" t="inlineStr">
        <is>
          <t>Akıl</t>
        </is>
      </c>
      <c r="C133" s="5" t="inlineStr">
        <is>
          <t>Orta</t>
        </is>
      </c>
      <c r="D133" s="6" t="inlineStr">
        <is>
          <t>Önce bildiklerini çöz. Bilmediklerini sonra da bilmeyeceksin zaten.</t>
        </is>
      </c>
      <c r="E133" s="6" t="inlineStr"/>
      <c r="F133" s="5" t="inlineStr"/>
    </row>
    <row r="134">
      <c r="A134" s="5" t="inlineStr">
        <is>
          <t>b5-deneme-sinavi</t>
        </is>
      </c>
      <c r="B134" s="5" t="inlineStr">
        <is>
          <t>Dayanıklılık</t>
        </is>
      </c>
      <c r="C134" s="5" t="inlineStr">
        <is>
          <t>Kolay</t>
        </is>
      </c>
      <c r="D134" s="6" t="inlineStr">
        <is>
          <t>Nefesin hızlanırsa sorular da hızlanır. Onlara yetişemezsin.</t>
        </is>
      </c>
      <c r="E134" s="6" t="inlineStr"/>
      <c r="F134" s="5" t="inlineStr"/>
    </row>
    <row r="135">
      <c r="A135" s="5" t="inlineStr">
        <is>
          <t>b5-doktor-ol</t>
        </is>
      </c>
      <c r="B135" s="5" t="inlineStr">
        <is>
          <t>Vicdan</t>
        </is>
      </c>
      <c r="C135" s="5" t="inlineStr">
        <is>
          <t>Orta</t>
        </is>
      </c>
      <c r="D135" s="6" t="inlineStr">
        <is>
          <t>Ailen yıllardır 'Bizim çocuk doktor' cümlesini kuracağı günü bekliyor. Cümle hazır; sen eksiksin.</t>
        </is>
      </c>
      <c r="E135" s="6" t="inlineStr"/>
      <c r="F135" s="5" t="inlineStr"/>
    </row>
    <row r="136">
      <c r="A136" s="5" t="inlineStr">
        <is>
          <t>b5-doktor-ol</t>
        </is>
      </c>
      <c r="B136" s="5" t="inlineStr">
        <is>
          <t>Çene</t>
        </is>
      </c>
      <c r="C136" s="5" t="inlineStr">
        <is>
          <t>Zor</t>
        </is>
      </c>
      <c r="D136" s="6" t="inlineStr">
        <is>
          <t>Babana doğrudan hayır deme. Masadaki herkes bir komisyon üyesi. Tek tek ikna et.</t>
        </is>
      </c>
      <c r="E136" s="6" t="inlineStr"/>
      <c r="F136" s="5" t="inlineStr">
        <is>
          <t>E</t>
        </is>
      </c>
    </row>
    <row r="137">
      <c r="A137" s="5" t="inlineStr">
        <is>
          <t>b5-yurt-disi</t>
        </is>
      </c>
      <c r="B137" s="5" t="inlineStr">
        <is>
          <t>Akıl</t>
        </is>
      </c>
      <c r="C137" s="5" t="inlineStr">
        <is>
          <t>Orta</t>
        </is>
      </c>
      <c r="D137" s="6" t="inlineStr">
        <is>
          <t>Başvuru için dil belgesi, bir niyet mektubu ve üç referans gerekiyor. Çimler ayrıca ücretli.</t>
        </is>
      </c>
      <c r="E137" s="6" t="inlineStr"/>
      <c r="F137" s="5" t="inlineStr"/>
    </row>
    <row r="138">
      <c r="A138" s="5" t="inlineStr">
        <is>
          <t>b5-yurt-disi</t>
        </is>
      </c>
      <c r="B138" s="5" t="inlineStr">
        <is>
          <t>Kurnazlık</t>
        </is>
      </c>
      <c r="C138" s="5" t="inlineStr">
        <is>
          <t>Zor</t>
        </is>
      </c>
      <c r="D138" s="6" t="inlineStr">
        <is>
          <t>Videoda gülen öğrencilerin hepsi mankenmiş. Çimler de sentetik.</t>
        </is>
      </c>
      <c r="E138" s="6" t="inlineStr"/>
      <c r="F138" s="5" t="inlineStr"/>
    </row>
    <row r="139">
      <c r="A139" s="5" t="inlineStr">
        <is>
          <t>b5-ilk-konser</t>
        </is>
      </c>
      <c r="B139" s="5" t="inlineStr">
        <is>
          <t>Dayanıklılık</t>
        </is>
      </c>
      <c r="C139" s="5" t="inlineStr">
        <is>
          <t>Orta</t>
        </is>
      </c>
      <c r="D139" s="6" t="inlineStr">
        <is>
          <t>Su almadın, tuvalete gitmedin, yerini koruyorsun. Bu bir konser değil, bir kuşatma.</t>
        </is>
      </c>
      <c r="E139" s="6" t="inlineStr"/>
      <c r="F139" s="5" t="inlineStr"/>
    </row>
    <row r="140">
      <c r="A140" s="5" t="inlineStr">
        <is>
          <t>b5-ilk-konser</t>
        </is>
      </c>
      <c r="B140" s="5" t="inlineStr">
        <is>
          <t>Sosyal Radar</t>
        </is>
      </c>
      <c r="C140" s="5" t="inlineStr">
        <is>
          <t>Kolay</t>
        </is>
      </c>
      <c r="D140" s="6" t="inlineStr">
        <is>
          <t>Etrafındaki herkes şarkıların tamamını biliyor. Sen iki nakarat biliyorsun. İkisini de yanlış.</t>
        </is>
      </c>
      <c r="E140" s="6" t="inlineStr"/>
      <c r="F140" s="5" t="inlineStr"/>
    </row>
    <row r="141">
      <c r="A141" s="5" t="inlineStr">
        <is>
          <t>b5-ev-partisi</t>
        </is>
      </c>
      <c r="B141" s="5" t="inlineStr">
        <is>
          <t>Sosyal Radar</t>
        </is>
      </c>
      <c r="C141" s="5" t="inlineStr">
        <is>
          <t>Orta</t>
        </is>
      </c>
      <c r="D141" s="6" t="inlineStr">
        <is>
          <t>Mutfaktaki şişeleri biri sayıyor. Pazartesi o sayı bir aileye ulaşacak.</t>
        </is>
      </c>
      <c r="E141" s="6" t="inlineStr"/>
      <c r="F141" s="5" t="inlineStr"/>
    </row>
    <row r="142">
      <c r="A142" s="5" t="inlineStr">
        <is>
          <t>b5-ev-partisi</t>
        </is>
      </c>
      <c r="B142" s="5" t="inlineStr">
        <is>
          <t>Vicdan</t>
        </is>
      </c>
      <c r="C142" s="5" t="inlineStr">
        <is>
          <t>Kolay</t>
        </is>
      </c>
      <c r="D142" s="6" t="inlineStr">
        <is>
          <t>Komşular gürültü için ayrı bir mesaj grubu kurmuş. Onlar da organize.</t>
        </is>
      </c>
      <c r="E142" s="6" t="inlineStr"/>
      <c r="F142" s="5" t="inlineStr"/>
    </row>
    <row r="143">
      <c r="A143" s="5" t="inlineStr">
        <is>
          <t>b5-kurye-isi</t>
        </is>
      </c>
      <c r="B143" s="5" t="inlineStr">
        <is>
          <t>Kurnazlık</t>
        </is>
      </c>
      <c r="C143" s="5" t="inlineStr">
        <is>
          <t>Orta</t>
        </is>
      </c>
      <c r="D143" s="6" t="inlineStr">
        <is>
          <t>Otoparkın içinden geçersen üç dakika kazanırsın. Görevli kulübesinde uyuyor.</t>
        </is>
      </c>
      <c r="E143" s="6" t="inlineStr"/>
      <c r="F143" s="5" t="inlineStr"/>
    </row>
    <row r="144">
      <c r="A144" s="5" t="inlineStr">
        <is>
          <t>b5-kurye-isi</t>
        </is>
      </c>
      <c r="B144" s="5" t="inlineStr">
        <is>
          <t>Dayanıklılık</t>
        </is>
      </c>
      <c r="C144" s="5" t="inlineStr">
        <is>
          <t>Kolay</t>
        </is>
      </c>
      <c r="D144" s="6" t="inlineStr">
        <is>
          <t>Yokuşa girmeden vites düşür. Dizlerin sana ömür boyu teşekkür edecek.</t>
        </is>
      </c>
      <c r="E144" s="6" t="inlineStr"/>
      <c r="F144" s="5" t="inlineStr"/>
    </row>
    <row r="145">
      <c r="A145" s="5" t="inlineStr">
        <is>
          <t>b5-ozel-ders</t>
        </is>
      </c>
      <c r="B145" s="5" t="inlineStr">
        <is>
          <t>Akıl</t>
        </is>
      </c>
      <c r="C145" s="5" t="inlineStr">
        <is>
          <t>Kolay</t>
        </is>
      </c>
      <c r="D145" s="6" t="inlineStr">
        <is>
          <t>Ders başlamadan dakika maliyetini hesapladın. Öğretmene belki gerek yoktur.</t>
        </is>
      </c>
      <c r="E145" s="6" t="inlineStr"/>
      <c r="F145" s="5" t="inlineStr"/>
    </row>
    <row r="146">
      <c r="A146" s="5" t="inlineStr">
        <is>
          <t>b5-ozel-ders</t>
        </is>
      </c>
      <c r="B146" s="5" t="inlineStr">
        <is>
          <t>Vicdan</t>
        </is>
      </c>
      <c r="C146" s="5" t="inlineStr">
        <is>
          <t>Orta</t>
        </is>
      </c>
      <c r="D146" s="6" t="inlineStr">
        <is>
          <t>Annen bu dersler için yeni kışlık montunu almadı. Bunu söylemedi. Eski mont söyledi.</t>
        </is>
      </c>
      <c r="E146" s="6" t="inlineStr"/>
      <c r="F146" s="5" t="inlineStr"/>
    </row>
    <row r="147">
      <c r="A147" s="5" t="inlineStr">
        <is>
          <t>b5-rehberlik</t>
        </is>
      </c>
      <c r="B147" s="5" t="inlineStr">
        <is>
          <t>Akıl</t>
        </is>
      </c>
      <c r="C147" s="5" t="inlineStr">
        <is>
          <t>Orta</t>
        </is>
      </c>
      <c r="D147" s="6" t="inlineStr">
        <is>
          <t>Test yetmiş soruydu. Otuzuncudan sonra hep 'C' işaretledin. Fener bekçiliği bir C mesleği.</t>
        </is>
      </c>
      <c r="E147" s="6" t="inlineStr"/>
      <c r="F147" s="5" t="inlineStr"/>
    </row>
    <row r="148">
      <c r="A148" s="5" t="inlineStr">
        <is>
          <t>b5-rehberlik</t>
        </is>
      </c>
      <c r="B148" s="5" t="inlineStr">
        <is>
          <t>Pişkinlik</t>
        </is>
      </c>
      <c r="C148" s="5" t="inlineStr">
        <is>
          <t>Kolay</t>
        </is>
      </c>
      <c r="D148" s="6" t="inlineStr">
        <is>
          <t>Sonucu kimseye söyleme. Ya da herkese söyle. Ortası yok.</t>
        </is>
      </c>
      <c r="E148" s="6" t="inlineStr"/>
      <c r="F148" s="5" t="inlineStr"/>
    </row>
    <row r="149">
      <c r="A149" s="5" t="inlineStr">
        <is>
          <t>b5-telefon-detoksu</t>
        </is>
      </c>
      <c r="B149" s="5" t="inlineStr">
        <is>
          <t>Kurnazlık</t>
        </is>
      </c>
      <c r="C149" s="5" t="inlineStr">
        <is>
          <t>Zor</t>
        </is>
      </c>
      <c r="D149" s="6" t="inlineStr">
        <is>
          <t>Emanet çekmecesinin anahtarı babanın anahtarlığında değil. Ekmek dolabında.</t>
        </is>
      </c>
      <c r="E149" s="6" t="inlineStr"/>
      <c r="F149" s="5" t="inlineStr">
        <is>
          <t>E</t>
        </is>
      </c>
    </row>
    <row r="150">
      <c r="A150" s="5" t="inlineStr">
        <is>
          <t>b5-telefon-detoksu</t>
        </is>
      </c>
      <c r="B150" s="5" t="inlineStr">
        <is>
          <t>Dayanıklılık</t>
        </is>
      </c>
      <c r="C150" s="5" t="inlineStr">
        <is>
          <t>Orta</t>
        </is>
      </c>
      <c r="D150" s="6" t="inlineStr">
        <is>
          <t>İlk üç gün cebini yoklayacaksın. Dördüncü gün kitap okuyacaksın. Beşinci gün kitaba bildirim gelmiyor diye şaşıracaksın.</t>
        </is>
      </c>
      <c r="E150" s="6" t="inlineStr"/>
      <c r="F150" s="5" t="inlineStr"/>
    </row>
    <row r="151">
      <c r="A151" s="5" t="inlineStr">
        <is>
          <t>b5-universite-sinavi</t>
        </is>
      </c>
      <c r="B151" s="5" t="inlineStr">
        <is>
          <t>Akıl</t>
        </is>
      </c>
      <c r="C151" s="5" t="inlineStr">
        <is>
          <t>Orta</t>
        </is>
      </c>
      <c r="D151" s="6" t="inlineStr">
        <is>
          <t>Kitapçıktaki ilk soru hep kolaydır. Moral bozulmasın diye. Hesap sonra sorulur.</t>
        </is>
      </c>
      <c r="E151" s="6" t="inlineStr"/>
      <c r="F151" s="5" t="inlineStr"/>
    </row>
    <row r="152">
      <c r="A152" s="5" t="inlineStr">
        <is>
          <t>b5-universite-sinavi</t>
        </is>
      </c>
      <c r="B152" s="5" t="inlineStr">
        <is>
          <t>Dayanıklılık</t>
        </is>
      </c>
      <c r="C152" s="5" t="inlineStr">
        <is>
          <t>Kolay</t>
        </is>
      </c>
      <c r="D152" s="6" t="inlineStr">
        <is>
          <t>Maratonun son kilometresi. Buraya kadar koştun. Şimdi yürü ama durma.</t>
        </is>
      </c>
      <c r="E152" s="6" t="inlineStr"/>
      <c r="F152" s="5" t="inlineStr"/>
    </row>
    <row r="153">
      <c r="A153" s="5" t="inlineStr">
        <is>
          <t>b5-mezuniyet-balosu</t>
        </is>
      </c>
      <c r="B153" s="5" t="inlineStr">
        <is>
          <t>Sosyal Radar</t>
        </is>
      </c>
      <c r="C153" s="5" t="inlineStr">
        <is>
          <t>Orta</t>
        </is>
      </c>
      <c r="D153" s="6" t="inlineStr">
        <is>
          <t>Pistin kenarındaki herkes birinin başlamasını bekliyor. Bu bir dans değil, bir sabır sınavı.</t>
        </is>
      </c>
      <c r="E153" s="6" t="inlineStr"/>
      <c r="F153" s="5" t="inlineStr"/>
    </row>
    <row r="154">
      <c r="A154" s="5" t="inlineStr">
        <is>
          <t>b5-mezuniyet-balosu</t>
        </is>
      </c>
      <c r="B154" s="5" t="inlineStr">
        <is>
          <t>Pişkinlik</t>
        </is>
      </c>
      <c r="C154" s="5" t="inlineStr">
        <is>
          <t>Zor</t>
        </is>
      </c>
      <c r="D154" s="6" t="inlineStr">
        <is>
          <t>Mikrofon masada sahipsiz duruyor. Dört yılın son sözünü kim söyleyecek?</t>
        </is>
      </c>
      <c r="E154" s="6" t="inlineStr"/>
      <c r="F154" s="5" t="inlineStr">
        <is>
          <t>E</t>
        </is>
      </c>
    </row>
    <row r="155">
      <c r="A155" s="5" t="inlineStr">
        <is>
          <t>b5-tercih-listesi</t>
        </is>
      </c>
      <c r="B155" s="5" t="inlineStr">
        <is>
          <t>Akıl</t>
        </is>
      </c>
      <c r="C155" s="5" t="inlineStr">
        <is>
          <t>Orta</t>
        </is>
      </c>
      <c r="D155" s="6" t="inlineStr">
        <is>
          <t>Puanın bazı kapıları açıyor, bazılarını kibarca kapatıyor. Liste gerçekçi olmalı.</t>
        </is>
      </c>
      <c r="E155" s="6" t="inlineStr"/>
      <c r="F155" s="5" t="inlineStr"/>
    </row>
    <row r="156">
      <c r="A156" s="5" t="inlineStr">
        <is>
          <t>b5-tercih-listesi</t>
        </is>
      </c>
      <c r="B156" s="5" t="inlineStr">
        <is>
          <t>Vicdan</t>
        </is>
      </c>
      <c r="C156" s="5" t="inlineStr">
        <is>
          <t>Zor</t>
        </is>
      </c>
      <c r="D156" s="6" t="inlineStr">
        <is>
          <t>Babaannen 'Yakın olsun' diyor. Babaannenin tek kriteri bu. Ama çok güçlü bir kriter.</t>
        </is>
      </c>
      <c r="E156" s="6" t="inlineStr"/>
      <c r="F156" s="5" t="inlineStr"/>
    </row>
    <row r="157">
      <c r="A157" s="5" t="inlineStr">
        <is>
          <t>b5-mezuniyet</t>
        </is>
      </c>
      <c r="B157" s="5" t="inlineStr">
        <is>
          <t>Vicdan</t>
        </is>
      </c>
      <c r="C157" s="5" t="inlineStr">
        <is>
          <t>Kolay</t>
        </is>
      </c>
      <c r="D157" s="6" t="inlineStr">
        <is>
          <t>Arka sırada bir öğretmen gözlerini siliyor. Sen onun adını hiç öğrenmedin. O seninkini biliyor.</t>
        </is>
      </c>
      <c r="E157" s="6" t="inlineStr"/>
      <c r="F157" s="5" t="inlineStr"/>
    </row>
    <row r="158">
      <c r="A158" s="5" t="inlineStr">
        <is>
          <t>b5-mezuniyet</t>
        </is>
      </c>
      <c r="B158" s="5" t="inlineStr">
        <is>
          <t>Sosyal Radar</t>
        </is>
      </c>
      <c r="C158" s="5" t="inlineStr">
        <is>
          <t>Orta</t>
        </is>
      </c>
      <c r="D158" s="6" t="inlineStr">
        <is>
          <t>Bugün herkes 'Görüşürüz' diyecek. Yarından itibaren istatistik devreye girecek.</t>
        </is>
      </c>
      <c r="E158" s="6" t="inlineStr"/>
      <c r="F158" s="5" t="inlineStr"/>
    </row>
    <row r="159">
      <c r="A159" s="5" t="inlineStr">
        <is>
          <t>b5-ehliyet-kursu</t>
        </is>
      </c>
      <c r="B159" s="5" t="inlineStr">
        <is>
          <t>Dayanıklılık</t>
        </is>
      </c>
      <c r="C159" s="5" t="inlineStr">
        <is>
          <t>Orta</t>
        </is>
      </c>
      <c r="D159" s="6" t="inlineStr">
        <is>
          <t>Aynayı ayarla, koltuğu ayarla, sonra yine aynayı. Sınav ayarlamada kazanılır.</t>
        </is>
      </c>
      <c r="E159" s="6" t="inlineStr"/>
      <c r="F159" s="5" t="inlineStr"/>
    </row>
    <row r="160">
      <c r="A160" s="5" t="inlineStr">
        <is>
          <t>b5-ehliyet-kursu</t>
        </is>
      </c>
      <c r="B160" s="5" t="inlineStr">
        <is>
          <t>Cesaret</t>
        </is>
      </c>
      <c r="C160" s="5" t="inlineStr">
        <is>
          <t>Kolay</t>
        </is>
      </c>
      <c r="D160" s="6" t="inlineStr">
        <is>
          <t>Yokuş sadece bir yokuş. Arkandaki kamyon sadece bir kamyon. Korkulacak bir şey yok. Pek yok.</t>
        </is>
      </c>
      <c r="E160" s="6" t="inlineStr"/>
      <c r="F160" s="5" t="inlineStr"/>
    </row>
    <row r="161">
      <c r="A161" s="5" t="inlineStr">
        <is>
          <t>b5-tek-basina-tatil</t>
        </is>
      </c>
      <c r="B161" s="5" t="inlineStr">
        <is>
          <t>Kurnazlık</t>
        </is>
      </c>
      <c r="C161" s="5" t="inlineStr">
        <is>
          <t>Orta</t>
        </is>
      </c>
      <c r="D161" s="6" t="inlineStr">
        <is>
          <t>Pansiyon sahibi 'deniz manzaralı' dedi. Manzara bir ayna aracılığıyla sağlanıyor.</t>
        </is>
      </c>
      <c r="E161" s="6" t="inlineStr"/>
      <c r="F161" s="5" t="inlineStr"/>
    </row>
    <row r="162">
      <c r="A162" s="5" t="inlineStr">
        <is>
          <t>b5-tek-basina-tatil</t>
        </is>
      </c>
      <c r="B162" s="5" t="inlineStr">
        <is>
          <t>Sosyal Radar</t>
        </is>
      </c>
      <c r="C162" s="5" t="inlineStr">
        <is>
          <t>Kolay</t>
        </is>
      </c>
      <c r="D162" s="6" t="inlineStr">
        <is>
          <t>Grupta biri bütçeyi tutacak, biri planı yapacak, biri hiçbir şeyi. Hiçbir şeyi yapan en çok eğlenecek.</t>
        </is>
      </c>
      <c r="E162" s="6" t="inlineStr"/>
      <c r="F162" s="5" t="inlineStr"/>
    </row>
    <row r="163">
      <c r="A163" s="5" t="inlineStr">
        <is>
          <t>b6-yurt-odasi</t>
        </is>
      </c>
      <c r="B163" s="5" t="inlineStr">
        <is>
          <t>Sosyal Radar</t>
        </is>
      </c>
      <c r="C163" s="5" t="inlineStr">
        <is>
          <t>Orta</t>
        </is>
      </c>
      <c r="D163" s="6" t="inlineStr">
        <is>
          <t>Üst ranzadaki üç gündür aynı tişörtle. Bu bir karakter değil, bir strateji.</t>
        </is>
      </c>
      <c r="E163" s="6" t="inlineStr"/>
      <c r="F163" s="5" t="inlineStr"/>
    </row>
    <row r="164">
      <c r="A164" s="5" t="inlineStr">
        <is>
          <t>b6-yurt-odasi</t>
        </is>
      </c>
      <c r="B164" s="5" t="inlineStr">
        <is>
          <t>Kurnazlık</t>
        </is>
      </c>
      <c r="C164" s="5" t="inlineStr">
        <is>
          <t>Kolay</t>
        </is>
      </c>
      <c r="D164" s="6" t="inlineStr">
        <is>
          <t>Prizin yanındaki yatak, bu odanın başkentidir.</t>
        </is>
      </c>
      <c r="E164" s="6" t="inlineStr"/>
      <c r="F164" s="5" t="inlineStr">
        <is>
          <t>E</t>
        </is>
      </c>
    </row>
    <row r="165">
      <c r="A165" s="5" t="inlineStr">
        <is>
          <t>b6-ilk-tam-zamanli-is</t>
        </is>
      </c>
      <c r="B165" s="5" t="inlineStr">
        <is>
          <t>Çene</t>
        </is>
      </c>
      <c r="C165" s="5" t="inlineStr">
        <is>
          <t>Orta</t>
        </is>
      </c>
      <c r="D165" s="6" t="inlineStr">
        <is>
          <t>Müşteri 'Şundan var mı?' diyor ve hiçbir şey göstermiyor. Satış burada başlar.</t>
        </is>
      </c>
      <c r="E165" s="6" t="inlineStr"/>
      <c r="F165" s="5" t="inlineStr"/>
    </row>
    <row r="166">
      <c r="A166" s="5" t="inlineStr">
        <is>
          <t>b6-ilk-tam-zamanli-is</t>
        </is>
      </c>
      <c r="B166" s="5" t="inlineStr">
        <is>
          <t>Dayanıklılık</t>
        </is>
      </c>
      <c r="C166" s="5" t="inlineStr">
        <is>
          <t>Kolay</t>
        </is>
      </c>
      <c r="D166" s="6" t="inlineStr">
        <is>
          <t>On iki saat ayakta. Bacakların itiraz edecek. Bordro da.</t>
        </is>
      </c>
      <c r="E166" s="6" t="inlineStr"/>
      <c r="F166" s="5" t="inlineStr"/>
    </row>
    <row r="167">
      <c r="A167" s="5" t="inlineStr">
        <is>
          <t>b6-ehliyet</t>
        </is>
      </c>
      <c r="B167" s="5" t="inlineStr">
        <is>
          <t>Cesaret</t>
        </is>
      </c>
      <c r="C167" s="5" t="inlineStr">
        <is>
          <t>Orta</t>
        </is>
      </c>
      <c r="D167" s="6" t="inlineStr">
        <is>
          <t>Evlat, yokuş seni korkutuyorsa sen de yokuşu korkut.</t>
        </is>
      </c>
      <c r="E167" s="6" t="inlineStr"/>
      <c r="F167" s="5" t="inlineStr"/>
    </row>
    <row r="168">
      <c r="A168" s="5" t="inlineStr">
        <is>
          <t>b6-ehliyet</t>
        </is>
      </c>
      <c r="B168" s="5" t="inlineStr">
        <is>
          <t>Akıl</t>
        </is>
      </c>
      <c r="C168" s="5" t="inlineStr">
        <is>
          <t>Kolay</t>
        </is>
      </c>
      <c r="D168" s="6" t="inlineStr">
        <is>
          <t>Debriyaj, gaz, el freni. Sıralama önemli. Duygular değil.</t>
        </is>
      </c>
      <c r="E168" s="6" t="inlineStr"/>
      <c r="F168" s="5" t="inlineStr"/>
    </row>
    <row r="169">
      <c r="A169" s="5" t="inlineStr">
        <is>
          <t>b6-ilk-maas</t>
        </is>
      </c>
      <c r="B169" s="5" t="inlineStr">
        <is>
          <t>Kurnazlık</t>
        </is>
      </c>
      <c r="C169" s="5" t="inlineStr">
        <is>
          <t>Kolay</t>
        </is>
      </c>
      <c r="D169" s="6" t="inlineStr">
        <is>
          <t>Üçte biri kiraya, üçte biri faturaya, üçte biri... Bir dakika. Üçte bir kalmadı.</t>
        </is>
      </c>
      <c r="E169" s="6" t="inlineStr"/>
      <c r="F169" s="5" t="inlineStr"/>
    </row>
    <row r="170">
      <c r="A170" s="5" t="inlineStr">
        <is>
          <t>b6-ilk-maas</t>
        </is>
      </c>
      <c r="B170" s="5" t="inlineStr">
        <is>
          <t>Vicdan</t>
        </is>
      </c>
      <c r="C170" s="5" t="inlineStr">
        <is>
          <t>Orta</t>
        </is>
      </c>
      <c r="D170" s="6" t="inlineStr">
        <is>
          <t>Annene bir şey al. Küçük olsun. Önemli olan jest.</t>
        </is>
      </c>
      <c r="E170" s="6" t="inlineStr"/>
      <c r="F170" s="5" t="inlineStr"/>
    </row>
    <row r="171">
      <c r="A171" s="5" t="inlineStr">
        <is>
          <t>b6-usta-cirak</t>
        </is>
      </c>
      <c r="B171" s="5" t="inlineStr">
        <is>
          <t>Kurnazlık</t>
        </is>
      </c>
      <c r="C171" s="5" t="inlineStr">
        <is>
          <t>Orta</t>
        </is>
      </c>
      <c r="D171" s="6" t="inlineStr">
        <is>
          <t>Usta iki şeyi asla anlatmaz: kaça iş aldığını ve o özel vidayı nereye sakladığını.</t>
        </is>
      </c>
      <c r="E171" s="6" t="inlineStr"/>
      <c r="F171" s="5" t="inlineStr">
        <is>
          <t>E</t>
        </is>
      </c>
    </row>
    <row r="172">
      <c r="A172" s="5" t="inlineStr">
        <is>
          <t>b6-usta-cirak</t>
        </is>
      </c>
      <c r="B172" s="5" t="inlineStr">
        <is>
          <t>Vicdan</t>
        </is>
      </c>
      <c r="C172" s="5" t="inlineStr">
        <is>
          <t>Kolay</t>
        </is>
      </c>
      <c r="D172" s="6" t="inlineStr">
        <is>
          <t>Usta sert ama doğru. Babaanne de böyleydi.</t>
        </is>
      </c>
      <c r="E172" s="6" t="inlineStr"/>
      <c r="F172" s="5" t="inlineStr"/>
    </row>
    <row r="173">
      <c r="A173" s="5" t="inlineStr">
        <is>
          <t>b6-final-haftasi</t>
        </is>
      </c>
      <c r="B173" s="5" t="inlineStr">
        <is>
          <t>Akıl</t>
        </is>
      </c>
      <c r="C173" s="5" t="inlineStr">
        <is>
          <t>Orta</t>
        </is>
      </c>
      <c r="D173" s="6" t="inlineStr">
        <is>
          <t>Bu hoca on yıldır aynı soruları soruyor. Geçen yılın kâğıtları bir yerlerde, bir fotokopicide.</t>
        </is>
      </c>
      <c r="E173" s="6" t="inlineStr"/>
      <c r="F173" s="5" t="inlineStr">
        <is>
          <t>E</t>
        </is>
      </c>
    </row>
    <row r="174">
      <c r="A174" s="5" t="inlineStr">
        <is>
          <t>b6-final-haftasi</t>
        </is>
      </c>
      <c r="B174" s="5" t="inlineStr">
        <is>
          <t>Dayanıklılık</t>
        </is>
      </c>
      <c r="C174" s="5" t="inlineStr">
        <is>
          <t>Kolay</t>
        </is>
      </c>
      <c r="D174" s="6" t="inlineStr">
        <is>
          <t>Üç gün uykusuzluk mümkün. Dördüncü gün dersin adını unutursun.</t>
        </is>
      </c>
      <c r="E174" s="6" t="inlineStr"/>
      <c r="F174" s="5" t="inlineStr"/>
    </row>
    <row r="175">
      <c r="A175" s="5" t="inlineStr">
        <is>
          <t>b6-kredi-karti</t>
        </is>
      </c>
      <c r="B175" s="5" t="inlineStr">
        <is>
          <t>Kurnazlık</t>
        </is>
      </c>
      <c r="C175" s="5" t="inlineStr">
        <is>
          <t>Orta</t>
        </is>
      </c>
      <c r="D175" s="6" t="inlineStr">
        <is>
          <t>Asgari ödeme bir tuzaktır. İçi sıcak ve rahat bir tuzak.</t>
        </is>
      </c>
      <c r="E175" s="6" t="inlineStr"/>
      <c r="F175" s="5" t="inlineStr"/>
    </row>
    <row r="176">
      <c r="A176" s="5" t="inlineStr">
        <is>
          <t>b6-kredi-karti</t>
        </is>
      </c>
      <c r="B176" s="5" t="inlineStr">
        <is>
          <t>Pişkinlik</t>
        </is>
      </c>
      <c r="C176" s="5" t="inlineStr">
        <is>
          <t>Kolay</t>
        </is>
      </c>
      <c r="D176" s="6" t="inlineStr">
        <is>
          <t>Limit dediğin bir öneridir. Önerileri dinlemek zorunda değilsin.</t>
        </is>
      </c>
      <c r="E176" s="6" t="inlineStr"/>
      <c r="F176" s="5" t="inlineStr"/>
    </row>
    <row r="177">
      <c r="A177" s="5" t="inlineStr">
        <is>
          <t>b6-ogrenci-kulubu</t>
        </is>
      </c>
      <c r="B177" s="5" t="inlineStr">
        <is>
          <t>Sosyal Radar</t>
        </is>
      </c>
      <c r="C177" s="5" t="inlineStr">
        <is>
          <t>Kolay</t>
        </is>
      </c>
      <c r="D177" s="6" t="inlineStr">
        <is>
          <t>Girişimcilik kulübünün yarısı özgeçmişine yazmak için orada. Diğer yarısı da.</t>
        </is>
      </c>
      <c r="E177" s="6" t="inlineStr"/>
      <c r="F177" s="5" t="inlineStr"/>
    </row>
    <row r="178">
      <c r="A178" s="5" t="inlineStr">
        <is>
          <t>b6-ogrenci-kulubu</t>
        </is>
      </c>
      <c r="B178" s="5" t="inlineStr">
        <is>
          <t>Pişkinlik</t>
        </is>
      </c>
      <c r="C178" s="5" t="inlineStr">
        <is>
          <t>Orta</t>
        </is>
      </c>
      <c r="D178" s="6" t="inlineStr">
        <is>
          <t>Üyelik özgeçmişte bir satırdır. Başkanlık iki satır.</t>
        </is>
      </c>
      <c r="E178" s="6" t="inlineStr"/>
      <c r="F178" s="5" t="inlineStr"/>
    </row>
    <row r="179">
      <c r="A179" s="5" t="inlineStr">
        <is>
          <t>b6-gece-motor</t>
        </is>
      </c>
      <c r="B179" s="5" t="inlineStr">
        <is>
          <t>Cesaret</t>
        </is>
      </c>
      <c r="C179" s="5" t="inlineStr">
        <is>
          <t>Zor</t>
        </is>
      </c>
      <c r="D179" s="6" t="inlineStr">
        <is>
          <t>Evlat, cesaret her şeyi yapmak değildir. Bazen kaskı takmaktır.</t>
        </is>
      </c>
      <c r="E179" s="6" t="inlineStr"/>
      <c r="F179" s="5" t="inlineStr"/>
    </row>
    <row r="180">
      <c r="A180" s="5" t="inlineStr">
        <is>
          <t>b6-gece-motor</t>
        </is>
      </c>
      <c r="B180" s="5" t="inlineStr">
        <is>
          <t>Dayanıklılık</t>
        </is>
      </c>
      <c r="C180" s="5" t="inlineStr">
        <is>
          <t>Orta</t>
        </is>
      </c>
      <c r="D180" s="6" t="inlineStr">
        <is>
          <t>Sabah işe gideceksin. Bu yarış, işe gitmeme ihtimali taşıyor.</t>
        </is>
      </c>
      <c r="E180" s="6" t="inlineStr"/>
      <c r="F180" s="5" t="inlineStr"/>
    </row>
    <row r="181">
      <c r="A181" s="5" t="inlineStr">
        <is>
          <t>b6-gece-vardiyasi</t>
        </is>
      </c>
      <c r="B181" s="5" t="inlineStr">
        <is>
          <t>Dayanıklılık</t>
        </is>
      </c>
      <c r="C181" s="5" t="inlineStr">
        <is>
          <t>Orta</t>
        </is>
      </c>
      <c r="D181" s="6" t="inlineStr">
        <is>
          <t>Saat dörtte bir duvar gelir. Duvarı geçersen altıda ikinci bir nefes var.</t>
        </is>
      </c>
      <c r="E181" s="6" t="inlineStr"/>
      <c r="F181" s="5" t="inlineStr">
        <is>
          <t>E</t>
        </is>
      </c>
    </row>
    <row r="182">
      <c r="A182" s="5" t="inlineStr">
        <is>
          <t>b6-gece-vardiyasi</t>
        </is>
      </c>
      <c r="B182" s="5" t="inlineStr">
        <is>
          <t>Sosyal Radar</t>
        </is>
      </c>
      <c r="C182" s="5" t="inlineStr">
        <is>
          <t>Kolay</t>
        </is>
      </c>
      <c r="D182" s="6" t="inlineStr">
        <is>
          <t>Her gece gelen o müşteri yine sakız alacak. Sakız değil aslında, sohbet.</t>
        </is>
      </c>
      <c r="E182" s="6" t="inlineStr"/>
      <c r="F182" s="5" t="inlineStr"/>
    </row>
    <row r="183">
      <c r="A183" s="5" t="inlineStr">
        <is>
          <t>b6-kiralik-ev</t>
        </is>
      </c>
      <c r="B183" s="5" t="inlineStr">
        <is>
          <t>Çene</t>
        </is>
      </c>
      <c r="C183" s="5" t="inlineStr">
        <is>
          <t>Orta</t>
        </is>
      </c>
      <c r="D183" s="6" t="inlineStr">
        <is>
          <t>'Bu fiyat son' diyor. Son fiyat, pazarlığın ilk cümlesidir.</t>
        </is>
      </c>
      <c r="E183" s="6" t="inlineStr"/>
      <c r="F183" s="5" t="inlineStr"/>
    </row>
    <row r="184">
      <c r="A184" s="5" t="inlineStr">
        <is>
          <t>b6-kiralik-ev</t>
        </is>
      </c>
      <c r="B184" s="5" t="inlineStr">
        <is>
          <t>Sosyal Radar</t>
        </is>
      </c>
      <c r="C184" s="5" t="inlineStr">
        <is>
          <t>Zor</t>
        </is>
      </c>
      <c r="D184" s="6" t="inlineStr">
        <is>
          <t>Zilin yanında hâlâ önceki kiracının adı yazılı. Bir yıl bile kalmamış. Neden?</t>
        </is>
      </c>
      <c r="E184" s="6" t="inlineStr"/>
      <c r="F184" s="5" t="inlineStr"/>
    </row>
    <row r="185">
      <c r="A185" s="5" t="inlineStr">
        <is>
          <t>b6-tasinma</t>
        </is>
      </c>
      <c r="B185" s="5" t="inlineStr">
        <is>
          <t>Dayanıklılık</t>
        </is>
      </c>
      <c r="C185" s="5" t="inlineStr">
        <is>
          <t>Orta</t>
        </is>
      </c>
      <c r="D185" s="6" t="inlineStr">
        <is>
          <t>Merdiven bir maratondur. Buzdolabıyla koşulan bir maraton.</t>
        </is>
      </c>
      <c r="E185" s="6" t="inlineStr"/>
      <c r="F185" s="5" t="inlineStr"/>
    </row>
    <row r="186">
      <c r="A186" s="5" t="inlineStr">
        <is>
          <t>b6-tasinma</t>
        </is>
      </c>
      <c r="B186" s="5" t="inlineStr">
        <is>
          <t>Akıl</t>
        </is>
      </c>
      <c r="C186" s="5" t="inlineStr">
        <is>
          <t>Kolay</t>
        </is>
      </c>
      <c r="D186" s="6" t="inlineStr">
        <is>
          <t>Kolilere etiket yaz. 'Mutfak' yazan kolide mutfak olsun. Geçen sefer çoraplar vardı.</t>
        </is>
      </c>
      <c r="E186" s="6" t="inlineStr"/>
      <c r="F186" s="5" t="inlineStr"/>
    </row>
    <row r="187">
      <c r="A187" s="5" t="inlineStr">
        <is>
          <t>b6-ev-arkadasi</t>
        </is>
      </c>
      <c r="B187" s="5" t="inlineStr">
        <is>
          <t>Vicdan</t>
        </is>
      </c>
      <c r="C187" s="5" t="inlineStr">
        <is>
          <t>Orta</t>
        </is>
      </c>
      <c r="D187" s="6" t="inlineStr">
        <is>
          <t>Söylemezsen bulaşık da söylemez. Ama koku söyler.</t>
        </is>
      </c>
      <c r="E187" s="6" t="inlineStr"/>
      <c r="F187" s="5" t="inlineStr"/>
    </row>
    <row r="188">
      <c r="A188" s="5" t="inlineStr">
        <is>
          <t>b6-ev-arkadasi</t>
        </is>
      </c>
      <c r="B188" s="5" t="inlineStr">
        <is>
          <t>Sosyal Radar</t>
        </is>
      </c>
      <c r="C188" s="5" t="inlineStr">
        <is>
          <t>Kolay</t>
        </is>
      </c>
      <c r="D188" s="6" t="inlineStr">
        <is>
          <t>Ev arkadaşın bulaşığı yıkamıyor çünkü sen yıkıyorsun. Bu bir döngü.</t>
        </is>
      </c>
      <c r="E188" s="6" t="inlineStr"/>
      <c r="F188" s="5" t="inlineStr">
        <is>
          <t>E</t>
        </is>
      </c>
    </row>
    <row r="189">
      <c r="A189" s="5" t="inlineStr">
        <is>
          <t>b6-staj</t>
        </is>
      </c>
      <c r="B189" s="5" t="inlineStr">
        <is>
          <t>Sosyal Radar</t>
        </is>
      </c>
      <c r="C189" s="5" t="inlineStr">
        <is>
          <t>Orta</t>
        </is>
      </c>
      <c r="D189" s="6" t="inlineStr">
        <is>
          <t>Kahve makinesinin başındaki adam şirketin yarısını yönetiyor. Diğer yarısı onun ne diyeceğini bekliyor.</t>
        </is>
      </c>
      <c r="E189" s="6" t="inlineStr"/>
      <c r="F189" s="5" t="inlineStr">
        <is>
          <t>E</t>
        </is>
      </c>
    </row>
    <row r="190">
      <c r="A190" s="5" t="inlineStr">
        <is>
          <t>b6-staj</t>
        </is>
      </c>
      <c r="B190" s="5" t="inlineStr">
        <is>
          <t>Vicdan</t>
        </is>
      </c>
      <c r="C190" s="5" t="inlineStr">
        <is>
          <t>Kolay</t>
        </is>
      </c>
      <c r="D190" s="6" t="inlineStr">
        <is>
          <t>Maaş yok ama yol parası var. Yol parası da yok. Ama tecrübe var.</t>
        </is>
      </c>
      <c r="E190" s="6" t="inlineStr"/>
      <c r="F190" s="5" t="inlineStr"/>
    </row>
    <row r="191">
      <c r="A191" s="5" t="inlineStr">
        <is>
          <t>b6-spor-salonu</t>
        </is>
      </c>
      <c r="B191" s="5" t="inlineStr">
        <is>
          <t>Dayanıklılık</t>
        </is>
      </c>
      <c r="C191" s="5" t="inlineStr">
        <is>
          <t>Kolay</t>
        </is>
      </c>
      <c r="D191" s="6" t="inlineStr">
        <is>
          <t>Başlamak zor değil. Üçüncü hafta zor. Ben kendimle üçüncü haftada tanıştım.</t>
        </is>
      </c>
      <c r="E191" s="6" t="inlineStr"/>
      <c r="F191" s="5" t="inlineStr"/>
    </row>
    <row r="192">
      <c r="A192" s="5" t="inlineStr">
        <is>
          <t>b6-spor-salonu</t>
        </is>
      </c>
      <c r="B192" s="5" t="inlineStr">
        <is>
          <t>Pişkinlik</t>
        </is>
      </c>
      <c r="C192" s="5" t="inlineStr">
        <is>
          <t>Orta</t>
        </is>
      </c>
      <c r="D192" s="6" t="inlineStr">
        <is>
          <t>Aynada fotoğraf çekmek de bir antrenmandır. Başparmak kası için.</t>
        </is>
      </c>
      <c r="E192" s="6" t="inlineStr"/>
      <c r="F192" s="5" t="inlineStr"/>
    </row>
    <row r="193">
      <c r="A193" s="5" t="inlineStr">
        <is>
          <t>b6-degisim-programi</t>
        </is>
      </c>
      <c r="B193" s="5" t="inlineStr">
        <is>
          <t>Cesaret</t>
        </is>
      </c>
      <c r="C193" s="5" t="inlineStr">
        <is>
          <t>Orta</t>
        </is>
      </c>
      <c r="D193" s="6" t="inlineStr">
        <is>
          <t>Evlat, dünya büyük, mahalle küçük. Bavulu hazırla.</t>
        </is>
      </c>
      <c r="E193" s="6" t="inlineStr"/>
      <c r="F193" s="5" t="inlineStr"/>
    </row>
    <row r="194">
      <c r="A194" s="5" t="inlineStr">
        <is>
          <t>b6-degisim-programi</t>
        </is>
      </c>
      <c r="B194" s="5" t="inlineStr">
        <is>
          <t>Kurnazlık</t>
        </is>
      </c>
      <c r="C194" s="5" t="inlineStr">
        <is>
          <t>Zor</t>
        </is>
      </c>
      <c r="D194" s="6" t="inlineStr">
        <is>
          <t>Burs yarım maaş, oradaki kira bir buçuk maaş. Aradaki fark: ev yemeği özlemi.</t>
        </is>
      </c>
      <c r="E194" s="6" t="inlineStr"/>
      <c r="F194" s="5" t="inlineStr"/>
    </row>
    <row r="195">
      <c r="A195" s="5" t="inlineStr">
        <is>
          <t>b6-askerlik</t>
        </is>
      </c>
      <c r="B195" s="5" t="inlineStr">
        <is>
          <t>Sosyal Radar</t>
        </is>
      </c>
      <c r="C195" s="5" t="inlineStr">
        <is>
          <t>Orta</t>
        </is>
      </c>
      <c r="D195" s="6" t="inlineStr">
        <is>
          <t>Komutanın köpeği her sabah yedide nöbet kulübesine uğruyor. Köpeği seven, komutanı sevmiş sayılır.</t>
        </is>
      </c>
      <c r="E195" s="6" t="inlineStr"/>
      <c r="F195" s="5" t="inlineStr">
        <is>
          <t>E</t>
        </is>
      </c>
    </row>
    <row r="196">
      <c r="A196" s="5" t="inlineStr">
        <is>
          <t>b6-askerlik</t>
        </is>
      </c>
      <c r="B196" s="5" t="inlineStr">
        <is>
          <t>Cesaret</t>
        </is>
      </c>
      <c r="C196" s="5" t="inlineStr">
        <is>
          <t>Kolay</t>
        </is>
      </c>
      <c r="D196" s="6" t="inlineStr">
        <is>
          <t>Evlat, burada kahramanlık yok, düzen var. Düzen de bir tür kahramanlık.</t>
        </is>
      </c>
      <c r="E196" s="6" t="inlineStr"/>
      <c r="F196" s="5" t="inlineStr"/>
    </row>
    <row r="197">
      <c r="A197" s="5" t="inlineStr">
        <is>
          <t>b6-askerlik</t>
        </is>
      </c>
      <c r="B197" s="5" t="inlineStr">
        <is>
          <t>Dayanıklılık</t>
        </is>
      </c>
      <c r="C197" s="5" t="inlineStr">
        <is>
          <t>Orta</t>
        </is>
      </c>
      <c r="D197" s="6" t="inlineStr">
        <is>
          <t>Nöbet saat üçte. Saat üç, vücudun en dürüst saatidir.</t>
        </is>
      </c>
      <c r="E197" s="6" t="inlineStr"/>
      <c r="F197" s="5" t="inlineStr"/>
    </row>
    <row r="198">
      <c r="A198" s="5" t="inlineStr">
        <is>
          <t>b6-okusaydin</t>
        </is>
      </c>
      <c r="B198" s="5" t="inlineStr">
        <is>
          <t>Sosyal Radar</t>
        </is>
      </c>
      <c r="C198" s="5" t="inlineStr">
        <is>
          <t>Orta</t>
        </is>
      </c>
      <c r="D198" s="6" t="inlineStr">
        <is>
          <t>Bunu en çok söyleyen teyzenin oğlu üç yıldır son sınıfta.</t>
        </is>
      </c>
      <c r="E198" s="6" t="inlineStr"/>
      <c r="F198" s="5" t="inlineStr">
        <is>
          <t>E</t>
        </is>
      </c>
    </row>
    <row r="199">
      <c r="A199" s="5" t="inlineStr">
        <is>
          <t>b6-okusaydin</t>
        </is>
      </c>
      <c r="B199" s="5" t="inlineStr">
        <is>
          <t>Vicdan</t>
        </is>
      </c>
      <c r="C199" s="5" t="inlineStr">
        <is>
          <t>Kolay</t>
        </is>
      </c>
      <c r="D199" s="6" t="inlineStr">
        <is>
          <t>Seni sevdikleri için söylüyorlar. Sevgi bazen insanı yoruyor.</t>
        </is>
      </c>
      <c r="E199" s="6" t="inlineStr"/>
      <c r="F199" s="5" t="inlineStr"/>
    </row>
    <row r="200">
      <c r="A200" s="5" t="inlineStr">
        <is>
          <t>b6-mezuniyet</t>
        </is>
      </c>
      <c r="B200" s="5" t="inlineStr">
        <is>
          <t>Pişkinlik</t>
        </is>
      </c>
      <c r="C200" s="5" t="inlineStr">
        <is>
          <t>Kolay</t>
        </is>
      </c>
      <c r="D200" s="6" t="inlineStr">
        <is>
          <t>Herkes aynı fotoğrafı çekiyor. Farkı, kimin kepi geri bulduğu belirliyor.</t>
        </is>
      </c>
      <c r="E200" s="6" t="inlineStr"/>
      <c r="F200" s="5" t="inlineStr"/>
    </row>
    <row r="201">
      <c r="A201" s="5" t="inlineStr">
        <is>
          <t>b6-mezuniyet</t>
        </is>
      </c>
      <c r="B201" s="5" t="inlineStr">
        <is>
          <t>Vicdan</t>
        </is>
      </c>
      <c r="C201" s="5" t="inlineStr">
        <is>
          <t>Orta</t>
        </is>
      </c>
      <c r="D201" s="6" t="inlineStr">
        <is>
          <t>Ailen ön sırada. Baban kamerayı ters tutuyor. Bu fotoğraf da bu aileye ait.</t>
        </is>
      </c>
      <c r="E201" s="6" t="inlineStr"/>
      <c r="F201" s="5" t="inlineStr"/>
    </row>
    <row r="202">
      <c r="A202" s="5" t="inlineStr">
        <is>
          <t>b6-meslek-secimi</t>
        </is>
      </c>
      <c r="B202" s="5" t="inlineStr">
        <is>
          <t>Vicdan</t>
        </is>
      </c>
      <c r="C202" s="5" t="inlineStr">
        <is>
          <t>Orta</t>
        </is>
      </c>
      <c r="D202" s="6" t="inlineStr">
        <is>
          <t>Baban 'Devlet kapısı' diyor, annen 'Kendi işin' diyor. İkisi de aslında 'Yanımızda kal' diyor.</t>
        </is>
      </c>
      <c r="E202" s="6" t="inlineStr"/>
      <c r="F202" s="5" t="inlineStr"/>
    </row>
    <row r="203">
      <c r="A203" s="5" t="inlineStr">
        <is>
          <t>b6-meslek-secimi</t>
        </is>
      </c>
      <c r="B203" s="5" t="inlineStr">
        <is>
          <t>Akıl</t>
        </is>
      </c>
      <c r="C203" s="5" t="inlineStr">
        <is>
          <t>Zor</t>
        </is>
      </c>
      <c r="D203" s="6" t="inlineStr">
        <is>
          <t>'Garanti' kelimesi en çok garantisi olmayan yerlerde kullanılır.</t>
        </is>
      </c>
      <c r="E203" s="6" t="inlineStr"/>
      <c r="F203" s="5" t="inlineStr"/>
    </row>
    <row r="204">
      <c r="A204" s="5" t="inlineStr">
        <is>
          <t>b6-meslek-secimi</t>
        </is>
      </c>
      <c r="B204" s="5" t="inlineStr">
        <is>
          <t>Kurnazlık</t>
        </is>
      </c>
      <c r="C204" s="5" t="inlineStr">
        <is>
          <t>Kolay</t>
        </is>
      </c>
      <c r="D204" s="6" t="inlineStr">
        <is>
          <t>Hangi yolu seçersen seç, ilk yıl çayı sen koyacaksın.</t>
        </is>
      </c>
      <c r="E204" s="6" t="inlineStr"/>
      <c r="F204" s="5" t="inlineStr"/>
    </row>
    <row r="205">
      <c r="A205" s="5" t="inlineStr">
        <is>
          <t>b6-flort-uygulamasi</t>
        </is>
      </c>
      <c r="B205" s="5" t="inlineStr">
        <is>
          <t>Pişkinlik</t>
        </is>
      </c>
      <c r="C205" s="5" t="inlineStr">
        <is>
          <t>Orta</t>
        </is>
      </c>
      <c r="D205" s="6" t="inlineStr">
        <is>
          <t>Hakkında kısmına 'Seyahat, kahve, derin sohbetler' yaz. Herkes yazıyor. Kimse yapmıyor.</t>
        </is>
      </c>
      <c r="E205" s="6" t="inlineStr"/>
      <c r="F205" s="5" t="inlineStr"/>
    </row>
    <row r="206">
      <c r="A206" s="5" t="inlineStr">
        <is>
          <t>b6-flort-uygulamasi</t>
        </is>
      </c>
      <c r="B206" s="5" t="inlineStr">
        <is>
          <t>Sosyal Radar</t>
        </is>
      </c>
      <c r="C206" s="5" t="inlineStr">
        <is>
          <t>Kolay</t>
        </is>
      </c>
      <c r="D206" s="6" t="inlineStr">
        <is>
          <t>Eşleştiğin kişinin bütün fotoğrafları aynı açıdan. Bu bir işaret değil. Bu bir yöntem.</t>
        </is>
      </c>
      <c r="E206" s="6" t="inlineStr"/>
      <c r="F206" s="5" t="inlineStr"/>
    </row>
    <row r="207">
      <c r="A207" s="5" t="inlineStr">
        <is>
          <t>b6-kamp-atesi</t>
        </is>
      </c>
      <c r="B207" s="5" t="inlineStr">
        <is>
          <t>Akıl</t>
        </is>
      </c>
      <c r="C207" s="5" t="inlineStr">
        <is>
          <t>Orta</t>
        </is>
      </c>
      <c r="D207" s="6" t="inlineStr">
        <is>
          <t>Kuru ot, rüzgâr ve bir kutu çakmak gazı. Bu bir kimya dersi, ama hatalı yazılmış.</t>
        </is>
      </c>
      <c r="E207" s="6" t="inlineStr"/>
      <c r="F207" s="5" t="inlineStr"/>
    </row>
    <row r="208">
      <c r="A208" s="5" t="inlineStr">
        <is>
          <t>b6-kamp-atesi</t>
        </is>
      </c>
      <c r="B208" s="5" t="inlineStr">
        <is>
          <t>Cesaret</t>
        </is>
      </c>
      <c r="C208" s="5" t="inlineStr">
        <is>
          <t>Kolay</t>
        </is>
      </c>
      <c r="D208" s="6" t="inlineStr">
        <is>
          <t>Evlat, ateşin başında soğukkanlılık. Bir de kova su.</t>
        </is>
      </c>
      <c r="E208" s="6" t="inlineStr"/>
      <c r="F208" s="5" t="inlineStr"/>
    </row>
    <row r="209">
      <c r="A209" s="5" t="inlineStr">
        <is>
          <t>mb-ilk-gun-karti</t>
        </is>
      </c>
      <c r="B209" s="5" t="inlineStr">
        <is>
          <t>Kurnazlık</t>
        </is>
      </c>
      <c r="C209" s="5" t="inlineStr">
        <is>
          <t>Orta</t>
        </is>
      </c>
      <c r="D209" s="6" t="inlineStr">
        <is>
          <t>Arkadan gelen kurye her gün bu turnikeden geçiyor. Kartı yok. Özgüveni var.</t>
        </is>
      </c>
      <c r="E209" s="6" t="inlineStr"/>
      <c r="F209" s="5" t="inlineStr">
        <is>
          <t>E</t>
        </is>
      </c>
    </row>
    <row r="210">
      <c r="A210" s="5" t="inlineStr">
        <is>
          <t>mb-ilk-gun-karti</t>
        </is>
      </c>
      <c r="B210" s="5" t="inlineStr">
        <is>
          <t>Sosyal Radar</t>
        </is>
      </c>
      <c r="C210" s="5" t="inlineStr">
        <is>
          <t>Kolay</t>
        </is>
      </c>
      <c r="D210" s="6" t="inlineStr">
        <is>
          <t>Resepsiyondaki kişi herkese 'Hoş geldiniz' diyor. Sana dedi mi? Emin değilsin.</t>
        </is>
      </c>
      <c r="E210" s="6" t="inlineStr"/>
      <c r="F210" s="5" t="inlineStr"/>
    </row>
    <row r="211">
      <c r="A211" s="5" t="inlineStr">
        <is>
          <t>me-dukkan-acilisi</t>
        </is>
      </c>
      <c r="B211" s="5" t="inlineStr">
        <is>
          <t>Çene</t>
        </is>
      </c>
      <c r="C211" s="5" t="inlineStr">
        <is>
          <t>Orta</t>
        </is>
      </c>
      <c r="D211" s="6" t="inlineStr">
        <is>
          <t>Kapıya çık, seslen. Esnaflık yarı mal, yarı ses teli.</t>
        </is>
      </c>
      <c r="E211" s="6" t="inlineStr"/>
      <c r="F211" s="5" t="inlineStr"/>
    </row>
    <row r="212">
      <c r="A212" s="5" t="inlineStr">
        <is>
          <t>me-dukkan-acilisi</t>
        </is>
      </c>
      <c r="B212" s="5" t="inlineStr">
        <is>
          <t>Kurnazlık</t>
        </is>
      </c>
      <c r="C212" s="5" t="inlineStr">
        <is>
          <t>Zor</t>
        </is>
      </c>
      <c r="D212" s="6" t="inlineStr">
        <is>
          <t>Karşı kaldırımdaki esnaflar seni izliyor. Kaç ay dayanacağını aralarında tahmin ediyorlar.</t>
        </is>
      </c>
      <c r="E212" s="6" t="inlineStr"/>
      <c r="F212" s="5" t="inlineStr"/>
    </row>
    <row r="213">
      <c r="A213" s="5" t="inlineStr">
        <is>
          <t>mm-ilk-atama</t>
        </is>
      </c>
      <c r="B213" s="5" t="inlineStr">
        <is>
          <t>Dayanıklılık</t>
        </is>
      </c>
      <c r="C213" s="5" t="inlineStr">
        <is>
          <t>Kolay</t>
        </is>
      </c>
      <c r="D213" s="6" t="inlineStr">
        <is>
          <t>İki yıl mecburi hizmet. Maraton da böyle başlar; kimse ilk kilometreyi anlatmaz.</t>
        </is>
      </c>
      <c r="E213" s="6" t="inlineStr"/>
      <c r="F213" s="5" t="inlineStr"/>
    </row>
    <row r="214">
      <c r="A214" s="5" t="inlineStr">
        <is>
          <t>mm-ilk-atama</t>
        </is>
      </c>
      <c r="B214" s="5" t="inlineStr">
        <is>
          <t>Kurnazlık</t>
        </is>
      </c>
      <c r="C214" s="5" t="inlineStr">
        <is>
          <t>Orta</t>
        </is>
      </c>
      <c r="D214" s="6" t="inlineStr">
        <is>
          <t>Kasabada tek fırın, tek çay bahçesi, tek müdürlük var. Fırıncıyla dost olan müdürlükte rahat eder.</t>
        </is>
      </c>
      <c r="E214" s="6" t="inlineStr"/>
      <c r="F214" s="5" t="inlineStr">
        <is>
          <t>E</t>
        </is>
      </c>
    </row>
    <row r="215">
      <c r="A215" s="5" t="inlineStr">
        <is>
          <t>ms-ilk-musteri</t>
        </is>
      </c>
      <c r="B215" s="5" t="inlineStr">
        <is>
          <t>Kurnazlık</t>
        </is>
      </c>
      <c r="C215" s="5" t="inlineStr">
        <is>
          <t>Orta</t>
        </is>
      </c>
      <c r="D215" s="6" t="inlineStr">
        <is>
          <t>Müşterinin telefonunda başka bir serbest çalışanın teklifi açık. Rakamı görünüyor.</t>
        </is>
      </c>
      <c r="E215" s="6" t="inlineStr"/>
      <c r="F215" s="5" t="inlineStr">
        <is>
          <t>E</t>
        </is>
      </c>
    </row>
    <row r="216">
      <c r="A216" s="5" t="inlineStr">
        <is>
          <t>ms-ilk-musteri</t>
        </is>
      </c>
      <c r="B216" s="5" t="inlineStr">
        <is>
          <t>Çene</t>
        </is>
      </c>
      <c r="C216" s="5" t="inlineStr">
        <is>
          <t>Kolay</t>
        </is>
      </c>
      <c r="D216" s="6" t="inlineStr">
        <is>
          <t>İlk rakamı söyleyen kaybeder. Ya da kazanır. Pazarda ikisi de söylenir, domates yine satılır.</t>
        </is>
      </c>
      <c r="E216" s="6" t="inlineStr"/>
      <c r="F216" s="5" t="inlineStr"/>
    </row>
    <row r="217">
      <c r="A217" s="5" t="inlineStr">
        <is>
          <t>b6-is-gorusmesi</t>
        </is>
      </c>
      <c r="B217" s="5" t="inlineStr">
        <is>
          <t>Pişkinlik</t>
        </is>
      </c>
      <c r="C217" s="5" t="inlineStr">
        <is>
          <t>Kolay</t>
        </is>
      </c>
      <c r="D217" s="6" t="inlineStr">
        <is>
          <t>Zayıf yönünü soracaklar. 'Mükemmeliyetçiyim' deme. Herkes diyor. Sen de diyeceksin.</t>
        </is>
      </c>
      <c r="E217" s="6" t="inlineStr"/>
      <c r="F217" s="5" t="inlineStr"/>
    </row>
    <row r="218">
      <c r="A218" s="5" t="inlineStr">
        <is>
          <t>b6-is-gorusmesi</t>
        </is>
      </c>
      <c r="B218" s="5" t="inlineStr">
        <is>
          <t>Sosyal Radar</t>
        </is>
      </c>
      <c r="C218" s="5" t="inlineStr">
        <is>
          <t>Orta</t>
        </is>
      </c>
      <c r="D218" s="6" t="inlineStr">
        <is>
          <t>Ortadaki sadece not alıyor ama kararı o verecek. Onun kalemine bak.</t>
        </is>
      </c>
      <c r="E218" s="6" t="inlineStr"/>
      <c r="F218" s="5" t="inlineStr">
        <is>
          <t>E</t>
        </is>
      </c>
    </row>
    <row r="219">
      <c r="A219" s="5" t="inlineStr">
        <is>
          <t>b6-is-gorusmesi</t>
        </is>
      </c>
      <c r="B219" s="5" t="inlineStr">
        <is>
          <t>Akıl</t>
        </is>
      </c>
      <c r="C219" s="5" t="inlineStr">
        <is>
          <t>Zor</t>
        </is>
      </c>
      <c r="D219" s="6" t="inlineStr">
        <is>
          <t>Maaş rakamını ilk söyleyen kaybeder. Bu bir oyun teorisi. Bir de pazar geleneği.</t>
        </is>
      </c>
      <c r="E219" s="6" t="inlineStr"/>
      <c r="F219" s="5" t="inlineStr"/>
    </row>
    <row r="220">
      <c r="A220" s="5" t="inlineStr">
        <is>
          <t>mb-acik-ofis</t>
        </is>
      </c>
      <c r="B220" s="5" t="inlineStr">
        <is>
          <t>Sosyal Radar</t>
        </is>
      </c>
      <c r="C220" s="5" t="inlineStr">
        <is>
          <t>Orta</t>
        </is>
      </c>
      <c r="D220" s="6" t="inlineStr">
        <is>
          <t>Soldaki telefonda ayrılıyor. Sağdaki kredi hesaplıyor. Arkadaki seni dinliyor.</t>
        </is>
      </c>
      <c r="E220" s="6" t="inlineStr"/>
      <c r="F220" s="5" t="inlineStr"/>
    </row>
    <row r="221">
      <c r="A221" s="5" t="inlineStr">
        <is>
          <t>b6-dugun-yagmuru</t>
        </is>
      </c>
      <c r="B221" s="5" t="inlineStr">
        <is>
          <t>Sosyal Radar</t>
        </is>
      </c>
      <c r="C221" s="5" t="inlineStr">
        <is>
          <t>Orta</t>
        </is>
      </c>
      <c r="D221" s="6" t="inlineStr">
        <is>
          <t>Teyzeler seni biriyle tanıştırmak için komite kurdu. Gündemin ilk maddesi sensin.</t>
        </is>
      </c>
      <c r="E221" s="6" t="inlineStr"/>
      <c r="F221" s="5" t="inlineStr"/>
    </row>
    <row r="222">
      <c r="A222" s="5" t="inlineStr">
        <is>
          <t>b6-dugun-yagmuru</t>
        </is>
      </c>
      <c r="B222" s="5" t="inlineStr">
        <is>
          <t>Dayanıklılık</t>
        </is>
      </c>
      <c r="C222" s="5" t="inlineStr">
        <is>
          <t>Kolay</t>
        </is>
      </c>
      <c r="D222" s="6" t="inlineStr">
        <is>
          <t>Halay kırk dakika sürecek. Dizlerin yirmi dakikalık.</t>
        </is>
      </c>
      <c r="E222" s="6" t="inlineStr"/>
      <c r="F222" s="5" t="inlineStr"/>
    </row>
    <row r="223">
      <c r="A223" s="5" t="inlineStr">
        <is>
          <t>b6-dukkan-anahtari</t>
        </is>
      </c>
      <c r="B223" s="5" t="inlineStr">
        <is>
          <t>Cesaret</t>
        </is>
      </c>
      <c r="C223" s="5" t="inlineStr">
        <is>
          <t>Orta</t>
        </is>
      </c>
      <c r="D223" s="6" t="inlineStr">
        <is>
          <t>Bir hafta patron sensin. Patron gibi dur, çırak gibi çalış.</t>
        </is>
      </c>
      <c r="E223" s="6" t="inlineStr"/>
      <c r="F223" s="5" t="inlineStr"/>
    </row>
    <row r="224">
      <c r="A224" s="5" t="inlineStr">
        <is>
          <t>b6-dukkan-anahtari</t>
        </is>
      </c>
      <c r="B224" s="5" t="inlineStr">
        <is>
          <t>Kurnazlık</t>
        </is>
      </c>
      <c r="C224" s="5" t="inlineStr">
        <is>
          <t>Kolay</t>
        </is>
      </c>
      <c r="D224" s="6" t="inlineStr">
        <is>
          <t>Kasaya dokunma dedi. Fiyatlara dokunma demedi.</t>
        </is>
      </c>
      <c r="E224" s="6" t="inlineStr"/>
      <c r="F224" s="5" t="inlineStr"/>
    </row>
    <row r="225">
      <c r="A225" s="5" t="inlineStr">
        <is>
          <t>me-veresiye-defteri</t>
        </is>
      </c>
      <c r="B225" s="5" t="inlineStr">
        <is>
          <t>Vicdan</t>
        </is>
      </c>
      <c r="C225" s="5" t="inlineStr">
        <is>
          <t>Kolay</t>
        </is>
      </c>
      <c r="D225" s="6" t="inlineStr">
        <is>
          <t>Bu ay çocuğunun servis parası da çıkmış. Yaz evladım, dünya yuvarlak.</t>
        </is>
      </c>
      <c r="E225" s="6" t="inlineStr"/>
      <c r="F225" s="5" t="inlineStr"/>
    </row>
    <row r="226">
      <c r="A226" s="5" t="inlineStr">
        <is>
          <t>me-veresiye-defteri</t>
        </is>
      </c>
      <c r="B226" s="5" t="inlineStr">
        <is>
          <t>Sosyal Radar</t>
        </is>
      </c>
      <c r="C226" s="5" t="inlineStr">
        <is>
          <t>Orta</t>
        </is>
      </c>
      <c r="D226" s="6" t="inlineStr">
        <is>
          <t>Geçen hafta köşedeki dükkânın defterine de yazdırmış. Mahallede üç defterde birden adı var.</t>
        </is>
      </c>
      <c r="E226" s="6" t="inlineStr"/>
      <c r="F226" s="5" t="inlineStr">
        <is>
          <t>E</t>
        </is>
      </c>
    </row>
    <row r="227">
      <c r="A227" s="5" t="inlineStr">
        <is>
          <t>mm-islak-imza</t>
        </is>
      </c>
      <c r="B227" s="5" t="inlineStr">
        <is>
          <t>Akıl</t>
        </is>
      </c>
      <c r="C227" s="5" t="inlineStr">
        <is>
          <t>Orta</t>
        </is>
      </c>
      <c r="D227" s="6" t="inlineStr">
        <is>
          <t>Kural basit: eksik fotokopi iade, eksik mühür iade, fazla samimiyet de iade.</t>
        </is>
      </c>
      <c r="E227" s="6" t="inlineStr"/>
      <c r="F227" s="5" t="inlineStr"/>
    </row>
    <row r="228">
      <c r="A228" s="5" t="inlineStr">
        <is>
          <t>mm-islak-imza</t>
        </is>
      </c>
      <c r="B228" s="5" t="inlineStr">
        <is>
          <t>Vicdan</t>
        </is>
      </c>
      <c r="C228" s="5" t="inlineStr">
        <is>
          <t>Zor</t>
        </is>
      </c>
      <c r="D228" s="6" t="inlineStr">
        <is>
          <t>İade ettiğin her dilekçe, birinin yeniden izin alıp gelmesi demek.</t>
        </is>
      </c>
      <c r="E228" s="6" t="inlineStr"/>
      <c r="F228" s="5" t="inlineStr"/>
    </row>
    <row r="229">
      <c r="A229" s="5" t="inlineStr">
        <is>
          <t>ms-gorunurluk-teklifi</t>
        </is>
      </c>
      <c r="B229" s="5" t="inlineStr">
        <is>
          <t>Pişkinlik</t>
        </is>
      </c>
      <c r="C229" s="5" t="inlineStr">
        <is>
          <t>Kolay</t>
        </is>
      </c>
      <c r="D229" s="6" t="inlineStr">
        <is>
          <t>Görünürlükle kira ödenmiyor. Denendi. Ev sahibi kabul etmedi.</t>
        </is>
      </c>
      <c r="E229" s="6" t="inlineStr"/>
      <c r="F229" s="5" t="inlineStr"/>
    </row>
    <row r="230">
      <c r="A230" s="5" t="inlineStr">
        <is>
          <t>ms-gorunurluk-teklifi</t>
        </is>
      </c>
      <c r="B230" s="5" t="inlineStr">
        <is>
          <t>Vicdan</t>
        </is>
      </c>
      <c r="C230" s="5" t="inlineStr">
        <is>
          <t>Orta</t>
        </is>
      </c>
      <c r="D230" s="6" t="inlineStr">
        <is>
          <t>Hayır demek de bir iş. O da ücretsiz.</t>
        </is>
      </c>
      <c r="E230" s="6" t="inlineStr"/>
      <c r="F230" s="5" t="inlineStr"/>
    </row>
    <row r="231">
      <c r="A231" s="5" t="inlineStr">
        <is>
          <t>b6-taki-butcesi</t>
        </is>
      </c>
      <c r="B231" s="5" t="inlineStr">
        <is>
          <t>Kurnazlık</t>
        </is>
      </c>
      <c r="C231" s="5" t="inlineStr">
        <is>
          <t>Orta</t>
        </is>
      </c>
      <c r="D231" s="6" t="inlineStr">
        <is>
          <t>Zarfın kalınlığı içindekiyle ilgili değildir. Kâğıtla ilgilidir.</t>
        </is>
      </c>
      <c r="E231" s="6" t="inlineStr"/>
      <c r="F231" s="5" t="inlineStr"/>
    </row>
    <row r="232">
      <c r="A232" s="5" t="inlineStr">
        <is>
          <t>b6-taki-butcesi</t>
        </is>
      </c>
      <c r="B232" s="5" t="inlineStr">
        <is>
          <t>Vicdan</t>
        </is>
      </c>
      <c r="C232" s="5" t="inlineStr">
        <is>
          <t>Kolay</t>
        </is>
      </c>
      <c r="D232" s="6" t="inlineStr">
        <is>
          <t>Onlar senin düğününe geldiğinde ne takacak? Bu hesap uzun vadeli.</t>
        </is>
      </c>
      <c r="E232" s="6" t="inlineStr"/>
      <c r="F232" s="5" t="inlineStr"/>
    </row>
    <row r="233">
      <c r="A233" s="5" t="inlineStr">
        <is>
          <t>b6-ilk-araba</t>
        </is>
      </c>
      <c r="B233" s="5" t="inlineStr">
        <is>
          <t>Kurnazlık</t>
        </is>
      </c>
      <c r="C233" s="5" t="inlineStr">
        <is>
          <t>Orta</t>
        </is>
      </c>
      <c r="D233" s="6" t="inlineStr">
        <is>
          <t>'Hiç boya yok' yazan ilanda boya ölçülür. Her zaman.</t>
        </is>
      </c>
      <c r="E233" s="6" t="inlineStr"/>
      <c r="F233" s="5" t="inlineStr">
        <is>
          <t>E</t>
        </is>
      </c>
    </row>
    <row r="234">
      <c r="A234" s="5" t="inlineStr">
        <is>
          <t>b6-ilk-araba</t>
        </is>
      </c>
      <c r="B234" s="5" t="inlineStr">
        <is>
          <t>Cesaret</t>
        </is>
      </c>
      <c r="C234" s="5" t="inlineStr">
        <is>
          <t>Kolay</t>
        </is>
      </c>
      <c r="D234" s="6" t="inlineStr">
        <is>
          <t>Evlat, test sürüşünde yokuş seç. Arabanın karakteri yokuşta belli olur.</t>
        </is>
      </c>
      <c r="E234" s="6" t="inlineStr"/>
      <c r="F234" s="5" t="inlineStr"/>
    </row>
    <row r="235">
      <c r="A235" s="5" t="inlineStr">
        <is>
          <t>b6-uzaktan-calisma</t>
        </is>
      </c>
      <c r="B235" s="5" t="inlineStr">
        <is>
          <t>Pişkinlik</t>
        </is>
      </c>
      <c r="C235" s="5" t="inlineStr">
        <is>
          <t>Orta</t>
        </is>
      </c>
      <c r="D235" s="6" t="inlineStr">
        <is>
          <t>Kamera belden yukarısını görür. Belden aşağısı senin özel alanın.</t>
        </is>
      </c>
      <c r="E235" s="6" t="inlineStr"/>
      <c r="F235" s="5" t="inlineStr"/>
    </row>
    <row r="236">
      <c r="A236" s="5" t="inlineStr">
        <is>
          <t>b6-uzaktan-calisma</t>
        </is>
      </c>
      <c r="B236" s="5" t="inlineStr">
        <is>
          <t>Dayanıklılık</t>
        </is>
      </c>
      <c r="C236" s="5" t="inlineStr">
        <is>
          <t>Kolay</t>
        </is>
      </c>
      <c r="D236" s="6" t="inlineStr">
        <is>
          <t>Yataktan masaya dört adım. Yine de geç kalacaksın.</t>
        </is>
      </c>
      <c r="E236" s="6" t="inlineStr"/>
      <c r="F236" s="5" t="inlineStr"/>
    </row>
    <row r="237">
      <c r="A237" s="5" t="inlineStr">
        <is>
          <t>b6-uzaktan-calisma</t>
        </is>
      </c>
      <c r="B237" s="5" t="inlineStr">
        <is>
          <t>Sosyal Radar</t>
        </is>
      </c>
      <c r="C237" s="5" t="inlineStr">
        <is>
          <t>Zor</t>
        </is>
      </c>
      <c r="D237" s="6" t="inlineStr">
        <is>
          <t>Kamerasını kapatan herkes aynı dakikada 'bağlantı sorunu' yaşıyor. Tesadüf değil.</t>
        </is>
      </c>
      <c r="E237" s="6" t="inlineStr"/>
      <c r="F237" s="5" t="inlineStr"/>
    </row>
    <row r="238">
      <c r="A238" s="5" t="inlineStr">
        <is>
          <t>mb-kamera-kapali</t>
        </is>
      </c>
      <c r="B238" s="5" t="inlineStr">
        <is>
          <t>Pişkinlik</t>
        </is>
      </c>
      <c r="C238" s="5" t="inlineStr">
        <is>
          <t>Orta</t>
        </is>
      </c>
      <c r="D238" s="6" t="inlineStr">
        <is>
          <t>Bağlantı sorunu diye bir şey var. Kimse aksini kanıtlayamaz.</t>
        </is>
      </c>
      <c r="E238" s="6" t="inlineStr"/>
      <c r="F238" s="5" t="inlineStr">
        <is>
          <t>E</t>
        </is>
      </c>
    </row>
    <row r="239">
      <c r="A239" s="5" t="inlineStr">
        <is>
          <t>mb-kamera-kapali</t>
        </is>
      </c>
      <c r="B239" s="5" t="inlineStr">
        <is>
          <t>Dayanıklılık</t>
        </is>
      </c>
      <c r="C239" s="5" t="inlineStr">
        <is>
          <t>Kolay</t>
        </is>
      </c>
      <c r="D239" s="6" t="inlineStr">
        <is>
          <t>Toplantı ellinci dakikasında. Gündemi hatırlayan kimse kalmadı.</t>
        </is>
      </c>
      <c r="E239" s="6" t="inlineStr"/>
      <c r="F239" s="5" t="inlineStr"/>
    </row>
    <row r="240">
      <c r="A240" s="5" t="inlineStr">
        <is>
          <t>me-karsi-dukkan</t>
        </is>
      </c>
      <c r="B240" s="5" t="inlineStr">
        <is>
          <t>Cesaret</t>
        </is>
      </c>
      <c r="C240" s="5" t="inlineStr">
        <is>
          <t>Orta</t>
        </is>
      </c>
      <c r="D240" s="6" t="inlineStr">
        <is>
          <t>Karşı cepheye laf gönderilmez, fiyat gönderilir. Toptancıya git.</t>
        </is>
      </c>
      <c r="E240" s="6" t="inlineStr"/>
      <c r="F240" s="5" t="inlineStr"/>
    </row>
    <row r="241">
      <c r="A241" s="5" t="inlineStr">
        <is>
          <t>me-karsi-dukkan</t>
        </is>
      </c>
      <c r="B241" s="5" t="inlineStr">
        <is>
          <t>Kurnazlık</t>
        </is>
      </c>
      <c r="C241" s="5" t="inlineStr">
        <is>
          <t>Zor</t>
        </is>
      </c>
      <c r="D241" s="6" t="inlineStr">
        <is>
          <t>Balonlar kiralık, yarın sönecekler. Dükkânın kaç ay dayanacağı da benzer bir soru.</t>
        </is>
      </c>
      <c r="E241" s="6" t="inlineStr"/>
      <c r="F241" s="5" t="inlineStr"/>
    </row>
    <row r="242">
      <c r="A242" s="5" t="inlineStr">
        <is>
          <t>mm-saat-1658</t>
        </is>
      </c>
      <c r="B242" s="5" t="inlineStr">
        <is>
          <t>Sosyal Radar</t>
        </is>
      </c>
      <c r="C242" s="5" t="inlineStr">
        <is>
          <t>Orta</t>
        </is>
      </c>
      <c r="D242" s="6" t="inlineStr">
        <is>
          <t>'Bir imza sadece' cümlesi, istatistiklere göre ortalama yedi imza, iki fotokopi ve bir amir onayı demek.</t>
        </is>
      </c>
      <c r="E242" s="6" t="inlineStr"/>
      <c r="F242" s="5" t="inlineStr">
        <is>
          <t>E</t>
        </is>
      </c>
    </row>
    <row r="243">
      <c r="A243" s="5" t="inlineStr">
        <is>
          <t>mm-saat-1658</t>
        </is>
      </c>
      <c r="B243" s="5" t="inlineStr">
        <is>
          <t>Vicdan</t>
        </is>
      </c>
      <c r="C243" s="5" t="inlineStr">
        <is>
          <t>Kolay</t>
        </is>
      </c>
      <c r="D243" s="6" t="inlineStr">
        <is>
          <t>Şehrin öbür ucundan iki otobüs değiştirerek gelmiş. Ayakkabılarına bak.</t>
        </is>
      </c>
      <c r="E243" s="6" t="inlineStr"/>
      <c r="F243" s="5" t="inlineStr"/>
    </row>
    <row r="244">
      <c r="A244" s="5" t="inlineStr">
        <is>
          <t>b6-ev-sahibi-kavgasi</t>
        </is>
      </c>
      <c r="B244" s="5" t="inlineStr">
        <is>
          <t>Sosyal Radar</t>
        </is>
      </c>
      <c r="C244" s="5" t="inlineStr">
        <is>
          <t>Orta</t>
        </is>
      </c>
      <c r="D244" s="6" t="inlineStr">
        <is>
          <t>'Yeğenim taşınacak' diyor. Geçen yıl da demişti. Yeğen hâlâ ortada yok.</t>
        </is>
      </c>
      <c r="E244" s="6" t="inlineStr"/>
      <c r="F244" s="5" t="inlineStr">
        <is>
          <t>E</t>
        </is>
      </c>
    </row>
    <row r="245">
      <c r="A245" s="5" t="inlineStr">
        <is>
          <t>b6-ev-sahibi-kavgasi</t>
        </is>
      </c>
      <c r="B245" s="5" t="inlineStr">
        <is>
          <t>Vicdan</t>
        </is>
      </c>
      <c r="C245" s="5" t="inlineStr">
        <is>
          <t>Zor</t>
        </is>
      </c>
      <c r="D245" s="6" t="inlineStr">
        <is>
          <t>Ev sahibinin de bir hayatı var. Senin de bir kiran var.</t>
        </is>
      </c>
      <c r="E245" s="6" t="inlineStr"/>
      <c r="F245" s="5" t="inlineStr"/>
    </row>
    <row r="246">
      <c r="A246" s="5" t="inlineStr">
        <is>
          <t>b6-kargo-takibi</t>
        </is>
      </c>
      <c r="B246" s="5" t="inlineStr">
        <is>
          <t>Kurnazlık</t>
        </is>
      </c>
      <c r="C246" s="5" t="inlineStr">
        <is>
          <t>Orta</t>
        </is>
      </c>
      <c r="D246" s="6" t="inlineStr">
        <is>
          <t>Kurye bu sokağa hiç girmiyor. Paketler köşedeki büfeye bırakılıyor. Büfeci her şeyi bilir.</t>
        </is>
      </c>
      <c r="E246" s="6" t="inlineStr"/>
      <c r="F246" s="5" t="inlineStr">
        <is>
          <t>E</t>
        </is>
      </c>
    </row>
    <row r="247">
      <c r="A247" s="5" t="inlineStr">
        <is>
          <t>b6-kargo-takibi</t>
        </is>
      </c>
      <c r="B247" s="5" t="inlineStr">
        <is>
          <t>Dayanıklılık</t>
        </is>
      </c>
      <c r="C247" s="5" t="inlineStr">
        <is>
          <t>Kolay</t>
        </is>
      </c>
      <c r="D247" s="6" t="inlineStr">
        <is>
          <t>Müşteri hizmetleri seni bekletecek. Sen de onları. Bu bir sabır savaşı.</t>
        </is>
      </c>
      <c r="E247" s="6" t="inlineStr"/>
      <c r="F247" s="5" t="inlineStr"/>
    </row>
    <row r="248">
      <c r="A248" s="5" t="inlineStr">
        <is>
          <t>ms-pijama-ekonomisi</t>
        </is>
      </c>
      <c r="B248" s="5" t="inlineStr">
        <is>
          <t>Dayanıklılık</t>
        </is>
      </c>
      <c r="C248" s="5" t="inlineStr">
        <is>
          <t>Orta</t>
        </is>
      </c>
      <c r="D248" s="6" t="inlineStr">
        <is>
          <t>Pijamayla çalışmak özgürlük. Pijamayla yaşamak başka bir şey.</t>
        </is>
      </c>
      <c r="E248" s="6" t="inlineStr"/>
      <c r="F248" s="5" t="inlineStr"/>
    </row>
    <row r="249">
      <c r="A249" s="5" t="inlineStr">
        <is>
          <t>ms-pijama-ekonomisi</t>
        </is>
      </c>
      <c r="B249" s="5" t="inlineStr">
        <is>
          <t>Akıl</t>
        </is>
      </c>
      <c r="C249" s="5" t="inlineStr">
        <is>
          <t>Kolay</t>
        </is>
      </c>
      <c r="D249" s="6" t="inlineStr">
        <is>
          <t>Üç teslim, bir gün, tek beyin. Matematik sana karşı.</t>
        </is>
      </c>
      <c r="E249" s="6" t="inlineStr"/>
      <c r="F249" s="5" t="inlineStr"/>
    </row>
    <row r="250">
      <c r="A250" s="5" t="inlineStr">
        <is>
          <t>b6-ilk-vergi</t>
        </is>
      </c>
      <c r="B250" s="5" t="inlineStr">
        <is>
          <t>Akıl</t>
        </is>
      </c>
      <c r="C250" s="5" t="inlineStr">
        <is>
          <t>Zor</t>
        </is>
      </c>
      <c r="D250" s="6" t="inlineStr">
        <is>
          <t>Formda iki kutu var: 'Beyan' ve 'Beyan (Diğer)'. Aradaki fark kimsenin bilmediği bir sır.</t>
        </is>
      </c>
      <c r="E250" s="6" t="inlineStr"/>
      <c r="F250" s="5" t="inlineStr"/>
    </row>
    <row r="251">
      <c r="A251" s="5" t="inlineStr">
        <is>
          <t>b6-ilk-vergi</t>
        </is>
      </c>
      <c r="B251" s="5" t="inlineStr">
        <is>
          <t>Vicdan</t>
        </is>
      </c>
      <c r="C251" s="5" t="inlineStr">
        <is>
          <t>Kolay</t>
        </is>
      </c>
      <c r="D251" s="6" t="inlineStr">
        <is>
          <t>Vergi vermek de bir tür yetişkinlik. Gecikme faiziyle.</t>
        </is>
      </c>
      <c r="E251" s="6" t="inlineStr"/>
      <c r="F251" s="5" t="inlineStr"/>
    </row>
    <row r="252">
      <c r="A252" s="5" t="inlineStr">
        <is>
          <t>b6-kombi</t>
        </is>
      </c>
      <c r="B252" s="5" t="inlineStr">
        <is>
          <t>Akıl</t>
        </is>
      </c>
      <c r="C252" s="5" t="inlineStr">
        <is>
          <t>Orta</t>
        </is>
      </c>
      <c r="D252" s="6" t="inlineStr">
        <is>
          <t>Videoyu çeken on yıllık tamirci. Sen dün vidanın hangi yöne döndüğünü karıştırdın.</t>
        </is>
      </c>
      <c r="E252" s="6" t="inlineStr"/>
      <c r="F252" s="5" t="inlineStr"/>
    </row>
    <row r="253">
      <c r="A253" s="5" t="inlineStr">
        <is>
          <t>b6-kombi</t>
        </is>
      </c>
      <c r="B253" s="5" t="inlineStr">
        <is>
          <t>Dayanıklılık</t>
        </is>
      </c>
      <c r="C253" s="5" t="inlineStr">
        <is>
          <t>Kolay</t>
        </is>
      </c>
      <c r="D253" s="6" t="inlineStr">
        <is>
          <t>Üç gün battaniye, çay, iki kat çorap. İnsanlık daha zorlarını atlattı.</t>
        </is>
      </c>
      <c r="E253" s="6" t="inlineStr"/>
      <c r="F253" s="5" t="inlineStr"/>
    </row>
    <row r="254">
      <c r="A254" s="5" t="inlineStr">
        <is>
          <t>b6-kombi</t>
        </is>
      </c>
      <c r="B254" s="5" t="inlineStr">
        <is>
          <t>Kurnazlık</t>
        </is>
      </c>
      <c r="C254" s="5" t="inlineStr">
        <is>
          <t>Zor</t>
        </is>
      </c>
      <c r="D254" s="6" t="inlineStr">
        <is>
          <t>Alt kattaki komşunun oğlu kombici. Geçen ay otoparkta yer kavgası ettiniz.</t>
        </is>
      </c>
      <c r="E254" s="6" t="inlineStr"/>
      <c r="F254" s="5" t="inlineStr">
        <is>
          <t>E</t>
        </is>
      </c>
    </row>
    <row r="255">
      <c r="A255" s="5" t="inlineStr">
        <is>
          <t>b7-kira-artisi</t>
        </is>
      </c>
      <c r="B255" s="5" t="inlineStr">
        <is>
          <t>Sosyal Radar</t>
        </is>
      </c>
      <c r="C255" s="5" t="inlineStr">
        <is>
          <t>Orta</t>
        </is>
      </c>
      <c r="D255" s="6" t="inlineStr">
        <is>
          <t>Ev sahibinin kızı yurt dışından dönüyor. Bu ev, onun ev.</t>
        </is>
      </c>
      <c r="E255" s="6" t="inlineStr"/>
      <c r="F255" s="5" t="inlineStr">
        <is>
          <t>E</t>
        </is>
      </c>
    </row>
    <row r="256">
      <c r="A256" s="5" t="inlineStr">
        <is>
          <t>b7-kira-artisi</t>
        </is>
      </c>
      <c r="B256" s="5" t="inlineStr">
        <is>
          <t>Kurnazlık</t>
        </is>
      </c>
      <c r="C256" s="5" t="inlineStr">
        <is>
          <t>Kolay</t>
        </is>
      </c>
      <c r="D256" s="6" t="inlineStr">
        <is>
          <t>Önce 'piyasa' kelimesini kullanan kaybeder. Bekle.</t>
        </is>
      </c>
      <c r="E256" s="6" t="inlineStr"/>
      <c r="F256" s="5" t="inlineStr"/>
    </row>
    <row r="257">
      <c r="A257" s="5" t="inlineStr">
        <is>
          <t>b7-eski-sinif-arkadasi</t>
        </is>
      </c>
      <c r="B257" s="5" t="inlineStr">
        <is>
          <t>Sosyal Radar</t>
        </is>
      </c>
      <c r="C257" s="5" t="inlineStr">
        <is>
          <t>Kolay</t>
        </is>
      </c>
      <c r="D257" s="6" t="inlineStr">
        <is>
          <t>Tebriklerin yarısı hiç konuşmadığı insanlardan. Diğer yarısı hiç sevmediklerinden.</t>
        </is>
      </c>
      <c r="E257" s="6" t="inlineStr"/>
      <c r="F257" s="5" t="inlineStr"/>
    </row>
    <row r="258">
      <c r="A258" s="5" t="inlineStr">
        <is>
          <t>b7-eski-sinif-arkadasi</t>
        </is>
      </c>
      <c r="B258" s="5" t="inlineStr">
        <is>
          <t>Vicdan</t>
        </is>
      </c>
      <c r="C258" s="5" t="inlineStr">
        <is>
          <t>Orta</t>
        </is>
      </c>
      <c r="D258" s="6" t="inlineStr">
        <is>
          <t>Kıskançlık da bir tür ilgi, evladım. Ama ona yorum yazdırma.</t>
        </is>
      </c>
      <c r="E258" s="6" t="inlineStr"/>
      <c r="F258" s="5" t="inlineStr"/>
    </row>
    <row r="259">
      <c r="A259" s="5" t="inlineStr">
        <is>
          <t>mb-eposta-yagmuru</t>
        </is>
      </c>
      <c r="B259" s="5" t="inlineStr">
        <is>
          <t>Akıl</t>
        </is>
      </c>
      <c r="C259" s="5" t="inlineStr">
        <is>
          <t>Orta</t>
        </is>
      </c>
      <c r="D259" s="6" t="inlineStr">
        <is>
          <t>İstatistiksel olarak bunların yüzde doksanı sen yokken kendi kendine çözüldü.</t>
        </is>
      </c>
      <c r="E259" s="6" t="inlineStr"/>
      <c r="F259" s="5" t="inlineStr"/>
    </row>
    <row r="260">
      <c r="A260" s="5" t="inlineStr">
        <is>
          <t>mb-eposta-yagmuru</t>
        </is>
      </c>
      <c r="B260" s="5" t="inlineStr">
        <is>
          <t>Dayanıklılık</t>
        </is>
      </c>
      <c r="C260" s="5" t="inlineStr">
        <is>
          <t>Kolay</t>
        </is>
      </c>
      <c r="D260" s="6" t="inlineStr">
        <is>
          <t>Bin dört yüz. Maraton da kırk iki kilometre. Adım adım.</t>
        </is>
      </c>
      <c r="E260" s="6" t="inlineStr"/>
      <c r="F260" s="5" t="inlineStr"/>
    </row>
    <row r="261">
      <c r="A261" s="5" t="inlineStr">
        <is>
          <t>me-kira-artisi</t>
        </is>
      </c>
      <c r="B261" s="5" t="inlineStr">
        <is>
          <t>Sosyal Radar</t>
        </is>
      </c>
      <c r="C261" s="5" t="inlineStr">
        <is>
          <t>Orta</t>
        </is>
      </c>
      <c r="D261" s="6" t="inlineStr">
        <is>
          <t>Dükkân sahibinin yeğeni kafe açmak istiyor. Bu köşe, 'tam kafe köşesi'.</t>
        </is>
      </c>
      <c r="E261" s="6" t="inlineStr"/>
      <c r="F261" s="5" t="inlineStr">
        <is>
          <t>E</t>
        </is>
      </c>
    </row>
    <row r="262">
      <c r="A262" s="5" t="inlineStr">
        <is>
          <t>me-kira-artisi</t>
        </is>
      </c>
      <c r="B262" s="5" t="inlineStr">
        <is>
          <t>Dayanıklılık</t>
        </is>
      </c>
      <c r="C262" s="5" t="inlineStr">
        <is>
          <t>Kolay</t>
        </is>
      </c>
      <c r="D262" s="6" t="inlineStr">
        <is>
          <t>Taşınmak bir maraton, kalmak da. Ayakkabılarını bağla.</t>
        </is>
      </c>
      <c r="E262" s="6" t="inlineStr"/>
      <c r="F262" s="5" t="inlineStr"/>
    </row>
    <row r="263">
      <c r="A263" s="5" t="inlineStr">
        <is>
          <t>mm-yeni-mudur</t>
        </is>
      </c>
      <c r="B263" s="5" t="inlineStr">
        <is>
          <t>Sosyal Radar</t>
        </is>
      </c>
      <c r="C263" s="5" t="inlineStr">
        <is>
          <t>Kolay</t>
        </is>
      </c>
      <c r="D263" s="6" t="inlineStr">
        <is>
          <t>Yeni müdür herkese 'Eski müdür nasıl biriydi?' diye soruyor. Doğru cevap yok. Sadece kayda geçen cevap var.</t>
        </is>
      </c>
      <c r="E263" s="6" t="inlineStr"/>
      <c r="F263" s="5" t="inlineStr"/>
    </row>
    <row r="264">
      <c r="A264" s="5" t="inlineStr">
        <is>
          <t>mm-yeni-mudur</t>
        </is>
      </c>
      <c r="B264" s="5" t="inlineStr">
        <is>
          <t>Pişkinlik</t>
        </is>
      </c>
      <c r="C264" s="5" t="inlineStr">
        <is>
          <t>Zor</t>
        </is>
      </c>
      <c r="D264" s="6" t="inlineStr">
        <is>
          <t>Kahve makinesini eski yerine koy. Liderlik sinyali verirsin. Ya da tayin sinyali.</t>
        </is>
      </c>
      <c r="E264" s="6" t="inlineStr"/>
      <c r="F264" s="5" t="inlineStr"/>
    </row>
    <row r="265">
      <c r="A265" s="5" t="inlineStr">
        <is>
          <t>b7-trafik-cezasi</t>
        </is>
      </c>
      <c r="B265" s="5" t="inlineStr">
        <is>
          <t>Kurnazlık</t>
        </is>
      </c>
      <c r="C265" s="5" t="inlineStr">
        <is>
          <t>Orta</t>
        </is>
      </c>
      <c r="D265" s="6" t="inlineStr">
        <is>
          <t>O kavşaktaki ışık dört saniye sarı yanıyor. Mahalle bunu bilir, kamera bilmez.</t>
        </is>
      </c>
      <c r="E265" s="6" t="inlineStr"/>
      <c r="F265" s="5" t="inlineStr"/>
    </row>
    <row r="266">
      <c r="A266" s="5" t="inlineStr">
        <is>
          <t>ms-fatura-kovalamaca</t>
        </is>
      </c>
      <c r="B266" s="5" t="inlineStr">
        <is>
          <t>Çene</t>
        </is>
      </c>
      <c r="C266" s="5" t="inlineStr">
        <is>
          <t>Orta</t>
        </is>
      </c>
      <c r="D266" s="6" t="inlineStr">
        <is>
          <t>Muhasebeden sorumlu kişinin doğum günü yarın. Kutlama mesajı atan kişinin telefonu açılır.</t>
        </is>
      </c>
      <c r="E266" s="6" t="inlineStr"/>
      <c r="F266" s="5" t="inlineStr">
        <is>
          <t>E</t>
        </is>
      </c>
    </row>
    <row r="267">
      <c r="A267" s="5" t="inlineStr">
        <is>
          <t>ms-fatura-kovalamaca</t>
        </is>
      </c>
      <c r="B267" s="5" t="inlineStr">
        <is>
          <t>Dayanıklılık</t>
        </is>
      </c>
      <c r="C267" s="5" t="inlineStr">
        <is>
          <t>Kolay</t>
        </is>
      </c>
      <c r="D267" s="6" t="inlineStr">
        <is>
          <t>Altmış gün. Doksan gün. Maratonda da en zor kısım son kilometre değil, ortası.</t>
        </is>
      </c>
      <c r="E267" s="6" t="inlineStr"/>
      <c r="F267" s="5" t="inlineStr"/>
    </row>
    <row r="268">
      <c r="A268" s="5" t="inlineStr">
        <is>
          <t>b7-araba-alma</t>
        </is>
      </c>
      <c r="B268" s="5" t="inlineStr">
        <is>
          <t>Kurnazlık</t>
        </is>
      </c>
      <c r="C268" s="5" t="inlineStr">
        <is>
          <t>Orta</t>
        </is>
      </c>
      <c r="D268" s="6" t="inlineStr">
        <is>
          <t>'Garaj arabası' diyor. Garajı görmek iste. Garaj yoksa, araba da tam olarak yok.</t>
        </is>
      </c>
      <c r="E268" s="6" t="inlineStr"/>
      <c r="F268" s="5" t="inlineStr"/>
    </row>
    <row r="269">
      <c r="A269" s="5" t="inlineStr">
        <is>
          <t>b7-araba-alma</t>
        </is>
      </c>
      <c r="B269" s="5" t="inlineStr">
        <is>
          <t>Cesaret</t>
        </is>
      </c>
      <c r="C269" s="5" t="inlineStr">
        <is>
          <t>Kolay</t>
        </is>
      </c>
      <c r="D269" s="6" t="inlineStr">
        <is>
          <t>Aracın da insanın da ne olduğu yokuşta anlaşılır, evlat.</t>
        </is>
      </c>
      <c r="E269" s="6" t="inlineStr"/>
      <c r="F269" s="5" t="inlineStr"/>
    </row>
    <row r="270">
      <c r="A270" s="5" t="inlineStr">
        <is>
          <t>b7-ne-zaman-evleneceksin</t>
        </is>
      </c>
      <c r="B270" s="5" t="inlineStr">
        <is>
          <t>Sosyal Radar</t>
        </is>
      </c>
      <c r="C270" s="5" t="inlineStr">
        <is>
          <t>Kolay</t>
        </is>
      </c>
      <c r="D270" s="6" t="inlineStr">
        <is>
          <t>Altı teyze, iki amca, bir de fotoğrafçı. Fotoğrafçı da soracak, hissediyorum.</t>
        </is>
      </c>
      <c r="E270" s="6" t="inlineStr"/>
      <c r="F270" s="5" t="inlineStr"/>
    </row>
    <row r="271">
      <c r="A271" s="5" t="inlineStr">
        <is>
          <t>b7-ne-zaman-evleneceksin</t>
        </is>
      </c>
      <c r="B271" s="5" t="inlineStr">
        <is>
          <t>Vicdan</t>
        </is>
      </c>
      <c r="C271" s="5" t="inlineStr">
        <is>
          <t>Orta</t>
        </is>
      </c>
      <c r="D271" s="6" t="inlineStr">
        <is>
          <t>Onlar da seni sevdiklerinden soruyor, evladım. Çok sevdiklerinden. Fazla sevdiklerinden.</t>
        </is>
      </c>
      <c r="E271" s="6" t="inlineStr"/>
      <c r="F271" s="5" t="inlineStr"/>
    </row>
    <row r="272">
      <c r="A272" s="5" t="inlineStr">
        <is>
          <t>b7-flort-uygulamasi</t>
        </is>
      </c>
      <c r="B272" s="5" t="inlineStr">
        <is>
          <t>Sosyal Radar</t>
        </is>
      </c>
      <c r="C272" s="5" t="inlineStr">
        <is>
          <t>Orta</t>
        </is>
      </c>
      <c r="D272" s="6" t="inlineStr">
        <is>
          <t>Üç profil aynı dağın tepesinde çekilmiş fotoğraf koymuş. O dağ çok kalabalık olmalı.</t>
        </is>
      </c>
      <c r="E272" s="6" t="inlineStr"/>
      <c r="F272" s="5" t="inlineStr"/>
    </row>
    <row r="273">
      <c r="A273" s="5" t="inlineStr">
        <is>
          <t>b7-flort-uygulamasi</t>
        </is>
      </c>
      <c r="B273" s="5" t="inlineStr">
        <is>
          <t>Dayanıklılık</t>
        </is>
      </c>
      <c r="C273" s="5" t="inlineStr">
        <is>
          <t>Kolay</t>
        </is>
      </c>
      <c r="D273" s="6" t="inlineStr">
        <is>
          <t>Bu bir maraton, sprint değil. Ama maratonun sonunda kimse bekliyor mu, bilmiyoruz.</t>
        </is>
      </c>
      <c r="E273" s="6" t="inlineStr"/>
      <c r="F273" s="5" t="inlineStr"/>
    </row>
    <row r="274">
      <c r="A274" s="5" t="inlineStr">
        <is>
          <t>b7-evlilik-karari</t>
        </is>
      </c>
      <c r="B274" s="5" t="inlineStr">
        <is>
          <t>Vicdan</t>
        </is>
      </c>
      <c r="C274" s="5" t="inlineStr">
        <is>
          <t>Kolay</t>
        </is>
      </c>
      <c r="D274" s="6" t="inlineStr">
        <is>
          <t>Bak evladım, bu soru ikinci kez sorulmaz. Sorulursa da aynı tatta olmaz.</t>
        </is>
      </c>
      <c r="E274" s="6" t="inlineStr"/>
      <c r="F274" s="5" t="inlineStr"/>
    </row>
    <row r="275">
      <c r="A275" s="5" t="inlineStr">
        <is>
          <t>b7-evlilik-karari</t>
        </is>
      </c>
      <c r="B275" s="5" t="inlineStr">
        <is>
          <t>Akıl</t>
        </is>
      </c>
      <c r="C275" s="5" t="inlineStr">
        <is>
          <t>Orta</t>
        </is>
      </c>
      <c r="D275" s="6" t="inlineStr">
        <is>
          <t>Düğün, balayı, ev eşyası. Bir kişinin üç yıllık kirası. Duygular da hesaba katılırsa denklem çözülmüyor.</t>
        </is>
      </c>
      <c r="E275" s="6" t="inlineStr"/>
      <c r="F275" s="5" t="inlineStr"/>
    </row>
    <row r="276">
      <c r="A276" s="5" t="inlineStr">
        <is>
          <t>b7-evlilik-karari</t>
        </is>
      </c>
      <c r="B276" s="5" t="inlineStr">
        <is>
          <t>Cesaret</t>
        </is>
      </c>
      <c r="C276" s="5" t="inlineStr">
        <is>
          <t>Zor</t>
        </is>
      </c>
      <c r="D276" s="6" t="inlineStr">
        <is>
          <t>Asker adamın tek kuralı: Hazır olmayı bekleyen hiç yola çıkmaz, evlat.</t>
        </is>
      </c>
      <c r="E276" s="6" t="inlineStr"/>
      <c r="F276" s="5" t="inlineStr"/>
    </row>
    <row r="277">
      <c r="A277" s="5" t="inlineStr">
        <is>
          <t>mb-performans-karti</t>
        </is>
      </c>
      <c r="B277" s="5" t="inlineStr">
        <is>
          <t>Sosyal Radar</t>
        </is>
      </c>
      <c r="C277" s="5" t="inlineStr">
        <is>
          <t>Orta</t>
        </is>
      </c>
      <c r="D277" s="6" t="inlineStr">
        <is>
          <t>Yöneticinin ekranında puanlar çoktan girilmiş. Bu görüşme bir onay ekranı.</t>
        </is>
      </c>
      <c r="E277" s="6" t="inlineStr"/>
      <c r="F277" s="5" t="inlineStr">
        <is>
          <t>E</t>
        </is>
      </c>
    </row>
    <row r="278">
      <c r="A278" s="5" t="inlineStr">
        <is>
          <t>mb-performans-karti</t>
        </is>
      </c>
      <c r="B278" s="5" t="inlineStr">
        <is>
          <t>Akıl</t>
        </is>
      </c>
      <c r="C278" s="5" t="inlineStr">
        <is>
          <t>Zor</t>
        </is>
      </c>
      <c r="D278" s="6" t="inlineStr">
        <is>
          <t>'Çeviklik' kelimesi bu belgede on dört kez geçiyor. Belge üç yıldır aynı.</t>
        </is>
      </c>
      <c r="E278" s="6" t="inlineStr"/>
      <c r="F278" s="5" t="inlineStr"/>
    </row>
    <row r="279">
      <c r="A279" s="5" t="inlineStr">
        <is>
          <t>me-zabita-denetimi</t>
        </is>
      </c>
      <c r="B279" s="5" t="inlineStr">
        <is>
          <t>Kurnazlık</t>
        </is>
      </c>
      <c r="C279" s="5" t="inlineStr">
        <is>
          <t>Orta</t>
        </is>
      </c>
      <c r="D279" s="6" t="inlineStr">
        <is>
          <t>Denetim sokağın başından başladı. Kasaları içeri almak için dört dükkânlık vaktin var.</t>
        </is>
      </c>
      <c r="E279" s="6" t="inlineStr"/>
      <c r="F279" s="5" t="inlineStr"/>
    </row>
    <row r="280">
      <c r="A280" s="5" t="inlineStr">
        <is>
          <t>me-zabita-denetimi</t>
        </is>
      </c>
      <c r="B280" s="5" t="inlineStr">
        <is>
          <t>Vicdan</t>
        </is>
      </c>
      <c r="C280" s="5" t="inlineStr">
        <is>
          <t>Kolay</t>
        </is>
      </c>
      <c r="D280" s="6" t="inlineStr">
        <is>
          <t>Tabelan gerçekten yola taşıyor. Geçen hafta bir bisikletli sana selam verdi; kafasıyla.</t>
        </is>
      </c>
      <c r="E280" s="6" t="inlineStr"/>
      <c r="F280" s="5" t="inlineStr"/>
    </row>
    <row r="281">
      <c r="A281" s="5" t="inlineStr">
        <is>
          <t>b7-dugun-takilari</t>
        </is>
      </c>
      <c r="B281" s="5" t="inlineStr">
        <is>
          <t>Sosyal Radar</t>
        </is>
      </c>
      <c r="C281" s="5" t="inlineStr">
        <is>
          <t>Orta</t>
        </is>
      </c>
      <c r="D281" s="6" t="inlineStr">
        <is>
          <t>Üçüncü sıradaki teyze çeyrek yerine yarım getirmiş. Yarın herkes bunu konuşacak.</t>
        </is>
      </c>
      <c r="E281" s="6" t="inlineStr"/>
      <c r="F281" s="5" t="inlineStr"/>
    </row>
    <row r="282">
      <c r="A282" s="5" t="inlineStr">
        <is>
          <t>b7-dugun-takilari</t>
        </is>
      </c>
      <c r="B282" s="5" t="inlineStr">
        <is>
          <t>Kurnazlık</t>
        </is>
      </c>
      <c r="C282" s="5" t="inlineStr">
        <is>
          <t>Kolay</t>
        </is>
      </c>
      <c r="D282" s="6" t="inlineStr">
        <is>
          <t>Takıyı iğneyle değil, hızlı elle al. Bu merasimde yavaş olan kaybeder.</t>
        </is>
      </c>
      <c r="E282" s="6" t="inlineStr"/>
      <c r="F282" s="5" t="inlineStr"/>
    </row>
    <row r="283">
      <c r="A283" s="5" t="inlineStr">
        <is>
          <t>b7-balayi</t>
        </is>
      </c>
      <c r="B283" s="5" t="inlineStr">
        <is>
          <t>Pişkinlik</t>
        </is>
      </c>
      <c r="C283" s="5" t="inlineStr">
        <is>
          <t>Kolay</t>
        </is>
      </c>
      <c r="D283" s="6" t="inlineStr">
        <is>
          <t>Balayındasın! Herkese söyle. Resepsiyona söyle. Garsona söyle. Bedava tatlı söylenmeden gelmez.</t>
        </is>
      </c>
      <c r="E283" s="6" t="inlineStr"/>
      <c r="F283" s="5" t="inlineStr"/>
    </row>
    <row r="284">
      <c r="A284" s="5" t="inlineStr">
        <is>
          <t>b7-balayi</t>
        </is>
      </c>
      <c r="B284" s="5" t="inlineStr">
        <is>
          <t>Akıl</t>
        </is>
      </c>
      <c r="C284" s="5" t="inlineStr">
        <is>
          <t>Orta</t>
        </is>
      </c>
      <c r="D284" s="6" t="inlineStr">
        <is>
          <t>Her şey dahil ifadesinin kapsamı, içecek menüsünün küçük harflerinde tanımlanmıştır.</t>
        </is>
      </c>
      <c r="E284" s="6" t="inlineStr"/>
      <c r="F284" s="5" t="inlineStr"/>
    </row>
    <row r="285">
      <c r="A285" s="5" t="inlineStr">
        <is>
          <t>ms-acilis-gecesi</t>
        </is>
      </c>
      <c r="B285" s="5" t="inlineStr">
        <is>
          <t>Sosyal Radar</t>
        </is>
      </c>
      <c r="C285" s="5" t="inlineStr">
        <is>
          <t>Kolay</t>
        </is>
      </c>
      <c r="D285" s="6" t="inlineStr">
        <is>
          <t>Kurye paketi kime bırakacağını soruyor. Ona eser sat.</t>
        </is>
      </c>
      <c r="E285" s="6" t="inlineStr"/>
      <c r="F285" s="5" t="inlineStr"/>
    </row>
    <row r="286">
      <c r="A286" s="5" t="inlineStr">
        <is>
          <t>ms-acilis-gecesi</t>
        </is>
      </c>
      <c r="B286" s="5" t="inlineStr">
        <is>
          <t>Cesaret</t>
        </is>
      </c>
      <c r="C286" s="5" t="inlineStr">
        <is>
          <t>Orta</t>
        </is>
      </c>
      <c r="D286" s="6" t="inlineStr">
        <is>
          <t>Sahne boş değil. Üç kişi var. Birinin elinde kargo var ama olsun.</t>
        </is>
      </c>
      <c r="E286" s="6" t="inlineStr"/>
      <c r="F286" s="5" t="inlineStr"/>
    </row>
    <row r="287">
      <c r="A287" s="5" t="inlineStr">
        <is>
          <t>b7-bulasik-makinesi</t>
        </is>
      </c>
      <c r="B287" s="5" t="inlineStr">
        <is>
          <t>Akıl</t>
        </is>
      </c>
      <c r="C287" s="5" t="inlineStr">
        <is>
          <t>Orta</t>
        </is>
      </c>
      <c r="D287" s="6" t="inlineStr">
        <is>
          <t>Bu kavga bulaşıkla ilgili değil. Kontrol duygusuyla ilgili. Ama tencereyi yine de alta koyarız.</t>
        </is>
      </c>
      <c r="E287" s="6" t="inlineStr"/>
      <c r="F287" s="5" t="inlineStr">
        <is>
          <t>E</t>
        </is>
      </c>
    </row>
    <row r="288">
      <c r="A288" s="5" t="inlineStr">
        <is>
          <t>b7-bulasik-makinesi</t>
        </is>
      </c>
      <c r="B288" s="5" t="inlineStr">
        <is>
          <t>Vicdan</t>
        </is>
      </c>
      <c r="C288" s="5" t="inlineStr">
        <is>
          <t>Kolay</t>
        </is>
      </c>
      <c r="D288" s="6" t="inlineStr">
        <is>
          <t>Kırk yıl birlikte yaşayanlara sor, evladım. Hepsi hâlâ bu konuda küs.</t>
        </is>
      </c>
      <c r="E288" s="6" t="inlineStr"/>
      <c r="F288" s="5" t="inlineStr"/>
    </row>
    <row r="289">
      <c r="A289" s="5" t="inlineStr">
        <is>
          <t>mm-sistem-coktu</t>
        </is>
      </c>
      <c r="B289" s="5" t="inlineStr">
        <is>
          <t>Akıl</t>
        </is>
      </c>
      <c r="C289" s="5" t="inlineStr">
        <is>
          <t>Orta</t>
        </is>
      </c>
      <c r="D289" s="6" t="inlineStr">
        <is>
          <t>Sistem çöktüğünde her şey kâğıda döner. Kâğıt çökmez. Sadece kaybolur.</t>
        </is>
      </c>
      <c r="E289" s="6" t="inlineStr"/>
      <c r="F289" s="5" t="inlineStr"/>
    </row>
    <row r="290">
      <c r="A290" s="5" t="inlineStr">
        <is>
          <t>b7-kayinvalide</t>
        </is>
      </c>
      <c r="B290" s="5" t="inlineStr">
        <is>
          <t>Sosyal Radar</t>
        </is>
      </c>
      <c r="C290" s="5" t="inlineStr">
        <is>
          <t>Orta</t>
        </is>
      </c>
      <c r="D290" s="6" t="inlineStr">
        <is>
          <t>Hmm tuzla ilgili değil. Menemeni kendi çocuğu değil, sen yaptın; mesele bu.</t>
        </is>
      </c>
      <c r="E290" s="6" t="inlineStr"/>
      <c r="F290" s="5" t="inlineStr">
        <is>
          <t>E</t>
        </is>
      </c>
    </row>
    <row r="291">
      <c r="A291" s="5" t="inlineStr">
        <is>
          <t>b7-kayinvalide</t>
        </is>
      </c>
      <c r="B291" s="5" t="inlineStr">
        <is>
          <t>Dayanıklılık</t>
        </is>
      </c>
      <c r="C291" s="5" t="inlineStr">
        <is>
          <t>Kolay</t>
        </is>
      </c>
      <c r="D291" s="6" t="inlineStr">
        <is>
          <t>Kahvaltı dört saat sürecek. Tempo koru, ikinci çayda çökme.</t>
        </is>
      </c>
      <c r="E291" s="6" t="inlineStr"/>
      <c r="F291" s="5" t="inlineStr"/>
    </row>
    <row r="292">
      <c r="A292" s="5" t="inlineStr">
        <is>
          <t>b7-akraba-tanisma</t>
        </is>
      </c>
      <c r="B292" s="5" t="inlineStr">
        <is>
          <t>Sosyal Radar</t>
        </is>
      </c>
      <c r="C292" s="5" t="inlineStr">
        <is>
          <t>Orta</t>
        </is>
      </c>
      <c r="D292" s="6" t="inlineStr">
        <is>
          <t>Karşındaki de bu masaya zorla getirilmiş. Sağ ayağı kapıya dönük.</t>
        </is>
      </c>
      <c r="E292" s="6" t="inlineStr"/>
      <c r="F292" s="5" t="inlineStr">
        <is>
          <t>E</t>
        </is>
      </c>
    </row>
    <row r="293">
      <c r="A293" s="5" t="inlineStr">
        <is>
          <t>b7-akraba-tanisma</t>
        </is>
      </c>
      <c r="B293" s="5" t="inlineStr">
        <is>
          <t>Pişkinlik</t>
        </is>
      </c>
      <c r="C293" s="5" t="inlineStr">
        <is>
          <t>Kolay</t>
        </is>
      </c>
      <c r="D293" s="6" t="inlineStr">
        <is>
          <t>Bir daha davet edilmemek de bir kazanımdır. Performansını buna göre ayarla.</t>
        </is>
      </c>
      <c r="E293" s="6" t="inlineStr"/>
      <c r="F293" s="5" t="inlineStr"/>
    </row>
    <row r="294">
      <c r="A294" s="5" t="inlineStr">
        <is>
          <t>b7-ortak-hesap</t>
        </is>
      </c>
      <c r="B294" s="5" t="inlineStr">
        <is>
          <t>Kurnazlık</t>
        </is>
      </c>
      <c r="C294" s="5" t="inlineStr">
        <is>
          <t>Orta</t>
        </is>
      </c>
      <c r="D294" s="6" t="inlineStr">
        <is>
          <t>Her ortak hesabın bir de 'ortak olmayan' kuzeni vardır, evlat.</t>
        </is>
      </c>
      <c r="E294" s="6" t="inlineStr"/>
      <c r="F294" s="5" t="inlineStr"/>
    </row>
    <row r="295">
      <c r="A295" s="5" t="inlineStr">
        <is>
          <t>b7-ortak-hesap</t>
        </is>
      </c>
      <c r="B295" s="5" t="inlineStr">
        <is>
          <t>Akıl</t>
        </is>
      </c>
      <c r="C295" s="5" t="inlineStr">
        <is>
          <t>Kolay</t>
        </is>
      </c>
      <c r="D295" s="6" t="inlineStr">
        <is>
          <t>İstatistiksel olarak evliliklerdeki kavgaların çoğu parayla başlar. Geri kalanı bulaşıkla.</t>
        </is>
      </c>
      <c r="E295" s="6" t="inlineStr"/>
      <c r="F295" s="5" t="inlineStr"/>
    </row>
    <row r="296">
      <c r="A296" s="5" t="inlineStr">
        <is>
          <t>b7-spor-salonu</t>
        </is>
      </c>
      <c r="B296" s="5" t="inlineStr">
        <is>
          <t>Dayanıklılık</t>
        </is>
      </c>
      <c r="C296" s="5" t="inlineStr">
        <is>
          <t>Orta</t>
        </is>
      </c>
      <c r="D296" s="6" t="inlineStr">
        <is>
          <t>Komşu olarak söylüyorum: yıllık üyeliği alan değil, şubatta giden kazanır.</t>
        </is>
      </c>
      <c r="E296" s="6" t="inlineStr"/>
      <c r="F296" s="5" t="inlineStr"/>
    </row>
    <row r="297">
      <c r="A297" s="5" t="inlineStr">
        <is>
          <t>b7-spor-salonu</t>
        </is>
      </c>
      <c r="B297" s="5" t="inlineStr">
        <is>
          <t>Akıl</t>
        </is>
      </c>
      <c r="C297" s="5" t="inlineStr">
        <is>
          <t>Kolay</t>
        </is>
      </c>
      <c r="D297" s="6" t="inlineStr">
        <is>
          <t>Salonların iş modeli gelmeyeceğine güvendikleri üyeler üzerine kuruludur. Kendini bu modele bağışla ya da bağışlama.</t>
        </is>
      </c>
      <c r="E297" s="6" t="inlineStr"/>
      <c r="F297" s="5" t="inlineStr"/>
    </row>
    <row r="298">
      <c r="A298" s="5" t="inlineStr">
        <is>
          <t>ms-viral</t>
        </is>
      </c>
      <c r="B298" s="5" t="inlineStr">
        <is>
          <t>Sosyal Radar</t>
        </is>
      </c>
      <c r="C298" s="5" t="inlineStr">
        <is>
          <t>Orta</t>
        </is>
      </c>
      <c r="D298" s="6" t="inlineStr">
        <is>
          <t>İlk yorumu yapanların yarısı kuzenin. Diğer yarısı kuzeninin ikinci hesabı.</t>
        </is>
      </c>
      <c r="E298" s="6" t="inlineStr"/>
      <c r="F298" s="5" t="inlineStr"/>
    </row>
    <row r="299">
      <c r="A299" s="5" t="inlineStr">
        <is>
          <t>ms-viral</t>
        </is>
      </c>
      <c r="B299" s="5" t="inlineStr">
        <is>
          <t>Pişkinlik</t>
        </is>
      </c>
      <c r="C299" s="5" t="inlineStr">
        <is>
          <t>Kolay</t>
        </is>
      </c>
      <c r="D299" s="6" t="inlineStr">
        <is>
          <t>İki milyon kişi seni izledi. İkisi para verir mi, bilinmez.</t>
        </is>
      </c>
      <c r="E299" s="6" t="inlineStr"/>
      <c r="F299" s="5" t="inlineStr"/>
    </row>
    <row r="300">
      <c r="A300" s="5" t="inlineStr">
        <is>
          <t>b7-cocuk-karari</t>
        </is>
      </c>
      <c r="B300" s="5" t="inlineStr">
        <is>
          <t>Vicdan</t>
        </is>
      </c>
      <c r="C300" s="5" t="inlineStr">
        <is>
          <t>Orta</t>
        </is>
      </c>
      <c r="D300" s="6" t="inlineStr">
        <is>
          <t>Hiç kimse tam hazır olmaz, evladım. Ben dördünü de hazır olmadan büyüttüm.</t>
        </is>
      </c>
      <c r="E300" s="6" t="inlineStr"/>
      <c r="F300" s="5" t="inlineStr"/>
    </row>
    <row r="301">
      <c r="A301" s="5" t="inlineStr">
        <is>
          <t>b7-cocuk-karari</t>
        </is>
      </c>
      <c r="B301" s="5" t="inlineStr">
        <is>
          <t>Akıl</t>
        </is>
      </c>
      <c r="C301" s="5" t="inlineStr">
        <is>
          <t>Kolay</t>
        </is>
      </c>
      <c r="D301" s="6" t="inlineStr">
        <is>
          <t>Bez, mama, kreş, okul, üniversite. Bir de 'harçlık' diye adı konmamış bir kalem var.</t>
        </is>
      </c>
      <c r="E301" s="6" t="inlineStr"/>
      <c r="F301" s="5" t="inlineStr"/>
    </row>
    <row r="302">
      <c r="A302" s="5" t="inlineStr">
        <is>
          <t>me-kasa-ve-pos</t>
        </is>
      </c>
      <c r="B302" s="5" t="inlineStr">
        <is>
          <t>Akıl</t>
        </is>
      </c>
      <c r="C302" s="5" t="inlineStr">
        <is>
          <t>Zor</t>
        </is>
      </c>
      <c r="D302" s="6" t="inlineStr">
        <is>
          <t>Nakit kasaya gider, kart hesaba gider, bozukluk ise buzdolabının altına.</t>
        </is>
      </c>
      <c r="E302" s="6" t="inlineStr"/>
      <c r="F302" s="5" t="inlineStr"/>
    </row>
    <row r="303">
      <c r="A303" s="5" t="inlineStr">
        <is>
          <t>me-kasa-ve-pos</t>
        </is>
      </c>
      <c r="B303" s="5" t="inlineStr">
        <is>
          <t>Pişkinlik</t>
        </is>
      </c>
      <c r="C303" s="5" t="inlineStr">
        <is>
          <t>Orta</t>
        </is>
      </c>
      <c r="D303" s="6" t="inlineStr">
        <is>
          <t>Esnaf yerde para toplarken bile gülümser. Kameraya değil, müşteriye.</t>
        </is>
      </c>
      <c r="E303" s="6" t="inlineStr"/>
      <c r="F303" s="5" t="inlineStr"/>
    </row>
    <row r="304">
      <c r="A304" s="5" t="inlineStr">
        <is>
          <t>b7-tek-kisilik-tatil</t>
        </is>
      </c>
      <c r="B304" s="5" t="inlineStr">
        <is>
          <t>Cesaret</t>
        </is>
      </c>
      <c r="C304" s="5" t="inlineStr">
        <is>
          <t>Kolay</t>
        </is>
      </c>
      <c r="D304" s="6" t="inlineStr">
        <is>
          <t>Tek başına yola çıkan, kimseyi beklemek zorunda kalmaz, evlat.</t>
        </is>
      </c>
      <c r="E304" s="6" t="inlineStr"/>
      <c r="F304" s="5" t="inlineStr"/>
    </row>
    <row r="305">
      <c r="A305" s="5" t="inlineStr">
        <is>
          <t>b7-tek-kisilik-tatil</t>
        </is>
      </c>
      <c r="B305" s="5" t="inlineStr">
        <is>
          <t>Sosyal Radar</t>
        </is>
      </c>
      <c r="C305" s="5" t="inlineStr">
        <is>
          <t>Orta</t>
        </is>
      </c>
      <c r="D305" s="6" t="inlineStr">
        <is>
          <t>Arkadaki çift de az önce tartıştı. Kaç kişi olduğun onları senden daha çok düşündürüyor.</t>
        </is>
      </c>
      <c r="E305" s="6" t="inlineStr"/>
      <c r="F305" s="5" t="inlineStr"/>
    </row>
    <row r="306">
      <c r="A306" s="5" t="inlineStr">
        <is>
          <t>mb-terfi-yarisi</t>
        </is>
      </c>
      <c r="B306" s="5" t="inlineStr">
        <is>
          <t>Cesaret</t>
        </is>
      </c>
      <c r="C306" s="5" t="inlineStr">
        <is>
          <t>Orta</t>
        </is>
      </c>
      <c r="D306" s="6" t="inlineStr">
        <is>
          <t>Slaytlar hazır. Ellerin terliyorsa kumandayı sıkı tut.</t>
        </is>
      </c>
      <c r="E306" s="6" t="inlineStr"/>
      <c r="F306" s="5" t="inlineStr"/>
    </row>
    <row r="307">
      <c r="A307" s="5" t="inlineStr">
        <is>
          <t>mb-terfi-yarisi</t>
        </is>
      </c>
      <c r="B307" s="5" t="inlineStr">
        <is>
          <t>Vicdan</t>
        </is>
      </c>
      <c r="C307" s="5" t="inlineStr">
        <is>
          <t>Kolay</t>
        </is>
      </c>
      <c r="D307" s="6" t="inlineStr">
        <is>
          <t>Rakibinin masasında iki çocuk fotoğrafı var. Seninkinde bir bitki. O da kurudu.</t>
        </is>
      </c>
      <c r="E307" s="6" t="inlineStr"/>
      <c r="F307" s="5" t="inlineStr"/>
    </row>
    <row r="308">
      <c r="A308" s="5" t="inlineStr">
        <is>
          <t>mm-lojman-kurasi</t>
        </is>
      </c>
      <c r="B308" s="5" t="inlineStr">
        <is>
          <t>Kurnazlık</t>
        </is>
      </c>
      <c r="C308" s="5" t="inlineStr">
        <is>
          <t>Orta</t>
        </is>
      </c>
      <c r="D308" s="6" t="inlineStr">
        <is>
          <t>Müdürün alt katı kaloriferli ama bedava değil. Bedeli sessizlik.</t>
        </is>
      </c>
      <c r="E308" s="6" t="inlineStr"/>
      <c r="F308" s="5" t="inlineStr"/>
    </row>
    <row r="309">
      <c r="A309" s="5" t="inlineStr">
        <is>
          <t>mm-lojman-kurasi</t>
        </is>
      </c>
      <c r="B309" s="5" t="inlineStr">
        <is>
          <t>Sosyal Radar</t>
        </is>
      </c>
      <c r="C309" s="5" t="inlineStr">
        <is>
          <t>Zor</t>
        </is>
      </c>
      <c r="D309" s="6" t="inlineStr">
        <is>
          <t>Kura torbası müdürün sekreterinde. Sekreterin kızı da lojman istiyor.</t>
        </is>
      </c>
      <c r="E309" s="6" t="inlineStr"/>
      <c r="F309" s="5" t="inlineStr"/>
    </row>
    <row r="310">
      <c r="A310" s="5" t="inlineStr">
        <is>
          <t>b7-bayram-rotasi</t>
        </is>
      </c>
      <c r="B310" s="5" t="inlineStr">
        <is>
          <t>Sosyal Radar</t>
        </is>
      </c>
      <c r="C310" s="5" t="inlineStr">
        <is>
          <t>Orta</t>
        </is>
      </c>
      <c r="D310" s="6" t="inlineStr">
        <is>
          <t>Geçen bayram eşinin ailesindeydiniz. Annen bunu 'şaka yollu' dört kez hatırlattı.</t>
        </is>
      </c>
      <c r="E310" s="6" t="inlineStr"/>
      <c r="F310" s="5" t="inlineStr"/>
    </row>
    <row r="311">
      <c r="A311" s="5" t="inlineStr">
        <is>
          <t>b7-bayram-rotasi</t>
        </is>
      </c>
      <c r="B311" s="5" t="inlineStr">
        <is>
          <t>Akıl</t>
        </is>
      </c>
      <c r="C311" s="5" t="inlineStr">
        <is>
          <t>Kolay</t>
        </is>
      </c>
      <c r="D311" s="6" t="inlineStr">
        <is>
          <t>Bu klasik bir sıfır toplamlı oyun. Kazanan tek taraf otoyol işletmesi.</t>
        </is>
      </c>
      <c r="E311" s="6" t="inlineStr"/>
      <c r="F311" s="5" t="inlineStr"/>
    </row>
    <row r="312">
      <c r="A312" s="5" t="inlineStr">
        <is>
          <t>b7-uykusuz-geceler</t>
        </is>
      </c>
      <c r="B312" s="5" t="inlineStr">
        <is>
          <t>Dayanıklılık</t>
        </is>
      </c>
      <c r="C312" s="5" t="inlineStr">
        <is>
          <t>Orta</t>
        </is>
      </c>
      <c r="D312" s="6" t="inlineStr">
        <is>
          <t>İlk üç ay en zoru. Sonra ikinci üç ay gelir. Sonra... koşmaya devam.</t>
        </is>
      </c>
      <c r="E312" s="6" t="inlineStr"/>
      <c r="F312" s="5" t="inlineStr"/>
    </row>
    <row r="313">
      <c r="A313" s="5" t="inlineStr">
        <is>
          <t>b7-uykusuz-geceler</t>
        </is>
      </c>
      <c r="B313" s="5" t="inlineStr">
        <is>
          <t>Vicdan</t>
        </is>
      </c>
      <c r="C313" s="5" t="inlineStr">
        <is>
          <t>Kolay</t>
        </is>
      </c>
      <c r="D313" s="6" t="inlineStr">
        <is>
          <t>Seni de böyle uyuttular evladım. Bir teşekkür mesajı at. Sabah. Uyanınca.</t>
        </is>
      </c>
      <c r="E313" s="6" t="inlineStr"/>
      <c r="F313" s="5" t="inlineStr"/>
    </row>
    <row r="314">
      <c r="A314" s="5" t="inlineStr">
        <is>
          <t>b7-site-toplantisi</t>
        </is>
      </c>
      <c r="B314" s="5" t="inlineStr">
        <is>
          <t>Sosyal Radar</t>
        </is>
      </c>
      <c r="C314" s="5" t="inlineStr">
        <is>
          <t>Orta</t>
        </is>
      </c>
      <c r="D314" s="6" t="inlineStr">
        <is>
          <t>Yönetici ile 2 numara arasında eski bir otopark davası var. Bütün toplantı aslında o.</t>
        </is>
      </c>
      <c r="E314" s="6" t="inlineStr"/>
      <c r="F314" s="5" t="inlineStr"/>
    </row>
    <row r="315">
      <c r="A315" s="5" t="inlineStr">
        <is>
          <t>b7-site-toplantisi</t>
        </is>
      </c>
      <c r="B315" s="5" t="inlineStr">
        <is>
          <t>Dayanıklılık</t>
        </is>
      </c>
      <c r="C315" s="5" t="inlineStr">
        <is>
          <t>Kolay</t>
        </is>
      </c>
      <c r="D315" s="6" t="inlineStr">
        <is>
          <t>Su şişeni al. Bu toplantıların üçüncü saati, maratonun son kilometresidir.</t>
        </is>
      </c>
      <c r="E315" s="6" t="inlineStr"/>
      <c r="F315" s="5" t="inlineStr"/>
    </row>
    <row r="316">
      <c r="A316" s="5" t="inlineStr">
        <is>
          <t>ms-yapay-zeka-rakip</t>
        </is>
      </c>
      <c r="B316" s="5" t="inlineStr">
        <is>
          <t>Akıl</t>
        </is>
      </c>
      <c r="C316" s="5" t="inlineStr">
        <is>
          <t>Orta</t>
        </is>
      </c>
      <c r="D316" s="6" t="inlineStr">
        <is>
          <t>Yapay zekânın çizdiği logoda şirketin adı üç farklı biçimde yazılmış.</t>
        </is>
      </c>
      <c r="E316" s="6" t="inlineStr"/>
      <c r="F316" s="5" t="inlineStr">
        <is>
          <t>E</t>
        </is>
      </c>
    </row>
    <row r="317">
      <c r="A317" s="5" t="inlineStr">
        <is>
          <t>ms-yapay-zeka-rakip</t>
        </is>
      </c>
      <c r="B317" s="5" t="inlineStr">
        <is>
          <t>Vicdan</t>
        </is>
      </c>
      <c r="C317" s="5" t="inlineStr">
        <is>
          <t>Kolay</t>
        </is>
      </c>
      <c r="D317" s="6" t="inlineStr">
        <is>
          <t>O el kimin eli, bilinmez. Ama senin elin beş parmaklı ve kira ödüyor.</t>
        </is>
      </c>
      <c r="E317" s="6" t="inlineStr"/>
      <c r="F317" s="5" t="inlineStr"/>
    </row>
    <row r="318">
      <c r="A318" s="5" t="inlineStr">
        <is>
          <t>b7-ilk-kelime</t>
        </is>
      </c>
      <c r="B318" s="5" t="inlineStr">
        <is>
          <t>Sosyal Radar</t>
        </is>
      </c>
      <c r="C318" s="5" t="inlineStr">
        <is>
          <t>Kolay</t>
        </is>
      </c>
      <c r="D318" s="6" t="inlineStr">
        <is>
          <t>Kayınvalide 'anneanne' demesini umuyor. Annen de. Bu bir finaldir.</t>
        </is>
      </c>
      <c r="E318" s="6" t="inlineStr"/>
      <c r="F318" s="5" t="inlineStr"/>
    </row>
    <row r="319">
      <c r="A319" s="5" t="inlineStr">
        <is>
          <t>b7-ilk-kelime</t>
        </is>
      </c>
      <c r="B319" s="5" t="inlineStr">
        <is>
          <t>Pişkinlik</t>
        </is>
      </c>
      <c r="C319" s="5" t="inlineStr">
        <is>
          <t>Orta</t>
        </is>
      </c>
      <c r="D319" s="6" t="inlineStr">
        <is>
          <t>Kameralar hazır. İlk kelime ne olursa olsun, sunum senin. Gülümse.</t>
        </is>
      </c>
      <c r="E319" s="6" t="inlineStr"/>
      <c r="F319" s="5" t="inlineStr"/>
    </row>
    <row r="320">
      <c r="A320" s="5" t="inlineStr">
        <is>
          <t>b7-cocuklu-dogum-gunu</t>
        </is>
      </c>
      <c r="B320" s="5" t="inlineStr">
        <is>
          <t>Sosyal Radar</t>
        </is>
      </c>
      <c r="C320" s="5" t="inlineStr">
        <is>
          <t>Orta</t>
        </is>
      </c>
      <c r="D320" s="6" t="inlineStr">
        <is>
          <t>Palyaço da bekâr. Göz göze geldiniz. Bir dayanışma hissettin.</t>
        </is>
      </c>
      <c r="E320" s="6" t="inlineStr"/>
      <c r="F320" s="5" t="inlineStr"/>
    </row>
    <row r="321">
      <c r="A321" s="5" t="inlineStr">
        <is>
          <t>b7-cocuklu-dogum-gunu</t>
        </is>
      </c>
      <c r="B321" s="5" t="inlineStr">
        <is>
          <t>Vicdan</t>
        </is>
      </c>
      <c r="C321" s="5" t="inlineStr">
        <is>
          <t>Kolay</t>
        </is>
      </c>
      <c r="D321" s="6" t="inlineStr">
        <is>
          <t>Hediye paketini kendin sar, evladım. Hazır poşet belli oluyor.</t>
        </is>
      </c>
      <c r="E321" s="6" t="inlineStr"/>
      <c r="F321" s="5" t="inlineStr"/>
    </row>
    <row r="322">
      <c r="A322" s="5" t="inlineStr">
        <is>
          <t>b7-ev-esyasi</t>
        </is>
      </c>
      <c r="B322" s="5" t="inlineStr">
        <is>
          <t>Sosyal Radar</t>
        </is>
      </c>
      <c r="C322" s="5" t="inlineStr">
        <is>
          <t>Kolay</t>
        </is>
      </c>
      <c r="D322" s="6" t="inlineStr">
        <is>
          <t>Bu koltuk kavgası değil. Kimin evinin bu olduğu kavgası.</t>
        </is>
      </c>
      <c r="E322" s="6" t="inlineStr"/>
      <c r="F322" s="5" t="inlineStr"/>
    </row>
    <row r="323">
      <c r="A323" s="5" t="inlineStr">
        <is>
          <t>b7-ev-esyasi</t>
        </is>
      </c>
      <c r="B323" s="5" t="inlineStr">
        <is>
          <t>Akıl</t>
        </is>
      </c>
      <c r="C323" s="5" t="inlineStr">
        <is>
          <t>Orta</t>
        </is>
      </c>
      <c r="D323" s="6" t="inlineStr">
        <is>
          <t>Koltuk, bir evin en uzun süre değiştirilmeyen eşyasıdır. Bir evlilikten uzun sürdüğü de görülmüştür.</t>
        </is>
      </c>
      <c r="E323" s="6" t="inlineStr"/>
      <c r="F323" s="5" t="inlineStr"/>
    </row>
    <row r="324">
      <c r="A324" s="5" t="inlineStr">
        <is>
          <t>mb-yillik-izin</t>
        </is>
      </c>
      <c r="B324" s="5" t="inlineStr">
        <is>
          <t>Sosyal Radar</t>
        </is>
      </c>
      <c r="C324" s="5" t="inlineStr">
        <is>
          <t>Orta</t>
        </is>
      </c>
      <c r="D324" s="6" t="inlineStr">
        <is>
          <t>Yöneticinin kendi izni daha girilmemiş. Önce onun tarihini öğren.</t>
        </is>
      </c>
      <c r="E324" s="6" t="inlineStr"/>
      <c r="F324" s="5" t="inlineStr">
        <is>
          <t>E</t>
        </is>
      </c>
    </row>
    <row r="325">
      <c r="A325" s="5" t="inlineStr">
        <is>
          <t>me-cirak</t>
        </is>
      </c>
      <c r="B325" s="5" t="inlineStr">
        <is>
          <t>Vicdan</t>
        </is>
      </c>
      <c r="C325" s="5" t="inlineStr">
        <is>
          <t>Kolay</t>
        </is>
      </c>
      <c r="D325" s="6" t="inlineStr">
        <is>
          <t>Sen de bir zamanlar birinin kapısında durdun. O kapı açılmasaydı bu tezgâh olmazdı.</t>
        </is>
      </c>
      <c r="E325" s="6" t="inlineStr"/>
      <c r="F325" s="5" t="inlineStr"/>
    </row>
    <row r="326">
      <c r="A326" s="5" t="inlineStr">
        <is>
          <t>me-cirak</t>
        </is>
      </c>
      <c r="B326" s="5" t="inlineStr">
        <is>
          <t>Sosyal Radar</t>
        </is>
      </c>
      <c r="C326" s="5" t="inlineStr">
        <is>
          <t>Zor</t>
        </is>
      </c>
      <c r="D326" s="6" t="inlineStr">
        <is>
          <t>Telefonu hep elinde ama girer girmez vitrindeki üç yanlış etiketi gördü.</t>
        </is>
      </c>
      <c r="E326" s="6" t="inlineStr"/>
      <c r="F326" s="5" t="inlineStr">
        <is>
          <t>E</t>
        </is>
      </c>
    </row>
    <row r="327">
      <c r="A327" s="5" t="inlineStr">
        <is>
          <t>b7-ev-kredisi</t>
        </is>
      </c>
      <c r="B327" s="5" t="inlineStr">
        <is>
          <t>Kurnazlık</t>
        </is>
      </c>
      <c r="C327" s="5" t="inlineStr">
        <is>
          <t>Orta</t>
        </is>
      </c>
      <c r="D327" s="6" t="inlineStr">
        <is>
          <t>Bu temsilcinin aylık hedefi var ve ayın 28'i. Sıkıştırırsan esner.</t>
        </is>
      </c>
      <c r="E327" s="6" t="inlineStr"/>
      <c r="F327" s="5" t="inlineStr">
        <is>
          <t>E</t>
        </is>
      </c>
    </row>
    <row r="328">
      <c r="A328" s="5" t="inlineStr">
        <is>
          <t>b7-ev-kredisi</t>
        </is>
      </c>
      <c r="B328" s="5" t="inlineStr">
        <is>
          <t>Akıl</t>
        </is>
      </c>
      <c r="C328" s="5" t="inlineStr">
        <is>
          <t>Kolay</t>
        </is>
      </c>
      <c r="D328" s="6" t="inlineStr">
        <is>
          <t>Yirmi yıl boyunca bu evin bir kısmı bankanın. Sen de o süre boyunca bir kısmı bankasın.</t>
        </is>
      </c>
      <c r="E328" s="6" t="inlineStr"/>
      <c r="F328" s="5" t="inlineStr"/>
    </row>
    <row r="329">
      <c r="A329" s="5" t="inlineStr">
        <is>
          <t>b7-kres-kaydi</t>
        </is>
      </c>
      <c r="B329" s="5" t="inlineStr">
        <is>
          <t>Sosyal Radar</t>
        </is>
      </c>
      <c r="C329" s="5" t="inlineStr">
        <is>
          <t>Orta</t>
        </is>
      </c>
      <c r="D329" s="6" t="inlineStr">
        <is>
          <t>Müdür her velinin ayakkabısına bakıyor. Bu kreş, sosyal ağ kurmak için bir yatırım.</t>
        </is>
      </c>
      <c r="E329" s="6" t="inlineStr"/>
      <c r="F329" s="5" t="inlineStr"/>
    </row>
    <row r="330">
      <c r="A330" s="5" t="inlineStr">
        <is>
          <t>b7-kres-kaydi</t>
        </is>
      </c>
      <c r="B330" s="5" t="inlineStr">
        <is>
          <t>Vicdan</t>
        </is>
      </c>
      <c r="C330" s="5" t="inlineStr">
        <is>
          <t>Kolay</t>
        </is>
      </c>
      <c r="D330" s="6" t="inlineStr">
        <is>
          <t>İlk gün ağlayacak, evladım. Sen de ağlayacaksın. Kapıdan çıkınca ağla.</t>
        </is>
      </c>
      <c r="E330" s="6" t="inlineStr"/>
      <c r="F330" s="5" t="inlineStr"/>
    </row>
    <row r="331">
      <c r="A331" s="5" t="inlineStr">
        <is>
          <t>mm-kayip-dosya</t>
        </is>
      </c>
      <c r="B331" s="5" t="inlineStr">
        <is>
          <t>Akıl</t>
        </is>
      </c>
      <c r="C331" s="5" t="inlineStr">
        <is>
          <t>Zor</t>
        </is>
      </c>
      <c r="D331" s="6" t="inlineStr">
        <is>
          <t>Dosyalar kaybolmaz, yanlış yere gider. Yanlış yer genelde bir önceki yerdir.</t>
        </is>
      </c>
      <c r="E331" s="6" t="inlineStr"/>
      <c r="F331" s="5" t="inlineStr"/>
    </row>
    <row r="332">
      <c r="A332" s="5" t="inlineStr">
        <is>
          <t>mm-kayip-dosya</t>
        </is>
      </c>
      <c r="B332" s="5" t="inlineStr">
        <is>
          <t>Vicdan</t>
        </is>
      </c>
      <c r="C332" s="5" t="inlineStr">
        <is>
          <t>Orta</t>
        </is>
      </c>
      <c r="D332" s="6" t="inlineStr">
        <is>
          <t>Dosyanın sahibi dört yıldır her salı aynı saatte gelip aynı sandalyeye oturuyor.</t>
        </is>
      </c>
      <c r="E332" s="6" t="inlineStr"/>
      <c r="F332" s="5" t="inlineStr">
        <is>
          <t>E</t>
        </is>
      </c>
    </row>
    <row r="333">
      <c r="A333" s="5" t="inlineStr">
        <is>
          <t>b7-saglik-kontrolu</t>
        </is>
      </c>
      <c r="B333" s="5" t="inlineStr">
        <is>
          <t>Dayanıklılık</t>
        </is>
      </c>
      <c r="C333" s="5" t="inlineStr">
        <is>
          <t>Orta</t>
        </is>
      </c>
      <c r="D333" s="6" t="inlineStr">
        <is>
          <t>Merdivenleri çıkarken nefes nefese kaldın. Doktor bunu tahlilden önce gördü.</t>
        </is>
      </c>
      <c r="E333" s="6" t="inlineStr"/>
      <c r="F333" s="5" t="inlineStr"/>
    </row>
    <row r="334">
      <c r="A334" s="5" t="inlineStr">
        <is>
          <t>b7-saglik-kontrolu</t>
        </is>
      </c>
      <c r="B334" s="5" t="inlineStr">
        <is>
          <t>Vicdan</t>
        </is>
      </c>
      <c r="C334" s="5" t="inlineStr">
        <is>
          <t>Kolay</t>
        </is>
      </c>
      <c r="D334" s="6" t="inlineStr">
        <is>
          <t>Kendine iyi bak, evladım. Kimse senin yerine bakmayacak.</t>
        </is>
      </c>
      <c r="E334" s="6" t="inlineStr"/>
      <c r="F334" s="5" t="inlineStr"/>
    </row>
    <row r="335">
      <c r="A335" s="5" t="inlineStr">
        <is>
          <t>b7-bekar-evi</t>
        </is>
      </c>
      <c r="B335" s="5" t="inlineStr">
        <is>
          <t>Akıl</t>
        </is>
      </c>
      <c r="C335" s="5" t="inlineStr">
        <is>
          <t>Orta</t>
        </is>
      </c>
      <c r="D335" s="6" t="inlineStr">
        <is>
          <t>Bu ay yemek siparişine harcadığın para, bir mutfak robotunun fiyatını geçti. Robotu da sipariş edebilirsin.</t>
        </is>
      </c>
      <c r="E335" s="6" t="inlineStr"/>
      <c r="F335" s="5" t="inlineStr"/>
    </row>
    <row r="336">
      <c r="A336" s="5" t="inlineStr">
        <is>
          <t>b7-bekar-evi</t>
        </is>
      </c>
      <c r="B336" s="5" t="inlineStr">
        <is>
          <t>Dayanıklılık</t>
        </is>
      </c>
      <c r="C336" s="5" t="inlineStr">
        <is>
          <t>Kolay</t>
        </is>
      </c>
      <c r="D336" s="6" t="inlineStr">
        <is>
          <t>Bir yumurta bile bir öğündür, komşu. Yeter ki inanasın.</t>
        </is>
      </c>
      <c r="E336" s="6" t="inlineStr"/>
      <c r="F336" s="5" t="inlineStr"/>
    </row>
    <row r="337">
      <c r="A337" s="5" t="inlineStr">
        <is>
          <t>b7-hastane-gecesi</t>
        </is>
      </c>
      <c r="B337" s="5" t="inlineStr">
        <is>
          <t>Vicdan</t>
        </is>
      </c>
      <c r="C337" s="5" t="inlineStr">
        <is>
          <t>Kolay</t>
        </is>
      </c>
      <c r="D337" s="6" t="inlineStr">
        <is>
          <t>Korkma, evladım. Çocuklar ateşlenir, iner. Ebeveyn ateşlenir, inmez.</t>
        </is>
      </c>
      <c r="E337" s="6" t="inlineStr"/>
      <c r="F337" s="5" t="inlineStr"/>
    </row>
    <row r="338">
      <c r="A338" s="5" t="inlineStr">
        <is>
          <t>b7-hastane-gecesi</t>
        </is>
      </c>
      <c r="B338" s="5" t="inlineStr">
        <is>
          <t>Dayanıklılık</t>
        </is>
      </c>
      <c r="C338" s="5" t="inlineStr">
        <is>
          <t>Orta</t>
        </is>
      </c>
      <c r="D338" s="6" t="inlineStr">
        <is>
          <t>Sabah toplantın var. Bu gece uyumamak bir tercih değil, bir kader.</t>
        </is>
      </c>
      <c r="E338" s="6" t="inlineStr"/>
      <c r="F338" s="5" t="inlineStr"/>
    </row>
    <row r="339">
      <c r="A339" s="5" t="inlineStr">
        <is>
          <t>ms-gercek-is</t>
        </is>
      </c>
      <c r="B339" s="5" t="inlineStr">
        <is>
          <t>Sosyal Radar</t>
        </is>
      </c>
      <c r="C339" s="5" t="inlineStr">
        <is>
          <t>Orta</t>
        </is>
      </c>
      <c r="D339" s="6" t="inlineStr">
        <is>
          <t>Masadaki kuzen de serbest çalışıyor ama herkese 'danışmanım' diyor.</t>
        </is>
      </c>
      <c r="E339" s="6" t="inlineStr"/>
      <c r="F339" s="5" t="inlineStr">
        <is>
          <t>E</t>
        </is>
      </c>
    </row>
    <row r="340">
      <c r="A340" s="5" t="inlineStr">
        <is>
          <t>ms-gercek-is</t>
        </is>
      </c>
      <c r="B340" s="5" t="inlineStr">
        <is>
          <t>Çene</t>
        </is>
      </c>
      <c r="C340" s="5" t="inlineStr">
        <is>
          <t>Kolay</t>
        </is>
      </c>
      <c r="D340" s="6" t="inlineStr">
        <is>
          <t>Teyzenin sorusu soru değil. Açılış konuşması.</t>
        </is>
      </c>
      <c r="E340" s="6" t="inlineStr"/>
      <c r="F340" s="5" t="inlineStr"/>
    </row>
    <row r="341">
      <c r="A341" s="5" t="inlineStr">
        <is>
          <t>b7-mutfak-tadilati</t>
        </is>
      </c>
      <c r="B341" s="5" t="inlineStr">
        <is>
          <t>Sosyal Radar</t>
        </is>
      </c>
      <c r="C341" s="5" t="inlineStr">
        <is>
          <t>Orta</t>
        </is>
      </c>
      <c r="D341" s="6" t="inlineStr">
        <is>
          <t>Usta bu tartışmayı yüz kez gördü. Çayını yavaş içmesinin sebebi bu.</t>
        </is>
      </c>
      <c r="E341" s="6" t="inlineStr"/>
      <c r="F341" s="5" t="inlineStr"/>
    </row>
    <row r="342">
      <c r="A342" s="5" t="inlineStr">
        <is>
          <t>b7-mutfak-tadilati</t>
        </is>
      </c>
      <c r="B342" s="5" t="inlineStr">
        <is>
          <t>Vicdan</t>
        </is>
      </c>
      <c r="C342" s="5" t="inlineStr">
        <is>
          <t>Zor</t>
        </is>
      </c>
      <c r="D342" s="6" t="inlineStr">
        <is>
          <t>Dolap rengi yüzünden ayrılan çok çift gördüm, evladım. Asıl sebep hiçbir zaman dolap değildi.</t>
        </is>
      </c>
      <c r="E342" s="6" t="inlineStr"/>
      <c r="F342" s="5" t="inlineStr"/>
    </row>
    <row r="343">
      <c r="A343" s="5" t="inlineStr">
        <is>
          <t>b7-ebeveyn-grubu</t>
        </is>
      </c>
      <c r="B343" s="5" t="inlineStr">
        <is>
          <t>Sosyal Radar</t>
        </is>
      </c>
      <c r="C343" s="5" t="inlineStr">
        <is>
          <t>Kolay</t>
        </is>
      </c>
      <c r="D343" s="6" t="inlineStr">
        <is>
          <t>Grubun yöneticisi sabah altıda mesaj atan biri. Ona karşı gelme.</t>
        </is>
      </c>
      <c r="E343" s="6" t="inlineStr"/>
      <c r="F343" s="5" t="inlineStr"/>
    </row>
    <row r="344">
      <c r="A344" s="5" t="inlineStr">
        <is>
          <t>b7-ebeveyn-grubu</t>
        </is>
      </c>
      <c r="B344" s="5" t="inlineStr">
        <is>
          <t>Pişkinlik</t>
        </is>
      </c>
      <c r="C344" s="5" t="inlineStr">
        <is>
          <t>Orta</t>
        </is>
      </c>
      <c r="D344" s="6" t="inlineStr">
        <is>
          <t>Bir emoji bile atsan, varlık sinyali verirsin. Sinyal ver, sonra kaybol.</t>
        </is>
      </c>
      <c r="E344" s="6" t="inlineStr"/>
      <c r="F344" s="5" t="inlineStr"/>
    </row>
    <row r="345">
      <c r="A345" s="5" t="inlineStr">
        <is>
          <t>mb-takim-ruhu</t>
        </is>
      </c>
      <c r="B345" s="5" t="inlineStr">
        <is>
          <t>Dayanıklılık</t>
        </is>
      </c>
      <c r="C345" s="5" t="inlineStr">
        <is>
          <t>Kolay</t>
        </is>
      </c>
      <c r="D345" s="6" t="inlineStr">
        <is>
          <t>Halat çekme yok, değil mi? Var. Muhasebeyle karşı karşıyasınız.</t>
        </is>
      </c>
      <c r="E345" s="6" t="inlineStr"/>
      <c r="F345" s="5" t="inlineStr"/>
    </row>
    <row r="346">
      <c r="A346" s="5" t="inlineStr">
        <is>
          <t>mb-takim-ruhu</t>
        </is>
      </c>
      <c r="B346" s="5" t="inlineStr">
        <is>
          <t>Cesaret</t>
        </is>
      </c>
      <c r="C346" s="5" t="inlineStr">
        <is>
          <t>Orta</t>
        </is>
      </c>
      <c r="D346" s="6" t="inlineStr">
        <is>
          <t>Arkana düşeceksin, önündekiler seni tutacak. Önündekiler dün senin raporunu reddetti.</t>
        </is>
      </c>
      <c r="E346" s="6" t="inlineStr"/>
      <c r="F346" s="5" t="inlineStr"/>
    </row>
    <row r="347">
      <c r="A347" s="5" t="inlineStr">
        <is>
          <t>me-indirim-sezonu</t>
        </is>
      </c>
      <c r="B347" s="5" t="inlineStr">
        <is>
          <t>Çene</t>
        </is>
      </c>
      <c r="C347" s="5" t="inlineStr">
        <is>
          <t>Kolay</t>
        </is>
      </c>
      <c r="D347" s="6" t="inlineStr">
        <is>
          <t>İndirim bir sayı değil, bir hikâyedir. 'Size özel' demeyi unutma.</t>
        </is>
      </c>
      <c r="E347" s="6" t="inlineStr"/>
      <c r="F347" s="5" t="inlineStr"/>
    </row>
    <row r="348">
      <c r="A348" s="5" t="inlineStr">
        <is>
          <t>me-indirim-sezonu</t>
        </is>
      </c>
      <c r="B348" s="5" t="inlineStr">
        <is>
          <t>Dayanıklılık</t>
        </is>
      </c>
      <c r="C348" s="5" t="inlineStr">
        <is>
          <t>Orta</t>
        </is>
      </c>
      <c r="D348" s="6" t="inlineStr">
        <is>
          <t>Gün on dört saat, merdiven altı basamak. Önce ısın.</t>
        </is>
      </c>
      <c r="E348" s="6" t="inlineStr"/>
      <c r="F348" s="5" t="inlineStr"/>
    </row>
    <row r="349">
      <c r="A349" s="5" t="inlineStr">
        <is>
          <t>b7-borc-batagi</t>
        </is>
      </c>
      <c r="B349" s="5" t="inlineStr">
        <is>
          <t>Akıl</t>
        </is>
      </c>
      <c r="C349" s="5" t="inlineStr">
        <is>
          <t>Orta</t>
        </is>
      </c>
      <c r="D349" s="6" t="inlineStr">
        <is>
          <t>Asgari ödemenin matematiği: sonsuza kadar ödersin, borç sonsuza kadar kalır.</t>
        </is>
      </c>
      <c r="E349" s="6" t="inlineStr"/>
      <c r="F349" s="5" t="inlineStr"/>
    </row>
    <row r="350">
      <c r="A350" s="5" t="inlineStr">
        <is>
          <t>b7-borc-batagi</t>
        </is>
      </c>
      <c r="B350" s="5" t="inlineStr">
        <is>
          <t>Kurnazlık</t>
        </is>
      </c>
      <c r="C350" s="5" t="inlineStr">
        <is>
          <t>Kolay</t>
        </is>
      </c>
      <c r="D350" s="6" t="inlineStr">
        <is>
          <t>Kartla kartı ödemek bir sanat, evlat. Ama sanat da her zaman kazanmaz.</t>
        </is>
      </c>
      <c r="E350" s="6" t="inlineStr"/>
      <c r="F350" s="5" t="inlineStr"/>
    </row>
    <row r="351">
      <c r="A351" s="5" t="inlineStr">
        <is>
          <t>b7-dogum-gunu-partisi</t>
        </is>
      </c>
      <c r="B351" s="5" t="inlineStr">
        <is>
          <t>Sosyal Radar</t>
        </is>
      </c>
      <c r="C351" s="5" t="inlineStr">
        <is>
          <t>Orta</t>
        </is>
      </c>
      <c r="D351" s="6" t="inlineStr">
        <is>
          <t>Veli grubundaki en rekabetçi aile de davetli. Fotoğrafları her açıdan çekecek.</t>
        </is>
      </c>
      <c r="E351" s="6" t="inlineStr"/>
      <c r="F351" s="5" t="inlineStr"/>
    </row>
    <row r="352">
      <c r="A352" s="5" t="inlineStr">
        <is>
          <t>b7-dogum-gunu-partisi</t>
        </is>
      </c>
      <c r="B352" s="5" t="inlineStr">
        <is>
          <t>Pişkinlik</t>
        </is>
      </c>
      <c r="C352" s="5" t="inlineStr">
        <is>
          <t>Kolay</t>
        </is>
      </c>
      <c r="D352" s="6" t="inlineStr">
        <is>
          <t>Tema uzay ama sen kendini parti sunucusu say. Mikrofonu al.</t>
        </is>
      </c>
      <c r="E352" s="6" t="inlineStr"/>
      <c r="F352" s="5" t="inlineStr"/>
    </row>
    <row r="353">
      <c r="A353" s="5" t="inlineStr">
        <is>
          <t>mm-kurum-piknigi</t>
        </is>
      </c>
      <c r="B353" s="5" t="inlineStr">
        <is>
          <t>Cesaret</t>
        </is>
      </c>
      <c r="C353" s="5" t="inlineStr">
        <is>
          <t>Orta</t>
        </is>
      </c>
      <c r="D353" s="6" t="inlineStr">
        <is>
          <t>Ayaklarını çime göm. Rütbeyi değil, halatı tut.</t>
        </is>
      </c>
      <c r="E353" s="6" t="inlineStr"/>
      <c r="F353" s="5" t="inlineStr"/>
    </row>
    <row r="354">
      <c r="A354" s="5" t="inlineStr">
        <is>
          <t>mm-kurum-piknigi</t>
        </is>
      </c>
      <c r="B354" s="5" t="inlineStr">
        <is>
          <t>Sosyal Radar</t>
        </is>
      </c>
      <c r="C354" s="5" t="inlineStr">
        <is>
          <t>Kolay</t>
        </is>
      </c>
      <c r="D354" s="6" t="inlineStr">
        <is>
          <t>Mangaldaki şef köfteleri rütbe sırasıyla dağıtıyor. Sıra sende değil.</t>
        </is>
      </c>
      <c r="E354" s="6" t="inlineStr"/>
      <c r="F354" s="5" t="inlineStr"/>
    </row>
    <row r="355">
      <c r="A355" s="5" t="inlineStr">
        <is>
          <t>b7-yil-donumu</t>
        </is>
      </c>
      <c r="B355" s="5" t="inlineStr">
        <is>
          <t>Vicdan</t>
        </is>
      </c>
      <c r="C355" s="5" t="inlineStr">
        <is>
          <t>Orta</t>
        </is>
      </c>
      <c r="D355" s="6" t="inlineStr">
        <is>
          <t>Unutmak normal, evladım. Hatırlamak bir tercih.</t>
        </is>
      </c>
      <c r="E355" s="6" t="inlineStr"/>
      <c r="F355" s="5" t="inlineStr"/>
    </row>
    <row r="356">
      <c r="A356" s="5" t="inlineStr">
        <is>
          <t>b7-yil-donumu</t>
        </is>
      </c>
      <c r="B356" s="5" t="inlineStr">
        <is>
          <t>Sosyal Radar</t>
        </is>
      </c>
      <c r="C356" s="5" t="inlineStr">
        <is>
          <t>Kolay</t>
        </is>
      </c>
      <c r="D356" s="6" t="inlineStr">
        <is>
          <t>Eşin bu tarihi senden önce biliyordu. Bekliyor. Ne kadar beklediğini göstermiyor.</t>
        </is>
      </c>
      <c r="E356" s="6" t="inlineStr"/>
      <c r="F356" s="5" t="inlineStr"/>
    </row>
    <row r="357">
      <c r="A357" s="5" t="inlineStr">
        <is>
          <t>b8-kirk-yas</t>
        </is>
      </c>
      <c r="B357" s="5" t="inlineStr">
        <is>
          <t>Dayanıklılık</t>
        </is>
      </c>
      <c r="C357" s="5" t="inlineStr">
        <is>
          <t>Orta</t>
        </is>
      </c>
      <c r="D357" s="6" t="inlineStr">
        <is>
          <t>Merdiven çıkarken ses çıkaran tek şey sen değilsin. Dizlerin de toplantıya katılıyor.</t>
        </is>
      </c>
      <c r="E357" s="6" t="inlineStr"/>
      <c r="F357" s="5" t="inlineStr"/>
    </row>
    <row r="358">
      <c r="A358" s="5" t="inlineStr">
        <is>
          <t>b8-kirk-yas</t>
        </is>
      </c>
      <c r="B358" s="5" t="inlineStr">
        <is>
          <t>Akıl</t>
        </is>
      </c>
      <c r="C358" s="5" t="inlineStr">
        <is>
          <t>Zor</t>
        </is>
      </c>
      <c r="D358" s="6" t="inlineStr">
        <is>
          <t>Hayatın ortası değil bu. İstatistiksel olarak ortası çoktan geçti. Neyse ki kimse hesaplamadı.</t>
        </is>
      </c>
      <c r="E358" s="6" t="inlineStr"/>
      <c r="F358" s="5" t="inlineStr">
        <is>
          <t>E</t>
        </is>
      </c>
    </row>
    <row r="359">
      <c r="A359" s="5" t="inlineStr">
        <is>
          <t>b8-motosiklet</t>
        </is>
      </c>
      <c r="B359" s="5" t="inlineStr">
        <is>
          <t>Cesaret</t>
        </is>
      </c>
      <c r="C359" s="5" t="inlineStr">
        <is>
          <t>Kolay</t>
        </is>
      </c>
      <c r="D359" s="6" t="inlineStr">
        <is>
          <t>İki teker, bir kask, sonsuz özgürlük. Bir de sonsuz sigorta primi.</t>
        </is>
      </c>
      <c r="E359" s="6" t="inlineStr"/>
      <c r="F359" s="5" t="inlineStr"/>
    </row>
    <row r="360">
      <c r="A360" s="5" t="inlineStr">
        <is>
          <t>b8-motosiklet</t>
        </is>
      </c>
      <c r="B360" s="5" t="inlineStr">
        <is>
          <t>Vicdan</t>
        </is>
      </c>
      <c r="C360" s="5" t="inlineStr">
        <is>
          <t>Orta</t>
        </is>
      </c>
      <c r="D360" s="6" t="inlineStr">
        <is>
          <t>Evde biri bu haberi akşam yemeğinde, çorbanın ortasında öğrenecek. Onu da düşün.</t>
        </is>
      </c>
      <c r="E360" s="6" t="inlineStr"/>
      <c r="F360" s="5" t="inlineStr"/>
    </row>
    <row r="361">
      <c r="A361" s="5" t="inlineStr">
        <is>
          <t>b8-sac-meselesi</t>
        </is>
      </c>
      <c r="B361" s="5" t="inlineStr">
        <is>
          <t>Sosyal Radar</t>
        </is>
      </c>
      <c r="C361" s="5" t="inlineStr">
        <is>
          <t>Orta</t>
        </is>
      </c>
      <c r="D361" s="6" t="inlineStr">
        <is>
          <t>Berber üç kez 'Hiç önemli değil' dedi. Önemli olmasa bir kez derdi.</t>
        </is>
      </c>
      <c r="E361" s="6" t="inlineStr"/>
      <c r="F361" s="5" t="inlineStr"/>
    </row>
    <row r="362">
      <c r="A362" s="5" t="inlineStr">
        <is>
          <t>b8-sac-meselesi</t>
        </is>
      </c>
      <c r="B362" s="5" t="inlineStr">
        <is>
          <t>Pişkinlik</t>
        </is>
      </c>
      <c r="C362" s="5" t="inlineStr">
        <is>
          <t>Kolay</t>
        </is>
      </c>
      <c r="D362" s="6" t="inlineStr">
        <is>
          <t>Parlayan her şey kötü değildir. Kupa da parlar.</t>
        </is>
      </c>
      <c r="E362" s="6" t="inlineStr"/>
      <c r="F362" s="5" t="inlineStr"/>
    </row>
    <row r="363">
      <c r="A363" s="5" t="inlineStr">
        <is>
          <t>ms-sigortasiz-hayat</t>
        </is>
      </c>
      <c r="B363" s="5" t="inlineStr">
        <is>
          <t>Akıl</t>
        </is>
      </c>
      <c r="C363" s="5" t="inlineStr">
        <is>
          <t>Kolay</t>
        </is>
      </c>
      <c r="D363" s="6" t="inlineStr">
        <is>
          <t>Serbest çalışmanın matematiği: Hafta sonu yok, tatil yok, emeklilik de yok. Tutarlı.</t>
        </is>
      </c>
      <c r="E363" s="6" t="inlineStr"/>
      <c r="F363" s="5" t="inlineStr"/>
    </row>
    <row r="364">
      <c r="A364" s="5" t="inlineStr">
        <is>
          <t>ms-sigortasiz-hayat</t>
        </is>
      </c>
      <c r="B364" s="5" t="inlineStr">
        <is>
          <t>Vicdan</t>
        </is>
      </c>
      <c r="C364" s="5" t="inlineStr">
        <is>
          <t>Orta</t>
        </is>
      </c>
      <c r="D364" s="6" t="inlineStr">
        <is>
          <t>Annen yıllardır 'Sigortan var mı?' diye soruyordu. Yok.</t>
        </is>
      </c>
      <c r="E364" s="6" t="inlineStr"/>
      <c r="F364" s="5" t="inlineStr"/>
    </row>
    <row r="365">
      <c r="A365" s="5" t="inlineStr">
        <is>
          <t>b8-ergen-telefon</t>
        </is>
      </c>
      <c r="B365" s="5" t="inlineStr">
        <is>
          <t>Vicdan</t>
        </is>
      </c>
      <c r="C365" s="5" t="inlineStr">
        <is>
          <t>Orta</t>
        </is>
      </c>
      <c r="D365" s="6" t="inlineStr">
        <is>
          <t>Onun da bir iç dünyası var. Senin on dört yaşında olduğu gibi. Hatırla; ne kalabalıktı.</t>
        </is>
      </c>
      <c r="E365" s="6" t="inlineStr"/>
      <c r="F365" s="5" t="inlineStr">
        <is>
          <t>E</t>
        </is>
      </c>
    </row>
    <row r="366">
      <c r="A366" s="5" t="inlineStr">
        <is>
          <t>b8-ergen-telefon</t>
        </is>
      </c>
      <c r="B366" s="5" t="inlineStr">
        <is>
          <t>Kurnazlık</t>
        </is>
      </c>
      <c r="C366" s="5" t="inlineStr">
        <is>
          <t>Orta</t>
        </is>
      </c>
      <c r="D366" s="6" t="inlineStr">
        <is>
          <t>Şifre doğum tarihi değil. En sevdiği şarkıcının doğum tarihi.</t>
        </is>
      </c>
      <c r="E366" s="6" t="inlineStr"/>
      <c r="F366" s="5" t="inlineStr"/>
    </row>
    <row r="367">
      <c r="A367" s="5" t="inlineStr">
        <is>
          <t>b8-metabolizma</t>
        </is>
      </c>
      <c r="B367" s="5" t="inlineStr">
        <is>
          <t>Dayanıklılık</t>
        </is>
      </c>
      <c r="C367" s="5" t="inlineStr">
        <is>
          <t>Orta</t>
        </is>
      </c>
      <c r="D367" s="6" t="inlineStr">
        <is>
          <t>Yirmilerinde bir pizza bir gecede yanardı. Şimdi bir pizza, bir mevsim kalıyor.</t>
        </is>
      </c>
      <c r="E367" s="6" t="inlineStr"/>
      <c r="F367" s="5" t="inlineStr"/>
    </row>
    <row r="368">
      <c r="A368" s="5" t="inlineStr">
        <is>
          <t>b8-metabolizma</t>
        </is>
      </c>
      <c r="B368" s="5" t="inlineStr">
        <is>
          <t>Kurnazlık</t>
        </is>
      </c>
      <c r="C368" s="5" t="inlineStr">
        <is>
          <t>Kolay</t>
        </is>
      </c>
      <c r="D368" s="6" t="inlineStr">
        <is>
          <t>Tartıyı halının üstüne koy. Halı her şeyi yumuşatır.</t>
        </is>
      </c>
      <c r="E368" s="6" t="inlineStr"/>
      <c r="F368" s="5" t="inlineStr"/>
    </row>
    <row r="369">
      <c r="A369" s="5" t="inlineStr">
        <is>
          <t>mb-yapay-zeka</t>
        </is>
      </c>
      <c r="B369" s="5" t="inlineStr">
        <is>
          <t>Akıl</t>
        </is>
      </c>
      <c r="C369" s="5" t="inlineStr">
        <is>
          <t>Orta</t>
        </is>
      </c>
      <c r="D369" s="6" t="inlineStr">
        <is>
          <t>Aracın zayıf noktası: bağlam. Toplantılarda kimin kime kırgın olduğunu bilmiyor.</t>
        </is>
      </c>
      <c r="E369" s="6" t="inlineStr"/>
      <c r="F369" s="5" t="inlineStr">
        <is>
          <t>E</t>
        </is>
      </c>
    </row>
    <row r="370">
      <c r="A370" s="5" t="inlineStr">
        <is>
          <t>mb-yapay-zeka</t>
        </is>
      </c>
      <c r="B370" s="5" t="inlineStr">
        <is>
          <t>Vicdan</t>
        </is>
      </c>
      <c r="C370" s="5" t="inlineStr">
        <is>
          <t>Kolay</t>
        </is>
      </c>
      <c r="D370" s="6" t="inlineStr">
        <is>
          <t>Aracı eğiteceksin, araç seni gereksiz kılacak. Babaannen buna 'besle kargayı' derdi.</t>
        </is>
      </c>
      <c r="E370" s="6" t="inlineStr"/>
      <c r="F370" s="5" t="inlineStr"/>
    </row>
    <row r="371">
      <c r="A371" s="5" t="inlineStr">
        <is>
          <t>me-haber-merkezi</t>
        </is>
      </c>
      <c r="B371" s="5" t="inlineStr">
        <is>
          <t>Sosyal Radar</t>
        </is>
      </c>
      <c r="C371" s="5" t="inlineStr">
        <is>
          <t>Kolay</t>
        </is>
      </c>
      <c r="D371" s="6" t="inlineStr">
        <is>
          <t>Apartman yöneticisi bu akşam aidat artışını duyuracak. Şu an bilen tek kişi sensin; bir de yöneticinin eşi.</t>
        </is>
      </c>
      <c r="E371" s="6" t="inlineStr"/>
      <c r="F371" s="5" t="inlineStr">
        <is>
          <t>E</t>
        </is>
      </c>
    </row>
    <row r="372">
      <c r="A372" s="5" t="inlineStr">
        <is>
          <t>me-haber-merkezi</t>
        </is>
      </c>
      <c r="B372" s="5" t="inlineStr">
        <is>
          <t>Vicdan</t>
        </is>
      </c>
      <c r="C372" s="5" t="inlineStr">
        <is>
          <t>Orta</t>
        </is>
      </c>
      <c r="D372" s="6" t="inlineStr">
        <is>
          <t>Her duyduğun haber bir emanet. Emanetin de rafı yok.</t>
        </is>
      </c>
      <c r="E372" s="6" t="inlineStr"/>
      <c r="F372" s="5" t="inlineStr"/>
    </row>
    <row r="373">
      <c r="A373" s="5" t="inlineStr">
        <is>
          <t>mm-performans-formu</t>
        </is>
      </c>
      <c r="B373" s="5" t="inlineStr">
        <is>
          <t>Pişkinlik</t>
        </is>
      </c>
      <c r="C373" s="5" t="inlineStr">
        <is>
          <t>Orta</t>
        </is>
      </c>
      <c r="D373" s="6" t="inlineStr">
        <is>
          <t>Her maddeye 'mükemmel' yazma. Birine 'geliştirilebilir' yaz. İnandırıcılık.</t>
        </is>
      </c>
      <c r="E373" s="6" t="inlineStr"/>
      <c r="F373" s="5" t="inlineStr"/>
    </row>
    <row r="374">
      <c r="A374" s="5" t="inlineStr">
        <is>
          <t>mm-performans-formu</t>
        </is>
      </c>
      <c r="B374" s="5" t="inlineStr">
        <is>
          <t>Akıl</t>
        </is>
      </c>
      <c r="C374" s="5" t="inlineStr">
        <is>
          <t>Kolay</t>
        </is>
      </c>
      <c r="D374" s="6" t="inlineStr">
        <is>
          <t>Bu form bir ölçüm aracı değil, arşiv malzemesi. Kimse okumayacak ama herkes imzalayacak.</t>
        </is>
      </c>
      <c r="E374" s="6" t="inlineStr"/>
      <c r="F374" s="5" t="inlineStr"/>
    </row>
    <row r="375">
      <c r="A375" s="5" t="inlineStr">
        <is>
          <t>b8-gozluk</t>
        </is>
      </c>
      <c r="B375" s="5" t="inlineStr">
        <is>
          <t>Akıl</t>
        </is>
      </c>
      <c r="C375" s="5" t="inlineStr">
        <is>
          <t>Kolay</t>
        </is>
      </c>
      <c r="D375" s="6" t="inlineStr">
        <is>
          <t>Göz merceği esnekliğini kaybediyor. Sen de kaybediyorsun; o daha dürüst.</t>
        </is>
      </c>
      <c r="E375" s="6" t="inlineStr"/>
      <c r="F375" s="5" t="inlineStr"/>
    </row>
    <row r="376">
      <c r="A376" s="5" t="inlineStr">
        <is>
          <t>b8-gozluk</t>
        </is>
      </c>
      <c r="B376" s="5" t="inlineStr">
        <is>
          <t>Pişkinlik</t>
        </is>
      </c>
      <c r="C376" s="5" t="inlineStr">
        <is>
          <t>Orta</t>
        </is>
      </c>
      <c r="D376" s="6" t="inlineStr">
        <is>
          <t>Gözlüğü burnunun ucuna indirip üstünden bakmak, yaşlanmak değil; otorite kurmaktır.</t>
        </is>
      </c>
      <c r="E376" s="6" t="inlineStr"/>
      <c r="F376" s="5" t="inlineStr">
        <is>
          <t>E</t>
        </is>
      </c>
    </row>
    <row r="377">
      <c r="A377" s="5" t="inlineStr">
        <is>
          <t>b8-bayram-sofrasi</t>
        </is>
      </c>
      <c r="B377" s="5" t="inlineStr">
        <is>
          <t>Sosyal Radar</t>
        </is>
      </c>
      <c r="C377" s="5" t="inlineStr">
        <is>
          <t>Orta</t>
        </is>
      </c>
      <c r="D377" s="6" t="inlineStr">
        <is>
          <t>Halan üç yıldır bu anı bekliyor. Sofrayı o kurdu, oturma düzenini de.</t>
        </is>
      </c>
      <c r="E377" s="6" t="inlineStr"/>
      <c r="F377" s="5" t="inlineStr"/>
    </row>
    <row r="378">
      <c r="A378" s="5" t="inlineStr">
        <is>
          <t>b8-bayram-sofrasi</t>
        </is>
      </c>
      <c r="B378" s="5" t="inlineStr">
        <is>
          <t>Kurnazlık</t>
        </is>
      </c>
      <c r="C378" s="5" t="inlineStr">
        <is>
          <t>Zor</t>
        </is>
      </c>
      <c r="D378" s="6" t="inlineStr">
        <is>
          <t>Tarla dediği, yeni yolun geçeceği söylenen tarla. Söylenen.</t>
        </is>
      </c>
      <c r="E378" s="6" t="inlineStr"/>
      <c r="F378" s="5" t="inlineStr"/>
    </row>
    <row r="379">
      <c r="A379" s="5" t="inlineStr">
        <is>
          <t>b8-hastane-otoparki</t>
        </is>
      </c>
      <c r="B379" s="5" t="inlineStr">
        <is>
          <t>Kurnazlık</t>
        </is>
      </c>
      <c r="C379" s="5" t="inlineStr">
        <is>
          <t>Orta</t>
        </is>
      </c>
      <c r="D379" s="6" t="inlineStr">
        <is>
          <t>Başhekim bugün izinde. Bunu otopark görevlisinin rahat çay içişinden anlıyorsun.</t>
        </is>
      </c>
      <c r="E379" s="6" t="inlineStr"/>
      <c r="F379" s="5" t="inlineStr">
        <is>
          <t>E</t>
        </is>
      </c>
    </row>
    <row r="380">
      <c r="A380" s="5" t="inlineStr">
        <is>
          <t>b8-hastane-otoparki</t>
        </is>
      </c>
      <c r="B380" s="5" t="inlineStr">
        <is>
          <t>Dayanıklılık</t>
        </is>
      </c>
      <c r="C380" s="5" t="inlineStr">
        <is>
          <t>Kolay</t>
        </is>
      </c>
      <c r="D380" s="6" t="inlineStr">
        <is>
          <t>Otoparkta dört tur daha atarsan günlük adım hedefin tamamlanır.</t>
        </is>
      </c>
      <c r="E380" s="6" t="inlineStr"/>
      <c r="F380" s="5" t="inlineStr"/>
    </row>
    <row r="381">
      <c r="A381" s="5" t="inlineStr">
        <is>
          <t>b8-bekar-orta-yas</t>
        </is>
      </c>
      <c r="B381" s="5" t="inlineStr">
        <is>
          <t>Pişkinlik</t>
        </is>
      </c>
      <c r="C381" s="5" t="inlineStr">
        <is>
          <t>Orta</t>
        </is>
      </c>
      <c r="D381" s="6" t="inlineStr">
        <is>
          <t>Tek kişilik ev, tek kişilik koltuk, tek sahipli kumanda. Buna krallık denir.</t>
        </is>
      </c>
      <c r="E381" s="6" t="inlineStr"/>
      <c r="F381" s="5" t="inlineStr"/>
    </row>
    <row r="382">
      <c r="A382" s="5" t="inlineStr">
        <is>
          <t>b8-bekar-orta-yas</t>
        </is>
      </c>
      <c r="B382" s="5" t="inlineStr">
        <is>
          <t>Vicdan</t>
        </is>
      </c>
      <c r="C382" s="5" t="inlineStr">
        <is>
          <t>Orta</t>
        </is>
      </c>
      <c r="D382" s="6" t="inlineStr">
        <is>
          <t>Yalnızlık ile bağımsızlık arasındaki fark pazar akşamı saat altıda anlaşılır.</t>
        </is>
      </c>
      <c r="E382" s="6" t="inlineStr"/>
      <c r="F382" s="5" t="inlineStr"/>
    </row>
    <row r="383">
      <c r="A383" s="5" t="inlineStr">
        <is>
          <t>ms-fon-basvurusu</t>
        </is>
      </c>
      <c r="B383" s="5" t="inlineStr">
        <is>
          <t>Kurnazlık</t>
        </is>
      </c>
      <c r="C383" s="5" t="inlineStr">
        <is>
          <t>Orta</t>
        </is>
      </c>
      <c r="D383" s="6" t="inlineStr">
        <is>
          <t>Geçen yıl fon alan projelerin hepsinin adında 'hafıza' geçiyor.</t>
        </is>
      </c>
      <c r="E383" s="6" t="inlineStr"/>
      <c r="F383" s="5" t="inlineStr">
        <is>
          <t>E</t>
        </is>
      </c>
    </row>
    <row r="384">
      <c r="A384" s="5" t="inlineStr">
        <is>
          <t>ms-fon-basvurusu</t>
        </is>
      </c>
      <c r="B384" s="5" t="inlineStr">
        <is>
          <t>Akıl</t>
        </is>
      </c>
      <c r="C384" s="5" t="inlineStr">
        <is>
          <t>Kolay</t>
        </is>
      </c>
      <c r="D384" s="6" t="inlineStr">
        <is>
          <t>Değerlendirme ölçütlerinin yarısı 'sürdürülebilirlik'. Kelimeyi en az on bir kez kullan.</t>
        </is>
      </c>
      <c r="E384" s="6" t="inlineStr"/>
      <c r="F384" s="5" t="inlineStr"/>
    </row>
    <row r="385">
      <c r="A385" s="5" t="inlineStr">
        <is>
          <t>b8-doktor-stres</t>
        </is>
      </c>
      <c r="B385" s="5" t="inlineStr">
        <is>
          <t>Akıl</t>
        </is>
      </c>
      <c r="C385" s="5" t="inlineStr">
        <is>
          <t>Orta</t>
        </is>
      </c>
      <c r="D385" s="6" t="inlineStr">
        <is>
          <t>Stres kaynakları listelendi: kira, iş, aile, bir de 'stres yapmayın' tavsiyesi.</t>
        </is>
      </c>
      <c r="E385" s="6" t="inlineStr"/>
      <c r="F385" s="5" t="inlineStr"/>
    </row>
    <row r="386">
      <c r="A386" s="5" t="inlineStr">
        <is>
          <t>b8-doktor-stres</t>
        </is>
      </c>
      <c r="B386" s="5" t="inlineStr">
        <is>
          <t>Dayanıklılık</t>
        </is>
      </c>
      <c r="C386" s="5" t="inlineStr">
        <is>
          <t>Orta</t>
        </is>
      </c>
      <c r="D386" s="6" t="inlineStr">
        <is>
          <t>Yürüyüş. Günde otuz dakika. Doktor da bunu diyecekti, ama kapıda sıra var.</t>
        </is>
      </c>
      <c r="E386" s="6" t="inlineStr"/>
      <c r="F386" s="5" t="inlineStr">
        <is>
          <t>E</t>
        </is>
      </c>
    </row>
    <row r="387">
      <c r="A387" s="5" t="inlineStr">
        <is>
          <t>b8-cocuk-sinav</t>
        </is>
      </c>
      <c r="B387" s="5" t="inlineStr">
        <is>
          <t>Sosyal Radar</t>
        </is>
      </c>
      <c r="C387" s="5" t="inlineStr">
        <is>
          <t>Orta</t>
        </is>
      </c>
      <c r="D387" s="6" t="inlineStr">
        <is>
          <t>Veli grubunda üç veli deneme sonucunu paylaştı. Hepsi yukarı yuvarlanmış.</t>
        </is>
      </c>
      <c r="E387" s="6" t="inlineStr"/>
      <c r="F387" s="5" t="inlineStr"/>
    </row>
    <row r="388">
      <c r="A388" s="5" t="inlineStr">
        <is>
          <t>b8-cocuk-sinav</t>
        </is>
      </c>
      <c r="B388" s="5" t="inlineStr">
        <is>
          <t>Vicdan</t>
        </is>
      </c>
      <c r="C388" s="5" t="inlineStr">
        <is>
          <t>Orta</t>
        </is>
      </c>
      <c r="D388" s="6" t="inlineStr">
        <is>
          <t>Sınav bir kapı. Tek kapı değil. Bunu ona sen söylemezsen kimse söylemeyecek.</t>
        </is>
      </c>
      <c r="E388" s="6" t="inlineStr"/>
      <c r="F388" s="5" t="inlineStr">
        <is>
          <t>E</t>
        </is>
      </c>
    </row>
    <row r="389">
      <c r="A389" s="5" t="inlineStr">
        <is>
          <t>mb-kisa-gorusme</t>
        </is>
      </c>
      <c r="B389" s="5" t="inlineStr">
        <is>
          <t>Sosyal Radar</t>
        </is>
      </c>
      <c r="C389" s="5" t="inlineStr">
        <is>
          <t>Orta</t>
        </is>
      </c>
      <c r="D389" s="6" t="inlineStr">
        <is>
          <t>İnsan kaynaklarından gelen kişi mavi bir dosya tutuyor. Mavi dosyalar kalıyor diyorlar.</t>
        </is>
      </c>
      <c r="E389" s="6" t="inlineStr"/>
      <c r="F389" s="5" t="inlineStr"/>
    </row>
    <row r="390">
      <c r="A390" s="5" t="inlineStr">
        <is>
          <t>mb-kisa-gorusme</t>
        </is>
      </c>
      <c r="B390" s="5" t="inlineStr">
        <is>
          <t>Kurnazlık</t>
        </is>
      </c>
      <c r="C390" s="5" t="inlineStr">
        <is>
          <t>Zor</t>
        </is>
      </c>
      <c r="D390" s="6" t="inlineStr">
        <is>
          <t>Odada su şişesi var. Kötü haber verilecek odalara hep su konur.</t>
        </is>
      </c>
      <c r="E390" s="6" t="inlineStr"/>
      <c r="F390" s="5" t="inlineStr"/>
    </row>
    <row r="391">
      <c r="A391" s="5" t="inlineStr">
        <is>
          <t>me-internet-satis</t>
        </is>
      </c>
      <c r="B391" s="5" t="inlineStr">
        <is>
          <t>Akıl</t>
        </is>
      </c>
      <c r="C391" s="5" t="inlineStr">
        <is>
          <t>Orta</t>
        </is>
      </c>
      <c r="D391" s="6" t="inlineStr">
        <is>
          <t>İnternetten satış bir vitrin değil; bir depo, bir kargo ve bir yıldız sistemidir. Yıldızlar acımasızdır.</t>
        </is>
      </c>
      <c r="E391" s="6" t="inlineStr"/>
      <c r="F391" s="5" t="inlineStr"/>
    </row>
    <row r="392">
      <c r="A392" s="5" t="inlineStr">
        <is>
          <t>mm-terfi-sinavi</t>
        </is>
      </c>
      <c r="B392" s="5" t="inlineStr">
        <is>
          <t>Akıl</t>
        </is>
      </c>
      <c r="C392" s="5" t="inlineStr">
        <is>
          <t>Orta</t>
        </is>
      </c>
      <c r="D392" s="6" t="inlineStr">
        <is>
          <t>Sorular yıllardır aynı kitaptan çıkıyor. Son baskıda tek bir madde değişmiş. Sorular o maddeden gelir.</t>
        </is>
      </c>
      <c r="E392" s="6" t="inlineStr"/>
      <c r="F392" s="5" t="inlineStr">
        <is>
          <t>E</t>
        </is>
      </c>
    </row>
    <row r="393">
      <c r="A393" s="5" t="inlineStr">
        <is>
          <t>mm-terfi-sinavi</t>
        </is>
      </c>
      <c r="B393" s="5" t="inlineStr">
        <is>
          <t>Dayanıklılık</t>
        </is>
      </c>
      <c r="C393" s="5" t="inlineStr">
        <is>
          <t>Kolay</t>
        </is>
      </c>
      <c r="D393" s="6" t="inlineStr">
        <is>
          <t>Bu yaşta sınava çalışmak, dizlerle maraton koşmak gibi. Yine de koşulur.</t>
        </is>
      </c>
      <c r="E393" s="6" t="inlineStr"/>
      <c r="F393" s="5" t="inlineStr"/>
    </row>
    <row r="394">
      <c r="A394" s="5" t="inlineStr">
        <is>
          <t>b8-dijital-para</t>
        </is>
      </c>
      <c r="B394" s="5" t="inlineStr">
        <is>
          <t>Kurnazlık</t>
        </is>
      </c>
      <c r="C394" s="5" t="inlineStr">
        <is>
          <t>Orta</t>
        </is>
      </c>
      <c r="D394" s="6" t="inlineStr">
        <is>
          <t>'Hâlâ erken' diyen herkes aslında geç kalmıştır. Seni de yanına çağırıyor.</t>
        </is>
      </c>
      <c r="E394" s="6" t="inlineStr"/>
      <c r="F394" s="5" t="inlineStr"/>
    </row>
    <row r="395">
      <c r="A395" s="5" t="inlineStr">
        <is>
          <t>b8-dijital-para</t>
        </is>
      </c>
      <c r="B395" s="5" t="inlineStr">
        <is>
          <t>Akıl</t>
        </is>
      </c>
      <c r="C395" s="5" t="inlineStr">
        <is>
          <t>Zor</t>
        </is>
      </c>
      <c r="D395" s="6" t="inlineStr">
        <is>
          <t>Borçla alınan varlığın grafiği ne olursa olsun, borcun grafiği hep yukarı bakar.</t>
        </is>
      </c>
      <c r="E395" s="6" t="inlineStr"/>
      <c r="F395" s="5" t="inlineStr">
        <is>
          <t>E</t>
        </is>
      </c>
    </row>
    <row r="396">
      <c r="A396" s="5" t="inlineStr">
        <is>
          <t>b8-o-cumle</t>
        </is>
      </c>
      <c r="B396" s="5" t="inlineStr">
        <is>
          <t>Vicdan</t>
        </is>
      </c>
      <c r="C396" s="5" t="inlineStr">
        <is>
          <t>Orta</t>
        </is>
      </c>
      <c r="D396" s="6" t="inlineStr">
        <is>
          <t>Kurma. Otuz yıl önce o cümleyi duyduğunda ne hissettiğini hatırla.</t>
        </is>
      </c>
      <c r="E396" s="6" t="inlineStr"/>
      <c r="F396" s="5" t="inlineStr"/>
    </row>
    <row r="397">
      <c r="A397" s="5" t="inlineStr">
        <is>
          <t>b8-o-cumle</t>
        </is>
      </c>
      <c r="B397" s="5" t="inlineStr">
        <is>
          <t>Pişkinlik</t>
        </is>
      </c>
      <c r="C397" s="5" t="inlineStr">
        <is>
          <t>Kolay</t>
        </is>
      </c>
      <c r="D397" s="6" t="inlineStr">
        <is>
          <t>Kur. Her kuşağın bir kez söyleme hakkı vardır. Bu senin hakkın.</t>
        </is>
      </c>
      <c r="E397" s="6" t="inlineStr"/>
      <c r="F397" s="5" t="inlineStr"/>
    </row>
    <row r="398">
      <c r="A398" s="5" t="inlineStr">
        <is>
          <t>b8-evli-rutin</t>
        </is>
      </c>
      <c r="B398" s="5" t="inlineStr">
        <is>
          <t>Sosyal Radar</t>
        </is>
      </c>
      <c r="C398" s="5" t="inlineStr">
        <is>
          <t>Kolay</t>
        </is>
      </c>
      <c r="D398" s="6" t="inlineStr">
        <is>
          <t>Yirmi yıllık evlilikte en romantik cümle: 'Senin için de koydum.'</t>
        </is>
      </c>
      <c r="E398" s="6" t="inlineStr"/>
      <c r="F398" s="5" t="inlineStr"/>
    </row>
    <row r="399">
      <c r="A399" s="5" t="inlineStr">
        <is>
          <t>b8-evli-rutin</t>
        </is>
      </c>
      <c r="B399" s="5" t="inlineStr">
        <is>
          <t>Vicdan</t>
        </is>
      </c>
      <c r="C399" s="5" t="inlineStr">
        <is>
          <t>Orta</t>
        </is>
      </c>
      <c r="D399" s="6" t="inlineStr">
        <is>
          <t>En son ne zaman 'Nasılsın?' diye sordun? Cevabı dinlemek için?</t>
        </is>
      </c>
      <c r="E399" s="6" t="inlineStr"/>
      <c r="F399" s="5" t="inlineStr">
        <is>
          <t>E</t>
        </is>
      </c>
    </row>
    <row r="400">
      <c r="A400" s="5" t="inlineStr">
        <is>
          <t>b8-cocuk-odasi</t>
        </is>
      </c>
      <c r="B400" s="5" t="inlineStr">
        <is>
          <t>Sosyal Radar</t>
        </is>
      </c>
      <c r="C400" s="5" t="inlineStr">
        <is>
          <t>Kolay</t>
        </is>
      </c>
      <c r="D400" s="6" t="inlineStr">
        <is>
          <t>Kapıdaki 'Girmeyin' yazısı dekoratif değil. Ama sen de dekoratif değilsin.</t>
        </is>
      </c>
      <c r="E400" s="6" t="inlineStr"/>
      <c r="F400" s="5" t="inlineStr"/>
    </row>
    <row r="401">
      <c r="A401" s="5" t="inlineStr">
        <is>
          <t>b8-cocuk-odasi</t>
        </is>
      </c>
      <c r="B401" s="5" t="inlineStr">
        <is>
          <t>Dayanıklılık</t>
        </is>
      </c>
      <c r="C401" s="5" t="inlineStr">
        <is>
          <t>Orta</t>
        </is>
      </c>
      <c r="D401" s="6" t="inlineStr">
        <is>
          <t>Bu bir oda değil, kazı alanı. Katmanlar dönemleri gösteriyor.</t>
        </is>
      </c>
      <c r="E401" s="6" t="inlineStr"/>
      <c r="F401" s="5" t="inlineStr"/>
    </row>
    <row r="402">
      <c r="A402" s="5" t="inlineStr">
        <is>
          <t>ms-eski-musteri</t>
        </is>
      </c>
      <c r="B402" s="5" t="inlineStr">
        <is>
          <t>Kurnazlık</t>
        </is>
      </c>
      <c r="C402" s="5" t="inlineStr">
        <is>
          <t>Orta</t>
        </is>
      </c>
      <c r="D402" s="6" t="inlineStr">
        <is>
          <t>'Sizi özledik' cümlesi finans dilinde 'bütçemiz yok' demektir.</t>
        </is>
      </c>
      <c r="E402" s="6" t="inlineStr"/>
      <c r="F402" s="5" t="inlineStr"/>
    </row>
    <row r="403">
      <c r="A403" s="5" t="inlineStr">
        <is>
          <t>ms-eski-musteri</t>
        </is>
      </c>
      <c r="B403" s="5" t="inlineStr">
        <is>
          <t>Sosyal Radar</t>
        </is>
      </c>
      <c r="C403" s="5" t="inlineStr">
        <is>
          <t>Kolay</t>
        </is>
      </c>
      <c r="D403" s="6" t="inlineStr">
        <is>
          <t>Mesajı yazan kişi yeni. Eski muhasebeci çoktan ayrılmış. Borç ise kalmış.</t>
        </is>
      </c>
      <c r="E403" s="6" t="inlineStr"/>
      <c r="F403" s="5" t="inlineStr"/>
    </row>
    <row r="404">
      <c r="A404" s="5" t="inlineStr">
        <is>
          <t>b8-lise-bulusmasi</t>
        </is>
      </c>
      <c r="B404" s="5" t="inlineStr">
        <is>
          <t>Sosyal Radar</t>
        </is>
      </c>
      <c r="C404" s="5" t="inlineStr">
        <is>
          <t>Orta</t>
        </is>
      </c>
      <c r="D404" s="6" t="inlineStr">
        <is>
          <t>Salonda üç boşanma, iki yurt dışı, bir de hâlâ aynı sevgili var. Tahmin et hangisi hangisi.</t>
        </is>
      </c>
      <c r="E404" s="6" t="inlineStr"/>
      <c r="F404" s="5" t="inlineStr">
        <is>
          <t>E</t>
        </is>
      </c>
    </row>
    <row r="405">
      <c r="A405" s="5" t="inlineStr">
        <is>
          <t>b8-lise-bulusmasi</t>
        </is>
      </c>
      <c r="B405" s="5" t="inlineStr">
        <is>
          <t>Pişkinlik</t>
        </is>
      </c>
      <c r="C405" s="5" t="inlineStr">
        <is>
          <t>Kolay</t>
        </is>
      </c>
      <c r="D405" s="6" t="inlineStr">
        <is>
          <t>Unvanını söylerken sesini bir ton kalınlaştır. Kimse kontrol etmez.</t>
        </is>
      </c>
      <c r="E405" s="6" t="inlineStr"/>
      <c r="F405" s="5" t="inlineStr"/>
    </row>
    <row r="406">
      <c r="A406" s="5" t="inlineStr">
        <is>
          <t>b8-sahte-haber</t>
        </is>
      </c>
      <c r="B406" s="5" t="inlineStr">
        <is>
          <t>Sosyal Radar</t>
        </is>
      </c>
      <c r="C406" s="5" t="inlineStr">
        <is>
          <t>Orta</t>
        </is>
      </c>
      <c r="D406" s="6" t="inlineStr">
        <is>
          <t>Amca aslında haber değil, ilgi paylaşıyor. Son mesajına kimse cevap yazmamıştı.</t>
        </is>
      </c>
      <c r="E406" s="6" t="inlineStr"/>
      <c r="F406" s="5" t="inlineStr"/>
    </row>
    <row r="407">
      <c r="A407" s="5" t="inlineStr">
        <is>
          <t>b8-sahte-haber</t>
        </is>
      </c>
      <c r="B407" s="5" t="inlineStr">
        <is>
          <t>Akıl</t>
        </is>
      </c>
      <c r="C407" s="5" t="inlineStr">
        <is>
          <t>Kolay</t>
        </is>
      </c>
      <c r="D407" s="6" t="inlineStr">
        <is>
          <t>Kaynak: 'Bir tanıdığın tanıdığı mühendis.' Mühendisin uzmanlık alanı: tanıdık olmak.</t>
        </is>
      </c>
      <c r="E407" s="6" t="inlineStr"/>
      <c r="F407" s="5" t="inlineStr"/>
    </row>
    <row r="408">
      <c r="A408" s="5" t="inlineStr">
        <is>
          <t>mb-asansorde-genel-mudur</t>
        </is>
      </c>
      <c r="B408" s="5" t="inlineStr">
        <is>
          <t>Sosyal Radar</t>
        </is>
      </c>
      <c r="C408" s="5" t="inlineStr">
        <is>
          <t>Orta</t>
        </is>
      </c>
      <c r="D408" s="6" t="inlineStr">
        <is>
          <t>Genel müdürün çantasından bir balık yemi paketi görünüyor. Hafta sonları gölde.</t>
        </is>
      </c>
      <c r="E408" s="6" t="inlineStr"/>
      <c r="F408" s="5" t="inlineStr">
        <is>
          <t>E</t>
        </is>
      </c>
    </row>
    <row r="409">
      <c r="A409" s="5" t="inlineStr">
        <is>
          <t>mb-asansorde-genel-mudur</t>
        </is>
      </c>
      <c r="B409" s="5" t="inlineStr">
        <is>
          <t>Pişkinlik</t>
        </is>
      </c>
      <c r="C409" s="5" t="inlineStr">
        <is>
          <t>Kolay</t>
        </is>
      </c>
      <c r="D409" s="6" t="inlineStr">
        <is>
          <t>Kırk dakika. Bu, kariyerinin en uzun birebir görüşmesi.</t>
        </is>
      </c>
      <c r="E409" s="6" t="inlineStr"/>
      <c r="F409" s="5" t="inlineStr"/>
    </row>
    <row r="410">
      <c r="A410" s="5" t="inlineStr">
        <is>
          <t>mm-vatandasla-diyalog</t>
        </is>
      </c>
      <c r="B410" s="5" t="inlineStr">
        <is>
          <t>Sosyal Radar</t>
        </is>
      </c>
      <c r="C410" s="5" t="inlineStr">
        <is>
          <t>Orta</t>
        </is>
      </c>
      <c r="D410" s="6" t="inlineStr">
        <is>
          <t>Kendisi de emin değil. Telefonundan bir numara arıyor; açılmıyor.</t>
        </is>
      </c>
      <c r="E410" s="6" t="inlineStr"/>
      <c r="F410" s="5" t="inlineStr"/>
    </row>
    <row r="411">
      <c r="A411" s="5" t="inlineStr">
        <is>
          <t>mm-vatandasla-diyalog</t>
        </is>
      </c>
      <c r="B411" s="5" t="inlineStr">
        <is>
          <t>Pişkinlik</t>
        </is>
      </c>
      <c r="C411" s="5" t="inlineStr">
        <is>
          <t>Zor</t>
        </is>
      </c>
      <c r="D411" s="6" t="inlineStr">
        <is>
          <t>Cevabın hazır: 'Siz de benim kim olduğumu bilmiyorsunuz. Ben masayım.'</t>
        </is>
      </c>
      <c r="E411" s="6" t="inlineStr"/>
      <c r="F411" s="5" t="inlineStr">
        <is>
          <t>E</t>
        </is>
      </c>
    </row>
    <row r="412">
      <c r="A412" s="5" t="inlineStr">
        <is>
          <t>b8-yeni-hobi</t>
        </is>
      </c>
      <c r="B412" s="5" t="inlineStr">
        <is>
          <t>Akıl</t>
        </is>
      </c>
      <c r="C412" s="5" t="inlineStr">
        <is>
          <t>Orta</t>
        </is>
      </c>
      <c r="D412" s="6" t="inlineStr">
        <is>
          <t>Hobi, emeğin karşılığı alınmayan hâlidir. Ekipman yine de peşin ödenir.</t>
        </is>
      </c>
      <c r="E412" s="6" t="inlineStr"/>
      <c r="F412" s="5" t="inlineStr"/>
    </row>
    <row r="413">
      <c r="A413" s="5" t="inlineStr">
        <is>
          <t>b8-yeni-hobi</t>
        </is>
      </c>
      <c r="B413" s="5" t="inlineStr">
        <is>
          <t>Cesaret</t>
        </is>
      </c>
      <c r="C413" s="5" t="inlineStr">
        <is>
          <t>Kolay</t>
        </is>
      </c>
      <c r="D413" s="6" t="inlineStr">
        <is>
          <t>Paraşüt. Kararı gökyüzü versin.</t>
        </is>
      </c>
      <c r="E413" s="6" t="inlineStr"/>
      <c r="F413" s="5" t="inlineStr"/>
    </row>
    <row r="414">
      <c r="A414" s="5" t="inlineStr">
        <is>
          <t>b8-maraton</t>
        </is>
      </c>
      <c r="B414" s="5" t="inlineStr">
        <is>
          <t>Dayanıklılık</t>
        </is>
      </c>
      <c r="C414" s="5" t="inlineStr">
        <is>
          <t>Orta</t>
        </is>
      </c>
      <c r="D414" s="6" t="inlineStr">
        <is>
          <t>Otuz beşinci kilometrede bir duvara çarpacaksın. Duvar görünmez, ama çok sağlam.</t>
        </is>
      </c>
      <c r="E414" s="6" t="inlineStr"/>
      <c r="F414" s="5" t="inlineStr"/>
    </row>
    <row r="415">
      <c r="A415" s="5" t="inlineStr">
        <is>
          <t>b8-maraton</t>
        </is>
      </c>
      <c r="B415" s="5" t="inlineStr">
        <is>
          <t>Kurnazlık</t>
        </is>
      </c>
      <c r="C415" s="5" t="inlineStr">
        <is>
          <t>Kolay</t>
        </is>
      </c>
      <c r="D415" s="6" t="inlineStr">
        <is>
          <t>Son kilometrede sponsor standında bedava içecek var. Bedava olan her şeyin bir bedeli vardır; bu seferki zamanlama.</t>
        </is>
      </c>
      <c r="E415" s="6" t="inlineStr"/>
      <c r="F415" s="5" t="inlineStr"/>
    </row>
    <row r="416">
      <c r="A416" s="5" t="inlineStr">
        <is>
          <t>b8-yeniden-egitim</t>
        </is>
      </c>
      <c r="B416" s="5" t="inlineStr">
        <is>
          <t>Akıl</t>
        </is>
      </c>
      <c r="C416" s="5" t="inlineStr">
        <is>
          <t>Orta</t>
        </is>
      </c>
      <c r="D416" s="6" t="inlineStr">
        <is>
          <t>Bu yaşta öğrenmek daha yavaş değildir. Sadece daha çok itiraz edersin.</t>
        </is>
      </c>
      <c r="E416" s="6" t="inlineStr"/>
      <c r="F416" s="5" t="inlineStr"/>
    </row>
    <row r="417">
      <c r="A417" s="5" t="inlineStr">
        <is>
          <t>b8-yeniden-egitim</t>
        </is>
      </c>
      <c r="B417" s="5" t="inlineStr">
        <is>
          <t>Cesaret</t>
        </is>
      </c>
      <c r="C417" s="5" t="inlineStr">
        <is>
          <t>Zor</t>
        </is>
      </c>
      <c r="D417" s="6" t="inlineStr">
        <is>
          <t>Sınıftaki yirmi yaşındakiler sana 'hocam' diyecek. Hoca değilsin. Düzeltme; tadını çıkar.</t>
        </is>
      </c>
      <c r="E417" s="6" t="inlineStr"/>
      <c r="F417" s="5" t="inlineStr">
        <is>
          <t>E</t>
        </is>
      </c>
    </row>
    <row r="418">
      <c r="A418" s="5" t="inlineStr">
        <is>
          <t>b8-yazlik</t>
        </is>
      </c>
      <c r="B418" s="5" t="inlineStr">
        <is>
          <t>Kurnazlık</t>
        </is>
      </c>
      <c r="C418" s="5" t="inlineStr">
        <is>
          <t>Orta</t>
        </is>
      </c>
      <c r="D418" s="6" t="inlineStr">
        <is>
          <t>Emlakçı 'Bu fiyata bir daha bulamazsınız' dedi. Bulamayacaksın, çünkü kimse aramayacak.</t>
        </is>
      </c>
      <c r="E418" s="6" t="inlineStr"/>
      <c r="F418" s="5" t="inlineStr"/>
    </row>
    <row r="419">
      <c r="A419" s="5" t="inlineStr">
        <is>
          <t>b8-yazlik</t>
        </is>
      </c>
      <c r="B419" s="5" t="inlineStr">
        <is>
          <t>Akıl</t>
        </is>
      </c>
      <c r="C419" s="5" t="inlineStr">
        <is>
          <t>Kolay</t>
        </is>
      </c>
      <c r="D419" s="6" t="inlineStr">
        <is>
          <t>Yılda üç hafta kullanılacak bir ev için on iki ay aidat. Hesap kendini yapıyor.</t>
        </is>
      </c>
      <c r="E419" s="6" t="inlineStr"/>
      <c r="F419" s="5" t="inlineStr"/>
    </row>
    <row r="420">
      <c r="A420" s="5" t="inlineStr">
        <is>
          <t>b8-ilac-kutusu</t>
        </is>
      </c>
      <c r="B420" s="5" t="inlineStr">
        <is>
          <t>Akıl</t>
        </is>
      </c>
      <c r="C420" s="5" t="inlineStr">
        <is>
          <t>Orta</t>
        </is>
      </c>
      <c r="D420" s="6" t="inlineStr">
        <is>
          <t>Sabah, öğle, akşam. Aç, tok. Bir de 'Doktora sormadan bırakmayın.' Sistem bu üç kurala dayanır.</t>
        </is>
      </c>
      <c r="E420" s="6" t="inlineStr"/>
      <c r="F420" s="5" t="inlineStr"/>
    </row>
    <row r="421">
      <c r="A421" s="5" t="inlineStr">
        <is>
          <t>b8-ilac-kutusu</t>
        </is>
      </c>
      <c r="B421" s="5" t="inlineStr">
        <is>
          <t>Vicdan</t>
        </is>
      </c>
      <c r="C421" s="5" t="inlineStr">
        <is>
          <t>Kolay</t>
        </is>
      </c>
      <c r="D421" s="6" t="inlineStr">
        <is>
          <t>Onlar da seni böyle beslemişti: saatinde, gözünü ayırmadan.</t>
        </is>
      </c>
      <c r="E421" s="6" t="inlineStr"/>
      <c r="F421" s="5" t="inlineStr"/>
    </row>
    <row r="422">
      <c r="A422" s="5" t="inlineStr">
        <is>
          <t>b8-site-yoneticisi</t>
        </is>
      </c>
      <c r="B422" s="5" t="inlineStr">
        <is>
          <t>Sosyal Radar</t>
        </is>
      </c>
      <c r="C422" s="5" t="inlineStr">
        <is>
          <t>Orta</t>
        </is>
      </c>
      <c r="D422" s="6" t="inlineStr">
        <is>
          <t>Üçüncü kattaki komşu yöneticilik için dosya hazırlamış ama aday olmuyor. Dosya çantasında.</t>
        </is>
      </c>
      <c r="E422" s="6" t="inlineStr"/>
      <c r="F422" s="5" t="inlineStr"/>
    </row>
    <row r="423">
      <c r="A423" s="5" t="inlineStr">
        <is>
          <t>b8-site-yoneticisi</t>
        </is>
      </c>
      <c r="B423" s="5" t="inlineStr">
        <is>
          <t>Vicdan</t>
        </is>
      </c>
      <c r="C423" s="5" t="inlineStr">
        <is>
          <t>Kolay</t>
        </is>
      </c>
      <c r="D423" s="6" t="inlineStr">
        <is>
          <t>Birinin kedilere mama koyması gerekiyor. Birinin de bu toplantıyı bitirmesi.</t>
        </is>
      </c>
      <c r="E423" s="6" t="inlineStr"/>
      <c r="F423" s="5" t="inlineStr"/>
    </row>
    <row r="424">
      <c r="A424" s="5" t="inlineStr">
        <is>
          <t>mb-genc-yonetici</t>
        </is>
      </c>
      <c r="B424" s="5" t="inlineStr">
        <is>
          <t>Dayanıklılık</t>
        </is>
      </c>
      <c r="C424" s="5" t="inlineStr">
        <is>
          <t>Orta</t>
        </is>
      </c>
      <c r="D424" s="6" t="inlineStr">
        <is>
          <t>Bu şirketten dört yeniden yapılanma, üç logo ve iki bina geçti. Sen hâlâ buradasın.</t>
        </is>
      </c>
      <c r="E424" s="6" t="inlineStr"/>
      <c r="F424" s="5" t="inlineStr"/>
    </row>
    <row r="425">
      <c r="A425" s="5" t="inlineStr">
        <is>
          <t>ms-atolye-kirasi</t>
        </is>
      </c>
      <c r="B425" s="5" t="inlineStr">
        <is>
          <t>Vicdan</t>
        </is>
      </c>
      <c r="C425" s="5" t="inlineStr">
        <is>
          <t>Orta</t>
        </is>
      </c>
      <c r="D425" s="6" t="inlineStr">
        <is>
          <t>Mahallenin ilk duvar resmi seninkiydi. Şimdi o duvarın önünde bir emlak ilanı duruyor.</t>
        </is>
      </c>
      <c r="E425" s="6" t="inlineStr"/>
      <c r="F425" s="5" t="inlineStr"/>
    </row>
    <row r="426">
      <c r="A426" s="5" t="inlineStr">
        <is>
          <t>ms-atolye-kirasi</t>
        </is>
      </c>
      <c r="B426" s="5" t="inlineStr">
        <is>
          <t>Kurnazlık</t>
        </is>
      </c>
      <c r="C426" s="5" t="inlineStr">
        <is>
          <t>Kolay</t>
        </is>
      </c>
      <c r="D426" s="6" t="inlineStr">
        <is>
          <t>Ev sahibi sanattan değil, kiradan anlıyor. Ama duvara kendi portresi asılsın ister.</t>
        </is>
      </c>
      <c r="E426" s="6" t="inlineStr"/>
      <c r="F426" s="5" t="inlineStr"/>
    </row>
    <row r="427">
      <c r="A427" s="5" t="inlineStr">
        <is>
          <t>b8-bakim-evraki</t>
        </is>
      </c>
      <c r="B427" s="5" t="inlineStr">
        <is>
          <t>Kurnazlık</t>
        </is>
      </c>
      <c r="C427" s="5" t="inlineStr">
        <is>
          <t>Orta</t>
        </is>
      </c>
      <c r="D427" s="6" t="inlineStr">
        <is>
          <t>Üç numaralı pencere eksik evrak diye geri gönderdiklerinin yarısını yediye yolluyor. Yedi numara boş.</t>
        </is>
      </c>
      <c r="E427" s="6" t="inlineStr"/>
      <c r="F427" s="5" t="inlineStr">
        <is>
          <t>E</t>
        </is>
      </c>
    </row>
    <row r="428">
      <c r="A428" s="5" t="inlineStr">
        <is>
          <t>b8-bakim-evraki</t>
        </is>
      </c>
      <c r="B428" s="5" t="inlineStr">
        <is>
          <t>Dayanıklılık</t>
        </is>
      </c>
      <c r="C428" s="5" t="inlineStr">
        <is>
          <t>Kolay</t>
        </is>
      </c>
      <c r="D428" s="6" t="inlineStr">
        <is>
          <t>Termosa çay koymuştun. İyi etmişsin.</t>
        </is>
      </c>
      <c r="E428" s="6" t="inlineStr"/>
      <c r="F428" s="5" t="inlineStr"/>
    </row>
    <row r="429">
      <c r="A429" s="5" t="inlineStr">
        <is>
          <t>b8-ikinci-bahar</t>
        </is>
      </c>
      <c r="B429" s="5" t="inlineStr">
        <is>
          <t>Cesaret</t>
        </is>
      </c>
      <c r="C429" s="5" t="inlineStr">
        <is>
          <t>Orta</t>
        </is>
      </c>
      <c r="D429" s="6" t="inlineStr">
        <is>
          <t>Bu kez kimseye bir şey kanıtlamak zorunda değilsin. Gel, kahveni iç.</t>
        </is>
      </c>
      <c r="E429" s="6" t="inlineStr"/>
      <c r="F429" s="5" t="inlineStr"/>
    </row>
    <row r="430">
      <c r="A430" s="5" t="inlineStr">
        <is>
          <t>b8-ikinci-bahar</t>
        </is>
      </c>
      <c r="B430" s="5" t="inlineStr">
        <is>
          <t>Sosyal Radar</t>
        </is>
      </c>
      <c r="C430" s="5" t="inlineStr">
        <is>
          <t>Zor</t>
        </is>
      </c>
      <c r="D430" s="6" t="inlineStr">
        <is>
          <t>Karşındaki de en az senin kadar gergin. Menüyü üç kez okudu ve yine de çay istedi.</t>
        </is>
      </c>
      <c r="E430" s="6" t="inlineStr"/>
      <c r="F430" s="5" t="inlineStr">
        <is>
          <t>E</t>
        </is>
      </c>
    </row>
    <row r="431">
      <c r="A431" s="5" t="inlineStr">
        <is>
          <t>me-dernek-secimi</t>
        </is>
      </c>
      <c r="B431" s="5" t="inlineStr">
        <is>
          <t>Çene</t>
        </is>
      </c>
      <c r="C431" s="5" t="inlineStr">
        <is>
          <t>Orta</t>
        </is>
      </c>
      <c r="D431" s="6" t="inlineStr">
        <is>
          <t>Çarşıda seçim çay ocağında kazanılır. Kaç bardak ısmarlarsan o kadar oy.</t>
        </is>
      </c>
      <c r="E431" s="6" t="inlineStr"/>
      <c r="F431" s="5" t="inlineStr"/>
    </row>
    <row r="432">
      <c r="A432" s="5" t="inlineStr">
        <is>
          <t>me-dernek-secimi</t>
        </is>
      </c>
      <c r="B432" s="5" t="inlineStr">
        <is>
          <t>Kurnazlık</t>
        </is>
      </c>
      <c r="C432" s="5" t="inlineStr">
        <is>
          <t>Zor</t>
        </is>
      </c>
      <c r="D432" s="6" t="inlineStr">
        <is>
          <t>Başkanın listesi uzun ama her ismin yanında bir kırgınlık var. Kırgınları topla.</t>
        </is>
      </c>
      <c r="E432" s="6" t="inlineStr"/>
      <c r="F432" s="5" t="inlineStr"/>
    </row>
    <row r="433">
      <c r="A433" s="5" t="inlineStr">
        <is>
          <t>mm-ikinci-is-hayali</t>
        </is>
      </c>
      <c r="B433" s="5" t="inlineStr">
        <is>
          <t>Kurnazlık</t>
        </is>
      </c>
      <c r="C433" s="5" t="inlineStr">
        <is>
          <t>Orta</t>
        </is>
      </c>
      <c r="D433" s="6" t="inlineStr">
        <is>
          <t>Kafe açan her memur ikinci ayında 'Keşke masamda kalsaydım' der. Kaynağım: kafe açan memurlar.</t>
        </is>
      </c>
      <c r="E433" s="6" t="inlineStr"/>
      <c r="F433" s="5" t="inlineStr"/>
    </row>
    <row r="434">
      <c r="A434" s="5" t="inlineStr">
        <is>
          <t>mm-ikinci-is-hayali</t>
        </is>
      </c>
      <c r="B434" s="5" t="inlineStr">
        <is>
          <t>Vicdan</t>
        </is>
      </c>
      <c r="C434" s="5" t="inlineStr">
        <is>
          <t>Kolay</t>
        </is>
      </c>
      <c r="D434" s="6" t="inlineStr">
        <is>
          <t>Hayal kurmak bedava. Kafede çay bedava değil.</t>
        </is>
      </c>
      <c r="E434" s="6" t="inlineStr"/>
      <c r="F434" s="5" t="inlineStr"/>
    </row>
    <row r="435">
      <c r="A435" s="5" t="inlineStr">
        <is>
          <t>b8-cocuk-fenomen</t>
        </is>
      </c>
      <c r="B435" s="5" t="inlineStr">
        <is>
          <t>Pişkinlik</t>
        </is>
      </c>
      <c r="C435" s="5" t="inlineStr">
        <is>
          <t>Orta</t>
        </is>
      </c>
      <c r="D435" s="6" t="inlineStr">
        <is>
          <t>Milyon izlenme. Hayatında hiçbir işle milyon kişiye ulaşmadın. Şimdi ulaştın; yüzünle, ama olsun.</t>
        </is>
      </c>
      <c r="E435" s="6" t="inlineStr"/>
      <c r="F435" s="5" t="inlineStr"/>
    </row>
    <row r="436">
      <c r="A436" s="5" t="inlineStr">
        <is>
          <t>b8-cocuk-fenomen</t>
        </is>
      </c>
      <c r="B436" s="5" t="inlineStr">
        <is>
          <t>Sosyal Radar</t>
        </is>
      </c>
      <c r="C436" s="5" t="inlineStr">
        <is>
          <t>Kolay</t>
        </is>
      </c>
      <c r="D436" s="6" t="inlineStr">
        <is>
          <t>Yorumlar okunmaz. Ama biri 'Bu benim babama benziyor' yazmış. Hem hakaret hem iltifat.</t>
        </is>
      </c>
      <c r="E436" s="6" t="inlineStr"/>
      <c r="F436" s="5" t="inlineStr"/>
    </row>
    <row r="437">
      <c r="A437" s="5" t="inlineStr">
        <is>
          <t>b8-yapay-zeka-egitimi</t>
        </is>
      </c>
      <c r="B437" s="5" t="inlineStr">
        <is>
          <t>Pişkinlik</t>
        </is>
      </c>
      <c r="C437" s="5" t="inlineStr">
        <is>
          <t>Kolay</t>
        </is>
      </c>
      <c r="D437" s="6" t="inlineStr">
        <is>
          <t>Sen bu şirkette faksın ne olduğunu bilen son kişisin. Bu da bir tür uzmanlık.</t>
        </is>
      </c>
      <c r="E437" s="6" t="inlineStr"/>
      <c r="F437" s="5" t="inlineStr"/>
    </row>
    <row r="438">
      <c r="A438" s="5" t="inlineStr">
        <is>
          <t>b8-yapay-zeka-egitimi</t>
        </is>
      </c>
      <c r="B438" s="5" t="inlineStr">
        <is>
          <t>Akıl</t>
        </is>
      </c>
      <c r="C438" s="5" t="inlineStr">
        <is>
          <t>Orta</t>
        </is>
      </c>
      <c r="D438" s="6" t="inlineStr">
        <is>
          <t>Yapay zekâ bir asistan. Sen de yıllardır bir asistanın asistanıydın. Tanıdık bir ilişki.</t>
        </is>
      </c>
      <c r="E438" s="6" t="inlineStr"/>
      <c r="F438" s="5" t="inlineStr"/>
    </row>
    <row r="439">
      <c r="A439" s="5" t="inlineStr">
        <is>
          <t>b8-emeklilik-hesabi</t>
        </is>
      </c>
      <c r="B439" s="5" t="inlineStr">
        <is>
          <t>Akıl</t>
        </is>
      </c>
      <c r="C439" s="5" t="inlineStr">
        <is>
          <t>Zor</t>
        </is>
      </c>
      <c r="D439" s="6" t="inlineStr">
        <is>
          <t>Prim günü, yaş şartı, bir de her yıl değişen kural. Hesap, hareketli bir hedefe nişan alıyor.</t>
        </is>
      </c>
      <c r="E439" s="6" t="inlineStr"/>
      <c r="F439" s="5" t="inlineStr"/>
    </row>
    <row r="440">
      <c r="A440" s="5" t="inlineStr">
        <is>
          <t>b8-emeklilik-hesabi</t>
        </is>
      </c>
      <c r="B440" s="5" t="inlineStr">
        <is>
          <t>Kurnazlık</t>
        </is>
      </c>
      <c r="C440" s="5" t="inlineStr">
        <is>
          <t>Orta</t>
        </is>
      </c>
      <c r="D440" s="6" t="inlineStr">
        <is>
          <t>Eksik günleri borçlanarak satın alabilirsin. Zaman satın almak hiç bu kadar bürokratik olmamıştı.</t>
        </is>
      </c>
      <c r="E440" s="6" t="inlineStr"/>
      <c r="F440" s="5" t="inlineStr"/>
    </row>
    <row r="441">
      <c r="A441" s="5" t="inlineStr">
        <is>
          <t>b8-bos-yuva</t>
        </is>
      </c>
      <c r="B441" s="5" t="inlineStr">
        <is>
          <t>Vicdan</t>
        </is>
      </c>
      <c r="C441" s="5" t="inlineStr">
        <is>
          <t>Orta</t>
        </is>
      </c>
      <c r="D441" s="6" t="inlineStr">
        <is>
          <t>Yıllarca 'Şu odayı topla' dedin. Toplandı. Şimdi ne diyeceksin?</t>
        </is>
      </c>
      <c r="E441" s="6" t="inlineStr"/>
      <c r="F441" s="5" t="inlineStr"/>
    </row>
    <row r="442">
      <c r="A442" s="5" t="inlineStr">
        <is>
          <t>b8-bos-yuva</t>
        </is>
      </c>
      <c r="B442" s="5" t="inlineStr">
        <is>
          <t>Pişkinlik</t>
        </is>
      </c>
      <c r="C442" s="5" t="inlineStr">
        <is>
          <t>Kolay</t>
        </is>
      </c>
      <c r="D442" s="6" t="inlineStr">
        <is>
          <t>Bu oda artık bir çalışma odası, bir spor odası ya da bir ütü odası olabilir. Kararı hızlı ver, çocuk dönmeden.</t>
        </is>
      </c>
      <c r="E442" s="6" t="inlineStr"/>
      <c r="F442" s="5" t="inlineStr"/>
    </row>
    <row r="443">
      <c r="A443" s="5" t="inlineStr">
        <is>
          <t>b8-son-taksit</t>
        </is>
      </c>
      <c r="B443" s="5" t="inlineStr">
        <is>
          <t>Kurnazlık</t>
        </is>
      </c>
      <c r="C443" s="5" t="inlineStr">
        <is>
          <t>Orta</t>
        </is>
      </c>
      <c r="D443" s="6" t="inlineStr">
        <is>
          <t>Bankanın tebrik mesajı ile kredi teklifi arasında kırk saniye var. Duygusal bir kırk saniye.</t>
        </is>
      </c>
      <c r="E443" s="6" t="inlineStr"/>
      <c r="F443" s="5" t="inlineStr"/>
    </row>
    <row r="444">
      <c r="A444" s="5" t="inlineStr">
        <is>
          <t>b8-son-taksit</t>
        </is>
      </c>
      <c r="B444" s="5" t="inlineStr">
        <is>
          <t>Vicdan</t>
        </is>
      </c>
      <c r="C444" s="5" t="inlineStr">
        <is>
          <t>Kolay</t>
        </is>
      </c>
      <c r="D444" s="6" t="inlineStr">
        <is>
          <t>Evin artık tamamen senin. Duvardaki çatlak da. Onu kimse ödemedi.</t>
        </is>
      </c>
      <c r="E444" s="6" t="inlineStr"/>
      <c r="F444" s="5" t="inlineStr"/>
    </row>
    <row r="445">
      <c r="A445" s="5" t="inlineStr">
        <is>
          <t>b9-yazi-boyutu</t>
        </is>
      </c>
      <c r="B445" s="5" t="inlineStr">
        <is>
          <t>Akıl</t>
        </is>
      </c>
      <c r="C445" s="5" t="inlineStr">
        <is>
          <t>Kolay</t>
        </is>
      </c>
      <c r="D445" s="6" t="inlineStr">
        <is>
          <t>Ayarlar menüsünde 'Erişilebilirlik' diye bir bölüm var. Adı seni kırmasın; herkes orada.</t>
        </is>
      </c>
      <c r="E445" s="6" t="inlineStr"/>
      <c r="F445" s="5" t="inlineStr"/>
    </row>
    <row r="446">
      <c r="A446" s="5" t="inlineStr">
        <is>
          <t>b9-yazi-boyutu</t>
        </is>
      </c>
      <c r="B446" s="5" t="inlineStr">
        <is>
          <t>Pişkinlik</t>
        </is>
      </c>
      <c r="C446" s="5" t="inlineStr">
        <is>
          <t>Orta</t>
        </is>
      </c>
      <c r="D446" s="6" t="inlineStr">
        <is>
          <t>Telefonu uzaktan tutmak bir karizma biçimidir. Kimse gözünün bozulduğunu anlamaz. Herkes anlar.</t>
        </is>
      </c>
      <c r="E446" s="6" t="inlineStr"/>
      <c r="F446" s="5" t="inlineStr"/>
    </row>
    <row r="447">
      <c r="A447" s="5" t="inlineStr">
        <is>
          <t>b9-gunaydin-gorselleri</t>
        </is>
      </c>
      <c r="B447" s="5" t="inlineStr">
        <is>
          <t>Sosyal Radar</t>
        </is>
      </c>
      <c r="C447" s="5" t="inlineStr">
        <is>
          <t>Orta</t>
        </is>
      </c>
      <c r="D447" s="6" t="inlineStr">
        <is>
          <t>Gençler grubu sessize almış ama ayrı bir grupta senin görsellerini paylaşıp gülüyorlar. Sen onlar için bir içerik üreticisisin.</t>
        </is>
      </c>
      <c r="E447" s="6" t="inlineStr"/>
      <c r="F447" s="5" t="inlineStr">
        <is>
          <t>E</t>
        </is>
      </c>
    </row>
    <row r="448">
      <c r="A448" s="5" t="inlineStr">
        <is>
          <t>b9-gunaydin-gorselleri</t>
        </is>
      </c>
      <c r="B448" s="5" t="inlineStr">
        <is>
          <t>Vicdan</t>
        </is>
      </c>
      <c r="C448" s="5" t="inlineStr">
        <is>
          <t>Kolay</t>
        </is>
      </c>
      <c r="D448" s="6" t="inlineStr">
        <is>
          <t>Bir gül görseli, 'hâlâ buradayım, siz de orada mısınız' demenin en kısa yolu.</t>
        </is>
      </c>
      <c r="E448" s="6" t="inlineStr"/>
      <c r="F448" s="5" t="inlineStr"/>
    </row>
    <row r="449">
      <c r="A449" s="5" t="inlineStr">
        <is>
          <t>b9-sabah-yuruyusu</t>
        </is>
      </c>
      <c r="B449" s="5" t="inlineStr">
        <is>
          <t>Dayanıklılık</t>
        </is>
      </c>
      <c r="C449" s="5" t="inlineStr">
        <is>
          <t>Orta</t>
        </is>
      </c>
      <c r="D449" s="6" t="inlineStr">
        <is>
          <t>Tempo dakikada yüz yirmi adım. Kollar doksan derece. Konuşmak serbest ama nefesini sen öde.</t>
        </is>
      </c>
      <c r="E449" s="6" t="inlineStr"/>
      <c r="F449" s="5" t="inlineStr"/>
    </row>
    <row r="450">
      <c r="A450" s="5" t="inlineStr">
        <is>
          <t>b9-sabah-yuruyusu</t>
        </is>
      </c>
      <c r="B450" s="5" t="inlineStr">
        <is>
          <t>Sosyal Radar</t>
        </is>
      </c>
      <c r="C450" s="5" t="inlineStr">
        <is>
          <t>Kolay</t>
        </is>
      </c>
      <c r="D450" s="6" t="inlineStr">
        <is>
          <t>Grup aslında yürümüyor. Grup, mahallenin haftalık bülteni yürüyerek hazırlanıyor.</t>
        </is>
      </c>
      <c r="E450" s="6" t="inlineStr"/>
      <c r="F450" s="5" t="inlineStr"/>
    </row>
    <row r="451">
      <c r="A451" s="5" t="inlineStr">
        <is>
          <t>mb-emeklilik-hesabi</t>
        </is>
      </c>
      <c r="B451" s="5" t="inlineStr">
        <is>
          <t>Akıl</t>
        </is>
      </c>
      <c r="C451" s="5" t="inlineStr">
        <is>
          <t>Orta</t>
        </is>
      </c>
      <c r="D451" s="6" t="inlineStr">
        <is>
          <t>Prim gün sayın doğru ama işe giriş tarihin bir yıl kaymış. Staj yılı yok.</t>
        </is>
      </c>
      <c r="E451" s="6" t="inlineStr"/>
      <c r="F451" s="5" t="inlineStr">
        <is>
          <t>E</t>
        </is>
      </c>
    </row>
    <row r="452">
      <c r="A452" s="5" t="inlineStr">
        <is>
          <t>mm-gun-sayaci</t>
        </is>
      </c>
      <c r="B452" s="5" t="inlineStr">
        <is>
          <t>Dayanıklılık</t>
        </is>
      </c>
      <c r="C452" s="5" t="inlineStr">
        <is>
          <t>Orta</t>
        </is>
      </c>
      <c r="D452" s="6" t="inlineStr">
        <is>
          <t>Maratonun son dört kilometresi. Burada hızlanan da kaybeder, yavaşlayan da.</t>
        </is>
      </c>
      <c r="E452" s="6" t="inlineStr"/>
      <c r="F452" s="5" t="inlineStr"/>
    </row>
    <row r="453">
      <c r="A453" s="5" t="inlineStr">
        <is>
          <t>mm-gun-sayaci</t>
        </is>
      </c>
      <c r="B453" s="5" t="inlineStr">
        <is>
          <t>Sosyal Radar</t>
        </is>
      </c>
      <c r="C453" s="5" t="inlineStr">
        <is>
          <t>Kolay</t>
        </is>
      </c>
      <c r="D453" s="6" t="inlineStr">
        <is>
          <t>Yan masa da sayaç tutuyor. Seninkinden üç yüz gün az. Her sabah seninkine bakıp gülümsüyor.</t>
        </is>
      </c>
      <c r="E453" s="6" t="inlineStr"/>
      <c r="F453" s="5" t="inlineStr">
        <is>
          <t>E</t>
        </is>
      </c>
    </row>
    <row r="454">
      <c r="A454" s="5" t="inlineStr">
        <is>
          <t>b9-doktor-randevusu</t>
        </is>
      </c>
      <c r="B454" s="5" t="inlineStr">
        <is>
          <t>Akıl</t>
        </is>
      </c>
      <c r="C454" s="5" t="inlineStr">
        <is>
          <t>Orta</t>
        </is>
      </c>
      <c r="D454" s="6" t="inlineStr">
        <is>
          <t>Birileri randevusunu iptal ediyor. İptaller genelde gece yarısından sonra düşüyor. Uyanık kalmak bir stratejidir.</t>
        </is>
      </c>
      <c r="E454" s="6" t="inlineStr"/>
      <c r="F454" s="5" t="inlineStr"/>
    </row>
    <row r="455">
      <c r="A455" s="5" t="inlineStr">
        <is>
          <t>b9-doktor-randevusu</t>
        </is>
      </c>
      <c r="B455" s="5" t="inlineStr">
        <is>
          <t>Dayanıklılık</t>
        </is>
      </c>
      <c r="C455" s="5" t="inlineStr">
        <is>
          <t>Kolay</t>
        </is>
      </c>
      <c r="D455" s="6" t="inlineStr">
        <is>
          <t>Sırada beklemek bir spor. Madalyası yok ama katılımcısı çok.</t>
        </is>
      </c>
      <c r="E455" s="6" t="inlineStr"/>
      <c r="F455" s="5" t="inlineStr"/>
    </row>
    <row r="456">
      <c r="A456" s="5" t="inlineStr">
        <is>
          <t>b9-ilk-torun</t>
        </is>
      </c>
      <c r="B456" s="5" t="inlineStr">
        <is>
          <t>Vicdan</t>
        </is>
      </c>
      <c r="C456" s="5" t="inlineStr">
        <is>
          <t>Kolay</t>
        </is>
      </c>
      <c r="D456" s="6" t="inlineStr">
        <is>
          <t>Bu bebek senin çocuğunun çocuğu. Çocuğun seni hiç böyle bakarken görmedi. Belki şimdi anlar.</t>
        </is>
      </c>
      <c r="E456" s="6" t="inlineStr"/>
      <c r="F456" s="5" t="inlineStr"/>
    </row>
    <row r="457">
      <c r="A457" s="5" t="inlineStr">
        <is>
          <t>b9-ilk-torun</t>
        </is>
      </c>
      <c r="B457" s="5" t="inlineStr">
        <is>
          <t>Çene</t>
        </is>
      </c>
      <c r="C457" s="5" t="inlineStr">
        <is>
          <t>Orta</t>
        </is>
      </c>
      <c r="D457" s="6" t="inlineStr">
        <is>
          <t>İsim konusunda bir önerin var. Kimse sormadı. Sormayacaklar.</t>
        </is>
      </c>
      <c r="E457" s="6" t="inlineStr"/>
      <c r="F457" s="5" t="inlineStr"/>
    </row>
    <row r="458">
      <c r="A458" s="5" t="inlineStr">
        <is>
          <t>ms-emeklilik-yok</t>
        </is>
      </c>
      <c r="B458" s="5" t="inlineStr">
        <is>
          <t>Akıl</t>
        </is>
      </c>
      <c r="C458" s="5" t="inlineStr">
        <is>
          <t>Orta</t>
        </is>
      </c>
      <c r="D458" s="6" t="inlineStr">
        <is>
          <t>Yaşıtların 'emeklilik ikramiyesi' diyor. Senin sözlüğünde bu kelime yok.</t>
        </is>
      </c>
      <c r="E458" s="6" t="inlineStr"/>
      <c r="F458" s="5" t="inlineStr"/>
    </row>
    <row r="459">
      <c r="A459" s="5" t="inlineStr">
        <is>
          <t>ms-emeklilik-yok</t>
        </is>
      </c>
      <c r="B459" s="5" t="inlineStr">
        <is>
          <t>Dayanıklılık</t>
        </is>
      </c>
      <c r="C459" s="5" t="inlineStr">
        <is>
          <t>Kolay</t>
        </is>
      </c>
      <c r="D459" s="6" t="inlineStr">
        <is>
          <t>Maratonun bitiş çizgisi yok. Kimse söylemedi ama yok.</t>
        </is>
      </c>
      <c r="E459" s="6" t="inlineStr"/>
      <c r="F459" s="5" t="inlineStr"/>
    </row>
    <row r="460">
      <c r="A460" s="5" t="inlineStr">
        <is>
          <t>me-defterin-son-sayfasi</t>
        </is>
      </c>
      <c r="B460" s="5" t="inlineStr">
        <is>
          <t>Vicdan</t>
        </is>
      </c>
      <c r="C460" s="5" t="inlineStr">
        <is>
          <t>Kolay</t>
        </is>
      </c>
      <c r="D460" s="6" t="inlineStr">
        <is>
          <t>Bu defterde paradan çok hayat yazılı. Sil ama unutma.</t>
        </is>
      </c>
      <c r="E460" s="6" t="inlineStr"/>
      <c r="F460" s="5" t="inlineStr"/>
    </row>
    <row r="461">
      <c r="A461" s="5" t="inlineStr">
        <is>
          <t>me-defterin-son-sayfasi</t>
        </is>
      </c>
      <c r="B461" s="5" t="inlineStr">
        <is>
          <t>Kurnazlık</t>
        </is>
      </c>
      <c r="C461" s="5" t="inlineStr">
        <is>
          <t>Orta</t>
        </is>
      </c>
      <c r="D461" s="6" t="inlineStr">
        <is>
          <t>Yedinci sayfadaki isim geçen hafta sıfır araba aldı. Park ettiği yer de senin dükkânın önü.</t>
        </is>
      </c>
      <c r="E461" s="6" t="inlineStr"/>
      <c r="F461" s="5" t="inlineStr">
        <is>
          <t>E</t>
        </is>
      </c>
    </row>
    <row r="462">
      <c r="A462" s="5" t="inlineStr">
        <is>
          <t>b9-genclere-tavsiye</t>
        </is>
      </c>
      <c r="B462" s="5" t="inlineStr">
        <is>
          <t>Çene</t>
        </is>
      </c>
      <c r="C462" s="5" t="inlineStr">
        <is>
          <t>Orta</t>
        </is>
      </c>
      <c r="D462" s="6" t="inlineStr">
        <is>
          <t>Tavsiye verme, soru sor. 'Sence ne yapmalısın?' Genç ne yapacağını söyler, sen de 'Aynen öyle' dersin.</t>
        </is>
      </c>
      <c r="E462" s="6" t="inlineStr"/>
      <c r="F462" s="5" t="inlineStr">
        <is>
          <t>E</t>
        </is>
      </c>
    </row>
    <row r="463">
      <c r="A463" s="5" t="inlineStr">
        <is>
          <t>b9-genclere-tavsiye</t>
        </is>
      </c>
      <c r="B463" s="5" t="inlineStr">
        <is>
          <t>Akıl</t>
        </is>
      </c>
      <c r="C463" s="5" t="inlineStr">
        <is>
          <t>Kolay</t>
        </is>
      </c>
      <c r="D463" s="6" t="inlineStr">
        <is>
          <t>Senin döneminde 'dijital' diye bir iş kolu yoktu. Onun döneminde 'emeklilik' diye bir kavram olmayabilir. Beraberesiniz.</t>
        </is>
      </c>
      <c r="E463" s="6" t="inlineStr"/>
      <c r="F463" s="5" t="inlineStr"/>
    </row>
    <row r="464">
      <c r="A464" s="5" t="inlineStr">
        <is>
          <t>b9-lise-bulusmasi</t>
        </is>
      </c>
      <c r="B464" s="5" t="inlineStr">
        <is>
          <t>Sosyal Radar</t>
        </is>
      </c>
      <c r="C464" s="5" t="inlineStr">
        <is>
          <t>Orta</t>
        </is>
      </c>
      <c r="D464" s="6" t="inlineStr">
        <is>
          <t>Sınıfın en popüler kişisi bu akşam kimseyle konuşmadı. En sessizi ise üç şirket kurmuş. Zaman adil değil ama yaratıcı.</t>
        </is>
      </c>
      <c r="E464" s="6" t="inlineStr"/>
      <c r="F464" s="5" t="inlineStr"/>
    </row>
    <row r="465">
      <c r="A465" s="5" t="inlineStr">
        <is>
          <t>b9-eski-ask</t>
        </is>
      </c>
      <c r="B465" s="5" t="inlineStr">
        <is>
          <t>Vicdan</t>
        </is>
      </c>
      <c r="C465" s="5" t="inlineStr">
        <is>
          <t>Orta</t>
        </is>
      </c>
      <c r="D465" s="6" t="inlineStr">
        <is>
          <t>Kırk yıl önce bir mektubu yarıda bıraktın. Tamamlanmamış işler dosyası hâlâ açık.</t>
        </is>
      </c>
      <c r="E465" s="6" t="inlineStr"/>
      <c r="F465" s="5" t="inlineStr">
        <is>
          <t>E</t>
        </is>
      </c>
    </row>
    <row r="466">
      <c r="A466" s="5" t="inlineStr">
        <is>
          <t>b9-eski-ask</t>
        </is>
      </c>
      <c r="B466" s="5" t="inlineStr">
        <is>
          <t>Pişkinlik</t>
        </is>
      </c>
      <c r="C466" s="5" t="inlineStr">
        <is>
          <t>Kolay</t>
        </is>
      </c>
      <c r="D466" s="6" t="inlineStr">
        <is>
          <t>Saçlarına bak. O da sana bakıyor. İkinizin de saçı yok. Eşitlik sağlandı.</t>
        </is>
      </c>
      <c r="E466" s="6" t="inlineStr"/>
      <c r="F466" s="5" t="inlineStr"/>
    </row>
    <row r="467">
      <c r="A467" s="5" t="inlineStr">
        <is>
          <t>b9-balkon-tarimi</t>
        </is>
      </c>
      <c r="B467" s="5" t="inlineStr">
        <is>
          <t>Dayanıklılık</t>
        </is>
      </c>
      <c r="C467" s="5" t="inlineStr">
        <is>
          <t>Kolay</t>
        </is>
      </c>
      <c r="D467" s="6" t="inlineStr">
        <is>
          <t>Domates yirmi günde kızarır. Sen yirmi gün boyunca her sabah ona bakarsın. Kim kimi yetiştiriyor, belli değil.</t>
        </is>
      </c>
      <c r="E467" s="6" t="inlineStr"/>
      <c r="F467" s="5" t="inlineStr"/>
    </row>
    <row r="468">
      <c r="A468" s="5" t="inlineStr">
        <is>
          <t>b9-balkon-tarimi</t>
        </is>
      </c>
      <c r="B468" s="5" t="inlineStr">
        <is>
          <t>Kurnazlık</t>
        </is>
      </c>
      <c r="C468" s="5" t="inlineStr">
        <is>
          <t>Orta</t>
        </is>
      </c>
      <c r="D468" s="6" t="inlineStr">
        <is>
          <t>Alt kattakinin balkonu daha çok güneş alıyor. Saksılarla sınır ihlali yapılabilir.</t>
        </is>
      </c>
      <c r="E468" s="6" t="inlineStr"/>
      <c r="F468" s="5" t="inlineStr"/>
    </row>
    <row r="469">
      <c r="A469" s="5" t="inlineStr">
        <is>
          <t>mm-devir-teslim</t>
        </is>
      </c>
      <c r="B469" s="5" t="inlineStr">
        <is>
          <t>Vicdan</t>
        </is>
      </c>
      <c r="C469" s="5" t="inlineStr">
        <is>
          <t>Orta</t>
        </is>
      </c>
      <c r="D469" s="6" t="inlineStr">
        <is>
          <t>Ona her şeyi öğret. Ama 'Yarın gelin' cümlesini sen öğretme; kendi bulsun.</t>
        </is>
      </c>
      <c r="E469" s="6" t="inlineStr"/>
      <c r="F469" s="5" t="inlineStr"/>
    </row>
    <row r="470">
      <c r="A470" s="5" t="inlineStr">
        <is>
          <t>mm-devir-teslim</t>
        </is>
      </c>
      <c r="B470" s="5" t="inlineStr">
        <is>
          <t>Kurnazlık</t>
        </is>
      </c>
      <c r="C470" s="5" t="inlineStr">
        <is>
          <t>Zor</t>
        </is>
      </c>
      <c r="D470" s="6" t="inlineStr">
        <is>
          <t>Hangi dolabın anahtarı nerede, onu yazma. Bilgi güçtür; emeklilikte bile.</t>
        </is>
      </c>
      <c r="E470" s="6" t="inlineStr"/>
      <c r="F470" s="5" t="inlineStr"/>
    </row>
    <row r="471">
      <c r="A471" s="5" t="inlineStr">
        <is>
          <t>b9-yapay-zeka-asistani</t>
        </is>
      </c>
      <c r="B471" s="5" t="inlineStr">
        <is>
          <t>Akıl</t>
        </is>
      </c>
      <c r="C471" s="5" t="inlineStr">
        <is>
          <t>Orta</t>
        </is>
      </c>
      <c r="D471" s="6" t="inlineStr">
        <is>
          <t>Yüksek ses anlamayı artırmaz. Bu kural insanlarda da geçerli, ama kimse denemekten vazgeçmiyor.</t>
        </is>
      </c>
      <c r="E471" s="6" t="inlineStr"/>
      <c r="F471" s="5" t="inlineStr"/>
    </row>
    <row r="472">
      <c r="A472" s="5" t="inlineStr">
        <is>
          <t>b9-yapay-zeka-asistani</t>
        </is>
      </c>
      <c r="B472" s="5" t="inlineStr">
        <is>
          <t>Çene</t>
        </is>
      </c>
      <c r="C472" s="5" t="inlineStr">
        <is>
          <t>Kolay</t>
        </is>
      </c>
      <c r="D472" s="6" t="inlineStr">
        <is>
          <t>Makine de olsa kibarlığa cevap verir. 'Rica etsem' diye başla.</t>
        </is>
      </c>
      <c r="E472" s="6" t="inlineStr"/>
      <c r="F472" s="5" t="inlineStr"/>
    </row>
    <row r="473">
      <c r="A473" s="5" t="inlineStr">
        <is>
          <t>b9-torun-nobeti</t>
        </is>
      </c>
      <c r="B473" s="5" t="inlineStr">
        <is>
          <t>Dayanıklılık</t>
        </is>
      </c>
      <c r="C473" s="5" t="inlineStr">
        <is>
          <t>Zor</t>
        </is>
      </c>
      <c r="D473" s="6" t="inlineStr">
        <is>
          <t>Kendi çocuğunu büyüttün. Ama o zamanlar otuz yaşındaydın ve dizlerin henüz fikir beyan etmiyordu.</t>
        </is>
      </c>
      <c r="E473" s="6" t="inlineStr"/>
      <c r="F473" s="5" t="inlineStr"/>
    </row>
    <row r="474">
      <c r="A474" s="5" t="inlineStr">
        <is>
          <t>b9-torun-nobeti</t>
        </is>
      </c>
      <c r="B474" s="5" t="inlineStr">
        <is>
          <t>Kurnazlık</t>
        </is>
      </c>
      <c r="C474" s="5" t="inlineStr">
        <is>
          <t>Orta</t>
        </is>
      </c>
      <c r="D474" s="6" t="inlineStr">
        <is>
          <t>Talimatlar yazılı. Yazılı olan her şeyin bir boşluğu vardır. 'Dondurma yok' demiyor, 'şeker yok' diyor.</t>
        </is>
      </c>
      <c r="E474" s="6" t="inlineStr"/>
      <c r="F474" s="5" t="inlineStr"/>
    </row>
    <row r="475">
      <c r="A475" s="5" t="inlineStr">
        <is>
          <t>mb-devir-teslim</t>
        </is>
      </c>
      <c r="B475" s="5" t="inlineStr">
        <is>
          <t>Kurnazlık</t>
        </is>
      </c>
      <c r="C475" s="5" t="inlineStr">
        <is>
          <t>Orta</t>
        </is>
      </c>
      <c r="D475" s="6" t="inlineStr">
        <is>
          <t>Arşiv şifresini bir tek sen biliyorsun. Bu bir güç. Kısa süreli bir güç.</t>
        </is>
      </c>
      <c r="E475" s="6" t="inlineStr"/>
      <c r="F475" s="5" t="inlineStr"/>
    </row>
    <row r="476">
      <c r="A476" s="5" t="inlineStr">
        <is>
          <t>mb-devir-teslim</t>
        </is>
      </c>
      <c r="B476" s="5" t="inlineStr">
        <is>
          <t>Vicdan</t>
        </is>
      </c>
      <c r="C476" s="5" t="inlineStr">
        <is>
          <t>Kolay</t>
        </is>
      </c>
      <c r="D476" s="6" t="inlineStr">
        <is>
          <t>Yerine gelen çocuk ilk gün çok kibar. Senin ilk günün gibi. Kartı da çalışmıyor.</t>
        </is>
      </c>
      <c r="E476" s="6" t="inlineStr"/>
      <c r="F476" s="5" t="inlineStr"/>
    </row>
    <row r="477">
      <c r="A477" s="5" t="inlineStr">
        <is>
          <t>me-mudavim</t>
        </is>
      </c>
      <c r="B477" s="5" t="inlineStr">
        <is>
          <t>Sosyal Radar</t>
        </is>
      </c>
      <c r="C477" s="5" t="inlineStr">
        <is>
          <t>Orta</t>
        </is>
      </c>
      <c r="D477" s="6" t="inlineStr">
        <is>
          <t>Torununu okula bırakmaya başlamış. Yeni bir rutin doğuyor; sen de içindesin.</t>
        </is>
      </c>
      <c r="E477" s="6" t="inlineStr"/>
      <c r="F477" s="5" t="inlineStr"/>
    </row>
    <row r="478">
      <c r="A478" s="5" t="inlineStr">
        <is>
          <t>me-mudavim</t>
        </is>
      </c>
      <c r="B478" s="5" t="inlineStr">
        <is>
          <t>Vicdan</t>
        </is>
      </c>
      <c r="C478" s="5" t="inlineStr">
        <is>
          <t>Kolay</t>
        </is>
      </c>
      <c r="D478" s="6" t="inlineStr">
        <is>
          <t>Onun ekmeğini her sabah ayırırdın. Bugün unuttun. Kimseye söyleme.</t>
        </is>
      </c>
      <c r="E478" s="6" t="inlineStr"/>
      <c r="F478" s="5" t="inlineStr"/>
    </row>
    <row r="479">
      <c r="A479" s="5" t="inlineStr">
        <is>
          <t>b9-kahvehane-tavla</t>
        </is>
      </c>
      <c r="B479" s="5" t="inlineStr">
        <is>
          <t>Kurnazlık</t>
        </is>
      </c>
      <c r="C479" s="5" t="inlineStr">
        <is>
          <t>Orta</t>
        </is>
      </c>
      <c r="D479" s="6" t="inlineStr">
        <is>
          <t>Masadaki en yaşlı oyuncu zarları hep aynı köşeye atıyor. Köşedeki kumaş biraz eğik. Dikkat.</t>
        </is>
      </c>
      <c r="E479" s="6" t="inlineStr"/>
      <c r="F479" s="5" t="inlineStr"/>
    </row>
    <row r="480">
      <c r="A480" s="5" t="inlineStr">
        <is>
          <t>b9-kahvehane-tavla</t>
        </is>
      </c>
      <c r="B480" s="5" t="inlineStr">
        <is>
          <t>Pişkinlik</t>
        </is>
      </c>
      <c r="C480" s="5" t="inlineStr">
        <is>
          <t>Kolay</t>
        </is>
      </c>
      <c r="D480" s="6" t="inlineStr">
        <is>
          <t>Tavlada kazanmak yetmez. Kazandıktan sonra ne söylediğin, bir sonraki maçı kazanır.</t>
        </is>
      </c>
      <c r="E480" s="6" t="inlineStr"/>
      <c r="F480" s="5" t="inlineStr"/>
    </row>
    <row r="481">
      <c r="A481" s="5" t="inlineStr">
        <is>
          <t>b9-emeklilik</t>
        </is>
      </c>
      <c r="B481" s="5" t="inlineStr">
        <is>
          <t>Sosyal Radar</t>
        </is>
      </c>
      <c r="C481" s="5" t="inlineStr">
        <is>
          <t>Orta</t>
        </is>
      </c>
      <c r="D481" s="6" t="inlineStr">
        <is>
          <t>Aile grubunda üç kişi aynı anda 'yazıyor…' Konu ikramiye. Kimse hayırlı olsun demedi; herkes bütçe sunuyor.</t>
        </is>
      </c>
      <c r="E481" s="6" t="inlineStr"/>
      <c r="F481" s="5" t="inlineStr">
        <is>
          <t>E</t>
        </is>
      </c>
    </row>
    <row r="482">
      <c r="A482" s="5" t="inlineStr">
        <is>
          <t>b9-emeklilik</t>
        </is>
      </c>
      <c r="B482" s="5" t="inlineStr">
        <is>
          <t>Vicdan</t>
        </is>
      </c>
      <c r="C482" s="5" t="inlineStr">
        <is>
          <t>Kolay</t>
        </is>
      </c>
      <c r="D482" s="6" t="inlineStr">
        <is>
          <t>Otuz beş yıl her sabah aynı saatte kalktın. Yarın uyanacaksın ve kimse seni beklemeyecek. Bu bir ödül mü, bilinmiyor.</t>
        </is>
      </c>
      <c r="E482" s="6" t="inlineStr"/>
      <c r="F482" s="5" t="inlineStr"/>
    </row>
    <row r="483">
      <c r="A483" s="5" t="inlineStr">
        <is>
          <t>ms-retrospektif</t>
        </is>
      </c>
      <c r="B483" s="5" t="inlineStr">
        <is>
          <t>Cesaret</t>
        </is>
      </c>
      <c r="C483" s="5" t="inlineStr">
        <is>
          <t>Orta</t>
        </is>
      </c>
      <c r="D483" s="6" t="inlineStr">
        <is>
          <t>Merdiven sallanıyor. Sanat da hep biraz sallanır.</t>
        </is>
      </c>
      <c r="E483" s="6" t="inlineStr"/>
      <c r="F483" s="5" t="inlineStr"/>
    </row>
    <row r="484">
      <c r="A484" s="5" t="inlineStr">
        <is>
          <t>ms-retrospektif</t>
        </is>
      </c>
      <c r="B484" s="5" t="inlineStr">
        <is>
          <t>Sosyal Radar</t>
        </is>
      </c>
      <c r="C484" s="5" t="inlineStr">
        <is>
          <t>Kolay</t>
        </is>
      </c>
      <c r="D484" s="6" t="inlineStr">
        <is>
          <t>Açılışta bu kez üç kişi yok. Yüz kişi var. Kurye de burada, bilet almış.</t>
        </is>
      </c>
      <c r="E484" s="6" t="inlineStr"/>
      <c r="F484" s="5" t="inlineStr"/>
    </row>
    <row r="485">
      <c r="A485" s="5" t="inlineStr">
        <is>
          <t>b9-pazar-arabasi</t>
        </is>
      </c>
      <c r="B485" s="5" t="inlineStr">
        <is>
          <t>Çene</t>
        </is>
      </c>
      <c r="C485" s="5" t="inlineStr">
        <is>
          <t>Kolay</t>
        </is>
      </c>
      <c r="D485" s="6" t="inlineStr">
        <is>
          <t>Pazarcı 'Abla', 'Abi', 'Hocam' ve 'Patron' arasında seçim yapacak. Hangisini seçerse fiyat ona göre belirlenir.</t>
        </is>
      </c>
      <c r="E485" s="6" t="inlineStr"/>
      <c r="F485" s="5" t="inlineStr"/>
    </row>
    <row r="486">
      <c r="A486" s="5" t="inlineStr">
        <is>
          <t>b9-pazar-arabasi</t>
        </is>
      </c>
      <c r="B486" s="5" t="inlineStr">
        <is>
          <t>Kurnazlık</t>
        </is>
      </c>
      <c r="C486" s="5" t="inlineStr">
        <is>
          <t>Orta</t>
        </is>
      </c>
      <c r="D486" s="6" t="inlineStr">
        <is>
          <t>Kapanışa yarım saat var. Kapanıştaki pazarcı, sabahki pazarcının kardeşi değildir. Daha cömerttir.</t>
        </is>
      </c>
      <c r="E486" s="6" t="inlineStr"/>
      <c r="F486" s="5" t="inlineStr"/>
    </row>
    <row r="487">
      <c r="A487" s="5" t="inlineStr">
        <is>
          <t>b9-ikramiye</t>
        </is>
      </c>
      <c r="B487" s="5" t="inlineStr">
        <is>
          <t>Cesaret</t>
        </is>
      </c>
      <c r="C487" s="5" t="inlineStr">
        <is>
          <t>Orta</t>
        </is>
      </c>
      <c r="D487" s="6" t="inlineStr">
        <is>
          <t>Gençken bir motosiklet istemiştin. O zaman paran yoktu. Şimdi paran var. Dizlerin başka bir konu.</t>
        </is>
      </c>
      <c r="E487" s="6" t="inlineStr"/>
      <c r="F487" s="5" t="inlineStr"/>
    </row>
    <row r="488">
      <c r="A488" s="5" t="inlineStr">
        <is>
          <t>b9-ikramiye</t>
        </is>
      </c>
      <c r="B488" s="5" t="inlineStr">
        <is>
          <t>Akıl</t>
        </is>
      </c>
      <c r="C488" s="5" t="inlineStr">
        <is>
          <t>Zor</t>
        </is>
      </c>
      <c r="D488" s="6" t="inlineStr">
        <is>
          <t>Bu para bir kez gelir. Bir kez harcanır. Aradaki süreyi uzatmak senin elinde.</t>
        </is>
      </c>
      <c r="E488" s="6" t="inlineStr"/>
      <c r="F488" s="5" t="inlineStr"/>
    </row>
    <row r="489">
      <c r="A489" s="5" t="inlineStr">
        <is>
          <t>mm-son-is-gunu</t>
        </is>
      </c>
      <c r="B489" s="5" t="inlineStr">
        <is>
          <t>Çene</t>
        </is>
      </c>
      <c r="C489" s="5" t="inlineStr">
        <is>
          <t>Orta</t>
        </is>
      </c>
      <c r="D489" s="6" t="inlineStr">
        <is>
          <t>Kısa tut. Herkes kısa tutacağını söyler; kimse tutmaz. Sen tut.</t>
        </is>
      </c>
      <c r="E489" s="6" t="inlineStr"/>
      <c r="F489" s="5" t="inlineStr"/>
    </row>
    <row r="490">
      <c r="A490" s="5" t="inlineStr">
        <is>
          <t>mm-son-is-gunu</t>
        </is>
      </c>
      <c r="B490" s="5" t="inlineStr">
        <is>
          <t>Vicdan</t>
        </is>
      </c>
      <c r="C490" s="5" t="inlineStr">
        <is>
          <t>Kolay</t>
        </is>
      </c>
      <c r="D490" s="6" t="inlineStr">
        <is>
          <t>İlk imzanı attığın kalem hâlâ çekmecende. Onu yanına al.</t>
        </is>
      </c>
      <c r="E490" s="6" t="inlineStr"/>
      <c r="F490" s="5" t="inlineStr"/>
    </row>
    <row r="491">
      <c r="A491" s="5" t="inlineStr">
        <is>
          <t>b9-es-7-24</t>
        </is>
      </c>
      <c r="B491" s="5" t="inlineStr">
        <is>
          <t>Sosyal Radar</t>
        </is>
      </c>
      <c r="C491" s="5" t="inlineStr">
        <is>
          <t>Orta</t>
        </is>
      </c>
      <c r="D491" s="6" t="inlineStr">
        <is>
          <t>Eşin sabah aynı soruyu üç kez sordu: 'Bugün ne yapıyorsun?' Anlamı: 'Bugün ne zaman dışarı çıkıyorsun?'</t>
        </is>
      </c>
      <c r="E491" s="6" t="inlineStr"/>
      <c r="F491" s="5" t="inlineStr">
        <is>
          <t>E</t>
        </is>
      </c>
    </row>
    <row r="492">
      <c r="A492" s="5" t="inlineStr">
        <is>
          <t>b9-es-7-24</t>
        </is>
      </c>
      <c r="B492" s="5" t="inlineStr">
        <is>
          <t>Vicdan</t>
        </is>
      </c>
      <c r="C492" s="5" t="inlineStr">
        <is>
          <t>Kolay</t>
        </is>
      </c>
      <c r="D492" s="6" t="inlineStr">
        <is>
          <t>Otuz yıl boyunca 'Keşke daha çok vaktimiz olsa' dediniz. Vakit geldi. Yanında kumanda kavgası da geldi.</t>
        </is>
      </c>
      <c r="E492" s="6" t="inlineStr"/>
      <c r="F492" s="5" t="inlineStr"/>
    </row>
    <row r="493">
      <c r="A493" s="5" t="inlineStr">
        <is>
          <t>b9-yalniz-emeklilik</t>
        </is>
      </c>
      <c r="B493" s="5" t="inlineStr">
        <is>
          <t>Dayanıklılık</t>
        </is>
      </c>
      <c r="C493" s="5" t="inlineStr">
        <is>
          <t>Kolay</t>
        </is>
      </c>
      <c r="D493" s="6" t="inlineStr">
        <is>
          <t>Kimseye hesap vermiyorsun. Saat üçte öğle yemeği yiyebilirsin. Yiyeceksin de.</t>
        </is>
      </c>
      <c r="E493" s="6" t="inlineStr"/>
      <c r="F493" s="5" t="inlineStr"/>
    </row>
    <row r="494">
      <c r="A494" s="5" t="inlineStr">
        <is>
          <t>b9-yalniz-emeklilik</t>
        </is>
      </c>
      <c r="B494" s="5" t="inlineStr">
        <is>
          <t>Sosyal Radar</t>
        </is>
      </c>
      <c r="C494" s="5" t="inlineStr">
        <is>
          <t>Orta</t>
        </is>
      </c>
      <c r="D494" s="6" t="inlineStr">
        <is>
          <t>Karşı apartmandaki komşu da yalnız. O da seni pencereden görüyor. İkiniz de bunu bilmiyormuş gibi yapıyorsunuz.</t>
        </is>
      </c>
      <c r="E494" s="6" t="inlineStr"/>
      <c r="F494" s="5" t="inlineStr"/>
    </row>
    <row r="495">
      <c r="A495" s="5" t="inlineStr">
        <is>
          <t>mb-veda-plaketi</t>
        </is>
      </c>
      <c r="B495" s="5" t="inlineStr">
        <is>
          <t>Vicdan</t>
        </is>
      </c>
      <c r="C495" s="5" t="inlineStr">
        <is>
          <t>Kolay</t>
        </is>
      </c>
      <c r="D495" s="6" t="inlineStr">
        <is>
          <t>Otuz yılı bir tahtaya sığdırdılar. Tahta, pastadan uzun yaşayacak.</t>
        </is>
      </c>
      <c r="E495" s="6" t="inlineStr"/>
      <c r="F495" s="5" t="inlineStr"/>
    </row>
    <row r="496">
      <c r="A496" s="5" t="inlineStr">
        <is>
          <t>me-dukkani-devret</t>
        </is>
      </c>
      <c r="B496" s="5" t="inlineStr">
        <is>
          <t>Kurnazlık</t>
        </is>
      </c>
      <c r="C496" s="5" t="inlineStr">
        <is>
          <t>Orta</t>
        </is>
      </c>
      <c r="D496" s="6" t="inlineStr">
        <is>
          <t>Hava parası ayrı, demirbaş ayrı, müşteri portföyü ayrı. Müdavimi de listeye yaz; o bir varlık.</t>
        </is>
      </c>
      <c r="E496" s="6" t="inlineStr"/>
      <c r="F496" s="5" t="inlineStr"/>
    </row>
    <row r="497">
      <c r="A497" s="5" t="inlineStr">
        <is>
          <t>me-dukkani-devret</t>
        </is>
      </c>
      <c r="B497" s="5" t="inlineStr">
        <is>
          <t>Vicdan</t>
        </is>
      </c>
      <c r="C497" s="5" t="inlineStr">
        <is>
          <t>Zor</t>
        </is>
      </c>
      <c r="D497" s="6" t="inlineStr">
        <is>
          <t>Dükkânı satmıyorsun. Otuz yılı bir anahtar halkasına sığdırıyorsun.</t>
        </is>
      </c>
      <c r="E497" s="6" t="inlineStr"/>
      <c r="F497" s="5" t="inlineStr"/>
    </row>
    <row r="498">
      <c r="A498" s="5" t="inlineStr">
        <is>
          <t>b9-tavla-finali</t>
        </is>
      </c>
      <c r="B498" s="5" t="inlineStr">
        <is>
          <t>Cesaret</t>
        </is>
      </c>
      <c r="C498" s="5" t="inlineStr">
        <is>
          <t>Orta</t>
        </is>
      </c>
      <c r="D498" s="6" t="inlineStr">
        <is>
          <t>Kırk kişi sana bakıyor. Kırk kişi daha önce hiç bir şey için sana bakmadı. Keyfini çıkar.</t>
        </is>
      </c>
      <c r="E498" s="6" t="inlineStr"/>
      <c r="F498" s="5" t="inlineStr"/>
    </row>
    <row r="499">
      <c r="A499" s="5" t="inlineStr">
        <is>
          <t>b9-tavla-finali</t>
        </is>
      </c>
      <c r="B499" s="5" t="inlineStr">
        <is>
          <t>Kurnazlık</t>
        </is>
      </c>
      <c r="C499" s="5" t="inlineStr">
        <is>
          <t>Zor</t>
        </is>
      </c>
      <c r="D499" s="6" t="inlineStr">
        <is>
          <t>Rakibin zar atmadan önce iki kez burnunu kaşıyor. Üçüncü kaşıyışta kaybediyor.</t>
        </is>
      </c>
      <c r="E499" s="6" t="inlineStr"/>
      <c r="F499" s="5" t="inlineStr"/>
    </row>
    <row r="500">
      <c r="A500" s="5" t="inlineStr">
        <is>
          <t>b9-torunun-tableti</t>
        </is>
      </c>
      <c r="B500" s="5" t="inlineStr">
        <is>
          <t>Akıl</t>
        </is>
      </c>
      <c r="C500" s="5" t="inlineStr">
        <is>
          <t>Orta</t>
        </is>
      </c>
      <c r="D500" s="6" t="inlineStr">
        <is>
          <t>Kapat, aç. Dünyanın bütün teknik destek hattı bu iki kelimeden ibaret.</t>
        </is>
      </c>
      <c r="E500" s="6" t="inlineStr"/>
      <c r="F500" s="5" t="inlineStr"/>
    </row>
    <row r="501">
      <c r="A501" s="5" t="inlineStr">
        <is>
          <t>b9-torunun-tableti</t>
        </is>
      </c>
      <c r="B501" s="5" t="inlineStr">
        <is>
          <t>Pişkinlik</t>
        </is>
      </c>
      <c r="C501" s="5" t="inlineStr">
        <is>
          <t>Kolay</t>
        </is>
      </c>
      <c r="D501" s="6" t="inlineStr">
        <is>
          <t>Tabletin nasıl çalıştığını bilmediğini söyleme. Torun bunu zaten biliyor; sen de biliyormuş gibi yap.</t>
        </is>
      </c>
      <c r="E501" s="6" t="inlineStr"/>
      <c r="F501" s="5" t="inlineStr"/>
    </row>
    <row r="502">
      <c r="A502" s="5" t="inlineStr">
        <is>
          <t>mm-eski-daire</t>
        </is>
      </c>
      <c r="B502" s="5" t="inlineStr">
        <is>
          <t>Pişkinlik</t>
        </is>
      </c>
      <c r="C502" s="5" t="inlineStr">
        <is>
          <t>Orta</t>
        </is>
      </c>
      <c r="D502" s="6" t="inlineStr">
        <is>
          <t>Bu cümleyi otuz yıl sen kurdun. Şimdi faizini al: gülümse.</t>
        </is>
      </c>
      <c r="E502" s="6" t="inlineStr"/>
      <c r="F502" s="5" t="inlineStr"/>
    </row>
    <row r="503">
      <c r="A503" s="5" t="inlineStr">
        <is>
          <t>mm-eski-daire</t>
        </is>
      </c>
      <c r="B503" s="5" t="inlineStr">
        <is>
          <t>Sosyal Radar</t>
        </is>
      </c>
      <c r="C503" s="5" t="inlineStr">
        <is>
          <t>Kolay</t>
        </is>
      </c>
      <c r="D503" s="6" t="inlineStr">
        <is>
          <t>Genç memur senin devir tutanağındaki cümlelerle konuşuyor. Kırk iki sayfa okunmuş.</t>
        </is>
      </c>
      <c r="E503" s="6" t="inlineStr"/>
      <c r="F503" s="5" t="inlineStr"/>
    </row>
    <row r="504">
      <c r="A504" s="5" t="inlineStr">
        <is>
          <t>b9-yazlik-komsulari</t>
        </is>
      </c>
      <c r="B504" s="5" t="inlineStr">
        <is>
          <t>Sosyal Radar</t>
        </is>
      </c>
      <c r="C504" s="5" t="inlineStr">
        <is>
          <t>Orta</t>
        </is>
      </c>
      <c r="D504" s="6" t="inlineStr">
        <is>
          <t>Site yöneticisi aynı zamanda yan komşunun kayınbiraderi. Hortum meselesi aile meselesi.</t>
        </is>
      </c>
      <c r="E504" s="6" t="inlineStr"/>
      <c r="F504" s="5" t="inlineStr"/>
    </row>
    <row r="505">
      <c r="A505" s="5" t="inlineStr">
        <is>
          <t>b9-yazlik-komsulari</t>
        </is>
      </c>
      <c r="B505" s="5" t="inlineStr">
        <is>
          <t>Çene</t>
        </is>
      </c>
      <c r="C505" s="5" t="inlineStr">
        <is>
          <t>Kolay</t>
        </is>
      </c>
      <c r="D505" s="6" t="inlineStr">
        <is>
          <t>Yazlık tartışmaları kışın unutulur. Yazın her gün yeniden başlar. Mevsimlik bir çatışma bu.</t>
        </is>
      </c>
      <c r="E505" s="6" t="inlineStr"/>
      <c r="F505" s="5" t="inlineStr"/>
    </row>
    <row r="506">
      <c r="A506" s="5" t="inlineStr">
        <is>
          <t>b9-ikinci-kariyer</t>
        </is>
      </c>
      <c r="B506" s="5" t="inlineStr">
        <is>
          <t>Dayanıklılık</t>
        </is>
      </c>
      <c r="C506" s="5" t="inlineStr">
        <is>
          <t>Orta</t>
        </is>
      </c>
      <c r="D506" s="6" t="inlineStr">
        <is>
          <t>Emeklilik bir son değil, bir ara vermedir. Ara uzun sürmedi.</t>
        </is>
      </c>
      <c r="E506" s="6" t="inlineStr"/>
      <c r="F506" s="5" t="inlineStr"/>
    </row>
    <row r="507">
      <c r="A507" s="5" t="inlineStr">
        <is>
          <t>b9-ikinci-kariyer</t>
        </is>
      </c>
      <c r="B507" s="5" t="inlineStr">
        <is>
          <t>Kurnazlık</t>
        </is>
      </c>
      <c r="C507" s="5" t="inlineStr">
        <is>
          <t>Kolay</t>
        </is>
      </c>
      <c r="D507" s="6" t="inlineStr">
        <is>
          <t>Tanıdık sana 'danışman' diyor. Danışman ücretinden değil, tecrübenden bahsediyor. Farkı hesapla.</t>
        </is>
      </c>
      <c r="E507" s="6" t="inlineStr"/>
      <c r="F507" s="5" t="inlineStr"/>
    </row>
    <row r="508">
      <c r="A508" s="5" t="inlineStr">
        <is>
          <t>ms-son-perde</t>
        </is>
      </c>
      <c r="B508" s="5" t="inlineStr">
        <is>
          <t>Dayanıklılık</t>
        </is>
      </c>
      <c r="C508" s="5" t="inlineStr">
        <is>
          <t>Orta</t>
        </is>
      </c>
      <c r="D508" s="6" t="inlineStr">
        <is>
          <t>Kırk yıl ücret bekledin. Beş saniye de alkış bekleyebilirsin.</t>
        </is>
      </c>
      <c r="E508" s="6" t="inlineStr"/>
      <c r="F508" s="5" t="inlineStr"/>
    </row>
    <row r="509">
      <c r="A509" s="5" t="inlineStr">
        <is>
          <t>ms-son-perde</t>
        </is>
      </c>
      <c r="B509" s="5" t="inlineStr">
        <is>
          <t>Pişkinlik</t>
        </is>
      </c>
      <c r="C509" s="5" t="inlineStr">
        <is>
          <t>Kolay</t>
        </is>
      </c>
      <c r="D509" s="6" t="inlineStr">
        <is>
          <t>Ön sırada teyze var. Hâlâ 'gerçek iş' sorusunu soracak gibi bakıyor.</t>
        </is>
      </c>
      <c r="E509" s="6" t="inlineStr"/>
      <c r="F509" s="5" t="inlineStr"/>
    </row>
    <row r="510">
      <c r="A510" s="5" t="inlineStr">
        <is>
          <t>b9-noter-miras</t>
        </is>
      </c>
      <c r="B510" s="5" t="inlineStr">
        <is>
          <t>Kurnazlık</t>
        </is>
      </c>
      <c r="C510" s="5" t="inlineStr">
        <is>
          <t>Orta</t>
        </is>
      </c>
      <c r="D510" s="6" t="inlineStr">
        <is>
          <t>Bu belgeyi çocuklar görecek. Kim neyi aldığına bakacak; kimin neyi almadığına daha çok bakacak.</t>
        </is>
      </c>
      <c r="E510" s="6" t="inlineStr"/>
      <c r="F510" s="5" t="inlineStr">
        <is>
          <t>E</t>
        </is>
      </c>
    </row>
    <row r="511">
      <c r="A511" s="5" t="inlineStr">
        <is>
          <t>b9-noter-miras</t>
        </is>
      </c>
      <c r="B511" s="5" t="inlineStr">
        <is>
          <t>Vicdan</t>
        </is>
      </c>
      <c r="C511" s="5" t="inlineStr">
        <is>
          <t>Kolay</t>
        </is>
      </c>
      <c r="D511" s="6" t="inlineStr">
        <is>
          <t>Miras bir teşekkür değil. Ama teşekkür yerine geçebilir.</t>
        </is>
      </c>
      <c r="E511" s="6" t="inlineStr"/>
      <c r="F511" s="5" t="inlineStr"/>
    </row>
    <row r="512">
      <c r="A512" s="5" t="inlineStr">
        <is>
          <t>b9-dev-kabak</t>
        </is>
      </c>
      <c r="B512" s="5" t="inlineStr">
        <is>
          <t>Dayanıklılık</t>
        </is>
      </c>
      <c r="C512" s="5" t="inlineStr">
        <is>
          <t>Orta</t>
        </is>
      </c>
      <c r="D512" s="6" t="inlineStr">
        <is>
          <t>Bu kabağı kaldırmak için iki kişi, bir el arabası ve bir fizyoterapist gerekli.</t>
        </is>
      </c>
      <c r="E512" s="6" t="inlineStr"/>
      <c r="F512" s="5" t="inlineStr"/>
    </row>
    <row r="513">
      <c r="A513" s="5" t="inlineStr">
        <is>
          <t>b9-dev-kabak</t>
        </is>
      </c>
      <c r="B513" s="5" t="inlineStr">
        <is>
          <t>Pişkinlik</t>
        </is>
      </c>
      <c r="C513" s="5" t="inlineStr">
        <is>
          <t>Kolay</t>
        </is>
      </c>
      <c r="D513" s="6" t="inlineStr">
        <is>
          <t>Bu kabak senin eserin. Yarışmada ilk olmalı. Sonra yemek yapılmalı. Sonra hikâyesi anlatılmalı.</t>
        </is>
      </c>
      <c r="E513" s="6" t="inlineStr"/>
      <c r="F513" s="5" t="inlineStr"/>
    </row>
    <row r="514">
      <c r="A514" s="5" t="inlineStr">
        <is>
          <t>me-son-kepenk</t>
        </is>
      </c>
      <c r="B514" s="5" t="inlineStr">
        <is>
          <t>Dayanıklılık</t>
        </is>
      </c>
      <c r="C514" s="5" t="inlineStr">
        <is>
          <t>Orta</t>
        </is>
      </c>
      <c r="D514" s="6" t="inlineStr">
        <is>
          <t>Kepenk ağır, sen artık hafif değilsin. Dizlerden kaldır, belden değil.</t>
        </is>
      </c>
      <c r="E514" s="6" t="inlineStr"/>
      <c r="F514" s="5" t="inlineStr"/>
    </row>
    <row r="515">
      <c r="A515" s="5" t="inlineStr">
        <is>
          <t>me-son-kepenk</t>
        </is>
      </c>
      <c r="B515" s="5" t="inlineStr">
        <is>
          <t>Vicdan</t>
        </is>
      </c>
      <c r="C515" s="5" t="inlineStr">
        <is>
          <t>Kolay</t>
        </is>
      </c>
      <c r="D515" s="6" t="inlineStr">
        <is>
          <t>Teşekkür etmek istediğin çok kişi var. Önce kendinden başla.</t>
        </is>
      </c>
      <c r="E515" s="6" t="inlineStr"/>
      <c r="F515" s="5" t="inlineStr"/>
    </row>
    <row r="516">
      <c r="A516" s="5" t="inlineStr">
        <is>
          <t>b9-emekli-seyahati</t>
        </is>
      </c>
      <c r="B516" s="5" t="inlineStr">
        <is>
          <t>Sosyal Radar</t>
        </is>
      </c>
      <c r="C516" s="5" t="inlineStr">
        <is>
          <t>Orta</t>
        </is>
      </c>
      <c r="D516" s="6" t="inlineStr">
        <is>
          <t>Otobüsün ön sırası derneğin yönetim kurulu. Arka sıra muhalefet. Ortada tarafsız bölge; sen oradasın.</t>
        </is>
      </c>
      <c r="E516" s="6" t="inlineStr"/>
      <c r="F516" s="5" t="inlineStr"/>
    </row>
    <row r="517">
      <c r="A517" s="5" t="inlineStr">
        <is>
          <t>b9-emekli-seyahati</t>
        </is>
      </c>
      <c r="B517" s="5" t="inlineStr">
        <is>
          <t>Cesaret</t>
        </is>
      </c>
      <c r="C517" s="5" t="inlineStr">
        <is>
          <t>Kolay</t>
        </is>
      </c>
      <c r="D517" s="6" t="inlineStr">
        <is>
          <t>Sürpriz durak her zaman bir halı mağazasıdır. Bu bir tahmin değil, tecrübe.</t>
        </is>
      </c>
      <c r="E517" s="6" t="inlineStr"/>
      <c r="F517" s="5" t="inlineStr"/>
    </row>
    <row r="518">
      <c r="A518" s="5" t="inlineStr">
        <is>
          <t>b9-sifre-unuttum</t>
        </is>
      </c>
      <c r="B518" s="5" t="inlineStr">
        <is>
          <t>Akıl</t>
        </is>
      </c>
      <c r="C518" s="5" t="inlineStr">
        <is>
          <t>Orta</t>
        </is>
      </c>
      <c r="D518" s="6" t="inlineStr">
        <is>
          <t>Şifren büyük harf, küçük harf, rakam ve bir sembol içeriyordu. Sembolün ne olduğunu sadece sen biliyordun. Artık sen de bilmiyorsun.</t>
        </is>
      </c>
      <c r="E518" s="6" t="inlineStr"/>
      <c r="F518" s="5" t="inlineStr"/>
    </row>
    <row r="519">
      <c r="A519" s="5" t="inlineStr">
        <is>
          <t>b9-sifre-unuttum</t>
        </is>
      </c>
      <c r="B519" s="5" t="inlineStr">
        <is>
          <t>Dayanıklılık</t>
        </is>
      </c>
      <c r="C519" s="5" t="inlineStr">
        <is>
          <t>Kolay</t>
        </is>
      </c>
      <c r="D519" s="6" t="inlineStr">
        <is>
          <t>Banka şubesinde sıra numarası: 187. Ekranda: 42. Yanına bir çay al.</t>
        </is>
      </c>
      <c r="E519" s="6" t="inlineStr"/>
      <c r="F519" s="5" t="inlineStr"/>
    </row>
    <row r="520">
      <c r="A520" s="5" t="inlineStr">
        <is>
          <t>mb-son-kisa-gorusme</t>
        </is>
      </c>
      <c r="B520" s="5" t="inlineStr">
        <is>
          <t>Sosyal Radar</t>
        </is>
      </c>
      <c r="C520" s="5" t="inlineStr">
        <is>
          <t>Orta</t>
        </is>
      </c>
      <c r="D520" s="6" t="inlineStr">
        <is>
          <t>Arayan, senin işe aldığın stajyer. Artık genel müdür yardımcısı.</t>
        </is>
      </c>
      <c r="E520" s="6" t="inlineStr"/>
      <c r="F520" s="5" t="inlineStr"/>
    </row>
    <row r="521">
      <c r="A521" s="5" t="inlineStr">
        <is>
          <t>mb-son-kisa-gorusme</t>
        </is>
      </c>
      <c r="B521" s="5" t="inlineStr">
        <is>
          <t>Dayanıklılık</t>
        </is>
      </c>
      <c r="C521" s="5" t="inlineStr">
        <is>
          <t>Kolay</t>
        </is>
      </c>
      <c r="D521" s="6" t="inlineStr">
        <is>
          <t>Sabah yürüyüşü, öğle çayı, akşam dizisi. Bu takvim bozulmaya değer mi?</t>
        </is>
      </c>
      <c r="E521" s="6" t="inlineStr"/>
      <c r="F521" s="5" t="inlineStr"/>
    </row>
    <row r="522">
      <c r="A522" s="5" t="inlineStr">
        <is>
          <t>b9-site-toplantisi</t>
        </is>
      </c>
      <c r="B522" s="5" t="inlineStr">
        <is>
          <t>Sosyal Radar</t>
        </is>
      </c>
      <c r="C522" s="5" t="inlineStr">
        <is>
          <t>Orta</t>
        </is>
      </c>
      <c r="D522" s="6" t="inlineStr">
        <is>
          <t>Yönetici seçimi aslında bir seçim değil. Kim toplantıya ilk gelirse yönetici olur. Sen ilk geldin.</t>
        </is>
      </c>
      <c r="E522" s="6" t="inlineStr"/>
      <c r="F522" s="5" t="inlineStr"/>
    </row>
    <row r="523">
      <c r="A523" s="5" t="inlineStr">
        <is>
          <t>b9-site-toplantisi</t>
        </is>
      </c>
      <c r="B523" s="5" t="inlineStr">
        <is>
          <t>Vicdan</t>
        </is>
      </c>
      <c r="C523" s="5" t="inlineStr">
        <is>
          <t>Kolay</t>
        </is>
      </c>
      <c r="D523" s="6" t="inlineStr">
        <is>
          <t>Asansör üç yıldır arızalı. Dördüncü kattaki komşu seksen yaşında. Bu konuda sessiz kalma.</t>
        </is>
      </c>
      <c r="E523" s="6" t="inlineStr"/>
      <c r="F523" s="5" t="inlineStr"/>
    </row>
    <row r="524">
      <c r="A524" s="5" t="inlineStr">
        <is>
          <t>b9-torunun-sorusu</t>
        </is>
      </c>
      <c r="B524" s="5" t="inlineStr">
        <is>
          <t>Akıl</t>
        </is>
      </c>
      <c r="C524" s="5" t="inlineStr">
        <is>
          <t>Kolay</t>
        </is>
      </c>
      <c r="D524" s="6" t="inlineStr">
        <is>
          <t>Vardı. Duvarda asılıydı. Kablolu. Açınca kimin aradığını bilmezdin. Bu bilgi torunu korkutabilir.</t>
        </is>
      </c>
      <c r="E524" s="6" t="inlineStr"/>
      <c r="F524" s="5" t="inlineStr"/>
    </row>
    <row r="525">
      <c r="A525" s="5" t="inlineStr">
        <is>
          <t>b9-torunun-sorusu</t>
        </is>
      </c>
      <c r="B525" s="5" t="inlineStr">
        <is>
          <t>Pişkinlik</t>
        </is>
      </c>
      <c r="C525" s="5" t="inlineStr">
        <is>
          <t>Orta</t>
        </is>
      </c>
      <c r="D525" s="6" t="inlineStr">
        <is>
          <t>Biraz abart. Kar yağarken okula yürüdüğünü söyle. Yokuş yukarı. İki yönde de.</t>
        </is>
      </c>
      <c r="E525" s="6" t="inlineStr"/>
      <c r="F525" s="5" t="inlineStr"/>
    </row>
    <row r="526">
      <c r="A526" s="5" t="inlineStr">
        <is>
          <t>ms-son-roportaj</t>
        </is>
      </c>
      <c r="B526" s="5" t="inlineStr">
        <is>
          <t>Vicdan</t>
        </is>
      </c>
      <c r="C526" s="5" t="inlineStr">
        <is>
          <t>Kolay</t>
        </is>
      </c>
      <c r="D526" s="6" t="inlineStr">
        <is>
          <t>Öğrencinin gözlerinde yirmi iki yaşındaki sen varsın. Ona fatura kesmeyi öğret.</t>
        </is>
      </c>
      <c r="E526" s="6" t="inlineStr"/>
      <c r="F526" s="5" t="inlineStr"/>
    </row>
    <row r="527">
      <c r="A527" s="5" t="inlineStr">
        <is>
          <t>ms-son-roportaj</t>
        </is>
      </c>
      <c r="B527" s="5" t="inlineStr">
        <is>
          <t>Çene</t>
        </is>
      </c>
      <c r="C527" s="5" t="inlineStr">
        <is>
          <t>Orta</t>
        </is>
      </c>
      <c r="D527" s="6" t="inlineStr">
        <is>
          <t>Kırk yıl anlattın. Bu kez biri not alıyor.</t>
        </is>
      </c>
      <c r="E527" s="6" t="inlineStr"/>
      <c r="F527" s="5" t="inlineStr"/>
    </row>
    <row r="528">
      <c r="A528" s="5" t="inlineStr">
        <is>
          <t>b9-hayat-muhasebesi</t>
        </is>
      </c>
      <c r="B528" s="5" t="inlineStr">
        <is>
          <t>Vicdan</t>
        </is>
      </c>
      <c r="C528" s="5" t="inlineStr">
        <is>
          <t>Orta</t>
        </is>
      </c>
      <c r="D528" s="6" t="inlineStr">
        <is>
          <t>Fotoğraflarda eksik yüzler var. Onları da gördün. Kimse sormadı, sen de söylemedin.</t>
        </is>
      </c>
      <c r="E528" s="6" t="inlineStr"/>
      <c r="F528" s="5" t="inlineStr"/>
    </row>
    <row r="529">
      <c r="A529" s="5" t="inlineStr">
        <is>
          <t>b9-hayat-muhasebesi</t>
        </is>
      </c>
      <c r="B529" s="5" t="inlineStr">
        <is>
          <t>Sosyal Radar</t>
        </is>
      </c>
      <c r="C529" s="5" t="inlineStr">
        <is>
          <t>Kolay</t>
        </is>
      </c>
      <c r="D529" s="6" t="inlineStr">
        <is>
          <t>Slayt gösterisinde en çok senin gençlik fotoğrafların alkış aldı. Yaşlanmak, geçmişe iltifat etmektir.</t>
        </is>
      </c>
      <c r="E529" s="6" t="inlineStr"/>
      <c r="F529" s="5" t="inlineStr"/>
    </row>
    <row r="530">
      <c r="A530" s="5" t="inlineStr">
        <is>
          <t>b10-noter-vasiyet</t>
        </is>
      </c>
      <c r="B530" s="5" t="inlineStr">
        <is>
          <t>Akıl</t>
        </is>
      </c>
      <c r="C530" s="5" t="inlineStr">
        <is>
          <t>Orta</t>
        </is>
      </c>
      <c r="D530" s="6" t="inlineStr">
        <is>
          <t>Her maddeyi ayrı yaz. Muğlak bırakılan her cümle, bir bayram sofrasında dava olur.</t>
        </is>
      </c>
      <c r="E530" s="6" t="inlineStr"/>
      <c r="F530" s="5" t="inlineStr"/>
    </row>
    <row r="531">
      <c r="A531" s="5" t="inlineStr">
        <is>
          <t>b10-noter-vasiyet</t>
        </is>
      </c>
      <c r="B531" s="5" t="inlineStr">
        <is>
          <t>Vicdan</t>
        </is>
      </c>
      <c r="C531" s="5" t="inlineStr">
        <is>
          <t>Kolay</t>
        </is>
      </c>
      <c r="D531" s="6" t="inlineStr">
        <is>
          <t>Kimseyi unutma evladım. Unutulan hatırlar.</t>
        </is>
      </c>
      <c r="E531" s="6" t="inlineStr"/>
      <c r="F531" s="5" t="inlineStr"/>
    </row>
    <row r="532">
      <c r="A532" s="5" t="inlineStr">
        <is>
          <t>b10-miras-provasi</t>
        </is>
      </c>
      <c r="B532" s="5" t="inlineStr">
        <is>
          <t>Sosyal Radar</t>
        </is>
      </c>
      <c r="C532" s="5" t="inlineStr">
        <is>
          <t>Orta</t>
        </is>
      </c>
      <c r="D532" s="6" t="inlineStr">
        <is>
          <t>Soruyu soran değil, soruyu sordurtan önemli. Masanın sol ucuna bak.</t>
        </is>
      </c>
      <c r="E532" s="6" t="inlineStr"/>
      <c r="F532" s="5" t="inlineStr">
        <is>
          <t>E</t>
        </is>
      </c>
    </row>
    <row r="533">
      <c r="A533" s="5" t="inlineStr">
        <is>
          <t>b10-miras-provasi</t>
        </is>
      </c>
      <c r="B533" s="5" t="inlineStr">
        <is>
          <t>Cesaret</t>
        </is>
      </c>
      <c r="C533" s="5" t="inlineStr">
        <is>
          <t>Kolay</t>
        </is>
      </c>
      <c r="D533" s="6" t="inlineStr">
        <is>
          <t>Hâlâ buradayım. Dizlerin değil ama.</t>
        </is>
      </c>
      <c r="E533" s="6" t="inlineStr"/>
      <c r="F533" s="5" t="inlineStr"/>
    </row>
    <row r="534">
      <c r="A534" s="5" t="inlineStr">
        <is>
          <t>b10-teknoloji-kursu</t>
        </is>
      </c>
      <c r="B534" s="5" t="inlineStr">
        <is>
          <t>Akıl</t>
        </is>
      </c>
      <c r="C534" s="5" t="inlineStr">
        <is>
          <t>Kolay</t>
        </is>
      </c>
      <c r="D534" s="6" t="inlineStr">
        <is>
          <t>Bu cihaz senden sonra icat edildi. Bunu unutma, ama ona da hissettirme.</t>
        </is>
      </c>
      <c r="E534" s="6" t="inlineStr"/>
      <c r="F534" s="5" t="inlineStr"/>
    </row>
    <row r="535">
      <c r="A535" s="5" t="inlineStr">
        <is>
          <t>b10-teknoloji-kursu</t>
        </is>
      </c>
      <c r="B535" s="5" t="inlineStr">
        <is>
          <t>Dayanıklılık</t>
        </is>
      </c>
      <c r="C535" s="5" t="inlineStr">
        <is>
          <t>Orta</t>
        </is>
      </c>
      <c r="D535" s="6" t="inlineStr">
        <is>
          <t>Kurs üç ay. Ben de yıllardır koşuyorum. Kafamda.</t>
        </is>
      </c>
      <c r="E535" s="6" t="inlineStr"/>
      <c r="F535" s="5" t="inlineStr"/>
    </row>
    <row r="536">
      <c r="A536" s="5" t="inlineStr">
        <is>
          <t>b10-balkon-kulesi</t>
        </is>
      </c>
      <c r="B536" s="5" t="inlineStr">
        <is>
          <t>Sosyal Radar</t>
        </is>
      </c>
      <c r="C536" s="5" t="inlineStr">
        <is>
          <t>Kolay</t>
        </is>
      </c>
      <c r="D536" s="6" t="inlineStr">
        <is>
          <t>Üçüncü kattakiler iki gündür kargo almıyor. Bir şeyler dönüyor.</t>
        </is>
      </c>
      <c r="E536" s="6" t="inlineStr"/>
      <c r="F536" s="5" t="inlineStr"/>
    </row>
    <row r="537">
      <c r="A537" s="5" t="inlineStr">
        <is>
          <t>b10-balkon-kulesi</t>
        </is>
      </c>
      <c r="B537" s="5" t="inlineStr">
        <is>
          <t>Kurnazlık</t>
        </is>
      </c>
      <c r="C537" s="5" t="inlineStr">
        <is>
          <t>Orta</t>
        </is>
      </c>
      <c r="D537" s="6" t="inlineStr">
        <is>
          <t>Belediye aracı her salı aynı saatte geçiyor. Bu bilgi bir gün lazım olur.</t>
        </is>
      </c>
      <c r="E537" s="6" t="inlineStr"/>
      <c r="F537" s="5" t="inlineStr"/>
    </row>
    <row r="538">
      <c r="A538" s="5" t="inlineStr">
        <is>
          <t>b10-sinif-bulusmasi</t>
        </is>
      </c>
      <c r="B538" s="5" t="inlineStr">
        <is>
          <t>Sosyal Radar</t>
        </is>
      </c>
      <c r="C538" s="5" t="inlineStr">
        <is>
          <t>Orta</t>
        </is>
      </c>
      <c r="D538" s="6" t="inlineStr">
        <is>
          <t>Arka sıradaki, masa altından kopya veren oydu. Kimse unutmadı.</t>
        </is>
      </c>
      <c r="E538" s="6" t="inlineStr"/>
      <c r="F538" s="5" t="inlineStr"/>
    </row>
    <row r="539">
      <c r="A539" s="5" t="inlineStr">
        <is>
          <t>b10-sinif-bulusmasi</t>
        </is>
      </c>
      <c r="B539" s="5" t="inlineStr">
        <is>
          <t>Vicdan</t>
        </is>
      </c>
      <c r="C539" s="5" t="inlineStr">
        <is>
          <t>Kolay</t>
        </is>
      </c>
      <c r="D539" s="6" t="inlineStr">
        <is>
          <t>Gelemeyenleri de say evladım. Yoklama eksik kalmasın.</t>
        </is>
      </c>
      <c r="E539" s="6" t="inlineStr"/>
      <c r="F539" s="5" t="inlineStr"/>
    </row>
    <row r="540">
      <c r="A540" s="5" t="inlineStr">
        <is>
          <t>b10-doktor-gomersiniz</t>
        </is>
      </c>
      <c r="B540" s="5" t="inlineStr">
        <is>
          <t>Dayanıklılık</t>
        </is>
      </c>
      <c r="C540" s="5" t="inlineStr">
        <is>
          <t>Kolay</t>
        </is>
      </c>
      <c r="D540" s="6" t="inlineStr">
        <is>
          <t>Hâlâ koşuyorum. Kafamda. Ama tempo iyi.</t>
        </is>
      </c>
      <c r="E540" s="6" t="inlineStr"/>
      <c r="F540" s="5" t="inlineStr">
        <is>
          <t>E</t>
        </is>
      </c>
    </row>
    <row r="541">
      <c r="A541" s="5" t="inlineStr">
        <is>
          <t>b10-doktor-gomersiniz</t>
        </is>
      </c>
      <c r="B541" s="5" t="inlineStr">
        <is>
          <t>Akıl</t>
        </is>
      </c>
      <c r="C541" s="5" t="inlineStr">
        <is>
          <t>Orta</t>
        </is>
      </c>
      <c r="D541" s="6" t="inlineStr">
        <is>
          <t>Doktor kırk yaşında. İstatistiksel olarak ciddi bir iddia.</t>
        </is>
      </c>
      <c r="E541" s="6" t="inlineStr"/>
      <c r="F541" s="5" t="inlineStr"/>
    </row>
    <row r="542">
      <c r="A542" s="5" t="inlineStr">
        <is>
          <t>b10-bayram-harcligi</t>
        </is>
      </c>
      <c r="B542" s="5" t="inlineStr">
        <is>
          <t>Kurnazlık</t>
        </is>
      </c>
      <c r="C542" s="5" t="inlineStr">
        <is>
          <t>Orta</t>
        </is>
      </c>
      <c r="D542" s="6" t="inlineStr">
        <is>
          <t>Sıradaki üçüncü çocuk ikinci kez geliyor. Montunu değiştirmiş.</t>
        </is>
      </c>
      <c r="E542" s="6" t="inlineStr"/>
      <c r="F542" s="5" t="inlineStr"/>
    </row>
    <row r="543">
      <c r="A543" s="5" t="inlineStr">
        <is>
          <t>b10-bayram-harcligi</t>
        </is>
      </c>
      <c r="B543" s="5" t="inlineStr">
        <is>
          <t>Vicdan</t>
        </is>
      </c>
      <c r="C543" s="5" t="inlineStr">
        <is>
          <t>Kolay</t>
        </is>
      </c>
      <c r="D543" s="6" t="inlineStr">
        <is>
          <t>Sen de yıllarca bu sırada durdun. Unutma.</t>
        </is>
      </c>
      <c r="E543" s="6" t="inlineStr"/>
      <c r="F543" s="5" t="inlineStr"/>
    </row>
    <row r="544">
      <c r="A544" s="5" t="inlineStr">
        <is>
          <t>b10-dijital-miras</t>
        </is>
      </c>
      <c r="B544" s="5" t="inlineStr">
        <is>
          <t>Akıl</t>
        </is>
      </c>
      <c r="C544" s="5" t="inlineStr">
        <is>
          <t>Orta</t>
        </is>
      </c>
      <c r="D544" s="6" t="inlineStr">
        <is>
          <t>Şifreleri bir deftere yazıp defteri şifrele. Defterin şifresini de başka bir deftere yaz.</t>
        </is>
      </c>
      <c r="E544" s="6" t="inlineStr"/>
      <c r="F544" s="5" t="inlineStr">
        <is>
          <t>E</t>
        </is>
      </c>
    </row>
    <row r="545">
      <c r="A545" s="5" t="inlineStr">
        <is>
          <t>b10-dijital-miras</t>
        </is>
      </c>
      <c r="B545" s="5" t="inlineStr">
        <is>
          <t>Sosyal Radar</t>
        </is>
      </c>
      <c r="C545" s="5" t="inlineStr">
        <is>
          <t>Kolay</t>
        </is>
      </c>
      <c r="D545" s="6" t="inlineStr">
        <is>
          <t>Fotoğraf arşivinde on iki bin fotoğraf var. Dördünde gözlerin açık.</t>
        </is>
      </c>
      <c r="E545" s="6" t="inlineStr"/>
      <c r="F545" s="5" t="inlineStr"/>
    </row>
    <row r="546">
      <c r="A546" s="5" t="inlineStr">
        <is>
          <t>b10-mezar-parseli</t>
        </is>
      </c>
      <c r="B546" s="5" t="inlineStr">
        <is>
          <t>Kurnazlık</t>
        </is>
      </c>
      <c r="C546" s="5" t="inlineStr">
        <is>
          <t>Orta</t>
        </is>
      </c>
      <c r="D546" s="6" t="inlineStr">
        <is>
          <t>Manzaralı parselin fiyatı iki katı. Manzarayı kim görecek, onu sor.</t>
        </is>
      </c>
      <c r="E546" s="6" t="inlineStr"/>
      <c r="F546" s="5" t="inlineStr"/>
    </row>
    <row r="547">
      <c r="A547" s="5" t="inlineStr">
        <is>
          <t>b10-mezar-parseli</t>
        </is>
      </c>
      <c r="B547" s="5" t="inlineStr">
        <is>
          <t>Pişkinlik</t>
        </is>
      </c>
      <c r="C547" s="5" t="inlineStr">
        <is>
          <t>Kolay</t>
        </is>
      </c>
      <c r="D547" s="6" t="inlineStr">
        <is>
          <t>Bir parselin tanıtım broşürü var. Hayatının broşürü yoktu.</t>
        </is>
      </c>
      <c r="E547" s="6" t="inlineStr"/>
      <c r="F547" s="5" t="inlineStr"/>
    </row>
    <row r="548">
      <c r="A548" s="5" t="inlineStr">
        <is>
          <t>b10-danismanlik</t>
        </is>
      </c>
      <c r="B548" s="5" t="inlineStr">
        <is>
          <t>Kurnazlık</t>
        </is>
      </c>
      <c r="C548" s="5" t="inlineStr">
        <is>
          <t>Orta</t>
        </is>
      </c>
      <c r="D548" s="6" t="inlineStr">
        <is>
          <t>Bu bir danışmanlık teklifi. Ücretini sen belirle.</t>
        </is>
      </c>
      <c r="E548" s="6" t="inlineStr"/>
      <c r="F548" s="5" t="inlineStr"/>
    </row>
    <row r="549">
      <c r="A549" s="5" t="inlineStr">
        <is>
          <t>b10-danismanlik</t>
        </is>
      </c>
      <c r="B549" s="5" t="inlineStr">
        <is>
          <t>Akıl</t>
        </is>
      </c>
      <c r="C549" s="5" t="inlineStr">
        <is>
          <t>Kolay</t>
        </is>
      </c>
      <c r="D549" s="6" t="inlineStr">
        <is>
          <t>Dosya, üçüncü rafın arkasındaki kutuda. Etiketini sen yazmıştın.</t>
        </is>
      </c>
      <c r="E549" s="6" t="inlineStr"/>
      <c r="F549" s="5" t="inlineStr"/>
    </row>
    <row r="550">
      <c r="A550" s="5" t="inlineStr">
        <is>
          <t>b10-eski-dost-cenazesi</t>
        </is>
      </c>
      <c r="B550" s="5" t="inlineStr">
        <is>
          <t>Sosyal Radar</t>
        </is>
      </c>
      <c r="C550" s="5" t="inlineStr">
        <is>
          <t>Orta</t>
        </is>
      </c>
      <c r="D550" s="6" t="inlineStr">
        <is>
          <t>En uzun konuşan, en az ziyaret eden. Not et.</t>
        </is>
      </c>
      <c r="E550" s="6" t="inlineStr"/>
      <c r="F550" s="5" t="inlineStr">
        <is>
          <t>E</t>
        </is>
      </c>
    </row>
    <row r="551">
      <c r="A551" s="5" t="inlineStr">
        <is>
          <t>b10-eski-dost-cenazesi</t>
        </is>
      </c>
      <c r="B551" s="5" t="inlineStr">
        <is>
          <t>Vicdan</t>
        </is>
      </c>
      <c r="C551" s="5" t="inlineStr">
        <is>
          <t>Kolay</t>
        </is>
      </c>
      <c r="D551" s="6" t="inlineStr">
        <is>
          <t>Kalem kâğıdı bir dakikalığına bırak. Sadece dur.</t>
        </is>
      </c>
      <c r="E551" s="6" t="inlineStr"/>
      <c r="F551" s="5" t="inlineStr"/>
    </row>
    <row r="552">
      <c r="A552" s="5" t="inlineStr">
        <is>
          <t>b10-ani-defteri</t>
        </is>
      </c>
      <c r="B552" s="5" t="inlineStr">
        <is>
          <t>Vicdan</t>
        </is>
      </c>
      <c r="C552" s="5" t="inlineStr">
        <is>
          <t>Orta</t>
        </is>
      </c>
      <c r="D552" s="6" t="inlineStr">
        <is>
          <t>Doğruyu yaz. Ya da en azından, doğru hatırladığını.</t>
        </is>
      </c>
      <c r="E552" s="6" t="inlineStr"/>
      <c r="F552" s="5" t="inlineStr"/>
    </row>
    <row r="553">
      <c r="A553" s="5" t="inlineStr">
        <is>
          <t>b10-ani-defteri</t>
        </is>
      </c>
      <c r="B553" s="5" t="inlineStr">
        <is>
          <t>Pişkinlik</t>
        </is>
      </c>
      <c r="C553" s="5" t="inlineStr">
        <is>
          <t>Kolay</t>
        </is>
      </c>
      <c r="D553" s="6" t="inlineStr">
        <is>
          <t>Bu bir anı defteri değil, bir sezon finali. Cliffhanger koy.</t>
        </is>
      </c>
      <c r="E553" s="6" t="inlineStr"/>
      <c r="F553" s="5" t="inlineStr"/>
    </row>
    <row r="554">
      <c r="A554" s="5" t="inlineStr">
        <is>
          <t>b10-seksen-yas-partisi</t>
        </is>
      </c>
      <c r="B554" s="5" t="inlineStr">
        <is>
          <t>Dayanıklılık</t>
        </is>
      </c>
      <c r="C554" s="5" t="inlineStr">
        <is>
          <t>Orta</t>
        </is>
      </c>
      <c r="D554" s="6" t="inlineStr">
        <is>
          <t>Tek nefeste mümkün. Diyaframın hâlâ görev başında.</t>
        </is>
      </c>
      <c r="E554" s="6" t="inlineStr"/>
      <c r="F554" s="5" t="inlineStr"/>
    </row>
    <row r="555">
      <c r="A555" s="5" t="inlineStr">
        <is>
          <t>b10-seksen-yas-partisi</t>
        </is>
      </c>
      <c r="B555" s="5" t="inlineStr">
        <is>
          <t>Cesaret</t>
        </is>
      </c>
      <c r="C555" s="5" t="inlineStr">
        <is>
          <t>Kolay</t>
        </is>
      </c>
      <c r="D555" s="6" t="inlineStr">
        <is>
          <t>Mumlara korkmadan yaklaş. Ben hâlâ genç kalmayı seçtim. Akciğerlerin karar vermedi.</t>
        </is>
      </c>
      <c r="E555" s="6" t="inlineStr"/>
      <c r="F555" s="5" t="inlineStr"/>
    </row>
    <row r="556">
      <c r="A556" s="5" t="inlineStr">
        <is>
          <t>b10-huzurevi-turu</t>
        </is>
      </c>
      <c r="B556" s="5" t="inlineStr">
        <is>
          <t>Sosyal Radar</t>
        </is>
      </c>
      <c r="C556" s="5" t="inlineStr">
        <is>
          <t>Kolay</t>
        </is>
      </c>
      <c r="D556" s="6" t="inlineStr">
        <is>
          <t>Bahçedeki bankta oturan iki kişi seni daha kapıdan puanladı.</t>
        </is>
      </c>
      <c r="E556" s="6" t="inlineStr"/>
      <c r="F556" s="5" t="inlineStr"/>
    </row>
    <row r="557">
      <c r="A557" s="5" t="inlineStr">
        <is>
          <t>b10-huzurevi-turu</t>
        </is>
      </c>
      <c r="B557" s="5" t="inlineStr">
        <is>
          <t>Dayanıklılık</t>
        </is>
      </c>
      <c r="C557" s="5" t="inlineStr">
        <is>
          <t>Orta</t>
        </is>
      </c>
      <c r="D557" s="6" t="inlineStr">
        <is>
          <t>Burada sabah sekizde jimnastik var. Ben seninle gelmeyeceğim.</t>
        </is>
      </c>
      <c r="E557" s="6" t="inlineStr"/>
      <c r="F557" s="5" t="inlineStr"/>
    </row>
    <row r="558">
      <c r="A558" s="5" t="inlineStr">
        <is>
          <t>b10-torunun-dugunu</t>
        </is>
      </c>
      <c r="B558" s="5" t="inlineStr">
        <is>
          <t>Cesaret</t>
        </is>
      </c>
      <c r="C558" s="5" t="inlineStr">
        <is>
          <t>Orta</t>
        </is>
      </c>
      <c r="D558" s="6" t="inlineStr">
        <is>
          <t>Halaya ben girerim, dizler takip eder. Biraz geriden, ama eder.</t>
        </is>
      </c>
      <c r="E558" s="6" t="inlineStr"/>
      <c r="F558" s="5" t="inlineStr"/>
    </row>
    <row r="559">
      <c r="A559" s="5" t="inlineStr">
        <is>
          <t>b10-torunun-dugunu</t>
        </is>
      </c>
      <c r="B559" s="5" t="inlineStr">
        <is>
          <t>Sosyal Radar</t>
        </is>
      </c>
      <c r="C559" s="5" t="inlineStr">
        <is>
          <t>Kolay</t>
        </is>
      </c>
      <c r="D559" s="6" t="inlineStr">
        <is>
          <t>Karşı taraftan bir akraba seni üç kez süzdü. Seni tanıyor. Nereden?</t>
        </is>
      </c>
      <c r="E559" s="6" t="inlineStr"/>
      <c r="F559" s="5" t="inlineStr"/>
    </row>
    <row r="560">
      <c r="A560" s="5" t="inlineStr">
        <is>
          <t>b10-yapay-zeka-kitap</t>
        </is>
      </c>
      <c r="B560" s="5" t="inlineStr">
        <is>
          <t>Vicdan</t>
        </is>
      </c>
      <c r="C560" s="5" t="inlineStr">
        <is>
          <t>Orta</t>
        </is>
      </c>
      <c r="D560" s="6" t="inlineStr">
        <is>
          <t>Makine her şeyi güzel anlatıyor. Güzel olmayanları da. Bu bir sorun.</t>
        </is>
      </c>
      <c r="E560" s="6" t="inlineStr"/>
      <c r="F560" s="5" t="inlineStr">
        <is>
          <t>E</t>
        </is>
      </c>
    </row>
    <row r="561">
      <c r="A561" s="5" t="inlineStr">
        <is>
          <t>b10-yapay-zeka-kitap</t>
        </is>
      </c>
      <c r="B561" s="5" t="inlineStr">
        <is>
          <t>Akıl</t>
        </is>
      </c>
      <c r="C561" s="5" t="inlineStr">
        <is>
          <t>Kolay</t>
        </is>
      </c>
      <c r="D561" s="6" t="inlineStr">
        <is>
          <t>Kitabın ilk bölümünün adı 'Bir Vazo, Bir Kedi, Bir Başlangıç.' Makine araştırmış.</t>
        </is>
      </c>
      <c r="E561" s="6" t="inlineStr"/>
      <c r="F561" s="5" t="inlineStr"/>
    </row>
    <row r="562">
      <c r="A562" s="5" t="inlineStr">
        <is>
          <t>b10-eski-ev</t>
        </is>
      </c>
      <c r="B562" s="5" t="inlineStr">
        <is>
          <t>Sosyal Radar</t>
        </is>
      </c>
      <c r="C562" s="5" t="inlineStr">
        <is>
          <t>Kolay</t>
        </is>
      </c>
      <c r="D562" s="6" t="inlineStr">
        <is>
          <t>Şu balkondaki kişi seni izliyor. Senin gibi bir balkoncu.</t>
        </is>
      </c>
      <c r="E562" s="6" t="inlineStr"/>
      <c r="F562" s="5" t="inlineStr"/>
    </row>
    <row r="563">
      <c r="A563" s="5" t="inlineStr">
        <is>
          <t>b10-eski-ev</t>
        </is>
      </c>
      <c r="B563" s="5" t="inlineStr">
        <is>
          <t>Cesaret</t>
        </is>
      </c>
      <c r="C563" s="5" t="inlineStr">
        <is>
          <t>Orta</t>
        </is>
      </c>
      <c r="D563" s="6" t="inlineStr">
        <is>
          <t>Kapıyı çal. En kötü ihtimalle birisi 'Kimi aradınız?' der.</t>
        </is>
      </c>
      <c r="E563" s="6" t="inlineStr"/>
      <c r="F563" s="5" t="inlineStr"/>
    </row>
    <row r="564">
      <c r="A564" s="5" t="inlineStr">
        <is>
          <t>b10-son-dans</t>
        </is>
      </c>
      <c r="B564" s="5" t="inlineStr">
        <is>
          <t>Cesaret</t>
        </is>
      </c>
      <c r="C564" s="5" t="inlineStr">
        <is>
          <t>Kolay</t>
        </is>
      </c>
      <c r="D564" s="6" t="inlineStr">
        <is>
          <t>Hâlâ buradayım. Dizlerin değil ama. Sen tut, ben yönlendiririm.</t>
        </is>
      </c>
      <c r="E564" s="6" t="inlineStr"/>
      <c r="F564" s="5" t="inlineStr"/>
    </row>
    <row r="565">
      <c r="A565" s="5" t="inlineStr">
        <is>
          <t>b10-son-dans</t>
        </is>
      </c>
      <c r="B565" s="5" t="inlineStr">
        <is>
          <t>Vicdan</t>
        </is>
      </c>
      <c r="C565" s="5" t="inlineStr">
        <is>
          <t>Orta</t>
        </is>
      </c>
      <c r="D565" s="6" t="inlineStr">
        <is>
          <t>Bu dansı kimse görmeyecek. En güzel danslar da öyledir.</t>
        </is>
      </c>
      <c r="E565" s="6" t="inlineStr"/>
      <c r="F565" s="5" t="inlineStr"/>
    </row>
    <row r="566">
      <c r="A566" s="5" t="inlineStr">
        <is>
          <t>b10-yalniz-ozgur</t>
        </is>
      </c>
      <c r="B566" s="5" t="inlineStr">
        <is>
          <t>Pişkinlik</t>
        </is>
      </c>
      <c r="C566" s="5" t="inlineStr">
        <is>
          <t>Kolay</t>
        </is>
      </c>
      <c r="D566" s="6" t="inlineStr">
        <is>
          <t>Bu evin tek sunucusu sensin. Yayın akışı senin.</t>
        </is>
      </c>
      <c r="E566" s="6" t="inlineStr"/>
      <c r="F566" s="5" t="inlineStr"/>
    </row>
    <row r="567">
      <c r="A567" s="5" t="inlineStr">
        <is>
          <t>b10-yalniz-ozgur</t>
        </is>
      </c>
      <c r="B567" s="5" t="inlineStr">
        <is>
          <t>Vicdan</t>
        </is>
      </c>
      <c r="C567" s="5" t="inlineStr">
        <is>
          <t>Orta</t>
        </is>
      </c>
      <c r="D567" s="6" t="inlineStr">
        <is>
          <t>Özgürlük güzel. Ama arada bir kişi aranabilir, evladım.</t>
        </is>
      </c>
      <c r="E567" s="6" t="inlineStr"/>
      <c r="F567" s="5" t="inlineStr"/>
    </row>
    <row r="568">
      <c r="A568" s="5" t="inlineStr">
        <is>
          <t>b10-komsu-kedisi</t>
        </is>
      </c>
      <c r="B568" s="5" t="inlineStr">
        <is>
          <t>Vicdan</t>
        </is>
      </c>
      <c r="C568" s="5" t="inlineStr">
        <is>
          <t>Kolay</t>
        </is>
      </c>
      <c r="D568" s="6" t="inlineStr">
        <is>
          <t>Bu kediye bir borcun var gibi hissediyorsun. Belki de yetmiş yıllık.</t>
        </is>
      </c>
      <c r="E568" s="6" t="inlineStr"/>
      <c r="F568" s="5" t="inlineStr"/>
    </row>
    <row r="569">
      <c r="A569" s="5" t="inlineStr">
        <is>
          <t>b10-komsu-kedisi</t>
        </is>
      </c>
      <c r="B569" s="5" t="inlineStr">
        <is>
          <t>Kurnazlık</t>
        </is>
      </c>
      <c r="C569" s="5" t="inlineStr">
        <is>
          <t>Orta</t>
        </is>
      </c>
      <c r="D569" s="6" t="inlineStr">
        <is>
          <t>Kedi senin mamanı yiyor ama komşuda yaşıyor. Çifte vatandaşlık.</t>
        </is>
      </c>
      <c r="E569" s="6" t="inlineStr"/>
      <c r="F569" s="5" t="inlineStr"/>
    </row>
    <row r="570">
      <c r="A570" s="5" t="inlineStr">
        <is>
          <t>b10-sabah-yuruyusu</t>
        </is>
      </c>
      <c r="B570" s="5" t="inlineStr">
        <is>
          <t>Dayanıklılık</t>
        </is>
      </c>
      <c r="C570" s="5" t="inlineStr">
        <is>
          <t>Orta</t>
        </is>
      </c>
      <c r="D570" s="6" t="inlineStr">
        <is>
          <t>Maratoncu komşu burada. Ben hâlâ koşuyorum. Kafamda. Bacaklar bir tur geriden geliyor.</t>
        </is>
      </c>
      <c r="E570" s="6" t="inlineStr"/>
      <c r="F570" s="5" t="inlineStr"/>
    </row>
    <row r="571">
      <c r="A571" s="5" t="inlineStr">
        <is>
          <t>b10-sabah-yuruyusu</t>
        </is>
      </c>
      <c r="B571" s="5" t="inlineStr">
        <is>
          <t>Kurnazlık</t>
        </is>
      </c>
      <c r="C571" s="5" t="inlineStr">
        <is>
          <t>Kolay</t>
        </is>
      </c>
      <c r="D571" s="6" t="inlineStr">
        <is>
          <t>Önden giden kişi köşeyi hep kısa kesiyor. Sen de kes.</t>
        </is>
      </c>
      <c r="E571" s="6" t="inlineStr"/>
      <c r="F571" s="5" t="inlineStr"/>
    </row>
    <row r="572">
      <c r="A572" s="5" t="inlineStr">
        <is>
          <t>b10-son-taksit</t>
        </is>
      </c>
      <c r="B572" s="5" t="inlineStr">
        <is>
          <t>Kurnazlık</t>
        </is>
      </c>
      <c r="C572" s="5" t="inlineStr">
        <is>
          <t>Orta</t>
        </is>
      </c>
      <c r="D572" s="6" t="inlineStr">
        <is>
          <t>Banka sana yeni bir kredi teklif ediyor. Vadesi otuz yıl. İyimserler.</t>
        </is>
      </c>
      <c r="E572" s="6" t="inlineStr"/>
      <c r="F572" s="5" t="inlineStr"/>
    </row>
    <row r="573">
      <c r="A573" s="5" t="inlineStr">
        <is>
          <t>b10-son-taksit</t>
        </is>
      </c>
      <c r="B573" s="5" t="inlineStr">
        <is>
          <t>Pişkinlik</t>
        </is>
      </c>
      <c r="C573" s="5" t="inlineStr">
        <is>
          <t>Kolay</t>
        </is>
      </c>
      <c r="D573" s="6" t="inlineStr">
        <is>
          <t>Şimdi bankaya gidip 'Ayrılık görüşmesi yapmak istiyorum' de.</t>
        </is>
      </c>
      <c r="E573" s="6" t="inlineStr"/>
      <c r="F573" s="5" t="inlineStr"/>
    </row>
    <row r="574">
      <c r="A574" s="5" t="inlineStr">
        <is>
          <t>b10-ehliyet-yenileme</t>
        </is>
      </c>
      <c r="B574" s="5" t="inlineStr">
        <is>
          <t>Cesaret</t>
        </is>
      </c>
      <c r="C574" s="5" t="inlineStr">
        <is>
          <t>Kolay</t>
        </is>
      </c>
      <c r="D574" s="6" t="inlineStr">
        <is>
          <t>Seksen yıldır direksiyondayım. Emekliliğimi kabul etmiyorum. Gaz pedalı sağda.</t>
        </is>
      </c>
      <c r="E574" s="6" t="inlineStr"/>
      <c r="F574" s="5" t="inlineStr"/>
    </row>
    <row r="575">
      <c r="A575" s="5" t="inlineStr">
        <is>
          <t>b10-ehliyet-yenileme</t>
        </is>
      </c>
      <c r="B575" s="5" t="inlineStr">
        <is>
          <t>Akıl</t>
        </is>
      </c>
      <c r="C575" s="5" t="inlineStr">
        <is>
          <t>Orta</t>
        </is>
      </c>
      <c r="D575" s="6" t="inlineStr">
        <is>
          <t>Göz testinde üçüncü satır hep aynı. Ezberin var.</t>
        </is>
      </c>
      <c r="E575" s="6" t="inlineStr"/>
      <c r="F575" s="5" t="inlineStr"/>
    </row>
    <row r="576">
      <c r="A576" s="5" t="inlineStr">
        <is>
          <t>b10-mahallenin-en-yaslisi</t>
        </is>
      </c>
      <c r="B576" s="5" t="inlineStr">
        <is>
          <t>Pişkinlik</t>
        </is>
      </c>
      <c r="C576" s="5" t="inlineStr">
        <is>
          <t>Orta</t>
        </is>
      </c>
      <c r="D576" s="6" t="inlineStr">
        <is>
          <t>Bu senin son büyük sahnen olabilir. Işıkları kendine çek.</t>
        </is>
      </c>
      <c r="E576" s="6" t="inlineStr"/>
      <c r="F576" s="5" t="inlineStr">
        <is>
          <t>E</t>
        </is>
      </c>
    </row>
    <row r="577">
      <c r="A577" s="5" t="inlineStr">
        <is>
          <t>b10-mahallenin-en-yaslisi</t>
        </is>
      </c>
      <c r="B577" s="5" t="inlineStr">
        <is>
          <t>Vicdan</t>
        </is>
      </c>
      <c r="C577" s="5" t="inlineStr">
        <is>
          <t>Kolay</t>
        </is>
      </c>
      <c r="D577" s="6" t="inlineStr">
        <is>
          <t>Unvanın önceki sahibini hatırla. Bir dakikalık saygı yeterli.</t>
        </is>
      </c>
      <c r="E577" s="6" t="inlineStr"/>
      <c r="F577" s="5" t="inlineStr"/>
    </row>
    <row r="578">
      <c r="A578" s="5" t="inlineStr">
        <is>
          <t>b10-mezar-tasi-fotografi</t>
        </is>
      </c>
      <c r="B578" s="5" t="inlineStr">
        <is>
          <t>Pişkinlik</t>
        </is>
      </c>
      <c r="C578" s="5" t="inlineStr">
        <is>
          <t>Kolay</t>
        </is>
      </c>
      <c r="D578" s="6" t="inlineStr">
        <is>
          <t>Bu fotoğraf senden uzun yaşayacak. Dekorunu seç.</t>
        </is>
      </c>
      <c r="E578" s="6" t="inlineStr"/>
      <c r="F578" s="5" t="inlineStr"/>
    </row>
    <row r="579">
      <c r="A579" s="5" t="inlineStr">
        <is>
          <t>b10-mezar-tasi-fotografi</t>
        </is>
      </c>
      <c r="B579" s="5" t="inlineStr">
        <is>
          <t>Sosyal Radar</t>
        </is>
      </c>
      <c r="C579" s="5" t="inlineStr">
        <is>
          <t>Orta</t>
        </is>
      </c>
      <c r="D579" s="6" t="inlineStr">
        <is>
          <t>Ziyaretçiler fotoğrafa bakıp seni yorumlayacak. Işığa dikkat.</t>
        </is>
      </c>
      <c r="E579" s="6" t="inlineStr"/>
      <c r="F579" s="5" t="inlineStr"/>
    </row>
    <row r="580">
      <c r="A580" s="5" t="inlineStr">
        <is>
          <t>son-soz</t>
        </is>
      </c>
      <c r="B580" s="5" t="inlineStr">
        <is>
          <t>Vicdan</t>
        </is>
      </c>
      <c r="C580" s="5" t="inlineStr">
        <is>
          <t>Kolay</t>
        </is>
      </c>
      <c r="D580" s="6" t="inlineStr">
        <is>
          <t>Yoruldun evladım. Güzel bir şey söyle, sonra dinlen.</t>
        </is>
      </c>
      <c r="E580" s="6" t="inlineStr"/>
      <c r="F580" s="5" t="inlineStr"/>
    </row>
    <row r="581">
      <c r="A581" s="5" t="inlineStr">
        <is>
          <t>son-soz</t>
        </is>
      </c>
      <c r="B581" s="5" t="inlineStr">
        <is>
          <t>Çene</t>
        </is>
      </c>
      <c r="C581" s="5" t="inlineStr">
        <is>
          <t>Kolay</t>
        </is>
      </c>
      <c r="D581" s="6" t="inlineStr">
        <is>
          <t>Son müşteri, son pazarlık. Kısa tut, akılda kalsın.</t>
        </is>
      </c>
      <c r="E581" s="6" t="inlineStr"/>
      <c r="F581" s="5" t="inlineStr"/>
    </row>
    <row r="582">
      <c r="A582" s="5" t="inlineStr">
        <is>
          <t>son-soz</t>
        </is>
      </c>
      <c r="B582" s="5" t="inlineStr">
        <is>
          <t>Cesaret</t>
        </is>
      </c>
      <c r="C582" s="5" t="inlineStr">
        <is>
          <t>Orta</t>
        </is>
      </c>
      <c r="D582" s="6" t="inlineStr">
        <is>
          <t>Hâlâ buradayım. Artık hiçbir şey değil ama. Buradayım.</t>
        </is>
      </c>
      <c r="E582" s="6" t="inlineStr"/>
      <c r="F582" s="5" t="inlineStr"/>
    </row>
  </sheetData>
  <autoFilter ref="A1:F582"/>
  <dataValidations count="3">
    <dataValidation sqref="B2:B981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  <dataValidation sqref="C2:C981" showDropDown="0" showInputMessage="0" showErrorMessage="1" allowBlank="1" errorTitle="Geçersiz değer" error="Listeden bir değer seçin." type="list">
      <formula1>"Kolay,Orta,Zor,Çok Zor"</formula1>
    </dataValidation>
    <dataValidation sqref="F2:F981" showDropDown="0" showInputMessage="0" showErrorMessage="1" allowBlank="1" errorTitle="Geçersiz değer" error="Listeden bir değer seçin." type="list">
      <formula1>"E"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80" customWidth="1" min="3" max="3"/>
  </cols>
  <sheetData>
    <row r="1" ht="32" customHeight="1">
      <c r="A1" s="4" t="inlineStr">
        <is>
          <t>Olay ID</t>
        </is>
      </c>
      <c r="B1" s="4" t="inlineStr">
        <is>
          <t>Hafıza</t>
        </is>
      </c>
      <c r="C1" s="4" t="inlineStr">
        <is>
          <t>Geçmişten metni</t>
        </is>
      </c>
    </row>
    <row r="2">
      <c r="A2" s="5" t="inlineStr">
        <is>
          <t>ilk-harclik</t>
        </is>
      </c>
      <c r="B2" s="5" t="inlineStr">
        <is>
          <t>ilkKelimePara</t>
        </is>
      </c>
      <c r="C2" s="6" t="inlineStr">
        <is>
          <t>İlk kelimen 'Para' olduğundan beri bu konuda seni ciddiye alıyorlar.</t>
        </is>
      </c>
    </row>
    <row r="3">
      <c r="A3" s="5" t="inlineStr">
        <is>
          <t>kim-yapti</t>
        </is>
      </c>
      <c r="B3" s="5" t="inlineStr">
        <is>
          <t>kediSuclu</t>
        </is>
      </c>
      <c r="C3" s="6" t="inlineStr">
        <is>
          <t>Vazo olayından beri ev halkı ifadelerine daha dikkatli bakıyor.</t>
        </is>
      </c>
    </row>
    <row r="4">
      <c r="A4" s="5" t="inlineStr">
        <is>
          <t>ilk-gercek-yalan</t>
        </is>
      </c>
      <c r="B4" s="5" t="inlineStr">
        <is>
          <t>kediSuclu</t>
        </is>
      </c>
      <c r="C4" s="6" t="inlineStr">
        <is>
          <t>Ev halkı hâlâ o vazo meselesinde kediye inanmadı.</t>
        </is>
      </c>
    </row>
    <row r="5">
      <c r="A5" s="5" t="inlineStr">
        <is>
          <t>ilk-gercek-yalan</t>
        </is>
      </c>
      <c r="B5" s="5" t="inlineStr">
        <is>
          <t>yalanci</t>
        </is>
      </c>
      <c r="C5" s="6" t="inlineStr">
        <is>
          <t>'Kim yaptı?' dosyası hâlâ açık.</t>
        </is>
      </c>
    </row>
    <row r="6">
      <c r="A6" s="5" t="inlineStr">
        <is>
          <t>kirilan-oyuncak</t>
        </is>
      </c>
      <c r="B6" s="5" t="inlineStr">
        <is>
          <t>kediSuclu</t>
        </is>
      </c>
      <c r="C6" s="6" t="inlineStr">
        <is>
          <t>Bu evde bir şey kırılınca artık önce sana bakıyorlar. Kedi aklandı.</t>
        </is>
      </c>
    </row>
    <row r="7">
      <c r="A7" s="5" t="inlineStr">
        <is>
          <t>harclik-pazarligi</t>
        </is>
      </c>
      <c r="B7" s="5" t="inlineStr">
        <is>
          <t>ilkKelimePara</t>
        </is>
      </c>
      <c r="C7" s="6" t="inlineStr">
        <is>
          <t>İlk kelimesi 'Para' olan birinden beklenen an nihayet geldi.</t>
        </is>
      </c>
    </row>
    <row r="8">
      <c r="A8" s="5" t="inlineStr">
        <is>
          <t>ilkokul-kapisi</t>
        </is>
      </c>
      <c r="B8" s="5" t="inlineStr">
        <is>
          <t>yapiskan</t>
        </is>
      </c>
      <c r="C8" s="6" t="inlineStr">
        <is>
          <t>Kreş kapısındaki bacak olayı ailede hâlâ anlatılıyor.</t>
        </is>
      </c>
    </row>
    <row r="9">
      <c r="A9" s="5" t="inlineStr">
        <is>
          <t>sira-arkadasi</t>
        </is>
      </c>
      <c r="B9" s="5" t="inlineStr">
        <is>
          <t>sirVerdi</t>
        </is>
      </c>
      <c r="C9" s="6" t="inlineStr">
        <is>
          <t>Kreşteki sır hikâyesi okula senden önce gelmiş. Yeni sıra arkadaşın biraz temkinli.</t>
        </is>
      </c>
    </row>
    <row r="10">
      <c r="A10" s="5" t="inlineStr">
        <is>
          <t>odev-nerede</t>
        </is>
      </c>
      <c r="B10" s="5" t="inlineStr">
        <is>
          <t>kediSuclu</t>
        </is>
      </c>
      <c r="C10" s="6" t="inlineStr">
        <is>
          <t>Bu evde hayvanlar sanık olarak sık kullanılır. Kedi, ödev defterinden uzak duruyor.</t>
        </is>
      </c>
    </row>
    <row r="11">
      <c r="A11" s="5" t="inlineStr">
        <is>
          <t>bayram-harcligi</t>
        </is>
      </c>
      <c r="B11" s="5" t="inlineStr">
        <is>
          <t>ilkKelimePara</t>
        </is>
      </c>
      <c r="C11" s="6" t="inlineStr">
        <is>
          <t>Akrabalar zarfı uzatırken 'Hani ilk kelimesi para olan' diye gülüştü.</t>
        </is>
      </c>
    </row>
    <row r="12">
      <c r="A12" s="5" t="inlineStr">
        <is>
          <t>mahalle-maci</t>
        </is>
      </c>
      <c r="B12" s="5" t="inlineStr">
        <is>
          <t>cesurPark</t>
        </is>
      </c>
      <c r="C12" s="6" t="inlineStr">
        <is>
          <t>Parktaki büyük çocuk karşı takımda. Seni tanıdı, selam verdi.</t>
        </is>
      </c>
    </row>
    <row r="13">
      <c r="A13" s="5" t="inlineStr">
        <is>
          <t>mahalle-maci</t>
        </is>
      </c>
      <c r="B13" s="5" t="inlineStr">
        <is>
          <t>mahalle-cocugu</t>
        </is>
      </c>
      <c r="C13" s="6" t="inlineStr">
        <is>
          <t>Mahallenin çocuğusun; bu sahada her taşın yerini biliyorsun.</t>
        </is>
      </c>
    </row>
    <row r="14">
      <c r="A14" s="5" t="inlineStr">
        <is>
          <t>kedi-istiyoruz</t>
        </is>
      </c>
      <c r="B14" s="5" t="inlineStr">
        <is>
          <t>kediSuclu</t>
        </is>
      </c>
      <c r="C14" s="6" t="inlineStr">
        <is>
          <t>Vazo davasından beri ailede 'Kediye güven olmaz' diyen bir hizip var.</t>
        </is>
      </c>
    </row>
    <row r="15">
      <c r="A15" s="5" t="inlineStr">
        <is>
          <t>tablet-saati</t>
        </is>
      </c>
      <c r="B15" s="5" t="inlineStr">
        <is>
          <t>ekran-cocugu</t>
        </is>
      </c>
      <c r="C15" s="6" t="inlineStr">
        <is>
          <t>Tabletle büyüdün. Bu evde ekran süresi senin için bir kural değil, bir pazarlık konusu.</t>
        </is>
      </c>
    </row>
    <row r="16">
      <c r="A16" s="5" t="inlineStr">
        <is>
          <t>veli-toplantisi</t>
        </is>
      </c>
      <c r="B16" s="5" t="inlineStr">
        <is>
          <t>yalanci</t>
        </is>
      </c>
      <c r="C16" s="6" t="inlineStr">
        <is>
          <t>Öğretmenin elinde 'yaratıcı açıklamalar' başlıklı bir dosya var.</t>
        </is>
      </c>
    </row>
    <row r="17">
      <c r="A17" s="5" t="inlineStr">
        <is>
          <t>veli-toplantisi</t>
        </is>
      </c>
      <c r="B17" s="5" t="inlineStr">
        <is>
          <t>camKirildi</t>
        </is>
      </c>
      <c r="C17" s="6" t="inlineStr">
        <is>
          <t>Komşunun camı konusu da gündemde.</t>
        </is>
      </c>
    </row>
    <row r="18">
      <c r="A18" s="5" t="inlineStr">
        <is>
          <t>veli-toplantisi</t>
        </is>
      </c>
      <c r="B18" s="5" t="inlineStr">
        <is>
          <t>baskan</t>
        </is>
      </c>
      <c r="C18" s="6" t="inlineStr">
        <is>
          <t>Sınıf başkanlığın hanene artı olarak yazıldı.</t>
        </is>
      </c>
    </row>
    <row r="19">
      <c r="A19" s="5" t="inlineStr">
        <is>
          <t>b4-ilk-telefon</t>
        </is>
      </c>
      <c r="B19" s="5" t="inlineStr">
        <is>
          <t>yalanci</t>
        </is>
      </c>
      <c r="C19" s="6" t="inlineStr">
        <is>
          <t>Yaratıcı açıklamalar dosyan göz önüne alındı; ekran süresi başlangıçta günde bir saatle sınırlandı.</t>
        </is>
      </c>
    </row>
    <row r="20">
      <c r="A20" s="5" t="inlineStr">
        <is>
          <t>b4-aile-grubu</t>
        </is>
      </c>
      <c r="B20" s="5" t="inlineStr">
        <is>
          <t>sirVerdi</t>
        </is>
      </c>
      <c r="C20" s="6" t="inlineStr">
        <is>
          <t>Grup, kreşteki sır olayından haberdar. Bu grupta herkes her şeyden haberdar.</t>
        </is>
      </c>
    </row>
    <row r="21">
      <c r="A21" s="5" t="inlineStr">
        <is>
          <t>b4-flut</t>
        </is>
      </c>
      <c r="B21" s="5" t="inlineStr">
        <is>
          <t>yalanci</t>
        </is>
      </c>
      <c r="C21" s="6" t="inlineStr">
        <is>
          <t>Ailen 'flüt kayboldu' cümlesine karşı önceden hazırlıklı. Dosyanda benzer kayıplar var.</t>
        </is>
      </c>
    </row>
    <row r="22">
      <c r="A22" s="5" t="inlineStr">
        <is>
          <t>b4-kuzen-kiyaslama</t>
        </is>
      </c>
      <c r="B22" s="5" t="inlineStr">
        <is>
          <t>alcili-kol</t>
        </is>
      </c>
      <c r="C22" s="6" t="inlineStr">
        <is>
          <t>Teyzen alçılı kol olayını hatırlattı. Kuzenin hiç kolunu kırmamış. Bu da bir başarı sayıldı.</t>
        </is>
      </c>
    </row>
    <row r="23">
      <c r="A23" s="5" t="inlineStr">
        <is>
          <t>b4-mahalle-haraccilari</t>
        </is>
      </c>
      <c r="B23" s="5" t="inlineStr">
        <is>
          <t>cesurPark</t>
        </is>
      </c>
      <c r="C23" s="6" t="inlineStr">
        <is>
          <t>Parktaki büyük çocuğa kafa tutmuştun. Büyük çocuklar büyüdü. Sen de biraz.</t>
        </is>
      </c>
    </row>
    <row r="24">
      <c r="A24" s="5" t="inlineStr">
        <is>
          <t>b4-ogretmenler-gunu</t>
        </is>
      </c>
      <c r="B24" s="5" t="inlineStr">
        <is>
          <t>baskan</t>
        </is>
      </c>
      <c r="C24" s="6" t="inlineStr">
        <is>
          <t>Eski sınıf başkanı olduğun için para toplama işi herkesin gözünde doğal olarak sana kaldı.</t>
        </is>
      </c>
    </row>
    <row r="25">
      <c r="A25" s="5" t="inlineStr">
        <is>
          <t>b4-ilk-hoslanti</t>
        </is>
      </c>
      <c r="B25" s="5" t="inlineStr">
        <is>
          <t>sirVerdi</t>
        </is>
      </c>
      <c r="C25" s="6" t="inlineStr">
        <is>
          <t>Kreşte bir sırrı dolaşıma sokmuştun. Bu sefer sır senin. Dağıtım kanalları aynı.</t>
        </is>
      </c>
    </row>
    <row r="26">
      <c r="A26" s="5" t="inlineStr">
        <is>
          <t>b4-bilim-fuari</t>
        </is>
      </c>
      <c r="B26" s="5" t="inlineStr">
        <is>
          <t>camKirildi</t>
        </is>
      </c>
      <c r="C26" s="6" t="inlineStr">
        <is>
          <t>Jüri projenin adını okudu: 'Top Camı Kırar mı?' Deney verisi mahalleden geliyordu.</t>
        </is>
      </c>
    </row>
    <row r="27">
      <c r="A27" s="5" t="inlineStr">
        <is>
          <t>b4-kotu-not</t>
        </is>
      </c>
      <c r="B27" s="5" t="inlineStr">
        <is>
          <t>yalanci</t>
        </is>
      </c>
      <c r="C27" s="6" t="inlineStr">
        <is>
          <t>Yaratıcı açıklamalar dosyan kabarık. Ailen artık her 'İyi' cevabının arkasına bakıyor.</t>
        </is>
      </c>
    </row>
    <row r="28">
      <c r="A28" s="5" t="inlineStr">
        <is>
          <t>b4-kedinin-hesabi</t>
        </is>
      </c>
      <c r="B28" s="5" t="inlineStr">
        <is>
          <t>kediSuclu</t>
        </is>
      </c>
      <c r="C28" s="6" t="inlineStr">
        <is>
          <t>Kedi vazo davasını hatırlıyor olabilir. Kameraya hep aynı suçlayıcı ifadeyle bakıyor.</t>
        </is>
      </c>
    </row>
    <row r="29">
      <c r="A29" s="5" t="inlineStr">
        <is>
          <t>b4-fenomen-denemesi</t>
        </is>
      </c>
      <c r="B29" s="5" t="inlineStr">
        <is>
          <t>kediGeldi</t>
        </is>
      </c>
      <c r="C29" s="6" t="inlineStr">
        <is>
          <t>En çok izlenen videon kediye ait. Kedi bu konuda yorum yapmıyor.</t>
        </is>
      </c>
    </row>
    <row r="30">
      <c r="A30" s="5" t="inlineStr">
        <is>
          <t>b4-kantin-ekonomisi</t>
        </is>
      </c>
      <c r="B30" s="5" t="inlineStr">
        <is>
          <t>tepsiTekeli</t>
        </is>
      </c>
      <c r="C30" s="6" t="inlineStr">
        <is>
          <t>Bir kış mahallenin tepsi tekelini yönetmiştin. Kantin de bir tür yokuş.</t>
        </is>
      </c>
    </row>
    <row r="31">
      <c r="A31" s="5" t="inlineStr">
        <is>
          <t>b4-bayram-yatirim</t>
        </is>
      </c>
      <c r="B31" s="5" t="inlineStr">
        <is>
          <t>ilkKelimePara</t>
        </is>
      </c>
      <c r="C31" s="6" t="inlineStr">
        <is>
          <t>Akrabalar zarfı uzatırken yine ilk kelimeni hatırlattı. Bu hikâye senden uzun yaşayacak.</t>
        </is>
      </c>
    </row>
    <row r="32">
      <c r="A32" s="5" t="inlineStr">
        <is>
          <t>b4-spor-secmeleri</t>
        </is>
      </c>
      <c r="B32" s="5" t="inlineStr">
        <is>
          <t>alcili-kol</t>
        </is>
      </c>
      <c r="C32" s="6" t="inlineStr">
        <is>
          <t>Formdaki 'Daha önce kırık?' sorusuna 'Evet, tepsi' yazdın. Kimse devamını sormadı.</t>
        </is>
      </c>
    </row>
    <row r="33">
      <c r="A33" s="5" t="inlineStr">
        <is>
          <t>b4-lise-sinavi</t>
        </is>
      </c>
      <c r="B33" s="5" t="inlineStr">
        <is>
          <t>dershaneli</t>
        </is>
      </c>
      <c r="C33" s="6" t="inlineStr">
        <is>
          <t>İki yılın dershane cumartesileri bu sabah için harcandı. Yatırımın getirisi masada.</t>
        </is>
      </c>
    </row>
    <row r="34">
      <c r="A34" s="5" t="inlineStr">
        <is>
          <t>b4-lise-sinavi</t>
        </is>
      </c>
      <c r="B34" s="5" t="inlineStr">
        <is>
          <t>yz-odevci</t>
        </is>
      </c>
      <c r="C34" s="6" t="inlineStr">
        <is>
          <t>Sınav salonunda yapay zekâ yok. Bunu tam şu an fark ettin.</t>
        </is>
      </c>
    </row>
    <row r="35">
      <c r="A35" s="5" t="inlineStr">
        <is>
          <t>b5-lise-ilk-gun</t>
        </is>
      </c>
      <c r="B35" s="5" t="inlineStr">
        <is>
          <t>iyi-lise</t>
        </is>
      </c>
      <c r="C35" s="6" t="inlineStr">
        <is>
          <t>Lise sınavındaki puanın koridorda senden önce yürüyor. Öğretmenler adını çoktan ezberlemiş.</t>
        </is>
      </c>
    </row>
    <row r="36">
      <c r="A36" s="5" t="inlineStr">
        <is>
          <t>b5-lise-ilk-gun</t>
        </is>
      </c>
      <c r="B36" s="5" t="inlineStr">
        <is>
          <t>baskan</t>
        </is>
      </c>
      <c r="C36" s="6" t="inlineStr">
        <is>
          <t>İlkokuldaki başkanlık geçmişin için denklik başvurusu yaptın. Reddedildi.</t>
        </is>
      </c>
    </row>
    <row r="37">
      <c r="A37" s="5" t="inlineStr">
        <is>
          <t>b5-kantin-vergisi</t>
        </is>
      </c>
      <c r="B37" s="5" t="inlineStr">
        <is>
          <t>haracci-dusmani</t>
        </is>
      </c>
      <c r="C37" s="6" t="inlineStr">
        <is>
          <t>Seni tanıdılar. 'Abinin selamı var' dediler. Selamın içeriği belirtilmedi.</t>
        </is>
      </c>
    </row>
    <row r="38">
      <c r="A38" s="5" t="inlineStr">
        <is>
          <t>b5-okul-temsilcisi</t>
        </is>
      </c>
      <c r="B38" s="5" t="inlineStr">
        <is>
          <t>baskan</t>
        </is>
      </c>
      <c r="C38" s="6" t="inlineStr">
        <is>
          <t>İlkokuldaki başkanlık dosyanı çıkardın. Akvaryum vaadi hâlâ açık kalem olarak duruyor.</t>
        </is>
      </c>
    </row>
    <row r="39">
      <c r="A39" s="5" t="inlineStr">
        <is>
          <t>b5-yapay-zeka-odev</t>
        </is>
      </c>
      <c r="B39" s="5" t="inlineStr">
        <is>
          <t>yalanci</t>
        </is>
      </c>
      <c r="C39" s="6" t="inlineStr">
        <is>
          <t>Yaratıcı açıklamalar dosyan kabarık. 'Bunu sen mi yazdın?' sorusuna herkesten hazırlıklısın.</t>
        </is>
      </c>
    </row>
    <row r="40">
      <c r="A40" s="5" t="inlineStr">
        <is>
          <t>b5-akraba-sorgusu</t>
        </is>
      </c>
      <c r="B40" s="5" t="inlineStr">
        <is>
          <t>kediSuclu</t>
        </is>
      </c>
      <c r="C40" s="6" t="inlineStr">
        <is>
          <t>Halan vazo hikâyesini yine anlatıyor. Kedi yaşlandı ama sana hâlâ şüpheyle bakıyor.</t>
        </is>
      </c>
    </row>
    <row r="41">
      <c r="A41" s="5" t="inlineStr">
        <is>
          <t>b5-fenomen-video</t>
        </is>
      </c>
      <c r="B41" s="5" t="inlineStr">
        <is>
          <t>fenomen</t>
        </is>
      </c>
      <c r="C41" s="6" t="inlineStr">
        <is>
          <t>Zaten biliniyorsun. Yorumlarda 'Bu o değil mi?' diyenler var. Bu o.</t>
        </is>
      </c>
    </row>
    <row r="42">
      <c r="A42" s="5" t="inlineStr">
        <is>
          <t>b5-yaz-isi-garson</t>
        </is>
      </c>
      <c r="B42" s="5" t="inlineStr">
        <is>
          <t>tepsiTekeli</t>
        </is>
      </c>
      <c r="C42" s="6" t="inlineStr">
        <is>
          <t>Bir kış boyunca mahallenin tepsi tekelini elinde tutmuştun. Tepsiyle ilişkin köklü; sadece yönü değişti.</t>
        </is>
      </c>
    </row>
    <row r="43">
      <c r="A43" s="5" t="inlineStr">
        <is>
          <t>b5-ilk-maas</t>
        </is>
      </c>
      <c r="B43" s="5" t="inlineStr">
        <is>
          <t>ilkKelimePara</t>
        </is>
      </c>
      <c r="C43" s="6" t="inlineStr">
        <is>
          <t>İlk kelimen 'Para' idi. On altı yıl sonra nihayet kendin kazandın. Döngü tamamlandı.</t>
        </is>
      </c>
    </row>
    <row r="44">
      <c r="A44" s="5" t="inlineStr">
        <is>
          <t>b5-beden-dersi</t>
        </is>
      </c>
      <c r="B44" s="5" t="inlineStr">
        <is>
          <t>alcili-kol</t>
        </is>
      </c>
      <c r="C44" s="6" t="inlineStr">
        <is>
          <t>Tepsiyle kayak hikâyen hâlâ dolaşımda. Öğretmen topu sana verirken bir an duraksadı.</t>
        </is>
      </c>
    </row>
    <row r="45">
      <c r="A45" s="5" t="inlineStr">
        <is>
          <t>b5-ev-partisi</t>
        </is>
      </c>
      <c r="B45" s="5" t="inlineStr">
        <is>
          <t>camKirildi</t>
        </is>
      </c>
      <c r="C45" s="6" t="inlineStr">
        <is>
          <t>Mahallede adın hâlâ 'komşunun camı' vakasıyla anılıyor. Balkona bu gece uzaktan bakıyorsun.</t>
        </is>
      </c>
    </row>
    <row r="46">
      <c r="A46" s="5" t="inlineStr">
        <is>
          <t>b5-universite-sinavi</t>
        </is>
      </c>
      <c r="B46" s="5" t="inlineStr">
        <is>
          <t>iyi-lise</t>
        </is>
      </c>
      <c r="C46" s="6" t="inlineStr">
        <is>
          <t>Lise sınavını iyi geçmiştin. Yüzde kırk öz güven, yüzde altmış alışkanlık.</t>
        </is>
      </c>
    </row>
    <row r="47">
      <c r="A47" s="5" t="inlineStr">
        <is>
          <t>b5-universite-sinavi</t>
        </is>
      </c>
      <c r="B47" s="5" t="inlineStr">
        <is>
          <t>ai-kopyaci</t>
        </is>
      </c>
      <c r="C47" s="6" t="inlineStr">
        <is>
          <t>Bu salonda yapay zekâ yok. Sadece sen ve birkaç yıllık alışkanlık.</t>
        </is>
      </c>
    </row>
    <row r="48">
      <c r="A48" s="5" t="inlineStr">
        <is>
          <t>b5-tercih-listesi</t>
        </is>
      </c>
      <c r="B48" s="5" t="inlineStr">
        <is>
          <t>doktor-sozu</t>
        </is>
      </c>
      <c r="C48" s="6" t="inlineStr">
        <is>
          <t>Bir akşam yemeğinde verdiğin doktor sözü masada duruyor. Puanın başka bir masada.</t>
        </is>
      </c>
    </row>
    <row r="49">
      <c r="A49" s="5" t="inlineStr">
        <is>
          <t>b5-mezuniyet</t>
        </is>
      </c>
      <c r="B49" s="5" t="inlineStr">
        <is>
          <t>okul-temsilcisi</t>
        </is>
      </c>
      <c r="C49" s="6" t="inlineStr">
        <is>
          <t>Okul temsilcisi olarak ön sıradasın. Tost makinesi komisyonu hâlâ çalışıyor.</t>
        </is>
      </c>
    </row>
    <row r="50">
      <c r="A50" s="5" t="inlineStr">
        <is>
          <t>b5-mezuniyet</t>
        </is>
      </c>
      <c r="B50" s="5" t="inlineStr">
        <is>
          <t>fenomen</t>
        </is>
      </c>
      <c r="C50" s="6" t="inlineStr">
        <is>
          <t>Tören boyunca üç kişi seninle fotoğraf çekilmek istedi. İkisi veliydi.</t>
        </is>
      </c>
    </row>
    <row r="51">
      <c r="A51" s="5" t="inlineStr">
        <is>
          <t>b5-mezuniyet</t>
        </is>
      </c>
      <c r="B51" s="5" t="inlineStr">
        <is>
          <t>haracci-dusmani</t>
        </is>
      </c>
      <c r="C51" s="6" t="inlineStr">
        <is>
          <t>Kapıdaki eski tahsilat ekibi bugün ücretsiz geçişe izin verdi. Mezuniyet indirimi.</t>
        </is>
      </c>
    </row>
    <row r="52">
      <c r="A52" s="5" t="inlineStr">
        <is>
          <t>b5-mezuniyet</t>
        </is>
      </c>
      <c r="B52" s="5" t="inlineStr">
        <is>
          <t>universiteli</t>
        </is>
      </c>
      <c r="C52" s="6" t="inlineStr">
        <is>
          <t>Herkes bölümünü soruyor. Üçüncü kez anlatıyorsun; her seferinde biraz daha önemli bir bölüm oluyor.</t>
        </is>
      </c>
    </row>
    <row r="53">
      <c r="A53" s="5" t="inlineStr">
        <is>
          <t>b6-ilk-tam-zamanli-is</t>
        </is>
      </c>
      <c r="B53" s="5" t="inlineStr">
        <is>
          <t>haracci-dusmani</t>
        </is>
      </c>
      <c r="C53" s="6" t="inlineStr">
        <is>
          <t>Dükkanın önünden eski tanıdıklar geçiyor. Seni görünce karşı kaldırıma geçtiler. Sonra bir karşı kaldırıma daha.</t>
        </is>
      </c>
    </row>
    <row r="54">
      <c r="A54" s="5" t="inlineStr">
        <is>
          <t>b6-ehliyet</t>
        </is>
      </c>
      <c r="B54" s="5" t="inlineStr">
        <is>
          <t>alcili-kol</t>
        </is>
      </c>
      <c r="C54" s="6" t="inlineStr">
        <is>
          <t>Eski alçılı kolun el frenini çekerken hafifçe kendini hatırlattı. Görevli not almadı.</t>
        </is>
      </c>
    </row>
    <row r="55">
      <c r="A55" s="5" t="inlineStr">
        <is>
          <t>b6-ilk-maas</t>
        </is>
      </c>
      <c r="B55" s="5" t="inlineStr">
        <is>
          <t>ilkKelimePara</t>
        </is>
      </c>
      <c r="C55" s="6" t="inlineStr">
        <is>
          <t>İlk kelimen 'Para' idi. Sonunda para da seninle konuşmaya başladı. Kısa kesiyor.</t>
        </is>
      </c>
    </row>
    <row r="56">
      <c r="A56" s="5" t="inlineStr">
        <is>
          <t>b6-final-haftasi</t>
        </is>
      </c>
      <c r="B56" s="5" t="inlineStr">
        <is>
          <t>iyi-lise</t>
        </is>
      </c>
      <c r="C56" s="6" t="inlineStr">
        <is>
          <t>Lisedeki çalışma düzenin hâlâ bir yerlerde. Dolabın en arkasında, tozlu bir klasörde.</t>
        </is>
      </c>
    </row>
    <row r="57">
      <c r="A57" s="5" t="inlineStr">
        <is>
          <t>b6-ogrenci-kulubu</t>
        </is>
      </c>
      <c r="B57" s="5" t="inlineStr">
        <is>
          <t>baskan</t>
        </is>
      </c>
      <c r="C57" s="6" t="inlineStr">
        <is>
          <t>Sınıf başkanlığı günlerin geri geldi. Seçim kampanyası kasların hafifçe seğirdi.</t>
        </is>
      </c>
    </row>
    <row r="58">
      <c r="A58" s="5" t="inlineStr">
        <is>
          <t>b6-gece-vardiyasi</t>
        </is>
      </c>
      <c r="B58" s="5" t="inlineStr">
        <is>
          <t>sigara</t>
        </is>
      </c>
      <c r="C58" s="6" t="inlineStr">
        <is>
          <t>Mola denince herkes kapının önüne çıkıyor. Sen de. Ciğerlerin itiraz dilekçesini yeniledi.</t>
        </is>
      </c>
    </row>
    <row r="59">
      <c r="A59" s="5" t="inlineStr">
        <is>
          <t>b6-tasinma</t>
        </is>
      </c>
      <c r="B59" s="5" t="inlineStr">
        <is>
          <t>alcili-kol</t>
        </is>
      </c>
      <c r="C59" s="6" t="inlineStr">
        <is>
          <t>Eski alçılı kolun buzdolabının her köşesinde 'Hatırlıyor musun?' diye soruyor.</t>
        </is>
      </c>
    </row>
    <row r="60">
      <c r="A60" s="5" t="inlineStr">
        <is>
          <t>b6-ev-arkadasi</t>
        </is>
      </c>
      <c r="B60" s="5" t="inlineStr">
        <is>
          <t>kediSuclu</t>
        </is>
      </c>
      <c r="C60" s="6" t="inlineStr">
        <is>
          <t>Vazo davasından beri suçu başkasına atmakta deneyimlisin. Ne yazık ki bu evde kedi yok.</t>
        </is>
      </c>
    </row>
    <row r="61">
      <c r="A61" s="5" t="inlineStr">
        <is>
          <t>b6-spor-salonu</t>
        </is>
      </c>
      <c r="B61" s="5" t="inlineStr">
        <is>
          <t>alcili-kol</t>
        </is>
      </c>
      <c r="C61" s="6" t="inlineStr">
        <is>
          <t>Antrenör eski kırığını sordu. Anlattın. O da kendi kırıklarını anlattı. Set bitti.</t>
        </is>
      </c>
    </row>
    <row r="62">
      <c r="A62" s="5" t="inlineStr">
        <is>
          <t>b6-askerlik</t>
        </is>
      </c>
      <c r="B62" s="5" t="inlineStr">
        <is>
          <t>alcili-kol</t>
        </is>
      </c>
      <c r="C62" s="6" t="inlineStr">
        <is>
          <t>Muayenede eski alçı kaydın soruldu. Doktor röntgene baktı: 'Sağlam kaynamış.' İlk sıraya yazıldın.</t>
        </is>
      </c>
    </row>
    <row r="63">
      <c r="A63" s="5" t="inlineStr">
        <is>
          <t>b6-meslek-secimi</t>
        </is>
      </c>
      <c r="B63" s="5" t="inlineStr">
        <is>
          <t>universiteli</t>
        </is>
      </c>
      <c r="C63" s="6" t="inlineStr">
        <is>
          <t>Diploman çerçevede duruyor. Çerçeve diplomadan pahalıydı.</t>
        </is>
      </c>
    </row>
    <row r="64">
      <c r="A64" s="5" t="inlineStr">
        <is>
          <t>b6-meslek-secimi</t>
        </is>
      </c>
      <c r="B64" s="5" t="inlineStr">
        <is>
          <t>usta-eli</t>
        </is>
      </c>
      <c r="C64" s="6" t="inlineStr">
        <is>
          <t>Ustanın dükkanında geçen yıllar bir yerde işe yarayacak. Ellerin zaten biliyor.</t>
        </is>
      </c>
    </row>
    <row r="65">
      <c r="A65" s="5" t="inlineStr">
        <is>
          <t>b6-flort-uygulamasi</t>
        </is>
      </c>
      <c r="B65" s="5" t="inlineStr">
        <is>
          <t>fenomen</t>
        </is>
      </c>
      <c r="C65" s="6" t="inlineStr">
        <is>
          <t>Biri mesaj attı: 'Sen şu videodaki değil misin?' Değilim demeyi düşündün.</t>
        </is>
      </c>
    </row>
    <row r="66">
      <c r="A66" s="5" t="inlineStr">
        <is>
          <t>b6-is-gorusmesi</t>
        </is>
      </c>
      <c r="B66" s="5" t="inlineStr">
        <is>
          <t>yalanci</t>
        </is>
      </c>
      <c r="C66" s="6" t="inlineStr">
        <is>
          <t>Özgeçmişindeki 'ileri düzey' ifadesi biraz yaratıcı. Yaratıcı açıklamalar dosyan zaten kabarık.</t>
        </is>
      </c>
    </row>
    <row r="67">
      <c r="A67" s="5" t="inlineStr">
        <is>
          <t>b6-is-gorusmesi</t>
        </is>
      </c>
      <c r="B67" s="5" t="inlineStr">
        <is>
          <t>yurtdisi-gordu</t>
        </is>
      </c>
      <c r="C67" s="6" t="inlineStr">
        <is>
          <t>Görüşmeci ilk soruyu değişim programından sordu: 'Peynir nasıldı?'</t>
        </is>
      </c>
    </row>
    <row r="68">
      <c r="A68" s="5" t="inlineStr">
        <is>
          <t>b6-dugun-yagmuru</t>
        </is>
      </c>
      <c r="B68" s="5" t="inlineStr">
        <is>
          <t>askerlik-yapti</t>
        </is>
      </c>
      <c r="C68" s="6" t="inlineStr">
        <is>
          <t>'Askerliğini de yaptın, sıra evlilikte' dendi. Belli ki bir kontrol listesi var ve sen üçüncü satırdasın.</t>
        </is>
      </c>
    </row>
    <row r="69">
      <c r="A69" s="5" t="inlineStr">
        <is>
          <t>b6-dukkan-anahtari</t>
        </is>
      </c>
      <c r="B69" s="5" t="inlineStr">
        <is>
          <t>usta-eli</t>
        </is>
      </c>
      <c r="C69" s="6" t="inlineStr">
        <is>
          <t>Ustanın ellerini o kadar izledin ki artık seninkiler de biraz onun gibi. Nasırlar dahil.</t>
        </is>
      </c>
    </row>
    <row r="70">
      <c r="A70" s="5" t="inlineStr">
        <is>
          <t>b6-taki-butcesi</t>
        </is>
      </c>
      <c r="B70" s="5" t="inlineStr">
        <is>
          <t>borclu</t>
        </is>
      </c>
      <c r="C70" s="6" t="inlineStr">
        <is>
          <t>Kredi kartı ekstresi davetiyelerin altında duruyor. Hangisinin daha acil olduğu tartışmalı.</t>
        </is>
      </c>
    </row>
    <row r="71">
      <c r="A71" s="5" t="inlineStr">
        <is>
          <t>b6-ilk-araba</t>
        </is>
      </c>
      <c r="B71" s="5" t="inlineStr">
        <is>
          <t>ehliyetli</t>
        </is>
      </c>
      <c r="C71" s="6" t="inlineStr">
        <is>
          <t>Ehliyetin cüzdanda. Fotoğrafta kendini tanımıyorsun ama araba tanıyacak.</t>
        </is>
      </c>
    </row>
    <row r="72">
      <c r="A72" s="5" t="inlineStr">
        <is>
          <t>b6-ev-sahibi-kavgasi</t>
        </is>
      </c>
      <c r="B72" s="5" t="inlineStr">
        <is>
          <t>depozito-yandi</t>
        </is>
      </c>
      <c r="C72" s="6" t="inlineStr">
        <is>
          <t>Önceki evden depozitonu alamamıştın. Bu evdeki her çiziğin fotoğrafı telefonunda.</t>
        </is>
      </c>
    </row>
    <row r="73">
      <c r="A73" s="5" t="inlineStr">
        <is>
          <t>b6-kombi</t>
        </is>
      </c>
      <c r="B73" s="5" t="inlineStr">
        <is>
          <t>usta-eli</t>
        </is>
      </c>
      <c r="C73" s="6" t="inlineStr">
        <is>
          <t>Ustanın yanında gördüğün onca motor bir kombiden zor olamaz. Olabilir de.</t>
        </is>
      </c>
    </row>
    <row r="74">
      <c r="A74" s="5" t="inlineStr">
        <is>
          <t>b7-kira-artisi</t>
        </is>
      </c>
      <c r="B74" s="5" t="inlineStr">
        <is>
          <t>borclu</t>
        </is>
      </c>
      <c r="C74" s="6" t="inlineStr">
        <is>
          <t>Kredi kartı ekstresi zaten masada duruyor. Yanına bir zarf daha eklendi.</t>
        </is>
      </c>
    </row>
    <row r="75">
      <c r="A75" s="5" t="inlineStr">
        <is>
          <t>b7-eski-sinif-arkadasi</t>
        </is>
      </c>
      <c r="B75" s="5" t="inlineStr">
        <is>
          <t>baskan</t>
        </is>
      </c>
      <c r="C75" s="6" t="inlineStr">
        <is>
          <t>Sınıf başkanıydın. O zaman seçimi o kaybetmişti. Oy sayımı hafızanda hâlâ canlı.</t>
        </is>
      </c>
    </row>
    <row r="76">
      <c r="A76" s="5" t="inlineStr">
        <is>
          <t>b7-eski-sinif-arkadasi</t>
        </is>
      </c>
      <c r="B76" s="5" t="inlineStr">
        <is>
          <t>universiteli</t>
        </is>
      </c>
      <c r="C76" s="6" t="inlineStr">
        <is>
          <t>Diplomanı çerçeveletmiştin. Çerçeve şu an duvarda biraz eğri duruyor.</t>
        </is>
      </c>
    </row>
    <row r="77">
      <c r="A77" s="5" t="inlineStr">
        <is>
          <t>b7-trafik-cezasi</t>
        </is>
      </c>
      <c r="B77" s="5" t="inlineStr">
        <is>
          <t>yalanci</t>
        </is>
      </c>
      <c r="C77" s="6" t="inlineStr">
        <is>
          <t>Yaratıcı açıklamalar dosyan kalın. Kaleminin ucu kendiliğinden kıpırdadı.</t>
        </is>
      </c>
    </row>
    <row r="78">
      <c r="A78" s="5" t="inlineStr">
        <is>
          <t>b7-araba-alma</t>
        </is>
      </c>
      <c r="B78" s="5" t="inlineStr">
        <is>
          <t>askerlik-yapti</t>
        </is>
      </c>
      <c r="C78" s="6" t="inlineStr">
        <is>
          <t>Askerde öğrendiğin tek motor bilgisi hâlâ geçerli: 'Çalışıyorsa dokunma.'</t>
        </is>
      </c>
    </row>
    <row r="79">
      <c r="A79" s="5" t="inlineStr">
        <is>
          <t>b7-ne-zaman-evleneceksin</t>
        </is>
      </c>
      <c r="B79" s="5" t="inlineStr">
        <is>
          <t>yalniz-gezgin</t>
        </is>
      </c>
      <c r="C79" s="6" t="inlineStr">
        <is>
          <t>Tek başına tatile gittiğin duyulmuş. Bir teyze bunu 'kaçış' olarak yorumladı.</t>
        </is>
      </c>
    </row>
    <row r="80">
      <c r="A80" s="5" t="inlineStr">
        <is>
          <t>b7-evlilik-karari</t>
        </is>
      </c>
      <c r="B80" s="5" t="inlineStr">
        <is>
          <t>kediGeldi</t>
        </is>
      </c>
      <c r="C80" s="6" t="inlineStr">
        <is>
          <t>Çocukken eve kedi getirtmiştin. O günden beri her büyük karar önce bir kedi sorusudur.</t>
        </is>
      </c>
    </row>
    <row r="81">
      <c r="A81" s="5" t="inlineStr">
        <is>
          <t>me-zabita-denetimi</t>
        </is>
      </c>
      <c r="B81" s="5" t="inlineStr">
        <is>
          <t>esnaf-komsu-rakip</t>
        </is>
      </c>
      <c r="C81" s="6" t="inlineStr">
        <is>
          <t>Karşı dükkânın kasaları seninkilerden bir karış daha dışarıda. Bunu bir tek sen fark etmiş olamazsın.</t>
        </is>
      </c>
    </row>
    <row r="82">
      <c r="A82" s="5" t="inlineStr">
        <is>
          <t>b7-dugun-takilari</t>
        </is>
      </c>
      <c r="B82" s="5" t="inlineStr">
        <is>
          <t>fenomen</t>
        </is>
      </c>
      <c r="C82" s="6" t="inlineStr">
        <is>
          <t>Düğün canlı yayında. Takı kuyruğu, yorumlarda 'uzun' diye eleştiriliyor.</t>
        </is>
      </c>
    </row>
    <row r="83">
      <c r="A83" s="5" t="inlineStr">
        <is>
          <t>b7-akraba-tanisma</t>
        </is>
      </c>
      <c r="B83" s="5" t="inlineStr">
        <is>
          <t>flort-emeklisi</t>
        </is>
      </c>
      <c r="C83" s="6" t="inlineStr">
        <is>
          <t>Uygulamayı sildiğini teyzen duymuş. Bunu kişisel bir görev olarak üstlenmiş.</t>
        </is>
      </c>
    </row>
    <row r="84">
      <c r="A84" s="5" t="inlineStr">
        <is>
          <t>b7-ortak-hesap</t>
        </is>
      </c>
      <c r="B84" s="5" t="inlineStr">
        <is>
          <t>borclu</t>
        </is>
      </c>
      <c r="C84" s="6" t="inlineStr">
        <is>
          <t>Kredi kartı ekstresi çantanda katlanmış duruyor. Ortak hesap da onu merak ediyor.</t>
        </is>
      </c>
    </row>
    <row r="85">
      <c r="A85" s="5" t="inlineStr">
        <is>
          <t>b7-ortak-hesap</t>
        </is>
      </c>
      <c r="B85" s="5" t="inlineStr">
        <is>
          <t>meslek-serbest</t>
        </is>
      </c>
      <c r="C85" s="6" t="inlineStr">
        <is>
          <t>Serbest çalıştığın için 'aylık gelir' sorusuna 'Değişken' dedin. Temsilci not almadı, sadece baktı.</t>
        </is>
      </c>
    </row>
    <row r="86">
      <c r="A86" s="5" t="inlineStr">
        <is>
          <t>b7-spor-salonu</t>
        </is>
      </c>
      <c r="B86" s="5" t="inlineStr">
        <is>
          <t>sigara</t>
        </is>
      </c>
      <c r="C86" s="6" t="inlineStr">
        <is>
          <t>Merdivende soluklanırken cebindeki paket, bir yıllık üyelik indiriminden daha pahalıydı.</t>
        </is>
      </c>
    </row>
    <row r="87">
      <c r="A87" s="5" t="inlineStr">
        <is>
          <t>ms-viral</t>
        </is>
      </c>
      <c r="B87" s="5" t="inlineStr">
        <is>
          <t>fenomen</t>
        </is>
      </c>
      <c r="C87" s="6" t="inlineStr">
        <is>
          <t>Eski takipçilerin geri döndü: 'Biz seni ilk günden biliyorduk.'</t>
        </is>
      </c>
    </row>
    <row r="88">
      <c r="A88" s="5" t="inlineStr">
        <is>
          <t>b7-cocuk-karari</t>
        </is>
      </c>
      <c r="B88" s="5" t="inlineStr">
        <is>
          <t>kediSuclu</t>
        </is>
      </c>
      <c r="C88" s="6" t="inlineStr">
        <is>
          <t>Bir gün evde bir vazo kırılacak ve suçlanacak bir kedi olmayacak. Bunu düşünmeden edemedin.</t>
        </is>
      </c>
    </row>
    <row r="89">
      <c r="A89" s="5" t="inlineStr">
        <is>
          <t>mm-lojman-kurasi</t>
        </is>
      </c>
      <c r="B89" s="5" t="inlineStr">
        <is>
          <t>memur-mudur-dusmani</t>
        </is>
      </c>
      <c r="C89" s="6" t="inlineStr">
        <is>
          <t>Müdürün alt katı sana çıkarsa, bu sefer gerçekten tayin istemen gerekecek.</t>
        </is>
      </c>
    </row>
    <row r="90">
      <c r="A90" s="5" t="inlineStr">
        <is>
          <t>b7-site-toplantisi</t>
        </is>
      </c>
      <c r="B90" s="5" t="inlineStr">
        <is>
          <t>baskan</t>
        </is>
      </c>
      <c r="C90" s="6" t="inlineStr">
        <is>
          <t>Sınıf başkanlığı tecrüben burada da seziliyor. Herkes sana dönüp bakıyor. Bu iyi bir şey değil.</t>
        </is>
      </c>
    </row>
    <row r="91">
      <c r="A91" s="5" t="inlineStr">
        <is>
          <t>b7-ilk-kelime</t>
        </is>
      </c>
      <c r="B91" s="5" t="inlineStr">
        <is>
          <t>ilkKelimePara</t>
        </is>
      </c>
      <c r="C91" s="6" t="inlineStr">
        <is>
          <t>Senin ilk kelimen 'Para'ydı. Aile arşivi bu çocuğun da aynı yolda olup olmadığını izliyor.</t>
        </is>
      </c>
    </row>
    <row r="92">
      <c r="A92" s="5" t="inlineStr">
        <is>
          <t>b7-ev-kredisi</t>
        </is>
      </c>
      <c r="B92" s="5" t="inlineStr">
        <is>
          <t>borclu</t>
        </is>
      </c>
      <c r="C92" s="6" t="inlineStr">
        <is>
          <t>Kredi notun banka ekranında sarı yanıyor. Temsilci bir an duraksadı.</t>
        </is>
      </c>
    </row>
    <row r="93">
      <c r="A93" s="5" t="inlineStr">
        <is>
          <t>b7-kres-kaydi</t>
        </is>
      </c>
      <c r="B93" s="5" t="inlineStr">
        <is>
          <t>yapiskan</t>
        </is>
      </c>
      <c r="C93" s="6" t="inlineStr">
        <is>
          <t>Kreş kapısında bir bacağa sarıldığın gün geldi aklına. Bu sefer sarılınan bacak senin.</t>
        </is>
      </c>
    </row>
    <row r="94">
      <c r="A94" s="5" t="inlineStr">
        <is>
          <t>b7-saglik-kontrolu</t>
        </is>
      </c>
      <c r="B94" s="5" t="inlineStr">
        <is>
          <t>sigara</t>
        </is>
      </c>
      <c r="C94" s="6" t="inlineStr">
        <is>
          <t>Doktor ciğer değerlerine bakarken sessizleşti. Cebindeki paket bir anda ağırlaştı.</t>
        </is>
      </c>
    </row>
    <row r="95">
      <c r="A95" s="5" t="inlineStr">
        <is>
          <t>b7-saglik-kontrolu</t>
        </is>
      </c>
      <c r="B95" s="5" t="inlineStr">
        <is>
          <t>sporcu</t>
        </is>
      </c>
      <c r="C95" s="6" t="inlineStr">
        <is>
          <t>Doktor 'Siz spor yapıyorsunuz, belli' dedi. Yıllık üyelik ilk kez kendini amorti etti.</t>
        </is>
      </c>
    </row>
    <row r="96">
      <c r="A96" s="5" t="inlineStr">
        <is>
          <t>b7-bekar-evi</t>
        </is>
      </c>
      <c r="B96" s="5" t="inlineStr">
        <is>
          <t>kediSuclu</t>
        </is>
      </c>
      <c r="C96" s="6" t="inlineStr">
        <is>
          <t>Tencerede bir şey kırıldı. Suçlayacak kedi yok. Bu ev tamamen senin sorumluluğunda.</t>
        </is>
      </c>
    </row>
    <row r="97">
      <c r="A97" s="5" t="inlineStr">
        <is>
          <t>b7-bekar-evi</t>
        </is>
      </c>
      <c r="B97" s="5" t="inlineStr">
        <is>
          <t>kediGeldi</t>
        </is>
      </c>
      <c r="C97" s="6" t="inlineStr">
        <is>
          <t>Kedin buzdolabının önünde bekliyor. Onun maması hardaldan daha taze.</t>
        </is>
      </c>
    </row>
    <row r="98">
      <c r="A98" s="5" t="inlineStr">
        <is>
          <t>b7-ebeveyn-grubu</t>
        </is>
      </c>
      <c r="B98" s="5" t="inlineStr">
        <is>
          <t>baskan</t>
        </is>
      </c>
      <c r="C98" s="6" t="inlineStr">
        <is>
          <t>Sınıf başkanlığı yıllar sonra geri döndü. Bu sefer veli olarak ve gönülsüz.</t>
        </is>
      </c>
    </row>
    <row r="99">
      <c r="A99" s="5" t="inlineStr">
        <is>
          <t>b7-borc-batagi</t>
        </is>
      </c>
      <c r="B99" s="5" t="inlineStr">
        <is>
          <t>borclu</t>
        </is>
      </c>
      <c r="C99" s="6" t="inlineStr">
        <is>
          <t>Borç dosyan zaten açık. Banka temsilcisi numaranı ezbere biliyor.</t>
        </is>
      </c>
    </row>
    <row r="100">
      <c r="A100" s="5" t="inlineStr">
        <is>
          <t>b7-borc-batagi</t>
        </is>
      </c>
      <c r="B100" s="5" t="inlineStr">
        <is>
          <t>meslek-esnaf</t>
        </is>
      </c>
      <c r="C100" s="6" t="inlineStr">
        <is>
          <t>Dükkândaki veresiye defteri kabarık. Sana borçlu olanlar da ödeme yapmıyor.</t>
        </is>
      </c>
    </row>
    <row r="101">
      <c r="A101" s="5" t="inlineStr">
        <is>
          <t>b7-dogum-gunu-partisi</t>
        </is>
      </c>
      <c r="B101" s="5" t="inlineStr">
        <is>
          <t>fenomen</t>
        </is>
      </c>
      <c r="C101" s="6" t="inlineStr">
        <is>
          <t>Partinin fotoğrafları senin hesabında paylaşılacak. Çocuğun ilk kez 'içerik' oldu.</t>
        </is>
      </c>
    </row>
    <row r="102">
      <c r="A102" s="5" t="inlineStr">
        <is>
          <t>mm-kurum-piknigi</t>
        </is>
      </c>
      <c r="B102" s="5" t="inlineStr">
        <is>
          <t>memur-mudur-dusmani</t>
        </is>
      </c>
      <c r="C102" s="6" t="inlineStr">
        <is>
          <t>Müdür karşı takımda. Halatın öbür ucunda, sana bakarak eldiven giyiyor.</t>
        </is>
      </c>
    </row>
    <row r="103">
      <c r="A103" s="5" t="inlineStr">
        <is>
          <t>b7-yil-donumu</t>
        </is>
      </c>
      <c r="B103" s="5" t="inlineStr">
        <is>
          <t>fenomen</t>
        </is>
      </c>
      <c r="C103" s="6" t="inlineStr">
        <is>
          <t>Yıl dönümü paylaşımın bekleniyor. Takipçilerin de hatırlıyor.</t>
        </is>
      </c>
    </row>
    <row r="104">
      <c r="A104" s="5" t="inlineStr">
        <is>
          <t>b8-kirk-yas</t>
        </is>
      </c>
      <c r="B104" s="5" t="inlineStr">
        <is>
          <t>evli</t>
        </is>
      </c>
      <c r="C104" s="6" t="inlineStr">
        <is>
          <t>Eşin pastaya kırk mum dikmek yerine bir '4' ve bir '0' aldı. Tasarruf tedbiri.</t>
        </is>
      </c>
    </row>
    <row r="105">
      <c r="A105" s="5" t="inlineStr">
        <is>
          <t>b8-kirk-yas</t>
        </is>
      </c>
      <c r="B105" s="5" t="inlineStr">
        <is>
          <t>cocuklu</t>
        </is>
      </c>
      <c r="C105" s="6" t="inlineStr">
        <is>
          <t>Çocuğun doğum günü kartına 'Yaşlı ama iyi' yazmış. Dürüst bir denetim raporu.</t>
        </is>
      </c>
    </row>
    <row r="106">
      <c r="A106" s="5" t="inlineStr">
        <is>
          <t>b8-kirk-yas</t>
        </is>
      </c>
      <c r="B106" s="5" t="inlineStr">
        <is>
          <t>borclu</t>
        </is>
      </c>
      <c r="C106" s="6" t="inlineStr">
        <is>
          <t>Kredi kartı ekstresi de kırk yaşını kutladı. O senden daha genç görünüyor.</t>
        </is>
      </c>
    </row>
    <row r="107">
      <c r="A107" s="5" t="inlineStr">
        <is>
          <t>ms-sigortasiz-hayat</t>
        </is>
      </c>
      <c r="B107" s="5" t="inlineStr">
        <is>
          <t>serbest-alacakli</t>
        </is>
      </c>
      <c r="C107" s="6" t="inlineStr">
        <is>
          <t>Prim borcunu ödemek için o faturayı yine hatırladın. O da seni hatırlamıyor.</t>
        </is>
      </c>
    </row>
    <row r="108">
      <c r="A108" s="5" t="inlineStr">
        <is>
          <t>b8-ergen-telefon</t>
        </is>
      </c>
      <c r="B108" s="5" t="inlineStr">
        <is>
          <t>fenomen</t>
        </is>
      </c>
      <c r="C108" s="6" t="inlineStr">
        <is>
          <t>Bir zamanlar senin de binlerce takipçin vardı. Çocuğun hepsini gördü, hiçbirini beğenmedi.</t>
        </is>
      </c>
    </row>
    <row r="109">
      <c r="A109" s="5" t="inlineStr">
        <is>
          <t>mm-performans-formu</t>
        </is>
      </c>
      <c r="B109" s="5" t="inlineStr">
        <is>
          <t>memur-mudur-dusmani</t>
        </is>
      </c>
      <c r="C109" s="6" t="inlineStr">
        <is>
          <t>Formu dolduracak kişi müdür. Kalemini bile seçmiş: kırmızı.</t>
        </is>
      </c>
    </row>
    <row r="110">
      <c r="A110" s="5" t="inlineStr">
        <is>
          <t>b8-bayram-sofrasi</t>
        </is>
      </c>
      <c r="B110" s="5" t="inlineStr">
        <is>
          <t>ilkKelimePara</t>
        </is>
      </c>
      <c r="C110" s="6" t="inlineStr">
        <is>
          <t>Halan yine anlattı: 'Bu çocuğun ilk kelimesi paraydı.' Bu sefer kimse gülmedi; herkes not aldı.</t>
        </is>
      </c>
    </row>
    <row r="111">
      <c r="A111" s="5" t="inlineStr">
        <is>
          <t>b8-doktor-stres</t>
        </is>
      </c>
      <c r="B111" s="5" t="inlineStr">
        <is>
          <t>sigara</t>
        </is>
      </c>
      <c r="C111" s="6" t="inlineStr">
        <is>
          <t>Doktor 'Sigara?' diye sordu. Cevabını yazarken kalemi belirgin şekilde yavaşladı.</t>
        </is>
      </c>
    </row>
    <row r="112">
      <c r="A112" s="5" t="inlineStr">
        <is>
          <t>b8-cocuk-sinav</t>
        </is>
      </c>
      <c r="B112" s="5" t="inlineStr">
        <is>
          <t>universiteli</t>
        </is>
      </c>
      <c r="C112" s="6" t="inlineStr">
        <is>
          <t>Kendi sınav sabahını hatırlıyorsun: iki kalem, bir silgi, yarım bir poğaça. Kazanmıştın; kimse inanmamıştı.</t>
        </is>
      </c>
    </row>
    <row r="113">
      <c r="A113" s="5" t="inlineStr">
        <is>
          <t>b8-cocuk-sinav</t>
        </is>
      </c>
      <c r="B113" s="5" t="inlineStr">
        <is>
          <t>universitesiz</t>
        </is>
      </c>
      <c r="C113" s="6" t="inlineStr">
        <is>
          <t>Sen o sınavdan istediğini alamamıştın. Hayat yine de bir yere vardı; bunu nasıl anlatacağını bilmiyorsun.</t>
        </is>
      </c>
    </row>
    <row r="114">
      <c r="A114" s="5" t="inlineStr">
        <is>
          <t>b8-cocuk-sinav</t>
        </is>
      </c>
      <c r="B114" s="5" t="inlineStr">
        <is>
          <t>iyi-lise</t>
        </is>
      </c>
      <c r="C114" s="6" t="inlineStr">
        <is>
          <t>Lise sınavındaki başarını hâlâ bir kez anlatıyorsun. Çocuk artık sen başlamadan bitirebiliyor.</t>
        </is>
      </c>
    </row>
    <row r="115">
      <c r="A115" s="5" t="inlineStr">
        <is>
          <t>me-internet-satis</t>
        </is>
      </c>
      <c r="B115" s="5" t="inlineStr">
        <is>
          <t>esnaf-cirak</t>
        </is>
      </c>
      <c r="C115" s="6" t="inlineStr">
        <is>
          <t>Çırak kolları sıvadı: 'Usta, siteyi bana bırak.'</t>
        </is>
      </c>
    </row>
    <row r="116">
      <c r="A116" s="5" t="inlineStr">
        <is>
          <t>b8-dijital-para</t>
        </is>
      </c>
      <c r="B116" s="5" t="inlineStr">
        <is>
          <t>borclu</t>
        </is>
      </c>
      <c r="C116" s="6" t="inlineStr">
        <is>
          <t>Kredi kartı limitin bu habere senden önce heyecanlandı.</t>
        </is>
      </c>
    </row>
    <row r="117">
      <c r="A117" s="5" t="inlineStr">
        <is>
          <t>b8-o-cumle</t>
        </is>
      </c>
      <c r="B117" s="5" t="inlineStr">
        <is>
          <t>tepsiTekeli</t>
        </is>
      </c>
      <c r="C117" s="6" t="inlineStr">
        <is>
          <t>Bir kış boyunca mahallenin tepsi tekelini elinde tutmuştun. Bu çocuk doğru dürüst kar görmedi.</t>
        </is>
      </c>
    </row>
    <row r="118">
      <c r="A118" s="5" t="inlineStr">
        <is>
          <t>ms-eski-musteri</t>
        </is>
      </c>
      <c r="B118" s="5" t="inlineStr">
        <is>
          <t>serbest-alacakli</t>
        </is>
      </c>
      <c r="C118" s="6" t="inlineStr">
        <is>
          <t>O fatura hâlâ 'onay bekliyor'. Onay bekleyen fatura artık ergenlik çağında.</t>
        </is>
      </c>
    </row>
    <row r="119">
      <c r="A119" s="5" t="inlineStr">
        <is>
          <t>b8-lise-bulusmasi</t>
        </is>
      </c>
      <c r="B119" s="5" t="inlineStr">
        <is>
          <t>baskan</t>
        </is>
      </c>
      <c r="C119" s="6" t="inlineStr">
        <is>
          <t>Kapıda biri 'Sınıf başkanımız gelmiş!' diye bağırdı. Ardından sordu: 'Akvaryum ne oldu?' Hâlâ.</t>
        </is>
      </c>
    </row>
    <row r="120">
      <c r="A120" s="5" t="inlineStr">
        <is>
          <t>b8-lise-bulusmasi</t>
        </is>
      </c>
      <c r="B120" s="5" t="inlineStr">
        <is>
          <t>yalanci</t>
        </is>
      </c>
      <c r="C120" s="6" t="inlineStr">
        <is>
          <t>Biri 'Köpeğin nasıl?' diye sordu. Hiç köpeğin olmadı; ama bu hikâye otuz yıldır yaşıyor.</t>
        </is>
      </c>
    </row>
    <row r="121">
      <c r="A121" s="5" t="inlineStr">
        <is>
          <t>b8-lise-bulusmasi</t>
        </is>
      </c>
      <c r="B121" s="5" t="inlineStr">
        <is>
          <t>alcili-kol</t>
        </is>
      </c>
      <c r="C121" s="6" t="inlineStr">
        <is>
          <t>Alçına imza atanlardan biri geldi: 'O kol nasıl?' Kol selam söyledi.</t>
        </is>
      </c>
    </row>
    <row r="122">
      <c r="A122" s="5" t="inlineStr">
        <is>
          <t>b8-lise-bulusmasi</t>
        </is>
      </c>
      <c r="B122" s="5" t="inlineStr">
        <is>
          <t>haracci-dusmani</t>
        </is>
      </c>
      <c r="C122" s="6" t="inlineStr">
        <is>
          <t>Köşede, bir zamanlar mahallede haraç toplayan çocuk oturuyor. Şimdi sigorta satıyor. Sana poliçe teklif etti.</t>
        </is>
      </c>
    </row>
    <row r="123">
      <c r="A123" s="5" t="inlineStr">
        <is>
          <t>b8-lise-bulusmasi</t>
        </is>
      </c>
      <c r="B123" s="5" t="inlineStr">
        <is>
          <t>fenomen</t>
        </is>
      </c>
      <c r="C123" s="6" t="inlineStr">
        <is>
          <t>Eski arkadaşlar seni hâlâ o videodan tanıyor. Biri selam yerine videodaki hareketi yaptı.</t>
        </is>
      </c>
    </row>
    <row r="124">
      <c r="A124" s="5" t="inlineStr">
        <is>
          <t>b8-lise-bulusmasi</t>
        </is>
      </c>
      <c r="B124" s="5" t="inlineStr">
        <is>
          <t>motosikletli</t>
        </is>
      </c>
      <c r="C124" s="6" t="inlineStr">
        <is>
          <t>Salona motosikletle geldin. Kaskı çıkarınca 'Ha, sen miydin?' dediler. Etki kaskla birlikte çıktı.</t>
        </is>
      </c>
    </row>
    <row r="125">
      <c r="A125" s="5" t="inlineStr">
        <is>
          <t>b8-sahte-haber</t>
        </is>
      </c>
      <c r="B125" s="5" t="inlineStr">
        <is>
          <t>gozluklu</t>
        </is>
      </c>
      <c r="C125" s="6" t="inlineStr">
        <is>
          <t>Mesajın altındaki minik yazıyı gözlükle okudun: 'Bu mesaj en az on kez iletildi.' Gözlük bile yoruldu.</t>
        </is>
      </c>
    </row>
    <row r="126">
      <c r="A126" s="5" t="inlineStr">
        <is>
          <t>me-tek-yildiz</t>
        </is>
      </c>
      <c r="B126" s="5" t="inlineStr">
        <is>
          <t>esnaf-komsu-rakip</t>
        </is>
      </c>
      <c r="C126" s="6" t="inlineStr">
        <is>
          <t>Yorumu yazan hesabın profil fotoğrafının köşesinde karşı dükkânın tentesi görünüyor.</t>
        </is>
      </c>
    </row>
    <row r="127">
      <c r="A127" s="5" t="inlineStr">
        <is>
          <t>mm-vatandasla-diyalog</t>
        </is>
      </c>
      <c r="B127" s="5" t="inlineStr">
        <is>
          <t>memur-kayip-dosya</t>
        </is>
      </c>
      <c r="C127" s="6" t="inlineStr">
        <is>
          <t>Elindeki evrakın numarası tanıdık: yıllar önce kaybolan o dosyanın numarası.</t>
        </is>
      </c>
    </row>
    <row r="128">
      <c r="A128" s="5" t="inlineStr">
        <is>
          <t>b8-yeniden-egitim</t>
        </is>
      </c>
      <c r="B128" s="5" t="inlineStr">
        <is>
          <t>universitesiz</t>
        </is>
      </c>
      <c r="C128" s="6" t="inlineStr">
        <is>
          <t>Bir üniversite kapısından ilk kez öğrenci olarak giriyorsun. Kapı yirmi yıl bekledi; bekletmediğin için teşekkür etti.</t>
        </is>
      </c>
    </row>
    <row r="129">
      <c r="A129" s="5" t="inlineStr">
        <is>
          <t>b8-yeniden-egitim</t>
        </is>
      </c>
      <c r="B129" s="5" t="inlineStr">
        <is>
          <t>universiteli</t>
        </is>
      </c>
      <c r="C129" s="6" t="inlineStr">
        <is>
          <t>Kampüs değişmemiş. Kantindeki tost fiyatı değişmiş. Kantinci seni tanıdı ve zam yapmadı.</t>
        </is>
      </c>
    </row>
    <row r="130">
      <c r="A130" s="5" t="inlineStr">
        <is>
          <t>mb-genc-yonetici</t>
        </is>
      </c>
      <c r="B130" s="5" t="inlineStr">
        <is>
          <t>beyazyaka-terfi-aldi</t>
        </is>
      </c>
      <c r="C130" s="6" t="inlineStr">
        <is>
          <t>Kıdemli unvanın hâlâ e-posta imzanda duruyor. Artık biraz daha küçük puntoyla.</t>
        </is>
      </c>
    </row>
    <row r="131">
      <c r="A131" s="5" t="inlineStr">
        <is>
          <t>ms-atolye-kirasi</t>
        </is>
      </c>
      <c r="B131" s="5" t="inlineStr">
        <is>
          <t>serbest-viral-oldu</t>
        </is>
      </c>
      <c r="C131" s="6" t="inlineStr">
        <is>
          <t>Viral videon bu bodrumda çekilmişti. İlanda 'ünlü atölye' diye geçiyor. Senin adın yok.</t>
        </is>
      </c>
    </row>
    <row r="132">
      <c r="A132" s="5" t="inlineStr">
        <is>
          <t>b8-ikinci-bahar</t>
        </is>
      </c>
      <c r="B132" s="5" t="inlineStr">
        <is>
          <t>bosandi</t>
        </is>
      </c>
      <c r="C132" s="6" t="inlineStr">
        <is>
          <t>Boşanma evrakındaki son imzanın üstünden iki yıl geçti. O kalem çekmecede, emekliye ayrıldı.</t>
        </is>
      </c>
    </row>
    <row r="133">
      <c r="A133" s="5" t="inlineStr">
        <is>
          <t>b8-cocuk-fenomen</t>
        </is>
      </c>
      <c r="B133" s="5" t="inlineStr">
        <is>
          <t>fenomen</t>
        </is>
      </c>
      <c r="C133" s="6" t="inlineStr">
        <is>
          <t>Senin de bir zamanlar bir videon vardı. O video şimdi çocuğun 'Eski zamanlar' serisinin ikinci bölümü.</t>
        </is>
      </c>
    </row>
    <row r="134">
      <c r="A134" s="5" t="inlineStr">
        <is>
          <t>b8-emeklilik-hesabi</t>
        </is>
      </c>
      <c r="B134" s="5" t="inlineStr">
        <is>
          <t>askerlik-yapti</t>
        </is>
      </c>
      <c r="C134" s="6" t="inlineStr">
        <is>
          <t>Hizmet dökümünde askerlik süren boşluk olarak duruyor. O günler nihayet bir işe yarayabilir.</t>
        </is>
      </c>
    </row>
    <row r="135">
      <c r="A135" s="5" t="inlineStr">
        <is>
          <t>b8-emeklilik-hesabi</t>
        </is>
      </c>
      <c r="B135" s="5" t="inlineStr">
        <is>
          <t>borclu</t>
        </is>
      </c>
      <c r="C135" s="6" t="inlineStr">
        <is>
          <t>Bankadaki danışman emeklilik planını sorarken borç dökümüne de göz attı. Planı kısalttı.</t>
        </is>
      </c>
    </row>
    <row r="136">
      <c r="A136" s="5" t="inlineStr">
        <is>
          <t>b8-son-taksit</t>
        </is>
      </c>
      <c r="B136" s="5" t="inlineStr">
        <is>
          <t>ev-sahibi</t>
        </is>
      </c>
      <c r="C136" s="6" t="inlineStr">
        <is>
          <t>Evin tapusu çekmecede, yirmi yıllık taksit dekontlarının üstünde. Dekontlar tapudan kalın.</t>
        </is>
      </c>
    </row>
    <row r="137">
      <c r="A137" s="5" t="inlineStr">
        <is>
          <t>b8-son-taksit</t>
        </is>
      </c>
      <c r="B137" s="5" t="inlineStr">
        <is>
          <t>yazlikci</t>
        </is>
      </c>
      <c r="C137" s="6" t="inlineStr">
        <is>
          <t>Yazlığın taksitleri hâlâ sürüyor. Kutlama yarım bir kutlama oldu; yazlık payı eksik.</t>
        </is>
      </c>
    </row>
    <row r="138">
      <c r="A138" s="5" t="inlineStr">
        <is>
          <t>b9-gunaydin-gorselleri</t>
        </is>
      </c>
      <c r="B138" s="5" t="inlineStr">
        <is>
          <t>fenomen</t>
        </is>
      </c>
      <c r="C138" s="6" t="inlineStr">
        <is>
          <t>Gençken bir video yirmi bin kişiye ulaşmıştı. Şimdi bir gül, yirmi üç kişiye ulaşamıyor.</t>
        </is>
      </c>
    </row>
    <row r="139">
      <c r="A139" s="5" t="inlineStr">
        <is>
          <t>b9-sabah-yuruyusu</t>
        </is>
      </c>
      <c r="B139" s="5" t="inlineStr">
        <is>
          <t>sporcu</t>
        </is>
      </c>
      <c r="C139" s="6" t="inlineStr">
        <is>
          <t>Yıllardır yaptığın spor sonunda işe yaradı: grubun en önünde yürüyorsun ve kimse gündemi seninle tartışamıyor.</t>
        </is>
      </c>
    </row>
    <row r="140">
      <c r="A140" s="5" t="inlineStr">
        <is>
          <t>b9-sabah-yuruyusu</t>
        </is>
      </c>
      <c r="B140" s="5" t="inlineStr">
        <is>
          <t>sigara</t>
        </is>
      </c>
      <c r="C140" s="6" t="inlineStr">
        <is>
          <t>İlk tur bitmeden molaya ihtiyaç duydun. Grup seni bekledi. Bekleyerek de gündem oluşturdu.</t>
        </is>
      </c>
    </row>
    <row r="141">
      <c r="A141" s="5" t="inlineStr">
        <is>
          <t>b9-doktor-randevusu</t>
        </is>
      </c>
      <c r="B141" s="5" t="inlineStr">
        <is>
          <t>sigara</t>
        </is>
      </c>
      <c r="C141" s="6" t="inlineStr">
        <is>
          <t>Doktor seni daha odaya girmeden 'Hâlâ içiyor musunuz?' diye karşıladı. Dosyan senden önce gelmişti.</t>
        </is>
      </c>
    </row>
    <row r="142">
      <c r="A142" s="5" t="inlineStr">
        <is>
          <t>b9-ilk-torun</t>
        </is>
      </c>
      <c r="B142" s="5" t="inlineStr">
        <is>
          <t>ilkKelimePara</t>
        </is>
      </c>
      <c r="C142" s="6" t="inlineStr">
        <is>
          <t>Senin ilk kelimen 'para' idi. Bebek sana bakıyor ve sanki bunu biliyor gibi.</t>
        </is>
      </c>
    </row>
    <row r="143">
      <c r="A143" s="5" t="inlineStr">
        <is>
          <t>ms-emeklilik-yok</t>
        </is>
      </c>
      <c r="B143" s="5" t="inlineStr">
        <is>
          <t>serbest-alacakli</t>
        </is>
      </c>
      <c r="C143" s="6" t="inlineStr">
        <is>
          <t>O fatura hâlâ onay bekliyor. Muhasebeci emekli oldu. Sen olamadın.</t>
        </is>
      </c>
    </row>
    <row r="144">
      <c r="A144" s="5" t="inlineStr">
        <is>
          <t>me-defterin-son-sayfasi</t>
        </is>
      </c>
      <c r="B144" s="5" t="inlineStr">
        <is>
          <t>esnaf-veresiye-batagi</t>
        </is>
      </c>
      <c r="C144" s="6" t="inlineStr">
        <is>
          <t>Defterin kalınlığı bir tuğla kadar. İlk satır, o gün titreyerek yazdığın satır.</t>
        </is>
      </c>
    </row>
    <row r="145">
      <c r="A145" s="5" t="inlineStr">
        <is>
          <t>b9-genclere-tavsiye</t>
        </is>
      </c>
      <c r="B145" s="5" t="inlineStr">
        <is>
          <t>baskan</t>
        </is>
      </c>
      <c r="C145" s="6" t="inlineStr">
        <is>
          <t>İlkokulda sınıf başkanıydın. O günden beri bir odada söz almadan duramıyorsun.</t>
        </is>
      </c>
    </row>
    <row r="146">
      <c r="A146" s="5" t="inlineStr">
        <is>
          <t>b9-lise-bulusmasi</t>
        </is>
      </c>
      <c r="B146" s="5" t="inlineStr">
        <is>
          <t>universiteli</t>
        </is>
      </c>
      <c r="C146" s="6" t="inlineStr">
        <is>
          <t>Herkes üniversite yıllarını anlattı. Sen de anlattın. Üniversitede ne okuduğunu bir an hatırlayamadın.</t>
        </is>
      </c>
    </row>
    <row r="147">
      <c r="A147" s="5" t="inlineStr">
        <is>
          <t>b9-lise-bulusmasi</t>
        </is>
      </c>
      <c r="B147" s="5" t="inlineStr">
        <is>
          <t>baskan</t>
        </is>
      </c>
      <c r="C147" s="6" t="inlineStr">
        <is>
          <t>Eski sınıf arkadaşların seni hâlâ 'Başkan' diye çağırıyor. Seçim tekrarlanmadı, görev süresi dolmadı.</t>
        </is>
      </c>
    </row>
    <row r="148">
      <c r="A148" s="5" t="inlineStr">
        <is>
          <t>b9-eski-ask</t>
        </is>
      </c>
      <c r="B148" s="5" t="inlineStr">
        <is>
          <t>evli</t>
        </is>
      </c>
      <c r="C148" s="6" t="inlineStr">
        <is>
          <t>Evliliğinin otuzuncu yılındasın. Sepette eşinin istediği mercimek var. Bu bilgi durumu sadeleştiriyor.</t>
        </is>
      </c>
    </row>
    <row r="149">
      <c r="A149" s="5" t="inlineStr">
        <is>
          <t>b9-eski-ask</t>
        </is>
      </c>
      <c r="B149" s="5" t="inlineStr">
        <is>
          <t>bosandi</t>
        </is>
      </c>
      <c r="C149" s="6" t="inlineStr">
        <is>
          <t>Boşanmanın üzerinden yıllar geçti. Eski aşkının sepetinde tek kişilik yemekler var. Seninkinde de.</t>
        </is>
      </c>
    </row>
    <row r="150">
      <c r="A150" s="5" t="inlineStr">
        <is>
          <t>b9-balkon-tarimi</t>
        </is>
      </c>
      <c r="B150" s="5" t="inlineStr">
        <is>
          <t>ev-sahibi</t>
        </is>
      </c>
      <c r="C150" s="6" t="inlineStr">
        <is>
          <t>Kendi evin, kendi balkonun. Bu, kimseye sormadan saksı çivilemek demek. Otuz yıl bunu bekledin.</t>
        </is>
      </c>
    </row>
    <row r="151">
      <c r="A151" s="5" t="inlineStr">
        <is>
          <t>mm-devir-teslim</t>
        </is>
      </c>
      <c r="B151" s="5" t="inlineStr">
        <is>
          <t>memur-kayip-dosya</t>
        </is>
      </c>
      <c r="C151" s="6" t="inlineStr">
        <is>
          <t>Devir listesinde bir satır var: 'Kayıp dosya, takibi sürüyor.' Satır yıllardır takip ediliyor.</t>
        </is>
      </c>
    </row>
    <row r="152">
      <c r="A152" s="5" t="inlineStr">
        <is>
          <t>b9-yapay-zeka-asistani</t>
        </is>
      </c>
      <c r="B152" s="5" t="inlineStr">
        <is>
          <t>yalanci</t>
        </is>
      </c>
      <c r="C152" s="6" t="inlineStr">
        <is>
          <t>Asistana yaşını sorduğunda doğru söyledi. Sen ona yaşını sorduğunda kendi yaşından beş yıl kestin. Alışkanlık.</t>
        </is>
      </c>
    </row>
    <row r="153">
      <c r="A153" s="5" t="inlineStr">
        <is>
          <t>b9-torun-nobeti</t>
        </is>
      </c>
      <c r="B153" s="5" t="inlineStr">
        <is>
          <t>kediGeldi</t>
        </is>
      </c>
      <c r="C153" s="6" t="inlineStr">
        <is>
          <t>Çocukken sen eve bir kedi getirtmiştin. Torun da kapıda bir kediyle bekliyor. Tarih tekerrür ediyor, kedi değişiyor.</t>
        </is>
      </c>
    </row>
    <row r="154">
      <c r="A154" s="5" t="inlineStr">
        <is>
          <t>b9-kahvehane-tavla</t>
        </is>
      </c>
      <c r="B154" s="5" t="inlineStr">
        <is>
          <t>kediSuclu</t>
        </is>
      </c>
      <c r="C154" s="6" t="inlineStr">
        <is>
          <t>Bir pul yere düştü. Refleksle kahvehanenin kedisine baktın. Altmış yıl geçti, refleks yerinde.</t>
        </is>
      </c>
    </row>
    <row r="155">
      <c r="A155" s="5" t="inlineStr">
        <is>
          <t>b9-emeklilik</t>
        </is>
      </c>
      <c r="B155" s="5" t="inlineStr">
        <is>
          <t>meslek-esnaf</t>
        </is>
      </c>
      <c r="C155" s="6" t="inlineStr">
        <is>
          <t>Dükkânın anahtarını çırağa verdin. Çırak kırk yaşında. Kepengi senden daha sesli açıyor.</t>
        </is>
      </c>
    </row>
    <row r="156">
      <c r="A156" s="5" t="inlineStr">
        <is>
          <t>b9-emeklilik</t>
        </is>
      </c>
      <c r="B156" s="5" t="inlineStr">
        <is>
          <t>meslek-memur</t>
        </is>
      </c>
      <c r="C156" s="6" t="inlineStr">
        <is>
          <t>Son dilekçeni imzaladın: kendi emeklilik dilekçen. İlk kez bir evrakı bekletmeden işleme aldın.</t>
        </is>
      </c>
    </row>
    <row r="157">
      <c r="A157" s="5" t="inlineStr">
        <is>
          <t>b9-emeklilik</t>
        </is>
      </c>
      <c r="B157" s="5" t="inlineStr">
        <is>
          <t>meslek-beyazyaka</t>
        </is>
      </c>
      <c r="C157" s="6" t="inlineStr">
        <is>
          <t>Kurumsal e-posta hesabın kapatıldı. Otomatik yanıt olarak 'Artık bu adreste değilim. Hiçbir adreste değilim.' yazdın.</t>
        </is>
      </c>
    </row>
    <row r="158">
      <c r="A158" s="5" t="inlineStr">
        <is>
          <t>b9-emeklilik</t>
        </is>
      </c>
      <c r="B158" s="5" t="inlineStr">
        <is>
          <t>meslek-serbest</t>
        </is>
      </c>
      <c r="C158" s="6" t="inlineStr">
        <is>
          <t>Serbest çalışanın emeklilik töreni olmaz. Kendi kendine bir pasta aldın ve faturasını kestin.</t>
        </is>
      </c>
    </row>
    <row r="159">
      <c r="A159" s="5" t="inlineStr">
        <is>
          <t>ms-retrospektif</t>
        </is>
      </c>
      <c r="B159" s="5" t="inlineStr">
        <is>
          <t>serbest-viral-oldu</t>
        </is>
      </c>
      <c r="C159" s="6" t="inlineStr">
        <is>
          <t>Viral videonun ekran görüntüsü de sergide. En çok fotoğraf çekilen eser o.</t>
        </is>
      </c>
    </row>
    <row r="160">
      <c r="A160" s="5" t="inlineStr">
        <is>
          <t>ms-retrospektif</t>
        </is>
      </c>
      <c r="B160" s="5" t="inlineStr">
        <is>
          <t>serbest-fon-aldi</t>
        </is>
      </c>
      <c r="C160" s="6" t="inlineStr">
        <is>
          <t>Fon komitesinin eski başkanı açılışta. Harcama raporunu hâlâ hatırlıyor.</t>
        </is>
      </c>
    </row>
    <row r="161">
      <c r="A161" s="5" t="inlineStr">
        <is>
          <t>b9-ikramiye</t>
        </is>
      </c>
      <c r="B161" s="5" t="inlineStr">
        <is>
          <t>borclu</t>
        </is>
      </c>
      <c r="C161" s="6" t="inlineStr">
        <is>
          <t>İkramiyenin yarısı daha hesaba düşmeden kredi kartı borcuna gitti. Banka görevlisi 'Hayırlı olsun' demekten vazgeçti.</t>
        </is>
      </c>
    </row>
    <row r="162">
      <c r="A162" s="5" t="inlineStr">
        <is>
          <t>b9-es-7-24</t>
        </is>
      </c>
      <c r="B162" s="5" t="inlineStr">
        <is>
          <t>kediGeldi</t>
        </is>
      </c>
      <c r="C162" s="6" t="inlineStr">
        <is>
          <t>Kedi de artık iki kişiyle sabahtan akşama aynı odada. Kedi, bu değişikliği onaylamadığını belirtti.</t>
        </is>
      </c>
    </row>
    <row r="163">
      <c r="A163" s="5" t="inlineStr">
        <is>
          <t>b9-yalniz-emeklilik</t>
        </is>
      </c>
      <c r="B163" s="5" t="inlineStr">
        <is>
          <t>bosandi</t>
        </is>
      </c>
      <c r="C163" s="6" t="inlineStr">
        <is>
          <t>Boşanmadan sonra evin yarısı boştu. Şimdi hepsi senin. Dolapların yarısı hâlâ boş; alışkanlık.</t>
        </is>
      </c>
    </row>
    <row r="164">
      <c r="A164" s="5" t="inlineStr">
        <is>
          <t>b9-yalniz-emeklilik</t>
        </is>
      </c>
      <c r="B164" s="5" t="inlineStr">
        <is>
          <t>kediGeldi</t>
        </is>
      </c>
      <c r="C164" s="6" t="inlineStr">
        <is>
          <t>Çocukluğundaki kedi çok önce gitti ama evde yine bir kedi var. Kediler hayatında hiç eksik olmadı. Onlar seni seçti.</t>
        </is>
      </c>
    </row>
    <row r="165">
      <c r="A165" s="5" t="inlineStr">
        <is>
          <t>mb-veda-plaketi</t>
        </is>
      </c>
      <c r="B165" s="5" t="inlineStr">
        <is>
          <t>beyazyaka-gm-tanidik</t>
        </is>
      </c>
      <c r="C165" s="6" t="inlineStr">
        <is>
          <t>Genel müdür konuşmasında gölden bahsetti. Kimse anlamadı, sen gülümsedin.</t>
        </is>
      </c>
    </row>
    <row r="166">
      <c r="A166" s="5" t="inlineStr">
        <is>
          <t>b9-tavla-finali</t>
        </is>
      </c>
      <c r="B166" s="5" t="inlineStr">
        <is>
          <t>tavla-sampiyonu</t>
        </is>
      </c>
      <c r="C166" s="6" t="inlineStr">
        <is>
          <t>Geçen sezonun şampiyonusun. Adın duvarda bantlı. Bandı sökmek isteyen çok.</t>
        </is>
      </c>
    </row>
    <row r="167">
      <c r="A167" s="5" t="inlineStr">
        <is>
          <t>b9-torunun-tableti</t>
        </is>
      </c>
      <c r="B167" s="5" t="inlineStr">
        <is>
          <t>ilkKelimePara</t>
        </is>
      </c>
      <c r="C167" s="6" t="inlineStr">
        <is>
          <t>Tablette bir oyun var: 'Sanal Para Topla'. Torun, hayatındaki ilk kelimeyi söylemek için bu oyunu kullanmış.</t>
        </is>
      </c>
    </row>
    <row r="168">
      <c r="A168" s="5" t="inlineStr">
        <is>
          <t>mm-eski-daire</t>
        </is>
      </c>
      <c r="B168" s="5" t="inlineStr">
        <is>
          <t>memur-ikinci-is</t>
        </is>
      </c>
      <c r="C168" s="6" t="inlineStr">
        <is>
          <t>Cebindeki katlanmış kâğıt: yıllar önce yazdığın kafe menüsü. Emeklilik geldi, sermaye hâlâ yolda.</t>
        </is>
      </c>
    </row>
    <row r="169">
      <c r="A169" s="5" t="inlineStr">
        <is>
          <t>b9-yazlik-komsulari</t>
        </is>
      </c>
      <c r="B169" s="5" t="inlineStr">
        <is>
          <t>yazlikci</t>
        </is>
      </c>
      <c r="C169" s="6" t="inlineStr">
        <is>
          <t>İkramiyeyle aldığın yazlığın ilk sezonu. Site grubuna eklendin. İlk mesaj: 'Hortumlar için yeni kurallar'.</t>
        </is>
      </c>
    </row>
    <row r="170">
      <c r="A170" s="5" t="inlineStr">
        <is>
          <t>b9-yazlik-komsulari</t>
        </is>
      </c>
      <c r="B170" s="5" t="inlineStr">
        <is>
          <t>ev-sahibi</t>
        </is>
      </c>
      <c r="C170" s="6" t="inlineStr">
        <is>
          <t>Şehirdeki evin, yazlıktaki evin. İki ayrı aidat, iki ayrı yönetim, iki ayrı hortum yönetmeliği.</t>
        </is>
      </c>
    </row>
    <row r="171">
      <c r="A171" s="5" t="inlineStr">
        <is>
          <t>b9-ikinci-kariyer</t>
        </is>
      </c>
      <c r="B171" s="5" t="inlineStr">
        <is>
          <t>meslek-serbest</t>
        </is>
      </c>
      <c r="C171" s="6" t="inlineStr">
        <is>
          <t>Serbest çalıştığın için zaten hiç emekli olmamıştın. Emeklilik ile çalışmak arasındaki fark bir kâğıttan ibaret.</t>
        </is>
      </c>
    </row>
    <row r="172">
      <c r="A172" s="5" t="inlineStr">
        <is>
          <t>b9-ikinci-kariyer</t>
        </is>
      </c>
      <c r="B172" s="5" t="inlineStr">
        <is>
          <t>meslek-memur</t>
        </is>
      </c>
      <c r="C172" s="6" t="inlineStr">
        <is>
          <t>Ömrünü devlet dairesinde geçirdin. Özel sektörde ilk günün: kimse sana 'Evrakı yarın getirin' demiyor. Kafan karıştı.</t>
        </is>
      </c>
    </row>
    <row r="173">
      <c r="A173" s="5" t="inlineStr">
        <is>
          <t>b9-noter-miras</t>
        </is>
      </c>
      <c r="B173" s="5" t="inlineStr">
        <is>
          <t>borclu</t>
        </is>
      </c>
      <c r="C173" s="6" t="inlineStr">
        <is>
          <t>Mirasın ilk maddesi: borçlar. Noter maddeyi okurken sesini alçalttı. Çocukların ise yükseltti.</t>
        </is>
      </c>
    </row>
    <row r="174">
      <c r="A174" s="5" t="inlineStr">
        <is>
          <t>b9-noter-miras</t>
        </is>
      </c>
      <c r="B174" s="5" t="inlineStr">
        <is>
          <t>ev-sahibi</t>
        </is>
      </c>
      <c r="C174" s="6" t="inlineStr">
        <is>
          <t>Otuz yıllık ev sahipliği tek bir cümleye sığdı: 'Tapu, belirtilen kişiye devredilir.' Otuz yılın kısa özeti.</t>
        </is>
      </c>
    </row>
    <row r="175">
      <c r="A175" s="5" t="inlineStr">
        <is>
          <t>b9-dev-kabak</t>
        </is>
      </c>
      <c r="B175" s="5" t="inlineStr">
        <is>
          <t>yazlikci</t>
        </is>
      </c>
      <c r="C175" s="6" t="inlineStr">
        <is>
          <t>Yazlık sitesinin yönetimi kabağın 'ortak alanı işgal ettiğini' bildiren bir yazı yolladı. Kabağa tebligat yapıldı.</t>
        </is>
      </c>
    </row>
    <row r="176">
      <c r="A176" s="5" t="inlineStr">
        <is>
          <t>me-son-kepenk</t>
        </is>
      </c>
      <c r="B176" s="5" t="inlineStr">
        <is>
          <t>esnaf-dernek-baskani</t>
        </is>
      </c>
      <c r="C176" s="6" t="inlineStr">
        <is>
          <t>Kapıda dernek pankartı var: 'Başkanımıza emeklilikte başarılar.' Pankartın parasını sen onaylamıştın.</t>
        </is>
      </c>
    </row>
    <row r="177">
      <c r="A177" s="5" t="inlineStr">
        <is>
          <t>b9-emekli-seyahati</t>
        </is>
      </c>
      <c r="B177" s="5" t="inlineStr">
        <is>
          <t>askerlik-yapti</t>
        </is>
      </c>
      <c r="C177" s="6" t="inlineStr">
        <is>
          <t>Otobüste sabah beşte kalkmak sana askerliği hatırlattı. Yoklama da alınıyor. Sen 'Burada' diye bağırdın. Otobüs güldü.</t>
        </is>
      </c>
    </row>
    <row r="178">
      <c r="A178" s="5" t="inlineStr">
        <is>
          <t>b9-emekli-seyahati</t>
        </is>
      </c>
      <c r="B178" s="5" t="inlineStr">
        <is>
          <t>sigara</t>
        </is>
      </c>
      <c r="C178" s="6" t="inlineStr">
        <is>
          <t>Her molada otobüsün arkasında aynı üç kişi toplanıyor. Sen de oradasın. Rehber sizi 'Duman Heyeti' diye çağırıyor.</t>
        </is>
      </c>
    </row>
    <row r="179">
      <c r="A179" s="5" t="inlineStr">
        <is>
          <t>b9-sifre-unuttum</t>
        </is>
      </c>
      <c r="B179" s="5" t="inlineStr">
        <is>
          <t>ilkKelimePara</t>
        </is>
      </c>
      <c r="C179" s="6" t="inlineStr">
        <is>
          <t>İlk kelimen 'para' idi. Şifren de 'Para' ile başlıyordu. Sonrası hatırlanmıyor. İlk kelime kaldı, gerisi gitti.</t>
        </is>
      </c>
    </row>
    <row r="180">
      <c r="A180" s="5" t="inlineStr">
        <is>
          <t>b9-site-toplantisi</t>
        </is>
      </c>
      <c r="B180" s="5" t="inlineStr">
        <is>
          <t>baskan</t>
        </is>
      </c>
      <c r="C180" s="6" t="inlineStr">
        <is>
          <t>İlkokulda sınıf başkanıydın. Apartman sakinleri bunu bilmiyor ama seçim sonucu yine aynı çıkıyor.</t>
        </is>
      </c>
    </row>
    <row r="181">
      <c r="A181" s="5" t="inlineStr">
        <is>
          <t>b9-torunun-sorusu</t>
        </is>
      </c>
      <c r="B181" s="5" t="inlineStr">
        <is>
          <t>fenomen</t>
        </is>
      </c>
      <c r="C181" s="6" t="inlineStr">
        <is>
          <t>Gençken birkaç video paylaşmıştın. Torun onları buldu. Senin eski videon şimdi onun sınıf grubunda dolaşıyor.</t>
        </is>
      </c>
    </row>
    <row r="182">
      <c r="A182" s="5" t="inlineStr">
        <is>
          <t>b9-torunun-sorusu</t>
        </is>
      </c>
      <c r="B182" s="5" t="inlineStr">
        <is>
          <t>askerlik-yapti</t>
        </is>
      </c>
      <c r="C182" s="6" t="inlineStr">
        <is>
          <t>Askerlik anılarını anlatmak için ağzını açtın. Torun 'Biliyorum, üç yüz kere anlattın' dedi. Doğru.</t>
        </is>
      </c>
    </row>
    <row r="183">
      <c r="A183" s="5" t="inlineStr">
        <is>
          <t>ms-son-roportaj</t>
        </is>
      </c>
      <c r="B183" s="5" t="inlineStr">
        <is>
          <t>serbest-alacakli</t>
        </is>
      </c>
      <c r="C183" s="6" t="inlineStr">
        <is>
          <t>O fatura hâlâ onay bekliyor. Öğrenci bunu tezine ek olarak koydu.</t>
        </is>
      </c>
    </row>
    <row r="184">
      <c r="A184" s="5" t="inlineStr">
        <is>
          <t>b9-hayat-muhasebesi</t>
        </is>
      </c>
      <c r="B184" s="5" t="inlineStr">
        <is>
          <t>kediSuclu</t>
        </is>
      </c>
      <c r="C184" s="6" t="inlineStr">
        <is>
          <t>Slaytlardan biri: kırık vazo ve suçlu bakışlı bir kedi. Aile yetmiş yıl sonra gerçeği öğrenmek istiyor.</t>
        </is>
      </c>
    </row>
    <row r="185">
      <c r="A185" s="5" t="inlineStr">
        <is>
          <t>b9-hayat-muhasebesi</t>
        </is>
      </c>
      <c r="B185" s="5" t="inlineStr">
        <is>
          <t>kediGeldi</t>
        </is>
      </c>
      <c r="C185" s="6" t="inlineStr">
        <is>
          <t>Fotoğrafların yarısında bir kedi var. Kedilerin sayısı, akrabalardan fazla.</t>
        </is>
      </c>
    </row>
    <row r="186">
      <c r="A186" s="5" t="inlineStr">
        <is>
          <t>b9-hayat-muhasebesi</t>
        </is>
      </c>
      <c r="B186" s="5" t="inlineStr">
        <is>
          <t>bosandi</t>
        </is>
      </c>
      <c r="C186" s="6" t="inlineStr">
        <is>
          <t>Bazı fotoğraflardan bir yüz kesilip çıkarılmış. Makas işi temiz. Çocuklar bunu yorumlamadı.</t>
        </is>
      </c>
    </row>
    <row r="187">
      <c r="A187" s="5" t="inlineStr">
        <is>
          <t>b10-noter-vasiyet</t>
        </is>
      </c>
      <c r="B187" s="5" t="inlineStr">
        <is>
          <t>ev-sahibi</t>
        </is>
      </c>
      <c r="C187" s="6" t="inlineStr">
        <is>
          <t>Tapuyu çantadan çıkardın. Katip, evin kaç kez tadilat gördüğünü sormadan anladı.</t>
        </is>
      </c>
    </row>
    <row r="188">
      <c r="A188" s="5" t="inlineStr">
        <is>
          <t>b10-noter-vasiyet</t>
        </is>
      </c>
      <c r="B188" s="5" t="inlineStr">
        <is>
          <t>borclu</t>
        </is>
      </c>
      <c r="C188" s="6" t="inlineStr">
        <is>
          <t>Mal varlığı beyanını okuyan katip bir süre sustu, sonra 'Borçlar da miras kalır' diye nazikçe hatırlattı.</t>
        </is>
      </c>
    </row>
    <row r="189">
      <c r="A189" s="5" t="inlineStr">
        <is>
          <t>b10-noter-vasiyet</t>
        </is>
      </c>
      <c r="B189" s="5" t="inlineStr">
        <is>
          <t>ilkKelimePara</t>
        </is>
      </c>
      <c r="C189" s="6" t="inlineStr">
        <is>
          <t>Hayattaki ilk kelimen 'Para' idi. Bu belgenin başlığı da öyle.</t>
        </is>
      </c>
    </row>
    <row r="190">
      <c r="A190" s="5" t="inlineStr">
        <is>
          <t>b10-miras-provasi</t>
        </is>
      </c>
      <c r="B190" s="5" t="inlineStr">
        <is>
          <t>kediSuclu</t>
        </is>
      </c>
      <c r="C190" s="6" t="inlineStr">
        <is>
          <t>Vitrindeki o vazonun eşini yıllar önce kırmıştın. Kedi hâlâ şüpheli listesinde.</t>
        </is>
      </c>
    </row>
    <row r="191">
      <c r="A191" s="5" t="inlineStr">
        <is>
          <t>b10-miras-provasi</t>
        </is>
      </c>
      <c r="B191" s="5" t="inlineStr">
        <is>
          <t>yalanci</t>
        </is>
      </c>
      <c r="C191" s="6" t="inlineStr">
        <is>
          <t>Bu masada yalan söyleyen biri var. Uzun yıllardır ilk kez o kişi sen değilsin.</t>
        </is>
      </c>
    </row>
    <row r="192">
      <c r="A192" s="5" t="inlineStr">
        <is>
          <t>b10-teknoloji-kursu</t>
        </is>
      </c>
      <c r="B192" s="5" t="inlineStr">
        <is>
          <t>fenomen</t>
        </is>
      </c>
      <c r="C192" s="6" t="inlineStr">
        <is>
          <t>Eğitmen seni tanıdı. Gençken çektiğin bir video hâlâ dolaşımda. Kurs bir anlığına durdu.</t>
        </is>
      </c>
    </row>
    <row r="193">
      <c r="A193" s="5" t="inlineStr">
        <is>
          <t>b10-teknoloji-kursu</t>
        </is>
      </c>
      <c r="B193" s="5" t="inlineStr">
        <is>
          <t>baskan</t>
        </is>
      </c>
      <c r="C193" s="6" t="inlineStr">
        <is>
          <t>Sınıfta başkan seçimi yapılmadı ama herkes sana bakıyor. Alışkanlık.</t>
        </is>
      </c>
    </row>
    <row r="194">
      <c r="A194" s="5" t="inlineStr">
        <is>
          <t>b10-balkon-kulesi</t>
        </is>
      </c>
      <c r="B194" s="5" t="inlineStr">
        <is>
          <t>baskan</t>
        </is>
      </c>
      <c r="C194" s="6" t="inlineStr">
        <is>
          <t>Sınıf başkanlığından beri kimin konuştuğunu not almak senin görevin. Görev bitmedi.</t>
        </is>
      </c>
    </row>
    <row r="195">
      <c r="A195" s="5" t="inlineStr">
        <is>
          <t>b10-balkon-kulesi</t>
        </is>
      </c>
      <c r="B195" s="5" t="inlineStr">
        <is>
          <t>camKirildi</t>
        </is>
      </c>
      <c r="C195" s="6" t="inlineStr">
        <is>
          <t>Karşıdaki çocuklar top oynuyor. Kırılacak camın sahibini şimdiden biliyorsun.</t>
        </is>
      </c>
    </row>
    <row r="196">
      <c r="A196" s="5" t="inlineStr">
        <is>
          <t>b10-balkon-kulesi</t>
        </is>
      </c>
      <c r="B196" s="5" t="inlineStr">
        <is>
          <t>haracci-dusmani</t>
        </is>
      </c>
      <c r="C196" s="6" t="inlineStr">
        <is>
          <t>Eski haraççılardan biri sokaktan geçti. Göz göze geldiniz. İkiniz de başka yöne baktınız.</t>
        </is>
      </c>
    </row>
    <row r="197">
      <c r="A197" s="5" t="inlineStr">
        <is>
          <t>b10-sinif-bulusmasi</t>
        </is>
      </c>
      <c r="B197" s="5" t="inlineStr">
        <is>
          <t>baskan</t>
        </is>
      </c>
      <c r="C197" s="6" t="inlineStr">
        <is>
          <t>Kapıdan girdiğinde biri 'Başkan geldi!' diye bağırdı. Yetmiş yıldır kimse seçim yapmamış.</t>
        </is>
      </c>
    </row>
    <row r="198">
      <c r="A198" s="5" t="inlineStr">
        <is>
          <t>b10-sinif-bulusmasi</t>
        </is>
      </c>
      <c r="B198" s="5" t="inlineStr">
        <is>
          <t>tepsiTekeli</t>
        </is>
      </c>
      <c r="C198" s="6" t="inlineStr">
        <is>
          <t>Biri o kışı hatırladı. Tepsi tekelinin hesabı yetmiş yıl sonra soruldu.</t>
        </is>
      </c>
    </row>
    <row r="199">
      <c r="A199" s="5" t="inlineStr">
        <is>
          <t>b10-sinif-bulusmasi</t>
        </is>
      </c>
      <c r="B199" s="5" t="inlineStr">
        <is>
          <t>camKirildi</t>
        </is>
      </c>
      <c r="C199" s="6" t="inlineStr">
        <is>
          <t>Komşunun camını kıran top için bugün hâlâ iki ayrı versiyon anlatılıyor.</t>
        </is>
      </c>
    </row>
    <row r="200">
      <c r="A200" s="5" t="inlineStr">
        <is>
          <t>b10-sinif-bulusmasi</t>
        </is>
      </c>
      <c r="B200" s="5" t="inlineStr">
        <is>
          <t>yalanci</t>
        </is>
      </c>
      <c r="C200" s="6" t="inlineStr">
        <is>
          <t>Eski bir sınıf arkadaşın 'Sen o zaman da çok hikâye anlatırdın' dedi. Hikâye bu kez doğru.</t>
        </is>
      </c>
    </row>
    <row r="201">
      <c r="A201" s="5" t="inlineStr">
        <is>
          <t>b10-doktor-gomersiniz</t>
        </is>
      </c>
      <c r="B201" s="5" t="inlineStr">
        <is>
          <t>sporcu</t>
        </is>
      </c>
      <c r="C201" s="6" t="inlineStr">
        <is>
          <t>Doktor spor geçmişini okuyunca bir süre sustu, sonra kendi göbeğine baktı.</t>
        </is>
      </c>
    </row>
    <row r="202">
      <c r="A202" s="5" t="inlineStr">
        <is>
          <t>b10-doktor-gomersiniz</t>
        </is>
      </c>
      <c r="B202" s="5" t="inlineStr">
        <is>
          <t>sigara</t>
        </is>
      </c>
      <c r="C202" s="6" t="inlineStr">
        <is>
          <t>Dosyanın bir sayfası eski alışkanlıklara ayrılmış. Doktor o sayfayı hızlı geçti.</t>
        </is>
      </c>
    </row>
    <row r="203">
      <c r="A203" s="5" t="inlineStr">
        <is>
          <t>b10-doktor-gomersiniz</t>
        </is>
      </c>
      <c r="B203" s="5" t="inlineStr">
        <is>
          <t>askerlik-yapti</t>
        </is>
      </c>
      <c r="C203" s="6" t="inlineStr">
        <is>
          <t>'Dik oturun' dendi. Askerlikten beri bu komuta refleksle uyuyorsun.</t>
        </is>
      </c>
    </row>
    <row r="204">
      <c r="A204" s="5" t="inlineStr">
        <is>
          <t>b10-bayram-harcligi</t>
        </is>
      </c>
      <c r="B204" s="5" t="inlineStr">
        <is>
          <t>ilkKelimePara</t>
        </is>
      </c>
      <c r="C204" s="6" t="inlineStr">
        <is>
          <t>Hayattaki ilk kelimen 'Para' idi. Bugün son zarfı da bu kelimeyle kapattın.</t>
        </is>
      </c>
    </row>
    <row r="205">
      <c r="A205" s="5" t="inlineStr">
        <is>
          <t>b10-bayram-harcligi</t>
        </is>
      </c>
      <c r="B205" s="5" t="inlineStr">
        <is>
          <t>emekli</t>
        </is>
      </c>
      <c r="C205" s="6" t="inlineStr">
        <is>
          <t>Maaş günü ile bayram aynı haftaya denk geldi. Takvim nadiren bu kadar cömert.</t>
        </is>
      </c>
    </row>
    <row r="206">
      <c r="A206" s="5" t="inlineStr">
        <is>
          <t>b10-bayram-harcligi</t>
        </is>
      </c>
      <c r="B206" s="5" t="inlineStr">
        <is>
          <t>tepsiTekeli</t>
        </is>
      </c>
      <c r="C206" s="6" t="inlineStr">
        <is>
          <t>Kapıdaki çocuklar elindeki zarflara bakıyor. Sen de bir zamanlar tepsilere öyle bakmıştın.</t>
        </is>
      </c>
    </row>
    <row r="207">
      <c r="A207" s="5" t="inlineStr">
        <is>
          <t>b10-dijital-miras</t>
        </is>
      </c>
      <c r="B207" s="5" t="inlineStr">
        <is>
          <t>fenomen</t>
        </is>
      </c>
      <c r="C207" s="6" t="inlineStr">
        <is>
          <t>Eski hesabın hâlâ açık. Takipçilerin arasında artık gerçek kişiden çok, kendi kendine konuşan hesaplar var.</t>
        </is>
      </c>
    </row>
    <row r="208">
      <c r="A208" s="5" t="inlineStr">
        <is>
          <t>b10-dijital-miras</t>
        </is>
      </c>
      <c r="B208" s="5" t="inlineStr">
        <is>
          <t>kediGeldi</t>
        </is>
      </c>
      <c r="C208" s="6" t="inlineStr">
        <is>
          <t>Şifrelerin yarısı o kedinin adı. Kedi, dijital varlıklarının gerçek sahibi.</t>
        </is>
      </c>
    </row>
    <row r="209">
      <c r="A209" s="5" t="inlineStr">
        <is>
          <t>b10-mezar-parseli</t>
        </is>
      </c>
      <c r="B209" s="5" t="inlineStr">
        <is>
          <t>ev-sahibi</t>
        </is>
      </c>
      <c r="C209" s="6" t="inlineStr">
        <is>
          <t>Hayatında ikinci kez tapu alıyorsun. Bu seferki aidatsız.</t>
        </is>
      </c>
    </row>
    <row r="210">
      <c r="A210" s="5" t="inlineStr">
        <is>
          <t>b10-mezar-parseli</t>
        </is>
      </c>
      <c r="B210" s="5" t="inlineStr">
        <is>
          <t>borclu</t>
        </is>
      </c>
      <c r="C210" s="6" t="inlineStr">
        <is>
          <t>Görevli taksit seçeneklerini gösterdi. Hayatın boyunca taksitten kaçamadın; son adresin de taksitli.</t>
        </is>
      </c>
    </row>
    <row r="211">
      <c r="A211" s="5" t="inlineStr">
        <is>
          <t>b10-mezar-parseli</t>
        </is>
      </c>
      <c r="B211" s="5" t="inlineStr">
        <is>
          <t>evli</t>
        </is>
      </c>
      <c r="C211" s="6" t="inlineStr">
        <is>
          <t>Görevli 'İki kişilik mi?' diye sordu. Eşin 'Yanyana olsun ama çok da yakın olmasın' dedi.</t>
        </is>
      </c>
    </row>
    <row r="212">
      <c r="A212" s="5" t="inlineStr">
        <is>
          <t>b10-danismanlik</t>
        </is>
      </c>
      <c r="B212" s="5" t="inlineStr">
        <is>
          <t>meslek-memur</t>
        </is>
      </c>
      <c r="C212" s="6" t="inlineStr">
        <is>
          <t>Kurumda senden sonra dört müdür değişti. Arşiv düzeni hâlâ seninki.</t>
        </is>
      </c>
    </row>
    <row r="213">
      <c r="A213" s="5" t="inlineStr">
        <is>
          <t>b10-danismanlik</t>
        </is>
      </c>
      <c r="B213" s="5" t="inlineStr">
        <is>
          <t>meslek-esnaf</t>
        </is>
      </c>
      <c r="C213" s="6" t="inlineStr">
        <is>
          <t>Dükkândaki çırak artık usta. Seni görünce kasayı refleksle kapattı.</t>
        </is>
      </c>
    </row>
    <row r="214">
      <c r="A214" s="5" t="inlineStr">
        <is>
          <t>b10-danismanlik</t>
        </is>
      </c>
      <c r="B214" s="5" t="inlineStr">
        <is>
          <t>meslek-beyazyaka</t>
        </is>
      </c>
      <c r="C214" s="6" t="inlineStr">
        <is>
          <t>Ofiste açık alan kaldırılmış, bölmeler geri gelmiş. Tarih döngüseldir.</t>
        </is>
      </c>
    </row>
    <row r="215">
      <c r="A215" s="5" t="inlineStr">
        <is>
          <t>b10-danismanlik</t>
        </is>
      </c>
      <c r="B215" s="5" t="inlineStr">
        <is>
          <t>meslek-serbest</t>
        </is>
      </c>
      <c r="C215" s="6" t="inlineStr">
        <is>
          <t>Serbest çalışırken kestiğin son faturanın ödemesi bugün yattı.</t>
        </is>
      </c>
    </row>
    <row r="216">
      <c r="A216" s="5" t="inlineStr">
        <is>
          <t>b10-eski-dost-cenazesi</t>
        </is>
      </c>
      <c r="B216" s="5" t="inlineStr">
        <is>
          <t>universiteli</t>
        </is>
      </c>
      <c r="C216" s="6" t="inlineStr">
        <is>
          <t>Kalabalıkta üniversiteden iki tanıdık yüz var. Üçünüz de aynı hocanın adını hatırlamaya çalışıyor.</t>
        </is>
      </c>
    </row>
    <row r="217">
      <c r="A217" s="5" t="inlineStr">
        <is>
          <t>b10-eski-dost-cenazesi</t>
        </is>
      </c>
      <c r="B217" s="5" t="inlineStr">
        <is>
          <t>askerlik-yapti</t>
        </is>
      </c>
      <c r="C217" s="6" t="inlineStr">
        <is>
          <t>Askerlikten bir arkadaş geldi. Selamlaşmanız otuz saniye, hatıralar beş dakika sürdü.</t>
        </is>
      </c>
    </row>
    <row r="218">
      <c r="A218" s="5" t="inlineStr">
        <is>
          <t>b10-eski-dost-cenazesi</t>
        </is>
      </c>
      <c r="B218" s="5" t="inlineStr">
        <is>
          <t>sirVerdi</t>
        </is>
      </c>
      <c r="C218" s="6" t="inlineStr">
        <is>
          <t>Kreşte bir sırrı dolaşıma sokmuştun. Bugün dostunun sırrını mezarına kadar taşıdın.</t>
        </is>
      </c>
    </row>
    <row r="219">
      <c r="A219" s="5" t="inlineStr">
        <is>
          <t>b10-ani-defteri</t>
        </is>
      </c>
      <c r="B219" s="5" t="inlineStr">
        <is>
          <t>kediSuclu</t>
        </is>
      </c>
      <c r="C219" s="6" t="inlineStr">
        <is>
          <t>İkinci sayfada vazo olayı. Kedi hâlâ bir numaralı şüpheli olarak kayıtlı.</t>
        </is>
      </c>
    </row>
    <row r="220">
      <c r="A220" s="5" t="inlineStr">
        <is>
          <t>b10-ani-defteri</t>
        </is>
      </c>
      <c r="B220" s="5" t="inlineStr">
        <is>
          <t>yalanci</t>
        </is>
      </c>
      <c r="C220" s="6" t="inlineStr">
        <is>
          <t>Aile editörlük kurulu, üçüncü bölümün yanına kırmızı kalemle 'Kaynak?' yazdı.</t>
        </is>
      </c>
    </row>
    <row r="221">
      <c r="A221" s="5" t="inlineStr">
        <is>
          <t>b10-ani-defteri</t>
        </is>
      </c>
      <c r="B221" s="5" t="inlineStr">
        <is>
          <t>camKirildi</t>
        </is>
      </c>
      <c r="C221" s="6" t="inlineStr">
        <is>
          <t>Komşunun camı dördüncü bölümde. Komşunun çocukları dipnotta itiraz ediyor.</t>
        </is>
      </c>
    </row>
    <row r="222">
      <c r="A222" s="5" t="inlineStr">
        <is>
          <t>b10-ani-defteri</t>
        </is>
      </c>
      <c r="B222" s="5" t="inlineStr">
        <is>
          <t>tepsiTekeli</t>
        </is>
      </c>
      <c r="C222" s="6" t="inlineStr">
        <is>
          <t>Bir bölümün başlığı: 'Tepsi Tekeli: Bir Kışın Ekonomi Politiği.'</t>
        </is>
      </c>
    </row>
    <row r="223">
      <c r="A223" s="5" t="inlineStr">
        <is>
          <t>b10-ani-defteri</t>
        </is>
      </c>
      <c r="B223" s="5" t="inlineStr">
        <is>
          <t>fenomen</t>
        </is>
      </c>
      <c r="C223" s="6" t="inlineStr">
        <is>
          <t>Bir bölüm gençlikteki kısa ün dönemine ayrıldı. Başlık: 'Beş Dakika, Otuz Bin Beğeni.'</t>
        </is>
      </c>
    </row>
    <row r="224">
      <c r="A224" s="5" t="inlineStr">
        <is>
          <t>b10-seksen-yas-partisi</t>
        </is>
      </c>
      <c r="B224" s="5" t="inlineStr">
        <is>
          <t>cocuklu</t>
        </is>
      </c>
      <c r="C224" s="6" t="inlineStr">
        <is>
          <t>Pastayı çocukların sipariş etti. Mumların sayısında üç kez anlaşamadılar.</t>
        </is>
      </c>
    </row>
    <row r="225">
      <c r="A225" s="5" t="inlineStr">
        <is>
          <t>b10-seksen-yas-partisi</t>
        </is>
      </c>
      <c r="B225" s="5" t="inlineStr">
        <is>
          <t>torunlu</t>
        </is>
      </c>
      <c r="C225" s="6" t="inlineStr">
        <is>
          <t>Torunlar pastanın yanında sıraya girdi. Hepsi mumlara yardım etmek istiyor, hiçbiri pastaya dokunmamayı kabul etmiyor.</t>
        </is>
      </c>
    </row>
    <row r="226">
      <c r="A226" s="5" t="inlineStr">
        <is>
          <t>b10-seksen-yas-partisi</t>
        </is>
      </c>
      <c r="B226" s="5" t="inlineStr">
        <is>
          <t>sigara</t>
        </is>
      </c>
      <c r="C226" s="6" t="inlineStr">
        <is>
          <t>Yıllar önce bıraktığın alışkanlık bugün yarar sağlıyor: ateşle aran hâlâ iyi.</t>
        </is>
      </c>
    </row>
    <row r="227">
      <c r="A227" s="5" t="inlineStr">
        <is>
          <t>b10-huzurevi-turu</t>
        </is>
      </c>
      <c r="B227" s="5" t="inlineStr">
        <is>
          <t>tepsiTekeli</t>
        </is>
      </c>
      <c r="C227" s="6" t="inlineStr">
        <is>
          <t>Yemekhanede tepsiler üst üste dizilmiş. Eski bir iş fırsatı gibi görünüyorlar.</t>
        </is>
      </c>
    </row>
    <row r="228">
      <c r="A228" s="5" t="inlineStr">
        <is>
          <t>b10-huzurevi-turu</t>
        </is>
      </c>
      <c r="B228" s="5" t="inlineStr">
        <is>
          <t>baskan</t>
        </is>
      </c>
      <c r="C228" s="6" t="inlineStr">
        <is>
          <t>Sakinler komitesinin başkanlık seçimi yakında. Kimse kapıdaki ilanı sana göstermek zorunda değildi ama gösterdi.</t>
        </is>
      </c>
    </row>
    <row r="229">
      <c r="A229" s="5" t="inlineStr">
        <is>
          <t>b10-huzurevi-turu</t>
        </is>
      </c>
      <c r="B229" s="5" t="inlineStr">
        <is>
          <t>bosandi</t>
        </is>
      </c>
      <c r="C229" s="6" t="inlineStr">
        <is>
          <t>Briç masasında eski eşinin kuzenini gördün. Dünya küçük, huzurevi daha küçük.</t>
        </is>
      </c>
    </row>
    <row r="230">
      <c r="A230" s="5" t="inlineStr">
        <is>
          <t>b10-torunun-dugunu</t>
        </is>
      </c>
      <c r="B230" s="5" t="inlineStr">
        <is>
          <t>evli</t>
        </is>
      </c>
      <c r="C230" s="6" t="inlineStr">
        <is>
          <t>Kendi düğününüzden sonra ilk kez eşinle aynı masada, aynı şarkıyı dinliyorsun.</t>
        </is>
      </c>
    </row>
    <row r="231">
      <c r="A231" s="5" t="inlineStr">
        <is>
          <t>b10-torunun-dugunu</t>
        </is>
      </c>
      <c r="B231" s="5" t="inlineStr">
        <is>
          <t>askerlik-yapti</t>
        </is>
      </c>
      <c r="C231" s="6" t="inlineStr">
        <is>
          <t>Masadaki eski bir arkadaş askerlik hatırasını anlatmaya başladı. Düğün kısa bir süreliğine duraksadı.</t>
        </is>
      </c>
    </row>
    <row r="232">
      <c r="A232" s="5" t="inlineStr">
        <is>
          <t>b10-torunun-dugunu</t>
        </is>
      </c>
      <c r="B232" s="5" t="inlineStr">
        <is>
          <t>ev-sahibi</t>
        </is>
      </c>
      <c r="C232" s="6" t="inlineStr">
        <is>
          <t>Evin kapısındaki anahtarı yeni çifte hediye ettin. Herkes ağladı, iki kişi hesapladı.</t>
        </is>
      </c>
    </row>
    <row r="233">
      <c r="A233" s="5" t="inlineStr">
        <is>
          <t>b10-yapay-zeka-kitap</t>
        </is>
      </c>
      <c r="B233" s="5" t="inlineStr">
        <is>
          <t>fenomen</t>
        </is>
      </c>
      <c r="C233" s="6" t="inlineStr">
        <is>
          <t>Yapay zekâ gençlikteki videolarını buldu. Kitabın bir bölümü tamamen ekran görüntülerinden oluşuyor.</t>
        </is>
      </c>
    </row>
    <row r="234">
      <c r="A234" s="5" t="inlineStr">
        <is>
          <t>b10-yapay-zeka-kitap</t>
        </is>
      </c>
      <c r="B234" s="5" t="inlineStr">
        <is>
          <t>universiteli</t>
        </is>
      </c>
      <c r="C234" s="6" t="inlineStr">
        <is>
          <t>Kitapta üniversite yılların 'entelektüel uyanış' olarak geçiyor. Aslında çoğu kantinde geçti.</t>
        </is>
      </c>
    </row>
    <row r="235">
      <c r="A235" s="5" t="inlineStr">
        <is>
          <t>b10-yapay-zeka-kitap</t>
        </is>
      </c>
      <c r="B235" s="5" t="inlineStr">
        <is>
          <t>meslek-beyazyaka</t>
        </is>
      </c>
      <c r="C235" s="6" t="inlineStr">
        <is>
          <t>Meslek bölümü, performans değerlendirme dili ile yazılmış. Makine seni terfiye önermiş.</t>
        </is>
      </c>
    </row>
    <row r="236">
      <c r="A236" s="5" t="inlineStr">
        <is>
          <t>b10-yapay-zeka-kitap</t>
        </is>
      </c>
      <c r="B236" s="5" t="inlineStr">
        <is>
          <t>kediSuclu</t>
        </is>
      </c>
      <c r="C236" s="6" t="inlineStr">
        <is>
          <t>Kitapta vazo olayı ayrıntılı. Makine kediye bir dipnot düşmüş: 'Kanıt yetersiz.'</t>
        </is>
      </c>
    </row>
    <row r="237">
      <c r="A237" s="5" t="inlineStr">
        <is>
          <t>b10-eski-ev</t>
        </is>
      </c>
      <c r="B237" s="5" t="inlineStr">
        <is>
          <t>camKirildi</t>
        </is>
      </c>
      <c r="C237" s="6" t="inlineStr">
        <is>
          <t>Karşıdaki komşunun camı hâlâ aynı cam. Ya da yenisi. İkisi de aynı ses tonuyla bakıyor.</t>
        </is>
      </c>
    </row>
    <row r="238">
      <c r="A238" s="5" t="inlineStr">
        <is>
          <t>b10-eski-ev</t>
        </is>
      </c>
      <c r="B238" s="5" t="inlineStr">
        <is>
          <t>kediGeldi</t>
        </is>
      </c>
      <c r="C238" s="6" t="inlineStr">
        <is>
          <t>Bahçe duvarında bir kedi oturuyor. Senin kedinin torununun torunu olabilir. Seni tanımıyor.</t>
        </is>
      </c>
    </row>
    <row r="239">
      <c r="A239" s="5" t="inlineStr">
        <is>
          <t>b10-eski-ev</t>
        </is>
      </c>
      <c r="B239" s="5" t="inlineStr">
        <is>
          <t>haracci-dusmani</t>
        </is>
      </c>
      <c r="C239" s="6" t="inlineStr">
        <is>
          <t>Köşede eski haraççıların durduğu yer artık bir kargo teslimat noktası.</t>
        </is>
      </c>
    </row>
    <row r="240">
      <c r="A240" s="5" t="inlineStr">
        <is>
          <t>b10-eski-ev</t>
        </is>
      </c>
      <c r="B240" s="5" t="inlineStr">
        <is>
          <t>tepsiTekeli</t>
        </is>
      </c>
      <c r="C240" s="6" t="inlineStr">
        <is>
          <t>Kış olsaydı, bu yokuşta kaymak için tepsi kuyruğunda olurdun.</t>
        </is>
      </c>
    </row>
    <row r="241">
      <c r="A241" s="5" t="inlineStr">
        <is>
          <t>b10-son-dans</t>
        </is>
      </c>
      <c r="B241" s="5" t="inlineStr">
        <is>
          <t>cocuklu</t>
        </is>
      </c>
      <c r="C241" s="6" t="inlineStr">
        <is>
          <t>Kapı aralığından bir çocuğun izlediğini fark ettin. Telefonu kaldırmamış. Bu yeterli.</t>
        </is>
      </c>
    </row>
    <row r="242">
      <c r="A242" s="5" t="inlineStr">
        <is>
          <t>b10-son-dans</t>
        </is>
      </c>
      <c r="B242" s="5" t="inlineStr">
        <is>
          <t>sporcu</t>
        </is>
      </c>
      <c r="C242" s="6" t="inlineStr">
        <is>
          <t>Yıllar süren sabah koşuları bugün meyvesini veriyor: bir şarkı, iki tur.</t>
        </is>
      </c>
    </row>
    <row r="243">
      <c r="A243" s="5" t="inlineStr">
        <is>
          <t>b10-son-dans</t>
        </is>
      </c>
      <c r="B243" s="5" t="inlineStr">
        <is>
          <t>ev-sahibi</t>
        </is>
      </c>
      <c r="C243" s="6" t="inlineStr">
        <is>
          <t>Bu ev için ödenen her taksit bu dansı karşıladı.</t>
        </is>
      </c>
    </row>
    <row r="244">
      <c r="A244" s="5" t="inlineStr">
        <is>
          <t>b10-yalniz-ozgur</t>
        </is>
      </c>
      <c r="B244" s="5" t="inlineStr">
        <is>
          <t>bosandi</t>
        </is>
      </c>
      <c r="C244" s="6" t="inlineStr">
        <is>
          <t>Eski eşinden bir bayram mesajı geldi. Cevabın iki kelimeydi ve ikisi de nazikti.</t>
        </is>
      </c>
    </row>
    <row r="245">
      <c r="A245" s="5" t="inlineStr">
        <is>
          <t>b10-yalniz-ozgur</t>
        </is>
      </c>
      <c r="B245" s="5" t="inlineStr">
        <is>
          <t>kediGeldi</t>
        </is>
      </c>
      <c r="C245" s="6" t="inlineStr">
        <is>
          <t>Evde kimse konuşmuyor ama koltukta bir kedi var. Anlaşmanız iyi.</t>
        </is>
      </c>
    </row>
    <row r="246">
      <c r="A246" s="5" t="inlineStr">
        <is>
          <t>b10-yalniz-ozgur</t>
        </is>
      </c>
      <c r="B246" s="5" t="inlineStr">
        <is>
          <t>emekli</t>
        </is>
      </c>
      <c r="C246" s="6" t="inlineStr">
        <is>
          <t>Maaş yattı. Hesap sorulmadan harcanacak.</t>
        </is>
      </c>
    </row>
    <row r="247">
      <c r="A247" s="5" t="inlineStr">
        <is>
          <t>b10-yalniz-ozgur</t>
        </is>
      </c>
      <c r="B247" s="5" t="inlineStr">
        <is>
          <t>huzurevi-sakini</t>
        </is>
      </c>
      <c r="C247" s="6" t="inlineStr">
        <is>
          <t>Huzurevinde tek kişilik odan var. Kapı kapalı, ama çay saati her gün dörtte.</t>
        </is>
      </c>
    </row>
    <row r="248">
      <c r="A248" s="5" t="inlineStr">
        <is>
          <t>b10-komsu-kedisi</t>
        </is>
      </c>
      <c r="B248" s="5" t="inlineStr">
        <is>
          <t>kediSuclu</t>
        </is>
      </c>
      <c r="C248" s="6" t="inlineStr">
        <is>
          <t>Çocukken vazoyu kediye yıkmıştın. Bu kedinin gözlerinde bir şey var. Sanki biliyor.</t>
        </is>
      </c>
    </row>
    <row r="249">
      <c r="A249" s="5" t="inlineStr">
        <is>
          <t>b10-komsu-kedisi</t>
        </is>
      </c>
      <c r="B249" s="5" t="inlineStr">
        <is>
          <t>kediGeldi</t>
        </is>
      </c>
      <c r="C249" s="6" t="inlineStr">
        <is>
          <t>Çocukken eve bir kedi getirtmiştin. Kediler bu bilgiyi kuşaklar boyu aktarıyor olabilir.</t>
        </is>
      </c>
    </row>
    <row r="250">
      <c r="A250" s="5" t="inlineStr">
        <is>
          <t>b10-sabah-yuruyusu</t>
        </is>
      </c>
      <c r="B250" s="5" t="inlineStr">
        <is>
          <t>sporcu</t>
        </is>
      </c>
      <c r="C250" s="6" t="inlineStr">
        <is>
          <t>Yıllardır spor yapıyorsun. Grubun en hızlısı bunu duyunca adımlarını açtı.</t>
        </is>
      </c>
    </row>
    <row r="251">
      <c r="A251" s="5" t="inlineStr">
        <is>
          <t>b10-sabah-yuruyusu</t>
        </is>
      </c>
      <c r="B251" s="5" t="inlineStr">
        <is>
          <t>sigara</t>
        </is>
      </c>
      <c r="C251" s="6" t="inlineStr">
        <is>
          <t>Yıllar önce bıraktığın alışkanlık, yokuşta hâlâ kısa bir nefes arasına dönüşüyor.</t>
        </is>
      </c>
    </row>
    <row r="252">
      <c r="A252" s="5" t="inlineStr">
        <is>
          <t>b10-sabah-yuruyusu</t>
        </is>
      </c>
      <c r="B252" s="5" t="inlineStr">
        <is>
          <t>askerlik-yapti</t>
        </is>
      </c>
      <c r="C252" s="6" t="inlineStr">
        <is>
          <t>Adımların farkında olmadan tempoya giriyor. Grupta biri 'Sol, sol' diye fısıldadı.</t>
        </is>
      </c>
    </row>
    <row r="253">
      <c r="A253" s="5" t="inlineStr">
        <is>
          <t>b10-son-taksit</t>
        </is>
      </c>
      <c r="B253" s="5" t="inlineStr">
        <is>
          <t>borclu</t>
        </is>
      </c>
      <c r="C253" s="6" t="inlineStr">
        <is>
          <t>Borç batağının son halkası kırıldı. Kredi kartın senden daha uzun yaşayacaktı ama bugün değil.</t>
        </is>
      </c>
    </row>
    <row r="254">
      <c r="A254" s="5" t="inlineStr">
        <is>
          <t>b10-son-taksit</t>
        </is>
      </c>
      <c r="B254" s="5" t="inlineStr">
        <is>
          <t>ev-sahibi</t>
        </is>
      </c>
      <c r="C254" s="6" t="inlineStr">
        <is>
          <t>Tapuda artık bankanın adı yok. Ev nihayet tamamen senin.</t>
        </is>
      </c>
    </row>
    <row r="255">
      <c r="A255" s="5" t="inlineStr">
        <is>
          <t>b10-son-taksit</t>
        </is>
      </c>
      <c r="B255" s="5" t="inlineStr">
        <is>
          <t>ilkKelimePara</t>
        </is>
      </c>
      <c r="C255" s="6" t="inlineStr">
        <is>
          <t>İlk kelimen 'Para' idi. Bugün 'Borç yok' diyebilen nadir insanlardansın.</t>
        </is>
      </c>
    </row>
    <row r="256">
      <c r="A256" s="5" t="inlineStr">
        <is>
          <t>b10-ehliyet-yenileme</t>
        </is>
      </c>
      <c r="B256" s="5" t="inlineStr">
        <is>
          <t>askerlik-yapti</t>
        </is>
      </c>
      <c r="C256" s="6" t="inlineStr">
        <is>
          <t>Askerlikte ilk ehliyetini almıştın. O zamandan beri hiç ceza yemedin. Hiç park yeri de bulamadın.</t>
        </is>
      </c>
    </row>
    <row r="257">
      <c r="A257" s="5" t="inlineStr">
        <is>
          <t>b10-ehliyet-yenileme</t>
        </is>
      </c>
      <c r="B257" s="5" t="inlineStr">
        <is>
          <t>meslek-memur</t>
        </is>
      </c>
      <c r="C257" s="6" t="inlineStr">
        <is>
          <t>Masadaki memur seni tanıdı. Aynı kurumda çalışmıştınız. Evrakın hızlandı.</t>
        </is>
      </c>
    </row>
    <row r="258">
      <c r="A258" s="5" t="inlineStr">
        <is>
          <t>b10-ehliyet-yenileme</t>
        </is>
      </c>
      <c r="B258" s="5" t="inlineStr">
        <is>
          <t>fenomen</t>
        </is>
      </c>
      <c r="C258" s="6" t="inlineStr">
        <is>
          <t>Memur 'Siz o videodaki kişi değil misiniz?' diye sordu. Bekleme salonu senin eski videonu izlemeye başladı.</t>
        </is>
      </c>
    </row>
    <row r="259">
      <c r="A259" s="5" t="inlineStr">
        <is>
          <t>b10-mahallenin-en-yaslisi</t>
        </is>
      </c>
      <c r="B259" s="5" t="inlineStr">
        <is>
          <t>baskan</t>
        </is>
      </c>
      <c r="C259" s="6" t="inlineStr">
        <is>
          <t>Hayatta ilk kez sınıf başkanı olduğunda da böyle bir konuşma yapmıştın. İçerik neredeyse aynı.</t>
        </is>
      </c>
    </row>
    <row r="260">
      <c r="A260" s="5" t="inlineStr">
        <is>
          <t>b10-mahallenin-en-yaslisi</t>
        </is>
      </c>
      <c r="B260" s="5" t="inlineStr">
        <is>
          <t>fenomen</t>
        </is>
      </c>
      <c r="C260" s="6" t="inlineStr">
        <is>
          <t>Tören canlı yayında. Eski takipçilerinden biri yorumlara 'Hâlâ efsane' yazdı.</t>
        </is>
      </c>
    </row>
    <row r="261">
      <c r="A261" s="5" t="inlineStr">
        <is>
          <t>b10-mahallenin-en-yaslisi</t>
        </is>
      </c>
      <c r="B261" s="5" t="inlineStr">
        <is>
          <t>cocuklu</t>
        </is>
      </c>
      <c r="C261" s="6" t="inlineStr">
        <is>
          <t>Ön sırada çocukların var. Hepsi çekim yapıyor, kimse alkışlamıyor. Alkış için telefonu bırakmak gerekiyor.</t>
        </is>
      </c>
    </row>
    <row r="262">
      <c r="A262" s="5" t="inlineStr">
        <is>
          <t>b10-mezar-tasi-fotografi</t>
        </is>
      </c>
      <c r="B262" s="5" t="inlineStr">
        <is>
          <t>fenomen</t>
        </is>
      </c>
      <c r="C262" s="6" t="inlineStr">
        <is>
          <t>Fotoğrafçı seni tanıdı ve ücretsiz rötuş teklif etti. Takipçi etkisi hâlâ sürüyor.</t>
        </is>
      </c>
    </row>
    <row r="263">
      <c r="A263" s="5" t="inlineStr">
        <is>
          <t>b10-mezar-tasi-fotografi</t>
        </is>
      </c>
      <c r="B263" s="5" t="inlineStr">
        <is>
          <t>manzarali-parsel</t>
        </is>
      </c>
      <c r="C263" s="6" t="inlineStr">
        <is>
          <t>Fotoğraf manzaralı parselde sergilenecek. Işık açısı parsele göre ayarlandı.</t>
        </is>
      </c>
    </row>
    <row r="264">
      <c r="A264" s="5" t="inlineStr">
        <is>
          <t>b10-mezar-tasi-fotografi</t>
        </is>
      </c>
      <c r="B264" s="5" t="inlineStr">
        <is>
          <t>ani-defteri</t>
        </is>
      </c>
      <c r="C264" s="6" t="inlineStr">
        <is>
          <t>Anı defterinin kapağındaki fotoğrafı getirdin. Fotoğrafçı 'Bunu tekrar çekelim, daha iyi olursunuz' dedi.</t>
        </is>
      </c>
    </row>
    <row r="265">
      <c r="A265" s="5" t="inlineStr">
        <is>
          <t>b10-mezar-tasi-fotografi</t>
        </is>
      </c>
      <c r="B265" s="5" t="inlineStr">
        <is>
          <t>vasiyet-yazildi</t>
        </is>
      </c>
      <c r="C265" s="6" t="inlineStr">
        <is>
          <t>Vasiyetinde fotoğrafın boyutu bile yazıyordu. Fotoğrafçı belgeyi okuyup ölçüleri aldı.</t>
        </is>
      </c>
    </row>
    <row r="266">
      <c r="A266" s="5" t="inlineStr">
        <is>
          <t>son-soz</t>
        </is>
      </c>
      <c r="B266" s="5" t="inlineStr">
        <is>
          <t>vasiyet-yazildi</t>
        </is>
      </c>
      <c r="C266" s="6" t="inlineStr">
        <is>
          <t>Vasiyet noterde. Çaydanlığın kime kalacağı hâlâ tartışmalı.</t>
        </is>
      </c>
    </row>
    <row r="267">
      <c r="A267" s="5" t="inlineStr">
        <is>
          <t>son-soz</t>
        </is>
      </c>
      <c r="B267" s="5" t="inlineStr">
        <is>
          <t>torunlu</t>
        </is>
      </c>
      <c r="C267" s="6" t="inlineStr">
        <is>
          <t>Torunlardan biri elini tutuyor. Diğeri telefonuyla kayıt yapmamaya çalışıyor.</t>
        </is>
      </c>
    </row>
    <row r="268">
      <c r="A268" s="5" t="inlineStr">
        <is>
          <t>son-soz</t>
        </is>
      </c>
      <c r="B268" s="5" t="inlineStr">
        <is>
          <t>evli</t>
        </is>
      </c>
      <c r="C268" s="6" t="inlineStr">
        <is>
          <t>Eşin yanında. 'Her zamanki gibi son sözü sen söyle' dedi.</t>
        </is>
      </c>
    </row>
  </sheetData>
  <autoFilter ref="A1:C268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6" customWidth="1" min="3" max="3"/>
    <col width="14" customWidth="1" min="4" max="4"/>
  </cols>
  <sheetData>
    <row r="1" ht="32" customHeight="1">
      <c r="A1" s="4" t="inlineStr">
        <is>
          <t>Özellik</t>
        </is>
      </c>
      <c r="B1" s="4" t="inlineStr">
        <is>
          <t>Açıklama</t>
        </is>
      </c>
      <c r="C1" s="4" t="inlineStr">
        <is>
          <t>Bonus</t>
        </is>
      </c>
      <c r="D1" s="4" t="inlineStr">
        <is>
          <t>Otomatik stat</t>
        </is>
      </c>
    </row>
    <row r="2">
      <c r="A2" s="5" t="inlineStr">
        <is>
          <t>Hayat Arşivcisi</t>
        </is>
      </c>
      <c r="B2" s="6" t="inlineStr">
        <is>
          <t>Kimin neyi, ne zaman, hangi bayramda söylediğini tarih ve saatiyle hatırlarsın.</t>
        </is>
      </c>
      <c r="C2" s="5" t="inlineStr">
        <is>
          <t>Akıl +1, Sosyal Radar +1</t>
        </is>
      </c>
      <c r="D2" s="5" t="inlineStr"/>
    </row>
    <row r="3">
      <c r="A3" s="5" t="inlineStr">
        <is>
          <t>Balkon Müfettişi</t>
        </is>
      </c>
      <c r="B3" s="6" t="inlineStr">
        <is>
          <t>Sokakta olan hiçbir şey kayda geçmeden sonuçlanmaz.</t>
        </is>
      </c>
      <c r="C3" s="5" t="inlineStr">
        <is>
          <t>Sosyal Radar +2</t>
        </is>
      </c>
      <c r="D3" s="5" t="inlineStr"/>
    </row>
    <row r="4">
      <c r="A4" s="5" t="inlineStr">
        <is>
          <t>Son Sözü Söyler</t>
        </is>
      </c>
      <c r="B4" s="6" t="inlineStr">
        <is>
          <t>Masadaki her tartışma sende kapanır. Kimse itiraz edecek enerjiyi bulamaz.</t>
        </is>
      </c>
      <c r="C4" s="5" t="inlineStr">
        <is>
          <t>Çene +1, Pişkinlik +1</t>
        </is>
      </c>
      <c r="D4" s="5" t="inlineStr"/>
    </row>
    <row r="5">
      <c r="A5" s="5" t="inlineStr">
        <is>
          <t>Ekran Yerlisi</t>
        </is>
      </c>
      <c r="B5" s="6" t="inlineStr">
        <is>
          <t>Her uygulamanın ayarlar menüsünü ailenden iyi bilirsin. Ailen de bunu bilir, ama hangi ayarı bilmez.</t>
        </is>
      </c>
      <c r="C5" s="5" t="inlineStr">
        <is>
          <t>Kurnazlık +1, Sosyal Radar +1</t>
        </is>
      </c>
      <c r="D5" s="5" t="inlineStr"/>
    </row>
    <row r="6">
      <c r="A6" s="5" t="inlineStr">
        <is>
          <t>Grup Diplomatı</t>
        </is>
      </c>
      <c r="B6" s="6" t="inlineStr">
        <is>
          <t>Mesaj grubunda bir şey yazmadan önce üç kez okursun. Dördüncüde silersin.</t>
        </is>
      </c>
      <c r="C6" s="5" t="inlineStr">
        <is>
          <t>Sosyal Radar +1, Çene +1</t>
        </is>
      </c>
      <c r="D6" s="5" t="inlineStr"/>
    </row>
    <row r="7">
      <c r="A7" s="5" t="inlineStr">
        <is>
          <t>Kantin Ekonomisti</t>
        </is>
      </c>
      <c r="B7" s="6" t="inlineStr">
        <is>
          <t>Tostla ayran arasındaki kâr marjını ezbere bilirsin.</t>
        </is>
      </c>
      <c r="C7" s="5" t="inlineStr">
        <is>
          <t>Kurnazlık +1, Çene +1</t>
        </is>
      </c>
      <c r="D7" s="5" t="inlineStr"/>
    </row>
    <row r="8">
      <c r="A8" s="5" t="inlineStr">
        <is>
          <t>Grup Yöneticisi</t>
        </is>
      </c>
      <c r="B8" s="6" t="inlineStr">
        <is>
          <t>Mesaj gruplarını kurar, yönetir, gerektiğinde sessize alırsın.</t>
        </is>
      </c>
      <c r="C8" s="5" t="inlineStr">
        <is>
          <t>Sosyal Radar +1, Çene +1</t>
        </is>
      </c>
      <c r="D8" s="5" t="inlineStr"/>
    </row>
    <row r="9">
      <c r="A9" s="5" t="inlineStr">
        <is>
          <t>Deneme Kurdu</t>
        </is>
      </c>
      <c r="B9" s="6" t="inlineStr">
        <is>
          <t>Yüzlerce deneme sınavından sonra sınav salonu sana ikinci evin gibi gelir.</t>
        </is>
      </c>
      <c r="C9" s="5" t="inlineStr">
        <is>
          <t>Akıl +1, Dayanıklılık +1</t>
        </is>
      </c>
      <c r="D9" s="5" t="inlineStr"/>
    </row>
    <row r="10">
      <c r="A10" s="5" t="inlineStr">
        <is>
          <t>Kestirme Bilir</t>
        </is>
      </c>
      <c r="B10" s="6" t="inlineStr">
        <is>
          <t>Şehrin bütün arka sokaklarını, otopark geçişlerini ve açık kalan kapılarını bilirsin.</t>
        </is>
      </c>
      <c r="C10" s="5" t="inlineStr">
        <is>
          <t>Kurnazlık +1, Dayanıklılık +1</t>
        </is>
      </c>
      <c r="D10" s="5" t="inlineStr"/>
    </row>
    <row r="11">
      <c r="A11" s="5" t="inlineStr">
        <is>
          <t>Bütçe Tablocusu</t>
        </is>
      </c>
      <c r="B11" s="6" t="inlineStr">
        <is>
          <t>Her harcamanın bir hücresi var. Hücrelerin çoğu kırmızı.</t>
        </is>
      </c>
      <c r="C11" s="5" t="inlineStr">
        <is>
          <t>Akıl +1, Kurnazlık +1</t>
        </is>
      </c>
      <c r="D11" s="5" t="inlineStr"/>
    </row>
    <row r="12">
      <c r="A12" s="5" t="inlineStr">
        <is>
          <t>Nöbet Disiplini</t>
        </is>
      </c>
      <c r="B12" s="6" t="inlineStr">
        <is>
          <t>Saat üçte uyanık kalmayı bilirsin. Kimse sana nedenini sormaz.</t>
        </is>
      </c>
      <c r="C12" s="5" t="inlineStr">
        <is>
          <t>Dayanıklılık +2</t>
        </is>
      </c>
      <c r="D12" s="5" t="inlineStr"/>
    </row>
    <row r="13">
      <c r="A13" s="5" t="inlineStr">
        <is>
          <t>Referans Mektubu</t>
        </is>
      </c>
      <c r="B13" s="6" t="inlineStr">
        <is>
          <t>Birileri senin hakkında iyi şeyler söylüyor. Bazıları seni gerçekten tanıyor.</t>
        </is>
      </c>
      <c r="C13" s="5" t="inlineStr">
        <is>
          <t>Çene +1, Sosyal Radar +1</t>
        </is>
      </c>
      <c r="D13" s="5" t="inlineStr"/>
    </row>
    <row r="14">
      <c r="A14" s="5" t="inlineStr">
        <is>
          <t>Kayınvalide Diplomatı</t>
        </is>
      </c>
      <c r="B14" s="6" t="inlineStr">
        <is>
          <t>İki aile arasında aynı cümleyi iki farklı anlamda kurabilirsin.</t>
        </is>
      </c>
      <c r="C14" s="5" t="inlineStr">
        <is>
          <t>Sosyal Radar +1, Çene +1</t>
        </is>
      </c>
      <c r="D14" s="5" t="inlineStr"/>
    </row>
    <row r="15">
      <c r="A15" s="5" t="inlineStr">
        <is>
          <t>Uykusuz Operasyon</t>
        </is>
      </c>
      <c r="B15" s="6" t="inlineStr">
        <is>
          <t>Üç saat uykuyla tam gün mesai yaparsın. Nasıl olduğunu kimse sormaz, sen de bilmiyorsun.</t>
        </is>
      </c>
      <c r="C15" s="5" t="inlineStr">
        <is>
          <t>Dayanıklılık +2</t>
        </is>
      </c>
      <c r="D15" s="5" t="inlineStr"/>
    </row>
    <row r="16">
      <c r="A16" s="5" t="inlineStr">
        <is>
          <t>Tablo Ustası</t>
        </is>
      </c>
      <c r="B16" s="6" t="inlineStr">
        <is>
          <t>Hayatındaki her kararın bir hesap tablosu var. Bazılarının grafiği de.</t>
        </is>
      </c>
      <c r="C16" s="5" t="inlineStr">
        <is>
          <t>Akıl +1, Kurnazlık +1</t>
        </is>
      </c>
      <c r="D16" s="5" t="inlineStr"/>
    </row>
    <row r="17">
      <c r="A17" s="5" t="inlineStr">
        <is>
          <t>Aidat Tahsildarı</t>
        </is>
      </c>
      <c r="B17" s="6" t="inlineStr">
        <is>
          <t>Kimin aidat borcu olduğunu merdivendeki ayak sesinden bilirsin.</t>
        </is>
      </c>
      <c r="C17" s="5" t="inlineStr">
        <is>
          <t>Çene +1, Kurnazlık +1</t>
        </is>
      </c>
      <c r="D17" s="5" t="inlineStr"/>
    </row>
    <row r="18">
      <c r="A18" s="5" t="inlineStr">
        <is>
          <t>Okuma Gözlüğü Otoritesi</t>
        </is>
      </c>
      <c r="B18" s="6" t="inlineStr">
        <is>
          <t>Gözlüğünün üstünden bakınca toplantılar kısalır.</t>
        </is>
      </c>
      <c r="C18" s="5" t="inlineStr">
        <is>
          <t>Akıl +1, Pişkinlik +1</t>
        </is>
      </c>
      <c r="D18" s="5" t="inlineStr"/>
    </row>
    <row r="19">
      <c r="A19" s="5" t="inlineStr">
        <is>
          <t>Aile Grubu Moderatörü</t>
        </is>
      </c>
      <c r="B19" s="6" t="inlineStr">
        <is>
          <t>Sahte haberi, iletilmeden önce yakalarsın.</t>
        </is>
      </c>
      <c r="C19" s="5" t="inlineStr">
        <is>
          <t>Sosyal Radar +1, Vicdan +1</t>
        </is>
      </c>
      <c r="D19" s="5" t="inlineStr"/>
    </row>
    <row r="20">
      <c r="A20" s="5" t="inlineStr">
        <is>
          <t>Tavla Kurdu</t>
        </is>
      </c>
      <c r="B20" s="6" t="inlineStr">
        <is>
          <t>Zarın ne geleceğini bilmezsin ama rakibin ne yapacağını bilirsin.</t>
        </is>
      </c>
      <c r="C20" s="5" t="inlineStr">
        <is>
          <t>Kurnazlık +1, Pişkinlik +1</t>
        </is>
      </c>
      <c r="D20" s="5" t="inlineStr"/>
    </row>
    <row r="21">
      <c r="A21" s="5" t="inlineStr">
        <is>
          <t>Randevu Avcısı</t>
        </is>
      </c>
      <c r="B21" s="6" t="inlineStr">
        <is>
          <t>Gece yarısı açılan boş randevuyu ilk sen görürsün.</t>
        </is>
      </c>
      <c r="C21" s="5" t="inlineStr">
        <is>
          <t>Akıl +1, Dayanıklılık +1</t>
        </is>
      </c>
      <c r="D21" s="5" t="inlineStr"/>
    </row>
    <row r="22">
      <c r="A22" s="5" t="inlineStr">
        <is>
          <t>Bahçe Filozofu</t>
        </is>
      </c>
      <c r="B22" s="6" t="inlineStr">
        <is>
          <t>Domatesin büyümesini bekleyen insan her şeyi beklemeyi öğrenir.</t>
        </is>
      </c>
      <c r="C22" s="5" t="inlineStr">
        <is>
          <t>Vicdan +1, Dayanıklılık +1</t>
        </is>
      </c>
      <c r="D22" s="5" t="inlineStr"/>
    </row>
    <row r="23">
      <c r="A23" s="5" t="inlineStr">
        <is>
          <t>Plaza Diplomatı</t>
        </is>
      </c>
      <c r="B23" s="6" t="inlineStr">
        <is>
          <t>Toplantıda tek kelime etmeden katkı sunmuş görünürsün.</t>
        </is>
      </c>
      <c r="C23" s="5" t="inlineStr">
        <is>
          <t>Sosyal Radar +1, Çene +1</t>
        </is>
      </c>
      <c r="D23" s="5" t="inlineStr"/>
    </row>
    <row r="24">
      <c r="A24" s="5" t="inlineStr">
        <is>
          <t>Sessize Alma Ustası</t>
        </is>
      </c>
      <c r="B24" s="6" t="inlineStr">
        <is>
          <t>Mikrofonun, kameran ve vicdanın gerektiğinde kapanır.</t>
        </is>
      </c>
      <c r="C24" s="5" t="inlineStr">
        <is>
          <t>Kurnazlık +1, Dayanıklılık +1</t>
        </is>
      </c>
      <c r="D24" s="5" t="inlineStr"/>
    </row>
    <row r="25">
      <c r="A25" s="5" t="inlineStr">
        <is>
          <t>Fatura Avcısı</t>
        </is>
      </c>
      <c r="B25" s="6" t="inlineStr">
        <is>
          <t>Ödenmemiş her faturanın muhasebecisini adıyla ve doğum gününden tanırsın.</t>
        </is>
      </c>
      <c r="C25" s="5" t="inlineStr">
        <is>
          <t>Çene +1, Dayanıklılık +1</t>
        </is>
      </c>
      <c r="D25" s="5" t="inlineStr"/>
    </row>
    <row r="26">
      <c r="A26" s="5" t="inlineStr">
        <is>
          <t>Kendi Patronu</t>
        </is>
      </c>
      <c r="B26" s="6" t="inlineStr">
        <is>
          <t>Kimse sana ne yapacağını söyleyemez. Maaş da veremez.</t>
        </is>
      </c>
      <c r="C26" s="5" t="inlineStr">
        <is>
          <t>Cesaret +1, Pişkinlik +1</t>
        </is>
      </c>
      <c r="D26" s="5" t="inlineStr"/>
    </row>
    <row r="27">
      <c r="A27" s="5" t="inlineStr">
        <is>
          <t>Pazarlık Duayeni</t>
        </is>
      </c>
      <c r="B27" s="6" t="inlineStr">
        <is>
          <t>'Son fiyat' cümlesini en az üç kez söylemeden kimse kapından çıkamaz.</t>
        </is>
      </c>
      <c r="C27" s="5" t="inlineStr">
        <is>
          <t>Çene +1, Kurnazlık +1</t>
        </is>
      </c>
      <c r="D27" s="5" t="inlineStr"/>
    </row>
    <row r="28">
      <c r="A28" s="5" t="inlineStr">
        <is>
          <t>Mahalle Muhasebecisi</t>
        </is>
      </c>
      <c r="B28" s="6" t="inlineStr">
        <is>
          <t>Kimin kime ne kadar borcu olduğunu defteri açmadan bilirsin.</t>
        </is>
      </c>
      <c r="C28" s="5" t="inlineStr">
        <is>
          <t>Akıl +1, Sosyal Radar +1</t>
        </is>
      </c>
      <c r="D28" s="5" t="inlineStr"/>
    </row>
    <row r="29">
      <c r="A29" s="5" t="inlineStr">
        <is>
          <t>Islak İmza Ustası</t>
        </is>
      </c>
      <c r="B29" s="6" t="inlineStr">
        <is>
          <t>Eksik fotokopiyi evrak masaya değmeden fark edersin.</t>
        </is>
      </c>
      <c r="C29" s="5" t="inlineStr">
        <is>
          <t>Dayanıklılık +1, Kurnazlık +1</t>
        </is>
      </c>
      <c r="D29" s="5" t="inlineStr"/>
    </row>
    <row r="30">
      <c r="A30" s="5" t="inlineStr">
        <is>
          <t>Mevzuat Kalkanı</t>
        </is>
      </c>
      <c r="B30" s="6" t="inlineStr">
        <is>
          <t>Her itiraza bir madde numarasıyla cevap verirsin; madde değişmişse değişikliğiyle.</t>
        </is>
      </c>
      <c r="C30" s="5" t="inlineStr">
        <is>
          <t>Akıl +1, Pişkinlik +1</t>
        </is>
      </c>
      <c r="D30" s="5" t="inlineStr"/>
    </row>
    <row r="31">
      <c r="A31" s="5" t="inlineStr">
        <is>
          <t>Sessiz Gözlemci</t>
        </is>
      </c>
      <c r="B31" s="6" t="inlineStr">
        <is>
          <t>Konuşmadan önce ortamı okursun.</t>
        </is>
      </c>
      <c r="C31" s="5" t="inlineStr">
        <is>
          <t>Sosyal Radar +2, Akıl +1</t>
        </is>
      </c>
      <c r="D31" s="5" t="inlineStr"/>
    </row>
    <row r="32">
      <c r="A32" s="5" t="inlineStr">
        <is>
          <t>Ses Yükseltince Oluyor</t>
        </is>
      </c>
      <c r="B32" s="6" t="inlineStr">
        <is>
          <t>Ses seviyesini bir müzakere aracına çevirebilirsin.</t>
        </is>
      </c>
      <c r="C32" s="5" t="inlineStr">
        <is>
          <t>Çene +2</t>
        </is>
      </c>
      <c r="D32" s="5" t="inlineStr"/>
    </row>
    <row r="33">
      <c r="A33" s="5" t="inlineStr">
        <is>
          <t>Erken Ekonomi Bilinci</t>
        </is>
      </c>
      <c r="B33" s="6" t="inlineStr">
        <is>
          <t>Paranın yalnızca metal olmadığını erken fark ettin.</t>
        </is>
      </c>
      <c r="C33" s="5" t="inlineStr">
        <is>
          <t>Kurnazlık +2</t>
        </is>
      </c>
      <c r="D33" s="5" t="inlineStr"/>
    </row>
    <row r="34">
      <c r="A34" s="5" t="inlineStr">
        <is>
          <t>Teknoloji Merakı</t>
        </is>
      </c>
      <c r="B34" s="6" t="inlineStr">
        <is>
          <t>Ekranlar ve sistemler ilgini çeker.</t>
        </is>
      </c>
      <c r="C34" s="5" t="inlineStr">
        <is>
          <t>Akıl +1, Kurnazlık +1</t>
        </is>
      </c>
      <c r="D34" s="5" t="inlineStr"/>
    </row>
    <row r="35">
      <c r="A35" s="5" t="inlineStr">
        <is>
          <t>Yastık Altı Ekonomisti</t>
        </is>
      </c>
      <c r="B35" s="6" t="inlineStr">
        <is>
          <t>Küçük kaynakları saklama refleksin gelişti.</t>
        </is>
      </c>
      <c r="C35" s="5" t="inlineStr">
        <is>
          <t>Kurnazlık +1, Dayanıklılık +1</t>
        </is>
      </c>
      <c r="D35" s="5" t="inlineStr"/>
    </row>
    <row r="36">
      <c r="A36" s="5" t="inlineStr">
        <is>
          <t>Küçük Tüccar</t>
        </is>
      </c>
      <c r="B36" s="6" t="inlineStr">
        <is>
          <t>Takas ve pazarlık sana doğal geliyor.</t>
        </is>
      </c>
      <c r="C36" s="5" t="inlineStr">
        <is>
          <t>Çene +1, Kurnazlık +1</t>
        </is>
      </c>
      <c r="D36" s="5" t="inlineStr"/>
    </row>
    <row r="37">
      <c r="A37" s="5" t="inlineStr">
        <is>
          <t>Sahne Sever</t>
        </is>
      </c>
      <c r="B37" s="6" t="inlineStr">
        <is>
          <t>İlginin merkezine çıkmaktan çekinmezsin.</t>
        </is>
      </c>
      <c r="C37" s="5" t="inlineStr">
        <is>
          <t>Pişkinlik +2</t>
        </is>
      </c>
      <c r="D37" s="5" t="inlineStr"/>
    </row>
    <row r="38">
      <c r="A38" s="5" t="inlineStr">
        <is>
          <t>Para Üstü Radarı</t>
        </is>
      </c>
      <c r="B38" s="6" t="inlineStr">
        <is>
          <t>Küçük rakam farklarını yakalarsın.</t>
        </is>
      </c>
      <c r="C38" s="5" t="inlineStr">
        <is>
          <t>Kurnazlık +2</t>
        </is>
      </c>
      <c r="D38" s="5" t="inlineStr"/>
    </row>
    <row r="39">
      <c r="A39" s="5" t="inlineStr">
        <is>
          <t>Kendine Gülebilir</t>
        </is>
      </c>
      <c r="B39" s="6" t="inlineStr">
        <is>
          <t>Sosyal baskıyı mizahla azaltırsın.</t>
        </is>
      </c>
      <c r="C39" s="5" t="inlineStr">
        <is>
          <t>Pişkinlik +1, Dayanıklılık +1</t>
        </is>
      </c>
      <c r="D39" s="5" t="inlineStr"/>
    </row>
    <row r="40">
      <c r="A40" s="5" t="inlineStr">
        <is>
          <t>Organizatör</t>
        </is>
      </c>
      <c r="B40" s="6" t="inlineStr">
        <is>
          <t>Oyuna katılmak kadar kuralları koymak da ilgini çeker.</t>
        </is>
      </c>
      <c r="C40" s="5" t="inlineStr">
        <is>
          <t>Çene +1, Sosyal Radar +1</t>
        </is>
      </c>
      <c r="D40" s="5" t="inlineStr"/>
    </row>
    <row r="41">
      <c r="A41" s="5" t="inlineStr">
        <is>
          <t>İş Modeli Kurar</t>
        </is>
      </c>
      <c r="B41" s="6" t="inlineStr">
        <is>
          <t>Kaynak ile emek arasında bağlantı kurarsın.</t>
        </is>
      </c>
      <c r="C41" s="5" t="inlineStr">
        <is>
          <t>Kurnazlık +1, Akıl +1</t>
        </is>
      </c>
      <c r="D41" s="5" t="inlineStr"/>
    </row>
    <row r="42">
      <c r="A42" s="5" t="inlineStr">
        <is>
          <t>Seçim Makinesi</t>
        </is>
      </c>
      <c r="B42" s="6" t="inlineStr">
        <is>
          <t>Kalabalığı arkana almayı biliyorsun.</t>
        </is>
      </c>
      <c r="C42" s="5" t="inlineStr">
        <is>
          <t>Çene +1, Cesaret +1</t>
        </is>
      </c>
      <c r="D42" s="5" t="inlineStr"/>
    </row>
    <row r="43">
      <c r="A43" s="5" t="inlineStr">
        <is>
          <t>Asist Ustası</t>
        </is>
      </c>
      <c r="B43" s="6" t="inlineStr">
        <is>
          <t>Başkasının parlamasını sağlamak da bir yetenek.</t>
        </is>
      </c>
      <c r="C43" s="5" t="inlineStr">
        <is>
          <t>Sosyal Radar +2</t>
        </is>
      </c>
      <c r="D43" s="5" t="inlineStr"/>
    </row>
    <row r="44">
      <c r="A44" s="5" t="inlineStr">
        <is>
          <t>Limonata Baronu</t>
        </is>
      </c>
      <c r="B44" s="6" t="inlineStr">
        <is>
          <t>Küçük sermayeyle büyük işler.</t>
        </is>
      </c>
      <c r="C44" s="5" t="inlineStr">
        <is>
          <t>Kurnazlık +2</t>
        </is>
      </c>
      <c r="D44" s="5" t="inlineStr"/>
    </row>
    <row r="45">
      <c r="A45" s="5" t="inlineStr">
        <is>
          <t>Kilit Kırıcı</t>
        </is>
      </c>
      <c r="B45" s="6" t="inlineStr">
        <is>
          <t>Her sistemin bir açığı vardır.</t>
        </is>
      </c>
      <c r="C45" s="5" t="inlineStr">
        <is>
          <t>Akıl +2</t>
        </is>
      </c>
      <c r="D45" s="5" t="inlineStr"/>
    </row>
    <row r="46">
      <c r="A46" s="5" t="inlineStr">
        <is>
          <t>Analitik Zihin</t>
        </is>
      </c>
      <c r="B46" s="6" t="inlineStr">
        <is>
          <t>Sorunu parçalarına ayırırsın.</t>
        </is>
      </c>
      <c r="C46" s="5" t="inlineStr">
        <is>
          <t>Akıl +2</t>
        </is>
      </c>
      <c r="D46" s="5" t="inlineStr">
        <is>
          <t>Akıl</t>
        </is>
      </c>
    </row>
    <row r="47">
      <c r="A47" s="5" t="inlineStr">
        <is>
          <t>Sözünü Geçirir</t>
        </is>
      </c>
      <c r="B47" s="6" t="inlineStr">
        <is>
          <t>Söylediğin şey genelde olur.</t>
        </is>
      </c>
      <c r="C47" s="5" t="inlineStr">
        <is>
          <t>Çene +2</t>
        </is>
      </c>
      <c r="D47" s="5" t="inlineStr">
        <is>
          <t>Çene</t>
        </is>
      </c>
    </row>
    <row r="48">
      <c r="A48" s="5" t="inlineStr">
        <is>
          <t>Açık Bulur</t>
        </is>
      </c>
      <c r="B48" s="6" t="inlineStr">
        <is>
          <t>Kurallardaki boşlukları fark edersin.</t>
        </is>
      </c>
      <c r="C48" s="5" t="inlineStr">
        <is>
          <t>Kurnazlık +2</t>
        </is>
      </c>
      <c r="D48" s="5" t="inlineStr">
        <is>
          <t>Kurnazlık</t>
        </is>
      </c>
    </row>
    <row r="49">
      <c r="A49" s="5" t="inlineStr">
        <is>
          <t>Geri Adım Atmaz</t>
        </is>
      </c>
      <c r="B49" s="6" t="inlineStr">
        <is>
          <t>Korkuyu hissedersin ama yine de yaparsın.</t>
        </is>
      </c>
      <c r="C49" s="5" t="inlineStr">
        <is>
          <t>Cesaret +2</t>
        </is>
      </c>
      <c r="D49" s="5" t="inlineStr">
        <is>
          <t>Cesaret</t>
        </is>
      </c>
    </row>
    <row r="50">
      <c r="A50" s="5" t="inlineStr">
        <is>
          <t>Yüzü Kızarmaz</t>
        </is>
      </c>
      <c r="B50" s="6" t="inlineStr">
        <is>
          <t>Utanma duygusu seni yavaşlatmaz.</t>
        </is>
      </c>
      <c r="C50" s="5" t="inlineStr">
        <is>
          <t>Pişkinlik +2</t>
        </is>
      </c>
      <c r="D50" s="5" t="inlineStr">
        <is>
          <t>Pişkinlik</t>
        </is>
      </c>
    </row>
    <row r="51">
      <c r="A51" s="5" t="inlineStr">
        <is>
          <t>İç Pusula</t>
        </is>
      </c>
      <c r="B51" s="6" t="inlineStr">
        <is>
          <t>Doğruyu bulmakta zorlanmazsın.</t>
        </is>
      </c>
      <c r="C51" s="5" t="inlineStr">
        <is>
          <t>Vicdan +2</t>
        </is>
      </c>
      <c r="D51" s="5" t="inlineStr">
        <is>
          <t>Vicdan</t>
        </is>
      </c>
    </row>
    <row r="52">
      <c r="A52" s="5" t="inlineStr">
        <is>
          <t>Kolay Dağılmaz</t>
        </is>
      </c>
      <c r="B52" s="6" t="inlineStr">
        <is>
          <t>Baskı altında toparlanırsın.</t>
        </is>
      </c>
      <c r="C52" s="5" t="inlineStr">
        <is>
          <t>Dayanıklılık +2</t>
        </is>
      </c>
      <c r="D52" s="5" t="inlineStr">
        <is>
          <t>Dayanıklılık</t>
        </is>
      </c>
    </row>
    <row r="53">
      <c r="A53" s="5" t="inlineStr">
        <is>
          <t>Odayı Okur</t>
        </is>
      </c>
      <c r="B53" s="6" t="inlineStr">
        <is>
          <t>Kimin ne hissettiğini herkesten önce anlarsın.</t>
        </is>
      </c>
      <c r="C53" s="5" t="inlineStr">
        <is>
          <t>Sosyal Radar +2</t>
        </is>
      </c>
      <c r="D53" s="5" t="inlineStr">
        <is>
          <t>Sosyal Radar</t>
        </is>
      </c>
    </row>
  </sheetData>
  <autoFilter ref="A1:D53"/>
  <dataValidations count="1">
    <dataValidation sqref="D2:D452" showDropDown="0" showInputMessage="0" showErrorMessage="1" allowBlank="1" errorTitle="Geçersiz değer" error="Listeden bir değer seçin." type="list">
      <formula1>"Akıl,Çene,Kurnazlık,Cesaret,Pişkinlik,Vicdan,Dayanıklılık,Sosyal Radar"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32" customHeight="1">
      <c r="A1" s="4" t="inlineStr">
        <is>
          <t>Hafıza</t>
        </is>
      </c>
      <c r="B1" s="4" t="inlineStr">
        <is>
          <t>Final kartı etiketi</t>
        </is>
      </c>
    </row>
    <row r="2">
      <c r="A2" s="5" t="inlineStr">
        <is>
          <t>kediSuclu</t>
        </is>
      </c>
      <c r="B2" s="6" t="inlineStr">
        <is>
          <t>Vazo davasında kediyi suçladı.</t>
        </is>
      </c>
    </row>
    <row r="3">
      <c r="A3" s="5" t="inlineStr">
        <is>
          <t>ilkKelimePara</t>
        </is>
      </c>
      <c r="B3" s="6" t="inlineStr">
        <is>
          <t>İlk kelimesi 'Para' oldu.</t>
        </is>
      </c>
    </row>
    <row r="4">
      <c r="A4" s="5" t="inlineStr">
        <is>
          <t>yalanci</t>
        </is>
      </c>
      <c r="B4" s="6" t="inlineStr">
        <is>
          <t>Yaratıcı açıklamalar dosyası kabarık.</t>
        </is>
      </c>
    </row>
    <row r="5">
      <c r="A5" s="5" t="inlineStr">
        <is>
          <t>sirVerdi</t>
        </is>
      </c>
      <c r="B5" s="6" t="inlineStr">
        <is>
          <t>Kreşte bir sırrı dolaşıma soktu.</t>
        </is>
      </c>
    </row>
    <row r="6">
      <c r="A6" s="5" t="inlineStr">
        <is>
          <t>cesurPark</t>
        </is>
      </c>
      <c r="B6" s="6" t="inlineStr">
        <is>
          <t>Parktaki büyük çocuğa kafa tuttu.</t>
        </is>
      </c>
    </row>
    <row r="7">
      <c r="A7" s="5" t="inlineStr">
        <is>
          <t>yapiskan</t>
        </is>
      </c>
      <c r="B7" s="6" t="inlineStr">
        <is>
          <t>Kreş kapısında bacağa sarıldı.</t>
        </is>
      </c>
    </row>
    <row r="8">
      <c r="A8" s="5" t="inlineStr">
        <is>
          <t>baskan</t>
        </is>
      </c>
      <c r="B8" s="6" t="inlineStr">
        <is>
          <t>Sınıf başkanı seçildi.</t>
        </is>
      </c>
    </row>
    <row r="9">
      <c r="A9" s="5" t="inlineStr">
        <is>
          <t>kediGeldi</t>
        </is>
      </c>
      <c r="B9" s="6" t="inlineStr">
        <is>
          <t>Eve bir kedi getirtti.</t>
        </is>
      </c>
    </row>
    <row r="10">
      <c r="A10" s="5" t="inlineStr">
        <is>
          <t>camKirildi</t>
        </is>
      </c>
      <c r="B10" s="6" t="inlineStr">
        <is>
          <t>Komşunun camıyla tanıştı.</t>
        </is>
      </c>
    </row>
    <row r="11">
      <c r="A11" s="5" t="inlineStr">
        <is>
          <t>tepsiTekeli</t>
        </is>
      </c>
      <c r="B11" s="6" t="inlineStr">
        <is>
          <t>Bir kış boyunca mahallenin tepsi tekelini elinde tuttu.</t>
        </is>
      </c>
    </row>
    <row r="12">
      <c r="A12" s="5" t="inlineStr">
        <is>
          <t>alcili-kol</t>
        </is>
      </c>
      <c r="B12" s="6" t="inlineStr">
        <is>
          <t>Çocukluğunda bir kolu alçıda geçti.</t>
        </is>
      </c>
    </row>
    <row r="13">
      <c r="A13" s="5" t="inlineStr">
        <is>
          <t>vasiyet-yazildi</t>
        </is>
      </c>
      <c r="B13" s="6" t="inlineStr">
        <is>
          <t>Vasiyetini noter huzurunda, üç nüsha ve bir dipnotla imzaladı.</t>
        </is>
      </c>
    </row>
    <row r="14">
      <c r="A14" s="5" t="inlineStr">
        <is>
          <t>manzarali-parsel</t>
        </is>
      </c>
      <c r="B14" s="6" t="inlineStr">
        <is>
          <t>Mezarlıkta manzaralı parseli erkenden kapattı.</t>
        </is>
      </c>
    </row>
    <row r="15">
      <c r="A15" s="5" t="inlineStr">
        <is>
          <t>ani-defteri</t>
        </is>
      </c>
      <c r="B15" s="6" t="inlineStr">
        <is>
          <t>Anı defterini bitirdi. Bazı bölümler hâlâ tartışmalı.</t>
        </is>
      </c>
    </row>
    <row r="16">
      <c r="A16" s="5" t="inlineStr">
        <is>
          <t>huzurevi-sakini</t>
        </is>
      </c>
      <c r="B16" s="6" t="inlineStr">
        <is>
          <t>Son yıllarını huzurevinin çay saati komitesinde geçirdi.</t>
        </is>
      </c>
    </row>
    <row r="17">
      <c r="A17" s="5" t="inlineStr">
        <is>
          <t>kitaplasti</t>
        </is>
      </c>
      <c r="B17" s="6" t="inlineStr">
        <is>
          <t>Hayat hikâyesi bir torun ve bir yapay zekâ tarafından kitaplaştırıldı.</t>
        </is>
      </c>
    </row>
    <row r="18">
      <c r="A18" s="5" t="inlineStr">
        <is>
          <t>iyi-lise</t>
        </is>
      </c>
      <c r="B18" s="6" t="inlineStr">
        <is>
          <t>Lise sınavından iyi bir liseye yerleşti.</t>
        </is>
      </c>
    </row>
    <row r="19">
      <c r="A19" s="5" t="inlineStr">
        <is>
          <t>lakapli</t>
        </is>
      </c>
      <c r="B19" s="6" t="inlineStr">
        <is>
          <t>Ortaokulda takılan lakap, lise mezuniyetine kadar görevde kaldı.</t>
        </is>
      </c>
    </row>
    <row r="20">
      <c r="A20" s="5" t="inlineStr">
        <is>
          <t>sokak-yasagi</t>
        </is>
      </c>
      <c r="B20" s="6" t="inlineStr">
        <is>
          <t>Mahallede bir sokaktan bir daha hiç geçemedi; okul yolu ömür boyu dört dakika uzun kaldı.</t>
        </is>
      </c>
    </row>
    <row r="21">
      <c r="A21" s="5" t="inlineStr">
        <is>
          <t>ilk-mesaj</t>
        </is>
      </c>
      <c r="B21" s="6" t="inlineStr">
        <is>
          <t>İlk hoşlantısına ilk mesajı gönderdi. 'Selam.'</t>
        </is>
      </c>
    </row>
    <row r="22">
      <c r="A22" s="5" t="inlineStr">
        <is>
          <t>oyun-faturasi</t>
        </is>
      </c>
      <c r="B22" s="6" t="inlineStr">
        <is>
          <t>Oyun içi alışverişle ailenin kart ekstresini tarihe geçirdi.</t>
        </is>
      </c>
    </row>
    <row r="23">
      <c r="A23" s="5" t="inlineStr">
        <is>
          <t>dershaneli</t>
        </is>
      </c>
      <c r="B23" s="6" t="inlineStr">
        <is>
          <t>Ergenliğinin cumartesileri dershaneye tahsis edildi.</t>
        </is>
      </c>
    </row>
    <row r="24">
      <c r="A24" s="5" t="inlineStr">
        <is>
          <t>yz-odevci</t>
        </is>
      </c>
      <c r="B24" s="6" t="inlineStr">
        <is>
          <t>Ödevlerini yapay zekâya yaptırmayı denedi; öğretmen 'ayrıca'ları saydı.</t>
        </is>
      </c>
    </row>
    <row r="25">
      <c r="A25" s="5" t="inlineStr">
        <is>
          <t>kendi-odasi</t>
        </is>
      </c>
      <c r="B25" s="6" t="inlineStr">
        <is>
          <t>On üç yaşında kendi odasını resmî başvuruyla aldı.</t>
        </is>
      </c>
    </row>
    <row r="26">
      <c r="A26" s="5" t="inlineStr">
        <is>
          <t>fuar-birincisi</t>
        </is>
      </c>
      <c r="B26" s="6" t="inlineStr">
        <is>
          <t>Okul bilim fuarında yanardağ yapmadan birinci oldu.</t>
        </is>
      </c>
    </row>
    <row r="27">
      <c r="A27" s="5" t="inlineStr">
        <is>
          <t>takim-oyuncusu</t>
        </is>
      </c>
      <c r="B27" s="6" t="inlineStr">
        <is>
          <t>Okul takımının seçmelerini geçti; forma büyük geldi.</t>
        </is>
      </c>
    </row>
    <row r="28">
      <c r="A28" s="5" t="inlineStr">
        <is>
          <t>yanlis-grup</t>
        </is>
      </c>
      <c r="B28" s="6" t="inlineStr">
        <is>
          <t>Aile grubuna yanlış mesaj gönderdi; evin yemek listesi o günden beri tartışmalı.</t>
        </is>
      </c>
    </row>
    <row r="29">
      <c r="A29" s="5" t="inlineStr">
        <is>
          <t>universiteli</t>
        </is>
      </c>
      <c r="B29" s="6" t="inlineStr">
        <is>
          <t>Büyük Makarya Sınavı'nı geçip üniversiteye girdi.</t>
        </is>
      </c>
    </row>
    <row r="30">
      <c r="A30" s="5" t="inlineStr">
        <is>
          <t>ilk-sevgili</t>
        </is>
      </c>
      <c r="B30" s="6" t="inlineStr">
        <is>
          <t>Lisede bir parkta, bir bankta, bir karış mesafeyi kapattı.</t>
        </is>
      </c>
    </row>
    <row r="31">
      <c r="A31" s="5" t="inlineStr">
        <is>
          <t>ilk-ayrilik</t>
        </is>
      </c>
      <c r="B31" s="6" t="inlineStr">
        <is>
          <t>İlk ayrılığını bir mesajlaşma uygulamasında, üç noktanın gölgesinde yaşadı.</t>
        </is>
      </c>
    </row>
    <row r="32">
      <c r="A32" s="5" t="inlineStr">
        <is>
          <t>ai-kopyaci</t>
        </is>
      </c>
      <c r="B32" s="6" t="inlineStr">
        <is>
          <t>Tarih ödevini bir yapay zekâya emanet etti.</t>
        </is>
      </c>
    </row>
    <row r="33">
      <c r="A33" s="5" t="inlineStr">
        <is>
          <t>okul-temsilcisi</t>
        </is>
      </c>
      <c r="B33" s="6" t="inlineStr">
        <is>
          <t>Okul temsilcisi seçildi; ikinci tost makinesi vaadiyle.</t>
        </is>
      </c>
    </row>
    <row r="34">
      <c r="A34" s="5" t="inlineStr">
        <is>
          <t>doktor-sozu</t>
        </is>
      </c>
      <c r="B34" s="6" t="inlineStr">
        <is>
          <t>Bir akşam yemeğinde aileye doktor olacağına söz verdi.</t>
        </is>
      </c>
    </row>
    <row r="35">
      <c r="A35" s="5" t="inlineStr">
        <is>
          <t>yurt-disi-hayali</t>
        </is>
      </c>
      <c r="B35" s="6" t="inlineStr">
        <is>
          <t>Yurt dışındaki bir okuldan cevap alacak kadar ileri gitti.</t>
        </is>
      </c>
    </row>
    <row r="36">
      <c r="A36" s="5" t="inlineStr">
        <is>
          <t>ehliyetli</t>
        </is>
      </c>
      <c r="B36" s="6" t="inlineStr">
        <is>
          <t>Ehliyetini aldı; arabanın anahtarını almak ayrı bir süreçti.</t>
        </is>
      </c>
    </row>
    <row r="37">
      <c r="A37" s="5" t="inlineStr">
        <is>
          <t>yurtdisi-gordu</t>
        </is>
      </c>
      <c r="B37" s="6" t="inlineStr">
        <is>
          <t>Bir dönem yurt dışında düzgün peynir aradı.</t>
        </is>
      </c>
    </row>
    <row r="38">
      <c r="A38" s="5" t="inlineStr">
        <is>
          <t>usta-eli</t>
        </is>
      </c>
      <c r="B38" s="6" t="inlineStr">
        <is>
          <t>Bir ustanın elinden meslek kaptı.</t>
        </is>
      </c>
    </row>
    <row r="39">
      <c r="A39" s="5" t="inlineStr">
        <is>
          <t>depozito-yandi</t>
        </is>
      </c>
      <c r="B39" s="6" t="inlineStr">
        <is>
          <t>Bir kiralık evden depozitosunu hiç geri alamadı.</t>
        </is>
      </c>
    </row>
    <row r="40">
      <c r="A40" s="5" t="inlineStr">
        <is>
          <t>universitesiz</t>
        </is>
      </c>
      <c r="B40" s="6" t="inlineStr">
        <is>
          <t>Üniversite yerine doğrudan hayata atıldı.</t>
        </is>
      </c>
    </row>
    <row r="41">
      <c r="A41" s="5" t="inlineStr">
        <is>
          <t>taki-defteri</t>
        </is>
      </c>
      <c r="B41" s="6" t="inlineStr">
        <is>
          <t>Düğün takılarını kuruşu kuruşuna deftere geçirdi; defter hâlâ güncelleniyor.</t>
        </is>
      </c>
    </row>
    <row r="42">
      <c r="A42" s="5" t="inlineStr">
        <is>
          <t>arabali</t>
        </is>
      </c>
      <c r="B42" s="6" t="inlineStr">
        <is>
          <t>Araba sahibi oldu; muayene tarihini doğum gününden iyi bilir.</t>
        </is>
      </c>
    </row>
    <row r="43">
      <c r="A43" s="5" t="inlineStr">
        <is>
          <t>site-yoneticisi</t>
        </is>
      </c>
      <c r="B43" s="6" t="inlineStr">
        <is>
          <t>Site toplantısında itiraz ederken yönetici seçildi.</t>
        </is>
      </c>
    </row>
    <row r="44">
      <c r="A44" s="5" t="inlineStr">
        <is>
          <t>yalniz-gezgin</t>
        </is>
      </c>
      <c r="B44" s="6" t="inlineStr">
        <is>
          <t>Tek kişilik tatile çıktı ve garsona 'bir kişi' demeyi öğrendi.</t>
        </is>
      </c>
    </row>
    <row r="45">
      <c r="A45" s="5" t="inlineStr">
        <is>
          <t>flort-emeklisi</t>
        </is>
      </c>
      <c r="B45" s="6" t="inlineStr">
        <is>
          <t>Flört uygulamasını son kez sildi. Gerçekten son kez.</t>
        </is>
      </c>
    </row>
    <row r="46">
      <c r="A46" s="5" t="inlineStr">
        <is>
          <t>gozluklu</t>
        </is>
      </c>
      <c r="B46" s="6" t="inlineStr">
        <is>
          <t>Okuma gözlüğünü yıllarca başının üstünde aradı.</t>
        </is>
      </c>
    </row>
    <row r="47">
      <c r="A47" s="5" t="inlineStr">
        <is>
          <t>motosikletli</t>
        </is>
      </c>
      <c r="B47" s="6" t="inlineStr">
        <is>
          <t>Kırk yaşında bir motosiklet aldı ve bir süre kullandı.</t>
        </is>
      </c>
    </row>
    <row r="48">
      <c r="A48" s="5" t="inlineStr">
        <is>
          <t>maratoncu</t>
        </is>
      </c>
      <c r="B48" s="6" t="inlineStr">
        <is>
          <t>Bir maratonu başından sonuna kadar koştu; çoğunu.</t>
        </is>
      </c>
    </row>
    <row r="49">
      <c r="A49" s="5" t="inlineStr">
        <is>
          <t>kariyer-degisti</t>
        </is>
      </c>
      <c r="B49" s="6" t="inlineStr">
        <is>
          <t>Kırkından sonra mesleğini değiştirdi ve geri dönmedi.</t>
        </is>
      </c>
    </row>
    <row r="50">
      <c r="A50" s="5" t="inlineStr">
        <is>
          <t>yazlikci</t>
        </is>
      </c>
      <c r="B50" s="6" t="inlineStr">
        <is>
          <t>Denize 'yürüme mesafesinde' bir yazlık sahibi oldu.</t>
        </is>
      </c>
    </row>
    <row r="51">
      <c r="A51" s="5" t="inlineStr">
        <is>
          <t>ikinci-bahar</t>
        </is>
      </c>
      <c r="B51" s="6" t="inlineStr">
        <is>
          <t>Boşandıktan sonra bir kafede ikinci bahara merhaba dedi.</t>
        </is>
      </c>
    </row>
    <row r="52">
      <c r="A52" s="5" t="inlineStr">
        <is>
          <t>dijital-paraci</t>
        </is>
      </c>
      <c r="B52" s="6" t="inlineStr">
        <is>
          <t>Dijital paradan kazandığını her sofrada anlattı; kaybettiğini hiçbirinde.</t>
        </is>
      </c>
    </row>
    <row r="53">
      <c r="A53" s="5" t="inlineStr">
        <is>
          <t>torunlu</t>
        </is>
      </c>
      <c r="B53" s="6" t="inlineStr">
        <is>
          <t>İlk torununun ilk kelimesini kaçırmadı; kayda aldı.</t>
        </is>
      </c>
    </row>
    <row r="54">
      <c r="A54" s="5" t="inlineStr">
        <is>
          <t>emekli</t>
        </is>
      </c>
      <c r="B54" s="6" t="inlineStr">
        <is>
          <t>Resmî olarak emekli oldu. Gayriresmî olarak hâlâ herkesin işini yaptı.</t>
        </is>
      </c>
    </row>
    <row r="55">
      <c r="A55" s="5" t="inlineStr">
        <is>
          <t>tavla-sampiyonu</t>
        </is>
      </c>
      <c r="B55" s="6" t="inlineStr">
        <is>
          <t>Kahvehane tavla liginin tartışmalı şampiyonu.</t>
        </is>
      </c>
    </row>
    <row r="56">
      <c r="A56" s="5" t="inlineStr">
        <is>
          <t>yuruyus-grubu</t>
        </is>
      </c>
      <c r="B56" s="6" t="inlineStr">
        <is>
          <t>Sabah yürüyüş grubunun daimi üyesi ve gayriresmî tempo sorumlusu.</t>
        </is>
      </c>
    </row>
    <row r="57">
      <c r="A57" s="5" t="inlineStr">
        <is>
          <t>beyazyaka-terfi-aldi</t>
        </is>
      </c>
      <c r="B57" s="6" t="inlineStr">
        <is>
          <t>Unvanının başına 'kıdemli' kelimesini ekletti.</t>
        </is>
      </c>
    </row>
    <row r="58">
      <c r="A58" s="5" t="inlineStr">
        <is>
          <t>beyazyaka-sag-kaldi</t>
        </is>
      </c>
      <c r="B58" s="6" t="inlineStr">
        <is>
          <t>Bir yeniden yapılanma dalgasından masasıyla birlikte sağ çıktı.</t>
        </is>
      </c>
    </row>
    <row r="59">
      <c r="A59" s="5" t="inlineStr">
        <is>
          <t>beyazyaka-gm-tanidik</t>
        </is>
      </c>
      <c r="B59" s="6" t="inlineStr">
        <is>
          <t>Arızalı bir asansörde genel müdürle kırk dakika geçirdi ve adı hatırlandı.</t>
        </is>
      </c>
    </row>
    <row r="60">
      <c r="A60" s="5" t="inlineStr">
        <is>
          <t>serbest-viral-oldu</t>
        </is>
      </c>
      <c r="B60" s="6" t="inlineStr">
        <is>
          <t>Bir performansı kısa video uygulamasında iki milyon kez izlendi. Ödemesi görünürlük olarak yapıldı.</t>
        </is>
      </c>
    </row>
    <row r="61">
      <c r="A61" s="5" t="inlineStr">
        <is>
          <t>serbest-alacakli</t>
        </is>
      </c>
      <c r="B61" s="6" t="inlineStr">
        <is>
          <t>Bir faturası hâlâ 'onay bekliyor'.</t>
        </is>
      </c>
    </row>
    <row r="62">
      <c r="A62" s="5" t="inlineStr">
        <is>
          <t>serbest-fon-aldi</t>
        </is>
      </c>
      <c r="B62" s="6" t="inlineStr">
        <is>
          <t>Kırk iki sayfalık bir fon başvurusunu kabul ettirdi.</t>
        </is>
      </c>
    </row>
    <row r="63">
      <c r="A63" s="5" t="inlineStr">
        <is>
          <t>esnaf-veresiye-batagi</t>
        </is>
      </c>
      <c r="B63" s="6" t="inlineStr">
        <is>
          <t>Veresiye defteri bir tuğla kalınlığına ulaştı; tahsilat oranı gizli tutuldu.</t>
        </is>
      </c>
    </row>
    <row r="64">
      <c r="A64" s="5" t="inlineStr">
        <is>
          <t>esnaf-komsu-rakip</t>
        </is>
      </c>
      <c r="B64" s="6" t="inlineStr">
        <is>
          <t>Karşı dükkânla otuz yıl süren bir etiket savaşı yürüttü.</t>
        </is>
      </c>
    </row>
    <row r="65">
      <c r="A65" s="5" t="inlineStr">
        <is>
          <t>esnaf-cirak</t>
        </is>
      </c>
      <c r="B65" s="6" t="inlineStr">
        <is>
          <t>Bir çırak yetiştirdi; çırak da ona telefon ayarlarını öğretti.</t>
        </is>
      </c>
    </row>
    <row r="66">
      <c r="A66" s="5" t="inlineStr">
        <is>
          <t>esnaf-dernek-baskani</t>
        </is>
      </c>
      <c r="B66" s="6" t="inlineStr">
        <is>
          <t>Çarşının esnaf derneğine başkan seçildi; ilk icraatı ortak çöp kutusu oldu.</t>
        </is>
      </c>
    </row>
    <row r="67">
      <c r="A67" s="5" t="inlineStr">
        <is>
          <t>memur-mudur-dusmani</t>
        </is>
      </c>
      <c r="B67" s="6" t="inlineStr">
        <is>
          <t>Bir müdürle arası hiç düzelmedi; kırmızı kalem hep hazırdı.</t>
        </is>
      </c>
    </row>
    <row r="68">
      <c r="A68" s="5" t="inlineStr">
        <is>
          <t>memur-kayip-dosya</t>
        </is>
      </c>
      <c r="B68" s="6" t="inlineStr">
        <is>
          <t>Zimmetindeki bir dosya kayboldu; takibi otuz yıl sürdü.</t>
        </is>
      </c>
    </row>
    <row r="69">
      <c r="A69" s="5" t="inlineStr">
        <is>
          <t>memur-ikinci-is</t>
        </is>
      </c>
      <c r="B69" s="6" t="inlineStr">
        <is>
          <t>Emekliliğe bir kafe hayaliyle hazırlandı; menüsü çekmecede bekledi.</t>
        </is>
      </c>
    </row>
    <row r="70">
      <c r="A70" s="5" t="inlineStr">
        <is>
          <t>haracci-dusmani</t>
        </is>
      </c>
      <c r="B70" s="6" t="inlineStr">
        <is>
          <t>Mahalle haraççılarına kafa tuttu.</t>
        </is>
      </c>
    </row>
    <row r="71">
      <c r="A71" s="5" t="inlineStr">
        <is>
          <t>fenomen</t>
        </is>
      </c>
      <c r="B71" s="6" t="inlineStr">
        <is>
          <t>Kedisinin hesabı fenomen oldu.</t>
        </is>
      </c>
    </row>
    <row r="72">
      <c r="A72" s="5" t="inlineStr">
        <is>
          <t>borclu</t>
        </is>
      </c>
      <c r="B72" s="6" t="inlineStr">
        <is>
          <t>Kredi kartı borcuyla tanıştı.</t>
        </is>
      </c>
    </row>
    <row r="73">
      <c r="A73" s="5" t="inlineStr">
        <is>
          <t>evli</t>
        </is>
      </c>
      <c r="B73" s="6" t="inlineStr">
        <is>
          <t>Evlendi.</t>
        </is>
      </c>
    </row>
    <row r="74">
      <c r="A74" s="5" t="inlineStr">
        <is>
          <t>cocuklu</t>
        </is>
      </c>
      <c r="B74" s="6" t="inlineStr">
        <is>
          <t>Çocuk sahibi oldu.</t>
        </is>
      </c>
    </row>
    <row r="75">
      <c r="A75" s="5" t="inlineStr">
        <is>
          <t>meslek-memur</t>
        </is>
      </c>
      <c r="B75" s="6" t="inlineStr">
        <is>
          <t>Memur oldu.</t>
        </is>
      </c>
    </row>
    <row r="76">
      <c r="A76" s="5" t="inlineStr">
        <is>
          <t>ev-sahibi</t>
        </is>
      </c>
      <c r="B76" s="6" t="inlineStr">
        <is>
          <t>Ev sahibi oldu.</t>
        </is>
      </c>
    </row>
    <row r="77">
      <c r="A77" s="5" t="inlineStr">
        <is>
          <t>askerlik-yapti</t>
        </is>
      </c>
      <c r="B77" s="6" t="inlineStr">
        <is>
          <t>Askerliğini yaptı.</t>
        </is>
      </c>
    </row>
    <row r="78">
      <c r="A78" s="5" t="inlineStr">
        <is>
          <t>meslek-esnaf</t>
        </is>
      </c>
      <c r="B78" s="6" t="inlineStr">
        <is>
          <t>Esnaf oldu.</t>
        </is>
      </c>
    </row>
    <row r="79">
      <c r="A79" s="5" t="inlineStr">
        <is>
          <t>meslek-beyazyaka</t>
        </is>
      </c>
      <c r="B79" s="6" t="inlineStr">
        <is>
          <t>Beyaz yakalı oldu.</t>
        </is>
      </c>
    </row>
    <row r="80">
      <c r="A80" s="5" t="inlineStr">
        <is>
          <t>meslek-serbest</t>
        </is>
      </c>
      <c r="B80" s="6" t="inlineStr">
        <is>
          <t>Serbest çalışmaya başladı.</t>
        </is>
      </c>
    </row>
    <row r="81">
      <c r="A81" s="5" t="inlineStr">
        <is>
          <t>mahalle-cocugu</t>
        </is>
      </c>
      <c r="B81" s="6" t="inlineStr">
        <is>
          <t>Çocukluğu sokakta, mahallede geçti.</t>
        </is>
      </c>
    </row>
    <row r="82">
      <c r="A82" s="5" t="inlineStr">
        <is>
          <t>ekran-cocugu</t>
        </is>
      </c>
      <c r="B82" s="6" t="inlineStr">
        <is>
          <t>Çocukluğu ekran başında geçti.</t>
        </is>
      </c>
    </row>
  </sheetData>
  <autoFilter ref="A1:B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90" customWidth="1" min="3" max="3"/>
    <col width="18" customWidth="1" min="4" max="4"/>
  </cols>
  <sheetData>
    <row r="1" ht="32" customHeight="1">
      <c r="A1" s="4" t="inlineStr">
        <is>
          <t>Asgari yaş</t>
        </is>
      </c>
      <c r="B1" s="4" t="inlineStr">
        <is>
          <t>Azami yaş</t>
        </is>
      </c>
      <c r="C1" s="4" t="inlineStr">
        <is>
          <t>Mezar taşı metni</t>
        </is>
      </c>
      <c r="D1" s="4" t="inlineStr">
        <is>
          <t>Gereken hafıza</t>
        </is>
      </c>
    </row>
    <row r="2">
      <c r="A2" s="5" t="n">
        <v>18</v>
      </c>
      <c r="B2" s="5" t="n">
        <v>40</v>
      </c>
      <c r="C2" s="6" t="inlineStr">
        <is>
          <t>Kira sözleşmesinin ek maddelerini okurken. Madde 14 hâlâ açıklığa kavuşmadı.</t>
        </is>
      </c>
      <c r="D2" s="5" t="inlineStr"/>
    </row>
    <row r="3">
      <c r="A3" s="5" t="n">
        <v>18</v>
      </c>
      <c r="B3" s="5" t="n">
        <v>40</v>
      </c>
      <c r="C3" s="6" t="inlineStr">
        <is>
          <t>Kargo takip ekranında 'dağıtıma çıktı' yazısını beklerken. Kargo ertesi gün teslim edildi.</t>
        </is>
      </c>
      <c r="D3" s="5" t="inlineStr"/>
    </row>
    <row r="4">
      <c r="A4" s="5" t="n">
        <v>18</v>
      </c>
      <c r="B4" s="5" t="n">
        <v>40</v>
      </c>
      <c r="C4" s="6" t="inlineStr">
        <is>
          <t>Ev arkadaşıyla bulaşık nöbeti tartışmasının dördüncü turunda. Bulaşıklar hâlâ lavaboda.</t>
        </is>
      </c>
      <c r="D4" s="5" t="inlineStr"/>
    </row>
    <row r="5">
      <c r="A5" s="5" t="n">
        <v>18</v>
      </c>
      <c r="B5" s="5" t="n">
        <v>40</v>
      </c>
      <c r="C5" s="6" t="inlineStr">
        <is>
          <t>Staj başvurusunun on yedinci formunu doldururken. Başvuru alındı.</t>
        </is>
      </c>
      <c r="D5" s="5" t="inlineStr"/>
    </row>
    <row r="6">
      <c r="A6" s="5" t="n">
        <v>18</v>
      </c>
      <c r="B6" s="5" t="n">
        <v>40</v>
      </c>
      <c r="C6" s="6" t="inlineStr">
        <is>
          <t>Yeni işinin ilk gününde, asansörde kimseyle göz teması kurmamaya çalışırken.</t>
        </is>
      </c>
      <c r="D6" s="5" t="inlineStr"/>
    </row>
    <row r="7">
      <c r="A7" s="5" t="n">
        <v>18</v>
      </c>
      <c r="B7" s="5" t="n">
        <v>40</v>
      </c>
      <c r="C7" s="6" t="inlineStr">
        <is>
          <t>Kısa video uygulaması için aynı dansın kırk birinci çekiminde. Kırkıncısı zaten yüklenmişti.</t>
        </is>
      </c>
      <c r="D7" s="5" t="inlineStr">
        <is>
          <t>fenomen</t>
        </is>
      </c>
    </row>
    <row r="8">
      <c r="A8" s="5" t="n">
        <v>18</v>
      </c>
      <c r="B8" s="5" t="n">
        <v>40</v>
      </c>
      <c r="C8" s="6" t="inlineStr">
        <is>
          <t>Sabah koşusunun son turunda, saatin adım sayısını kontrol ederken. Hedef tamamlanmıştı.</t>
        </is>
      </c>
      <c r="D8" s="5" t="inlineStr">
        <is>
          <t>sporcu</t>
        </is>
      </c>
    </row>
    <row r="9">
      <c r="A9" s="5" t="n">
        <v>18</v>
      </c>
      <c r="B9" s="5" t="n">
        <v>40</v>
      </c>
      <c r="C9" s="6" t="inlineStr">
        <is>
          <t>Taksit planını yeniden yapılandırmak için bankayı ararken. Sıradaki müşteri temsilcisi hâlâ hatta.</t>
        </is>
      </c>
      <c r="D9" s="5" t="inlineStr">
        <is>
          <t>borclu</t>
        </is>
      </c>
    </row>
    <row r="10">
      <c r="A10" s="5" t="n">
        <v>40</v>
      </c>
      <c r="B10" s="5" t="n">
        <v>60</v>
      </c>
      <c r="C10" s="6" t="inlineStr">
        <is>
          <t>Site yönetimine itiraz dilekçesini teslim ederken. Dilekçe hâlâ değerlendiriliyor.</t>
        </is>
      </c>
      <c r="D10" s="5" t="inlineStr"/>
    </row>
    <row r="11">
      <c r="A11" s="5" t="n">
        <v>40</v>
      </c>
      <c r="B11" s="5" t="n">
        <v>60</v>
      </c>
      <c r="C11" s="6" t="inlineStr">
        <is>
          <t>Kombi tamircisini beklerken. Tamirci ertesi gün geldi.</t>
        </is>
      </c>
      <c r="D11" s="5" t="inlineStr"/>
    </row>
    <row r="12">
      <c r="A12" s="5" t="n">
        <v>40</v>
      </c>
      <c r="B12" s="5" t="n">
        <v>60</v>
      </c>
      <c r="C12" s="6" t="inlineStr">
        <is>
          <t>Performans değerlendirme toplantısında 'beklentileri karşılıyor' ifadesini duyduğu anda.</t>
        </is>
      </c>
      <c r="D12" s="5" t="inlineStr">
        <is>
          <t>meslek-beyazyaka</t>
        </is>
      </c>
    </row>
    <row r="13">
      <c r="A13" s="5" t="n">
        <v>40</v>
      </c>
      <c r="B13" s="5" t="n">
        <v>60</v>
      </c>
      <c r="C13" s="6" t="inlineStr">
        <is>
          <t>Dükkânın kepengini indirirken, günün son müşterisinin 'Bir şey soracaktım' demesiyle.</t>
        </is>
      </c>
      <c r="D13" s="5" t="inlineStr">
        <is>
          <t>meslek-esnaf</t>
        </is>
      </c>
    </row>
    <row r="14">
      <c r="A14" s="5" t="n">
        <v>40</v>
      </c>
      <c r="B14" s="5" t="n">
        <v>60</v>
      </c>
      <c r="C14" s="6" t="inlineStr">
        <is>
          <t>Mesai bitimine üç dakika kala gelen evrakı imzalarken. Evrak işleme alındı.</t>
        </is>
      </c>
      <c r="D14" s="5" t="inlineStr">
        <is>
          <t>meslek-memur</t>
        </is>
      </c>
    </row>
    <row r="15">
      <c r="A15" s="5" t="n">
        <v>40</v>
      </c>
      <c r="B15" s="5" t="n">
        <v>60</v>
      </c>
      <c r="C15" s="6" t="inlineStr">
        <is>
          <t>Müşteriden gelen 'Ufak bir revizyon' mesajını açarken. Revizyon hâlâ sürüyor.</t>
        </is>
      </c>
      <c r="D15" s="5" t="inlineStr">
        <is>
          <t>meslek-serbest</t>
        </is>
      </c>
    </row>
    <row r="16">
      <c r="A16" s="5" t="n">
        <v>40</v>
      </c>
      <c r="B16" s="5" t="n">
        <v>60</v>
      </c>
      <c r="C16" s="6" t="inlineStr">
        <is>
          <t>Veli toplantısında söz alma sırası kendisine geldiği anda.</t>
        </is>
      </c>
      <c r="D16" s="5" t="inlineStr">
        <is>
          <t>cocuklu</t>
        </is>
      </c>
    </row>
    <row r="17">
      <c r="A17" s="5" t="n">
        <v>40</v>
      </c>
      <c r="B17" s="5" t="n">
        <v>60</v>
      </c>
      <c r="C17" s="6" t="inlineStr">
        <is>
          <t>Aile grubundaki uzun bir sesli mesajı ikinci kez dinlerken.</t>
        </is>
      </c>
      <c r="D17" s="5" t="inlineStr"/>
    </row>
    <row r="18">
      <c r="A18" s="5" t="n">
        <v>40</v>
      </c>
      <c r="B18" s="5" t="n">
        <v>60</v>
      </c>
      <c r="C18" s="6" t="inlineStr">
        <is>
          <t>Evlilik yıldönümü hediyesini son dakikada paketlerken. Kurdele bağlandı.</t>
        </is>
      </c>
      <c r="D18" s="5" t="inlineStr">
        <is>
          <t>evli</t>
        </is>
      </c>
    </row>
    <row r="19">
      <c r="A19" s="5" t="n">
        <v>40</v>
      </c>
      <c r="B19" s="5" t="n">
        <v>60</v>
      </c>
      <c r="C19" s="6" t="inlineStr">
        <is>
          <t>Bir sigarayı daha son sigara ilan ederken. Bu sefer gerçekten son oldu.</t>
        </is>
      </c>
      <c r="D19" s="5" t="inlineStr">
        <is>
          <t>sigara</t>
        </is>
      </c>
    </row>
    <row r="20">
      <c r="A20" s="5" t="n">
        <v>60</v>
      </c>
      <c r="B20" s="5" t="n">
        <v>75</v>
      </c>
      <c r="C20" s="6" t="inlineStr">
        <is>
          <t>Emeklilik dilekçesinin onayını beklerken. Onay ertesi hafta geldi.</t>
        </is>
      </c>
      <c r="D20" s="5" t="inlineStr"/>
    </row>
    <row r="21">
      <c r="A21" s="5" t="n">
        <v>60</v>
      </c>
      <c r="B21" s="5" t="n">
        <v>75</v>
      </c>
      <c r="C21" s="6" t="inlineStr">
        <is>
          <t>Emekli ikramiyesiyle aldığı motosikletle ilk virajda. Viraj kazandı.</t>
        </is>
      </c>
      <c r="D21" s="5" t="inlineStr">
        <is>
          <t>emekli</t>
        </is>
      </c>
    </row>
    <row r="22">
      <c r="A22" s="5" t="n">
        <v>60</v>
      </c>
      <c r="B22" s="5" t="n">
        <v>75</v>
      </c>
      <c r="C22" s="6" t="inlineStr">
        <is>
          <t>Pazarın kapanışında son kasa domatesi pazarlık ederken. Domatesler yarı fiyatına alındı.</t>
        </is>
      </c>
      <c r="D22" s="5" t="inlineStr"/>
    </row>
    <row r="23">
      <c r="A23" s="5" t="n">
        <v>60</v>
      </c>
      <c r="B23" s="5" t="n">
        <v>75</v>
      </c>
      <c r="C23" s="6" t="inlineStr">
        <is>
          <t>Torunuyla saklambaç oynarken, en iyi saklanma yerini bulduğu anda. Oyunu kazandı.</t>
        </is>
      </c>
      <c r="D23" s="5" t="inlineStr">
        <is>
          <t>torunlu</t>
        </is>
      </c>
    </row>
    <row r="24">
      <c r="A24" s="5" t="n">
        <v>60</v>
      </c>
      <c r="B24" s="5" t="n">
        <v>75</v>
      </c>
      <c r="C24" s="6" t="inlineStr">
        <is>
          <t>Apartman toplantısında asansör bakım ücretinin paylaştırılmasını oylarken.</t>
        </is>
      </c>
      <c r="D24" s="5" t="inlineStr"/>
    </row>
    <row r="25">
      <c r="A25" s="5" t="n">
        <v>60</v>
      </c>
      <c r="B25" s="5" t="n">
        <v>75</v>
      </c>
      <c r="C25" s="6" t="inlineStr">
        <is>
          <t>Mahalle kahvesinde, bir tavla partisinin son zarında. Zar çift geldi.</t>
        </is>
      </c>
      <c r="D25" s="5" t="inlineStr"/>
    </row>
    <row r="26">
      <c r="A26" s="5" t="n">
        <v>60</v>
      </c>
      <c r="B26" s="5" t="n">
        <v>75</v>
      </c>
      <c r="C26" s="6" t="inlineStr">
        <is>
          <t>Bahçede domates fidesine konuşurken. Fide büyümeye devam etti.</t>
        </is>
      </c>
      <c r="D26" s="5" t="inlineStr"/>
    </row>
    <row r="27">
      <c r="A27" s="5" t="n">
        <v>60</v>
      </c>
      <c r="B27" s="5" t="n">
        <v>75</v>
      </c>
      <c r="C27" s="6" t="inlineStr">
        <is>
          <t>Kedisinin mamasını son indirimli paketten alırken. Kedi durumu kabullenmedi.</t>
        </is>
      </c>
      <c r="D27" s="5" t="inlineStr">
        <is>
          <t>kediGeldi</t>
        </is>
      </c>
    </row>
    <row r="28">
      <c r="A28" s="5" t="n">
        <v>60</v>
      </c>
      <c r="B28" s="5" t="n">
        <v>75</v>
      </c>
      <c r="C28" s="6" t="inlineStr">
        <is>
          <t>Eski takipçilerinden birinin 'Siz ölmediniz mi?' yorumuna cevap yazarken. Cevap gönderilmedi.</t>
        </is>
      </c>
      <c r="D28" s="5" t="inlineStr">
        <is>
          <t>fenomen</t>
        </is>
      </c>
    </row>
    <row r="29">
      <c r="A29" s="5" t="n">
        <v>60</v>
      </c>
      <c r="B29" s="5" t="n">
        <v>75</v>
      </c>
      <c r="C29" s="6" t="inlineStr">
        <is>
          <t>Sabah yürüyüşünde, ilk kez kimsenin geçemediği yokuşu geçtiği anda. Yokuş belediyeye bildirildi.</t>
        </is>
      </c>
      <c r="D29" s="5" t="inlineStr">
        <is>
          <t>sporcu</t>
        </is>
      </c>
    </row>
    <row r="30">
      <c r="A30" s="5" t="n">
        <v>75</v>
      </c>
      <c r="B30" s="5" t="n">
        <v>90</v>
      </c>
      <c r="C30" s="6" t="inlineStr">
        <is>
          <t>Uykusunda, huzur içinde. Alarmı kurmayı unutmamıştı.</t>
        </is>
      </c>
      <c r="D30" s="5" t="inlineStr"/>
    </row>
    <row r="31">
      <c r="A31" s="5" t="n">
        <v>75</v>
      </c>
      <c r="B31" s="5" t="n">
        <v>90</v>
      </c>
      <c r="C31" s="6" t="inlineStr">
        <is>
          <t>Öğleden sonra şekerlemesinde, huzur içinde. Şekerleme uzadı.</t>
        </is>
      </c>
      <c r="D31" s="5" t="inlineStr"/>
    </row>
    <row r="32">
      <c r="A32" s="5" t="n">
        <v>75</v>
      </c>
      <c r="B32" s="5" t="n">
        <v>90</v>
      </c>
      <c r="C32" s="6" t="inlineStr">
        <is>
          <t>Balkonda, sokağın akşam raporunu tamamladıktan sonra. Rapor eksiksizdi.</t>
        </is>
      </c>
      <c r="D32" s="5" t="inlineStr"/>
    </row>
    <row r="33">
      <c r="A33" s="5" t="n">
        <v>75</v>
      </c>
      <c r="B33" s="5" t="n">
        <v>90</v>
      </c>
      <c r="C33" s="6" t="inlineStr">
        <is>
          <t>Uykusunda, huzur içinde. Yanındaki kedi uyanmadı.</t>
        </is>
      </c>
      <c r="D33" s="5" t="inlineStr">
        <is>
          <t>kediGeldi</t>
        </is>
      </c>
    </row>
    <row r="34">
      <c r="A34" s="5" t="n">
        <v>75</v>
      </c>
      <c r="B34" s="5" t="n">
        <v>90</v>
      </c>
      <c r="C34" s="6" t="inlineStr">
        <is>
          <t>Emekli maaşını çekip bayram zarflarını hazırlarken. Zarflar dağıtıldı.</t>
        </is>
      </c>
      <c r="D34" s="5" t="inlineStr">
        <is>
          <t>emekli</t>
        </is>
      </c>
    </row>
    <row r="35">
      <c r="A35" s="5" t="n">
        <v>75</v>
      </c>
      <c r="B35" s="5" t="n">
        <v>90</v>
      </c>
      <c r="C35" s="6" t="inlineStr">
        <is>
          <t>Torunlarına aynı hikâyeyi yedinci kez anlatırken. Sonunu bu sefer herkes birlikte söyledi.</t>
        </is>
      </c>
      <c r="D35" s="5" t="inlineStr">
        <is>
          <t>torunlu</t>
        </is>
      </c>
    </row>
    <row r="36">
      <c r="A36" s="5" t="n">
        <v>75</v>
      </c>
      <c r="B36" s="5" t="n">
        <v>90</v>
      </c>
      <c r="C36" s="6" t="inlineStr">
        <is>
          <t>Eşiyle akşam çayında, bardaklar tam tazelendiği anda. Çay soğumadı.</t>
        </is>
      </c>
      <c r="D36" s="5" t="inlineStr">
        <is>
          <t>evli</t>
        </is>
      </c>
    </row>
    <row r="37">
      <c r="A37" s="5" t="n">
        <v>75</v>
      </c>
      <c r="B37" s="5" t="n">
        <v>90</v>
      </c>
      <c r="C37" s="6" t="inlineStr">
        <is>
          <t>Koltukta, kumanda elinde, huzur içinde. Dizinin sonunu sonraki bölüm açıkladı.</t>
        </is>
      </c>
      <c r="D37" s="5" t="inlineStr"/>
    </row>
    <row r="38">
      <c r="A38" s="5" t="n">
        <v>75</v>
      </c>
      <c r="B38" s="5" t="n">
        <v>90</v>
      </c>
      <c r="C38" s="6" t="inlineStr">
        <is>
          <t>Eski iş arkadaşlarının yıllık buluşmasında, kendi eski masasına oturduğu anda.</t>
        </is>
      </c>
      <c r="D38" s="5" t="inlineStr">
        <is>
          <t>meslek-memur</t>
        </is>
      </c>
    </row>
    <row r="39">
      <c r="A39" s="5" t="n">
        <v>75</v>
      </c>
      <c r="B39" s="5" t="n">
        <v>90</v>
      </c>
      <c r="C39" s="6" t="inlineStr">
        <is>
          <t>Pazar kahvaltısında, bütün ailesi masadayken. Yumurta tam kıvamındaydı.</t>
        </is>
      </c>
      <c r="D39" s="5" t="inlineStr">
        <is>
          <t>cocuklu</t>
        </is>
      </c>
    </row>
    <row r="40">
      <c r="A40" s="5" t="n">
        <v>90</v>
      </c>
      <c r="B40" s="5" t="n">
        <v>110</v>
      </c>
      <c r="C40" s="6" t="inlineStr">
        <is>
          <t>Uykusunda, huzur içinde. Sabahın ilk çayı demlenmişti.</t>
        </is>
      </c>
      <c r="D40" s="5" t="inlineStr"/>
    </row>
    <row r="41">
      <c r="A41" s="5" t="n">
        <v>90</v>
      </c>
      <c r="B41" s="5" t="n">
        <v>110</v>
      </c>
      <c r="C41" s="6" t="inlineStr">
        <is>
          <t>Pencere kenarında, güneşin tam kendi sandalyesine vurduğu anda. Sandalye hâlâ orada.</t>
        </is>
      </c>
      <c r="D41" s="5" t="inlineStr"/>
    </row>
    <row r="42">
      <c r="A42" s="5" t="n">
        <v>90</v>
      </c>
      <c r="B42" s="5" t="n">
        <v>110</v>
      </c>
      <c r="C42" s="6" t="inlineStr">
        <is>
          <t>Uykusunda, huzur içinde. Rüyasında kiminle tartıştığı açıklanmadı.</t>
        </is>
      </c>
      <c r="D42" s="5" t="inlineStr"/>
    </row>
    <row r="43">
      <c r="A43" s="5" t="n">
        <v>90</v>
      </c>
      <c r="B43" s="5" t="n">
        <v>110</v>
      </c>
      <c r="C43" s="6" t="inlineStr">
        <is>
          <t>Mahallenin en yaşlı sakini unvanını bir yıl daha koruduktan sonra. Unvan boşta kaldı.</t>
        </is>
      </c>
      <c r="D43" s="5" t="inlineStr"/>
    </row>
    <row r="44">
      <c r="A44" s="5" t="n">
        <v>90</v>
      </c>
      <c r="B44" s="5" t="n">
        <v>110</v>
      </c>
      <c r="C44" s="6" t="inlineStr">
        <is>
          <t>Torununun torununa ilk kez adını söyletmeyi başardığı gün, huzur içinde.</t>
        </is>
      </c>
      <c r="D44" s="5" t="inlineStr">
        <is>
          <t>torunlu</t>
        </is>
      </c>
    </row>
    <row r="45">
      <c r="A45" s="5" t="n">
        <v>90</v>
      </c>
      <c r="B45" s="5" t="n">
        <v>110</v>
      </c>
      <c r="C45" s="6" t="inlineStr">
        <is>
          <t>Öğleden sonra şekerlemesinde, yanında açık bir fotoğraf albümüyle. Albüm doğru sayfadaydı.</t>
        </is>
      </c>
      <c r="D45" s="5" t="inlineStr"/>
    </row>
    <row r="46">
      <c r="A46" s="5" t="n">
        <v>90</v>
      </c>
      <c r="B46" s="5" t="n">
        <v>110</v>
      </c>
      <c r="C46" s="6" t="inlineStr">
        <is>
          <t>Uykusunda, huzur içinde. Dükkânın anahtarı hâlâ cebindeydi.</t>
        </is>
      </c>
      <c r="D46" s="5" t="inlineStr">
        <is>
          <t>meslek-esnaf</t>
        </is>
      </c>
    </row>
  </sheetData>
  <autoFilter ref="A1:D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0" customWidth="1" min="3" max="3"/>
    <col width="10" customWidth="1" min="4" max="4"/>
    <col width="18" customWidth="1" min="5" max="5"/>
    <col width="22" customWidth="1" min="6" max="6"/>
    <col width="10" customWidth="1" min="7" max="7"/>
    <col width="60" customWidth="1" min="8" max="8"/>
    <col width="30" customWidth="1" min="9" max="9"/>
  </cols>
  <sheetData>
    <row r="1" ht="32" customHeight="1">
      <c r="A1" s="4" t="inlineStr">
        <is>
          <t>Bölüm</t>
        </is>
      </c>
      <c r="B1" s="4" t="inlineStr">
        <is>
          <t>Ad</t>
        </is>
      </c>
      <c r="C1" s="4" t="inlineStr">
        <is>
          <t>Seçilecek olay</t>
        </is>
      </c>
      <c r="D1" s="4" t="inlineStr">
        <is>
          <t>Beklenen stat</t>
        </is>
      </c>
      <c r="E1" s="4" t="inlineStr">
        <is>
          <t>Yaş aralığı</t>
        </is>
      </c>
      <c r="F1" s="4" t="inlineStr">
        <is>
          <t>Son görsel (olay ID)</t>
        </is>
      </c>
      <c r="G1" s="4" t="inlineStr">
        <is>
          <t>Son yaş</t>
        </is>
      </c>
      <c r="H1" s="4" t="inlineStr">
        <is>
          <t>Son metin</t>
        </is>
      </c>
      <c r="I1" s="4" t="inlineStr">
        <is>
          <t>Sonraki düğme</t>
        </is>
      </c>
    </row>
    <row r="2">
      <c r="A2" s="5" t="n">
        <v>1</v>
      </c>
      <c r="B2" s="5" t="inlineStr">
        <is>
          <t>Ev</t>
        </is>
      </c>
      <c r="C2" s="5" t="n">
        <v>6</v>
      </c>
      <c r="D2" s="5" t="n">
        <v>25</v>
      </c>
      <c r="E2" s="5" t="inlineStr">
        <is>
          <t>Doğum → 3 yaş</t>
        </is>
      </c>
      <c r="F2" s="5" t="inlineStr">
        <is>
          <t>kres-kapisi</t>
        </is>
      </c>
      <c r="G2" s="5" t="inlineStr">
        <is>
          <t>3 YAŞ</t>
        </is>
      </c>
      <c r="H2" s="6" t="inlineStr">
        <is>
          <t>Ev güvenliydi. Şimdi başka çocuklar var.</t>
        </is>
      </c>
      <c r="I2" s="5" t="inlineStr">
        <is>
          <t>BÖLÜM II · DIŞ DÜNYA</t>
        </is>
      </c>
    </row>
    <row r="3">
      <c r="A3" s="5" t="n">
        <v>2</v>
      </c>
      <c r="B3" s="5" t="inlineStr">
        <is>
          <t>Dış Dünya</t>
        </is>
      </c>
      <c r="C3" s="5" t="n">
        <v>7</v>
      </c>
      <c r="D3" s="5" t="n">
        <v>29</v>
      </c>
      <c r="E3" s="5" t="inlineStr">
        <is>
          <t>3 → 6 yaş</t>
        </is>
      </c>
      <c r="F3" s="5" t="inlineStr">
        <is>
          <t>ilkokul-kapisi</t>
        </is>
      </c>
      <c r="G3" s="5" t="inlineStr">
        <is>
          <t>6 YAŞ</t>
        </is>
      </c>
      <c r="H3" s="6" t="inlineStr">
        <is>
          <t>Artık yalnızca aileyi değil, dış dünyanın kurallarını da okumaya başladın.</t>
        </is>
      </c>
      <c r="I3" s="5" t="inlineStr">
        <is>
          <t>BÖLÜM III · OKUL YILLARI</t>
        </is>
      </c>
    </row>
    <row r="4">
      <c r="A4" s="5" t="n">
        <v>3</v>
      </c>
      <c r="B4" s="5" t="inlineStr">
        <is>
          <t>Okul Yılları</t>
        </is>
      </c>
      <c r="C4" s="5" t="n">
        <v>6</v>
      </c>
      <c r="D4" s="5" t="n">
        <v>32</v>
      </c>
      <c r="E4" s="5" t="inlineStr">
        <is>
          <t>6 → 9 yaş</t>
        </is>
      </c>
      <c r="F4" s="5" t="inlineStr">
        <is>
          <t>karne-gunu</t>
        </is>
      </c>
      <c r="G4" s="5" t="inlineStr">
        <is>
          <t>9 YAŞ</t>
        </is>
      </c>
      <c r="H4" s="6" t="inlineStr">
        <is>
          <t>Karne elinde, karakter ortada.</t>
        </is>
      </c>
      <c r="I4" s="5" t="inlineStr">
        <is>
          <t>BÖLÜM IV · ERGENLİK</t>
        </is>
      </c>
    </row>
    <row r="5">
      <c r="A5" s="5" t="n">
        <v>4</v>
      </c>
      <c r="B5" s="5" t="inlineStr">
        <is>
          <t>Ergenlik</t>
        </is>
      </c>
      <c r="C5" s="5" t="n">
        <v>13</v>
      </c>
      <c r="D5" s="5" t="n">
        <v>35</v>
      </c>
      <c r="E5" s="5" t="inlineStr">
        <is>
          <t>10 → 14 yaş</t>
        </is>
      </c>
      <c r="F5" s="5" t="inlineStr">
        <is>
          <t>b4-lise-sinavi</t>
        </is>
      </c>
      <c r="G5" s="5" t="inlineStr">
        <is>
          <t>14 YAŞ</t>
        </is>
      </c>
      <c r="H5" s="6" t="inlineStr">
        <is>
          <t>Sesin çatladı, telefonun çatlamadı. Önceliklerin belli.</t>
        </is>
      </c>
      <c r="I5" s="5" t="inlineStr">
        <is>
          <t>BÖLÜM V · SINAV ÇAĞI</t>
        </is>
      </c>
    </row>
    <row r="6">
      <c r="A6" s="5" t="n">
        <v>5</v>
      </c>
      <c r="B6" s="5" t="inlineStr">
        <is>
          <t>Sınav Çağı</t>
        </is>
      </c>
      <c r="C6" s="5" t="n">
        <v>13</v>
      </c>
      <c r="D6" s="5" t="n">
        <v>38</v>
      </c>
      <c r="E6" s="5" t="inlineStr">
        <is>
          <t>15 → 18 yaş</t>
        </is>
      </c>
      <c r="F6" s="5" t="inlineStr">
        <is>
          <t>b5-mezuniyet</t>
        </is>
      </c>
      <c r="G6" s="5" t="inlineStr">
        <is>
          <t>18 YAŞ</t>
        </is>
      </c>
      <c r="H6" s="6" t="inlineStr">
        <is>
          <t>Resmen yetişkinsin. Sistem bunu kutlamak için sana ilk faturanı hazırlıyor.</t>
        </is>
      </c>
      <c r="I6" s="5" t="inlineStr">
        <is>
          <t>BÖLÜM VI · GENÇ YETİŞKİN</t>
        </is>
      </c>
    </row>
    <row r="7">
      <c r="A7" s="5" t="n">
        <v>6</v>
      </c>
      <c r="B7" s="5" t="inlineStr">
        <is>
          <t>Genç Yetişkin</t>
        </is>
      </c>
      <c r="C7" s="5" t="n">
        <v>14</v>
      </c>
      <c r="D7" s="5" t="n">
        <v>40</v>
      </c>
      <c r="E7" s="5" t="inlineStr">
        <is>
          <t>18 → 26 yaş</t>
        </is>
      </c>
      <c r="F7" s="5" t="inlineStr">
        <is>
          <t>b6-meslek-secimi</t>
        </is>
      </c>
      <c r="G7" s="5" t="inlineStr">
        <is>
          <t>26 YAŞ</t>
        </is>
      </c>
      <c r="H7" s="6" t="inlineStr">
        <is>
          <t>Bir mesleğin, bir kiran ve bir kredi kartı ekstren var. Hayat seni artık ciddiye alıyor.</t>
        </is>
      </c>
      <c r="I7" s="5" t="inlineStr">
        <is>
          <t>BÖLÜM VII · KARİYER VE AİLE</t>
        </is>
      </c>
    </row>
    <row r="8">
      <c r="A8" s="5" t="n">
        <v>7</v>
      </c>
      <c r="B8" s="5" t="inlineStr">
        <is>
          <t>Kariyer ve Aile</t>
        </is>
      </c>
      <c r="C8" s="5" t="n">
        <v>14</v>
      </c>
      <c r="D8" s="5" t="n">
        <v>43</v>
      </c>
      <c r="E8" s="5" t="inlineStr">
        <is>
          <t>26 → 40 yaş</t>
        </is>
      </c>
      <c r="F8" s="5" t="inlineStr">
        <is>
          <t>b7-evlilik-karari</t>
        </is>
      </c>
      <c r="G8" s="5" t="inlineStr">
        <is>
          <t>40 YAŞ</t>
        </is>
      </c>
      <c r="H8" s="6" t="inlineStr">
        <is>
          <t>Kırk yaşına bastın. Ayakkabın da bastı; o da artık yorgun.</t>
        </is>
      </c>
      <c r="I8" s="5" t="inlineStr">
        <is>
          <t>BÖLÜM VIII · ORTA YAŞ</t>
        </is>
      </c>
    </row>
    <row r="9">
      <c r="A9" s="5" t="n">
        <v>8</v>
      </c>
      <c r="B9" s="5" t="inlineStr">
        <is>
          <t>Orta Yaş</t>
        </is>
      </c>
      <c r="C9" s="5" t="n">
        <v>13</v>
      </c>
      <c r="D9" s="5" t="n">
        <v>45</v>
      </c>
      <c r="E9" s="5" t="inlineStr">
        <is>
          <t>40 → 55 yaş</t>
        </is>
      </c>
      <c r="F9" s="5" t="inlineStr">
        <is>
          <t>b8-lise-bulusmasi</t>
        </is>
      </c>
      <c r="G9" s="5" t="inlineStr">
        <is>
          <t>55 YAŞ</t>
        </is>
      </c>
      <c r="H9" s="6" t="inlineStr">
        <is>
          <t>Gözlüğün yakın için, sabrın uzak için. İkisi de reçeteli.</t>
        </is>
      </c>
      <c r="I9" s="5" t="inlineStr">
        <is>
          <t>BÖLÜM IX · OLGUNLUK</t>
        </is>
      </c>
    </row>
    <row r="10">
      <c r="A10" s="5" t="n">
        <v>9</v>
      </c>
      <c r="B10" s="5" t="inlineStr">
        <is>
          <t>Olgunluk</t>
        </is>
      </c>
      <c r="C10" s="5" t="n">
        <v>13</v>
      </c>
      <c r="D10" s="5" t="n">
        <v>48</v>
      </c>
      <c r="E10" s="5" t="inlineStr">
        <is>
          <t>55 → 70 yaş</t>
        </is>
      </c>
      <c r="F10" s="5" t="inlineStr">
        <is>
          <t>b9-emeklilik</t>
        </is>
      </c>
      <c r="G10" s="5" t="inlineStr">
        <is>
          <t>70 YAŞ</t>
        </is>
      </c>
      <c r="H10" s="6" t="inlineStr">
        <is>
          <t>Emeklisin. Zamanın bol, randevuların dolu.</t>
        </is>
      </c>
      <c r="I10" s="5" t="inlineStr">
        <is>
          <t>BÖLÜM X · SON PERDE</t>
        </is>
      </c>
    </row>
    <row r="11">
      <c r="A11" s="5" t="n">
        <v>10</v>
      </c>
      <c r="B11" s="5" t="inlineStr">
        <is>
          <t>Son Perde</t>
        </is>
      </c>
      <c r="C11" s="5" t="n">
        <v>11</v>
      </c>
      <c r="D11" s="5" t="n">
        <v>51</v>
      </c>
      <c r="E11" s="5" t="inlineStr">
        <is>
          <t>70 yaş ve sonrası</t>
        </is>
      </c>
      <c r="F11" s="5" t="inlineStr">
        <is>
          <t>son-soz</t>
        </is>
      </c>
      <c r="G11" s="5" t="inlineStr"/>
      <c r="H11" s="6" t="inlineStr"/>
      <c r="I11" s="5" t="inlineStr"/>
    </row>
  </sheetData>
  <autoFilter ref="A1:I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2026-09-28T12:08:27Z</dcterms:created>
  <dcterms:modified xmlns:dcterms="http://purl.org/dc/terms/" xmlns:xsi="http://www.w3.org/2001/XMLSchema-instance" xsi:type="dcterms:W3CDTF">2026-09-28T12:08:29Z</dcterms:modified>
</cp:coreProperties>
</file>