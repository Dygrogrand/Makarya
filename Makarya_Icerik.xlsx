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s>
  <definedNames>
    <definedName name="_xlnm._FilterDatabase" localSheetId="2" hidden="1">'Olaylar'!$A$1:$V$486</definedName>
    <definedName name="_xlnm._FilterDatabase" localSheetId="3" hidden="1">'Seçimler'!$A$1:$AJ$1840</definedName>
    <definedName name="_xlnm._FilterDatabase" localSheetId="4" hidden="1">'İç Sesler'!$A$1:$F$616</definedName>
    <definedName name="_xlnm._FilterDatabase" localSheetId="5" hidden="1">'Geçmişten'!$A$1:$C$421</definedName>
    <definedName name="_xlnm._FilterDatabase" localSheetId="6" hidden="1">'Rozetler'!$A$1:$D$57</definedName>
    <definedName name="_xlnm._FilterDatabase" localSheetId="7" hidden="1">'Hafıza'!$A$1:$D$210</definedName>
    <definedName name="_xlnm._FilterDatabase" localSheetId="8" hidden="1">'Ölüm Sebepleri'!$A$1:$E$80</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5"/>
  <sheetViews>
    <sheetView workbookViewId="0">
      <selection activeCell="A1" sqref="A1"/>
    </sheetView>
  </sheetViews>
  <sheetFormatPr baseColWidth="8" defaultRowHeight="15"/>
  <cols>
    <col width="150" customWidth="1" min="1" max="1"/>
  </cols>
  <sheetData>
    <row r="1">
      <c r="A1" s="1" t="inlineStr">
        <is>
          <t>MAKARYA · İÇERİK TABLOSU</t>
        </is>
      </c>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8">
      <c r="A8" s="2" t="inlineStr">
        <is>
          <t>ADLANDIRMA: ÖZELLİK = dokuz temel değer (Akıl, Çene, Kurnazlık, Cesaret, Pişkinlik, İtibar, Gönül, Dayanıklılık, Sosyal Radar). ROZET = zor işlerle kazanılan ödüller (Kitap Kurdu, Kantin Ekonomisti…).</t>
        </is>
      </c>
    </row>
    <row r="10">
      <c r="A10" t="inlineStr">
        <is>
          <t>SAYFALAR</t>
        </is>
      </c>
    </row>
    <row r="11">
      <c r="A11" t="inlineStr">
        <is>
          <t>Olaylar: Her satır bir olay. Olay ID benzersiz olmalı (küçük harf ve tire). Bölüm 1–10. Yaş örn. '12 yaş 6 ay'.</t>
        </is>
      </c>
    </row>
    <row r="12">
      <c r="A12" t="inlineStr">
        <is>
          <t>Seçimler: Her satır bir seçim; Olay ID ile olaya bağlanır, Sıra ile dizilir. Bir olayda 2–5 seçim olur.</t>
        </is>
      </c>
    </row>
    <row r="13">
      <c r="A13" t="inlineStr">
        <is>
          <t xml:space="preserve">   • Kesin sonuçlu seçim: 'Kesin etki' (ör. İtibar +2, Çene +1) ve 'Kesin sonuç metni' doldurulur.</t>
        </is>
      </c>
    </row>
    <row r="14">
      <c r="A14" t="inlineStr">
        <is>
          <t xml:space="preserve">   • Zarlı seçim: Özellik + Zorluk + dört sonuç metni (Başarı, Kritik başarı, Başarısız, Kritik hata).</t>
        </is>
      </c>
    </row>
    <row r="15">
      <c r="A15" t="inlineStr">
        <is>
          <t xml:space="preserve">   • Mini oyunlu seçim: zarlı seçim + Mini oyun türü + başlık + ipucu + 'Yarım (mini oyun)' metni.</t>
        </is>
      </c>
    </row>
    <row r="16">
      <c r="A16" t="inlineStr">
        <is>
          <t xml:space="preserve">   • Ölüm riski yalnızca Bölüm 6 ve sonrası (18+). Yüzde olarak yaz (ör. 3). Oyuncu bu yüzdeyi görür.</t>
        </is>
      </c>
    </row>
    <row r="17">
      <c r="A17" t="inlineStr">
        <is>
          <t xml:space="preserve">   • Bir seçim birden fazla hafıza yazabilir: virgülle ayır (ör. 'hat-polis, meslek-memur'). Kavşak sonucunda ilk hafızanın etiketi görünür.</t>
        </is>
      </c>
    </row>
    <row r="18">
      <c r="A18" t="inlineStr">
        <is>
          <t xml:space="preserve">   • Gereken varlık: seçenek yalnızca oyuncunun varlığı bu kademe ya da üstündeyse açılır (Borçlu, Kıt, Orta, Rahat, Varlıklı). Kazanç kademesi: seçim başarılı olursa varlık en az bu kademeye çıkar.</t>
        </is>
      </c>
    </row>
    <row r="19">
      <c r="A19" t="inlineStr">
        <is>
          <t xml:space="preserve">   • Bir hafızanın başına eksi koyarsan silinir (ör. '-meslek-memur, hat-koy' hattı değiştirir). 'Hat' sütunu olayı yalnızca o hattaki oyuncuya çıkarır (ör. polis, cete).</t>
        </is>
      </c>
    </row>
    <row r="20">
      <c r="A20" t="inlineStr">
        <is>
          <t xml:space="preserve">   • Lakap: seçim kritik hatayla biterse mahallenin karaktere taktığı ad (ör. 'Hıçkırık'). Bölüm sonunda ve mezar taşında görünür.</t>
        </is>
      </c>
    </row>
    <row r="21">
      <c r="A21" t="inlineStr">
        <is>
          <t xml:space="preserve">   • Gereken özellik değeri: seçenek yalnızca özellik bu değer ya da üstündeyse açılır (ör. 'İtibar 46'). İtibar kapıları kefil ve referans seçenekleri içindir.</t>
        </is>
      </c>
    </row>
    <row r="22">
      <c r="A22" t="inlineStr">
        <is>
          <t xml:space="preserve">   • Olaylar sayfasındaki 'Herhangi biri hafıza': yazılan hafızalardan en az biri varsa olay çıkar. Kavşakta, geçmişe bağlı kilitli seçenekler belirsiz bir gerekçeyle görünür.</t>
        </is>
      </c>
    </row>
    <row r="23">
      <c r="A23" t="inlineStr">
        <is>
          <t>İç Sesler: Olayın başında araya giren özellik yorumları. 'Seçenek açar' = E ise, 'İç ses açar' sütununda aynı özelliği yazan seçim ancak bu ses başarılı olursa görünür.</t>
        </is>
      </c>
    </row>
    <row r="24">
      <c r="A24" t="inlineStr">
        <is>
          <t>Geçmişten: Oyuncunun hafızasında o kayıt varsa olayda gösterilen hatırlatma cümlesi.</t>
        </is>
      </c>
    </row>
    <row r="25">
      <c r="A25" t="inlineStr">
        <is>
          <t>Rozetler: Kazanılabilir rozetler; Bonus ilgili özellik kontrollerinde zar hedefini düşürür (ör. Çene +1, Kurnazlık +1).</t>
        </is>
      </c>
    </row>
    <row r="26">
      <c r="A26" t="inlineStr">
        <is>
          <t>Hafıza: Seçimlerin yazdığı kayıtlar ve final kartındaki açıklamaları. 'Bölüm sonu cümlesi': bu hafıza o bölümde açılırsa bölüm sonunda aile büyüğünün ağzından anlatılan cümle (tırnak içinde).</t>
        </is>
      </c>
    </row>
    <row r="27">
      <c r="A27" t="inlineStr">
        <is>
          <t>Ölüm Sebepleri: 18 yaş sonrası yaşla artan arka plan riskinden ölünce mezar taşına yazılır. Mekân grubu (ev, yol, is, saglik, sosyal, kurum): neden, olayın geçtiği yere uyan gruptan seçilir; kavşak olaylarında arka plan ölümü yoktur, ölüm yalnızca seçimin kendi riskinden gelir.</t>
        </is>
      </c>
    </row>
    <row r="28">
      <c r="A28" s="2" t="inlineStr">
        <is>
          <t>Bölümler: Her bölümde bir hayatta kaç olay görüleceği (Seçilecek olay), zorluk ayarı (Beklenen özellik: o bölümde bir özelliğin olağan değeri) ve bölüm sonu ekranı.</t>
        </is>
      </c>
    </row>
    <row r="29">
      <c r="A29" t="inlineStr">
        <is>
          <t>Özet: Bölüm başına olay, mini oyun ve risk sayıları (otomatik hesaplanır).</t>
        </is>
      </c>
    </row>
    <row r="31">
      <c r="A31" t="inlineStr">
        <is>
          <t>KURALLAR (yazım yönergesinin özeti)</t>
        </is>
      </c>
    </row>
    <row r="32">
      <c r="A32" t="inlineStr">
        <is>
          <t>• Makarya, Türkiye'ye benzeyen kurgusal bir ülkedir ve günümüzde geçer.</t>
        </is>
      </c>
    </row>
    <row r="33">
      <c r="A33" t="inlineStr">
        <is>
          <t>• Marka, uygulama, kulüp, ünlü, gerçek kişi, gerçek şehir/semt/anıt, gerçek sınav ve kurum adı YOK.</t>
        </is>
      </c>
    </row>
    <row r="34">
      <c r="A34" t="inlineStr">
        <is>
          <t>• Din ve siyaset espri konusu değildir; siyasetçi yalnızca isimsiz ve genel olarak geçebilir.</t>
        </is>
      </c>
    </row>
    <row r="35">
      <c r="A35" t="inlineStr">
        <is>
          <t>• Ölüm yalnızca 18 yaşından sonra; şiddet sahne dışında; hastalık, yoksulluk, engellilik alay konusu değildir.</t>
        </is>
      </c>
    </row>
    <row r="36">
      <c r="A36" s="2" t="inlineStr">
        <is>
          <t>• Sonuç metinleri 1–2 cümle; espri son kelimede patlasın. Oyuncuya 'sen' diye hitap edilir.</t>
        </is>
      </c>
    </row>
    <row r="37">
      <c r="A37" t="inlineStr">
        <is>
          <t>• Açılır listeli sütunlarda yalnızca listedeki değerleri kullan.</t>
        </is>
      </c>
    </row>
    <row r="39">
      <c r="A39" t="inlineStr">
        <is>
          <t>DEĞERLER</t>
        </is>
      </c>
    </row>
    <row r="40">
      <c r="A40" t="inlineStr">
        <is>
          <t>Özellik: Akıl, Çene, Kurnazlık, Cesaret, Pişkinlik, İtibar, Gönül, Dayanıklılık, Sosyal Radar</t>
        </is>
      </c>
    </row>
    <row r="41">
      <c r="A41" t="inlineStr">
        <is>
          <t>Zorluk: Çok Kolay, Kolay, Orta, Zor, Çok Zor</t>
        </is>
      </c>
    </row>
    <row r="42">
      <c r="A42" t="inlineStr">
        <is>
          <t>Aile türü: ev, para, sosyal, okul-iş</t>
        </is>
      </c>
    </row>
    <row r="43">
      <c r="A43" t="inlineStr">
        <is>
          <t>Mini oyun: timing, hold, collect, race, memory, cups, doors, rhythm, lanes, simon, poker, trace, bargain, swipe, breath, balance</t>
        </is>
      </c>
    </row>
    <row r="44">
      <c r="A44"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5">
      <c r="A45"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SUMPRODUCT((COUNTIFS(Seçimler!A:A,Olaylar!A$2:A$486)&gt;0)*(Olaylar!B$2:B$486=1)*COUNTIFS(Seçimler!A:A,Olaylar!A$2:A$486))</f>
        <v/>
      </c>
    </row>
    <row r="3">
      <c r="A3" t="n">
        <v>2</v>
      </c>
      <c r="B3">
        <f>COUNTIF(Olaylar!B:B,2)</f>
        <v/>
      </c>
      <c r="C3">
        <f>COUNTIFS(Olaylar!B:B,2,Olaylar!I:I,"E")</f>
        <v/>
      </c>
      <c r="D3">
        <f>VLOOKUP(2,Bölümler!A:C,3,FALSE)</f>
        <v/>
      </c>
      <c r="E3">
        <f>SUMPRODUCT((COUNTIFS(Seçimler!A:A,Olaylar!A$2:A$486)&gt;0)*(Olaylar!B$2:B$486=2)*COUNTIFS(Seçimler!A:A,Olaylar!A$2:A$486))</f>
        <v/>
      </c>
    </row>
    <row r="4">
      <c r="A4" t="n">
        <v>3</v>
      </c>
      <c r="B4">
        <f>COUNTIF(Olaylar!B:B,3)</f>
        <v/>
      </c>
      <c r="C4">
        <f>COUNTIFS(Olaylar!B:B,3,Olaylar!I:I,"E")</f>
        <v/>
      </c>
      <c r="D4">
        <f>VLOOKUP(3,Bölümler!A:C,3,FALSE)</f>
        <v/>
      </c>
      <c r="E4">
        <f>SUMPRODUCT((COUNTIFS(Seçimler!A:A,Olaylar!A$2:A$486)&gt;0)*(Olaylar!B$2:B$486=3)*COUNTIFS(Seçimler!A:A,Olaylar!A$2:A$486))</f>
        <v/>
      </c>
    </row>
    <row r="5">
      <c r="A5" t="n">
        <v>4</v>
      </c>
      <c r="B5">
        <f>COUNTIF(Olaylar!B:B,4)</f>
        <v/>
      </c>
      <c r="C5">
        <f>COUNTIFS(Olaylar!B:B,4,Olaylar!I:I,"E")</f>
        <v/>
      </c>
      <c r="D5">
        <f>VLOOKUP(4,Bölümler!A:C,3,FALSE)</f>
        <v/>
      </c>
      <c r="E5">
        <f>SUMPRODUCT((COUNTIFS(Seçimler!A:A,Olaylar!A$2:A$486)&gt;0)*(Olaylar!B$2:B$486=4)*COUNTIFS(Seçimler!A:A,Olaylar!A$2:A$486))</f>
        <v/>
      </c>
    </row>
    <row r="6">
      <c r="A6" t="n">
        <v>5</v>
      </c>
      <c r="B6">
        <f>COUNTIF(Olaylar!B:B,5)</f>
        <v/>
      </c>
      <c r="C6">
        <f>COUNTIFS(Olaylar!B:B,5,Olaylar!I:I,"E")</f>
        <v/>
      </c>
      <c r="D6">
        <f>VLOOKUP(5,Bölümler!A:C,3,FALSE)</f>
        <v/>
      </c>
      <c r="E6">
        <f>SUMPRODUCT((COUNTIFS(Seçimler!A:A,Olaylar!A$2:A$486)&gt;0)*(Olaylar!B$2:B$486=5)*COUNTIFS(Seçimler!A:A,Olaylar!A$2:A$486))</f>
        <v/>
      </c>
    </row>
    <row r="7">
      <c r="A7" t="n">
        <v>6</v>
      </c>
      <c r="B7">
        <f>COUNTIF(Olaylar!B:B,6)</f>
        <v/>
      </c>
      <c r="C7">
        <f>COUNTIFS(Olaylar!B:B,6,Olaylar!I:I,"E")</f>
        <v/>
      </c>
      <c r="D7">
        <f>VLOOKUP(6,Bölümler!A:C,3,FALSE)</f>
        <v/>
      </c>
      <c r="E7">
        <f>SUMPRODUCT((COUNTIFS(Seçimler!A:A,Olaylar!A$2:A$486)&gt;0)*(Olaylar!B$2:B$486=6)*COUNTIFS(Seçimler!A:A,Olaylar!A$2:A$486))</f>
        <v/>
      </c>
    </row>
    <row r="8">
      <c r="A8" t="n">
        <v>7</v>
      </c>
      <c r="B8">
        <f>COUNTIF(Olaylar!B:B,7)</f>
        <v/>
      </c>
      <c r="C8">
        <f>COUNTIFS(Olaylar!B:B,7,Olaylar!I:I,"E")</f>
        <v/>
      </c>
      <c r="D8">
        <f>VLOOKUP(7,Bölümler!A:C,3,FALSE)</f>
        <v/>
      </c>
      <c r="E8">
        <f>SUMPRODUCT((COUNTIFS(Seçimler!A:A,Olaylar!A$2:A$486)&gt;0)*(Olaylar!B$2:B$486=7)*COUNTIFS(Seçimler!A:A,Olaylar!A$2:A$486))</f>
        <v/>
      </c>
    </row>
    <row r="9">
      <c r="A9" t="n">
        <v>8</v>
      </c>
      <c r="B9">
        <f>COUNTIF(Olaylar!B:B,8)</f>
        <v/>
      </c>
      <c r="C9">
        <f>COUNTIFS(Olaylar!B:B,8,Olaylar!I:I,"E")</f>
        <v/>
      </c>
      <c r="D9">
        <f>VLOOKUP(8,Bölümler!A:C,3,FALSE)</f>
        <v/>
      </c>
      <c r="E9">
        <f>SUMPRODUCT((COUNTIFS(Seçimler!A:A,Olaylar!A$2:A$486)&gt;0)*(Olaylar!B$2:B$486=8)*COUNTIFS(Seçimler!A:A,Olaylar!A$2:A$486))</f>
        <v/>
      </c>
    </row>
    <row r="10">
      <c r="A10" t="n">
        <v>9</v>
      </c>
      <c r="B10">
        <f>COUNTIF(Olaylar!B:B,9)</f>
        <v/>
      </c>
      <c r="C10">
        <f>COUNTIFS(Olaylar!B:B,9,Olaylar!I:I,"E")</f>
        <v/>
      </c>
      <c r="D10">
        <f>VLOOKUP(9,Bölümler!A:C,3,FALSE)</f>
        <v/>
      </c>
      <c r="E10">
        <f>SUMPRODUCT((COUNTIFS(Seçimler!A:A,Olaylar!A$2:A$486)&gt;0)*(Olaylar!B$2:B$486=9)*COUNTIFS(Seçimler!A:A,Olaylar!A$2:A$486))</f>
        <v/>
      </c>
    </row>
    <row r="11">
      <c r="A11" t="n">
        <v>10</v>
      </c>
      <c r="B11">
        <f>COUNTIF(Olaylar!B:B,10)</f>
        <v/>
      </c>
      <c r="C11">
        <f>COUNTIFS(Olaylar!B:B,10,Olaylar!I:I,"E")</f>
        <v/>
      </c>
      <c r="D11">
        <f>VLOOKUP(10,Bölümler!A:C,3,FALSE)</f>
        <v/>
      </c>
      <c r="E11">
        <f>SUMPRODUCT((COUNTIFS(Seçimler!A:A,Olaylar!A$2:A$486)&gt;0)*(Olaylar!B$2:B$486=10)*COUNTIFS(Seçimler!A:A,Olaylar!A$2:A$486))</f>
        <v/>
      </c>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49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c r="W1" s="4" t="inlineStr">
        <is>
          <t>Asgari varlık</t>
        </is>
      </c>
      <c r="X1" s="4" t="inlineStr">
        <is>
          <t>Azami varlık</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senden bir ses bekliyor; biri çoktan “Kime benziyor?” tartışmasını başlattı.</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Nöbeti</t>
        </is>
      </c>
      <c r="F3" s="6" t="inlineStr">
        <is>
          <t>Saat üç. Annen yarı uyuyor, baban yarı uyanık. Senin nöbetin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 teyze fazla hızlı, fazla gülerek geldi. Elleri yanaklarına uzanıyor: “Yerim seni!” Ciddi olup olmadığı belli değil.</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Sehpada dokunmaman gereken parlak bir şey var: misafir gelince vitrinden inen kristal şekerlik. Bu bilgi şekerliği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Kuzeninin doğum günü. Masada bir pasta, bir mum ve seni ilgilendirmeyen bir sürü kural: önce şarkı, sonra mum, sonra dilim. Sen sadece pastayı gördün.</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Deden “Kimseye verme” dedi. Annen “Ağzına atma” dedi. İki kural, bir avuç.</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Kum havuzunda başka bir çocuk kovanı aldı. Onun annesi görmedi; seninki gördü ve “Paylaş” dedi. Yalnızsın.</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Büyükler Konuşuyor</t>
        </is>
      </c>
      <c r="F13" s="6" t="inlineStr">
        <is>
          <t>Salonda büyükler konuşuyor; çay ikinci demde, sesler alçak. Sana “Sen git oyna” dendi. Adın iki kez geçti.</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Kural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Kreşin ilk haftası. Kum havuzunda senin boyunda bir çocuk var: elinde kürek, burnunda sümük, gözü sende. Öğretmen ikinizi yan yana oturttu: “Hadi bakalım, arkadaş olun.” Emirle arkadaş olunur mu, ikiniz de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Kreşte bir çocuk elindeki arabayı aldı ve “Bu kreşin” dedi. Haklı. Ama araba senin elindeydi.</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suyu senin döktüğünü sanıyor. Dökmedin; ama bardak senin önündeydi, elin de ıslak. Büyükler de yanılıyormuş.</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koca bir çocuk oturuyor; yedi yaşında var, ön dişi yok. Ne kayıyor ne kimseyi çıkarıyor. Aşağıdan “Hadi ama!” diyen küçüklere tek bir cevabı var: “Burası benim.”</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 sırasındasın; şekerler tam senin göz hizana dizilmiş, annenin değil. Annen markete girmeden uyarmıştı: “Bugün şeker yok, anlaştık mı?” Anlaşmamıştınız; sen sadece başını sallamıştın.</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Alt kattaki çocuğun doğum günü. Pasta onun, balonlar onun, hediyeler onun. Annen kapıda son kez fısıldadı: “Hediyeleri o açacak, sen değil.”</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Kuzeninin odasında, rafın en üstünde kocaman, parlak kırmızı bir itfaiye arabası duruyor. Halan kapıdan uyardı: “O yeni, dokunmayın.” Odadaki dört çocuk o andan beri yalnızca ona bakıyor.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Buzdolabındaki misafir pastasının bir köşesi eksik; tam çikolatalı köşesi. Annen pastaya baktı, sonra senin dudağının kenarına: “Bunu kim yedi?” Bu kez ne yaptığını biliyorsun. Annen de biliyor gibi bakıyor.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apartmanın altında; annen balkondan izliyor. Bakkal her şeyi biliyor gibi bakıyor; annen de.</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Parkta, ayağının dibinde parlak bir bozuk para var. Sahibi görünmüyor. Annen de görünmüyor; bankta komşu teyzeyle termostan üçüncü çayı içiyor.</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3</v>
      </c>
      <c r="C27" s="5" t="inlineStr">
        <is>
          <t>7 yaş</t>
        </is>
      </c>
      <c r="D27" s="5" t="inlineStr">
        <is>
          <t>⚽</t>
        </is>
      </c>
      <c r="E27" s="6" t="inlineStr">
        <is>
          <t>Takım Seçiliyor</t>
        </is>
      </c>
      <c r="F27" s="6" t="inlineStr">
        <is>
          <t>Teneffüste maç. İki kaptan karşılıklı ayak ayak yürüyor; ayağı üste gelen ilk seçecek. Sen kale direği yapılan çantaların yanında bekliyorsun.</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Kreşte öğretmen sordu: “Büyüyünce ne olacaksın?” “Kedi” dedin; bütün gün uyuyor, kimse kızmıyor. Üç çocuk kahkahayı bastı. Neyin komik olduğunu hâlâ anlamadın.</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Sıra arkadaşın kulağına eğildi, eliyle ağzını kapattı: “Benim dedemin dişleri çıkıyor. Geceleri bardağa koyuyor.” Sonra ekledi: “Kimseye söyleme.” Hayatında duyduğun en büyük sır bu.</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Komşu teyze çaya geldi, oğlunu da getirdi. Çaylar gelmeden başladı: “Bizimki okumayı söktü.” Annen elindeki şekerliği bıraktı: “Bizimki de alfabeyi tersten söylüyor.” Bu senin için de haberdi.</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Babanın bayramda aldığı konuşan robotun kolu elinde kaldı. Kırmak istememiştin; kolu bir tur daha çevirmiştin, o kadar. Robot son kez “Merhaba dostum!” dedi ve sustu.</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Sokakta yarış var: apartmanın kapısından bakkalın önüne kadar. Kurallar her dakika değişiyor; en büyük çocuk ne derse o. Bakkal sandalyesini kapıya çekti; bitiş çizgisi artık o.</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Pazar akşamı. Baban cüzdanını açtı: “Bundan sonra her hafta harçlığın var.” Avucuna iki bozukluk koydu. Sen bozukluklara baktın, sonra cüzdana; cüzdanda daha çok vardı.</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Annen önlüğü üçüncü kez ütüledi; okula daha koca bir kış var.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sıralar, bir sürü kural. Üstünde yepyeni bir önlük, yakanda annenin iğneyle taktığı nazar boncuğu. Kapıda ağlayan veliler var; ağlayanlar sizinkiler.</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Okulun ilk günü. Annen hâlâ camın arkasından el sallıyor; öğretmen perdeyi çekti ve sordu: “Kim okumayı biliyor?” Yirmi sekiz çocuğun yarısı el kaldırdı, yarısı perdeye baktı.</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on dakika, kantin kuyruğu on iki dakika. Kantinci tek başına: bir elinde tost makinesinin kapağı, öbüründe para üstü. Öndeki üçüncü sınıflar seni görmüyor bile.</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servis kapıda korna çalıyor. Ödev defteri ne çantada ne masada. Annen bir yandan saçını tarıyor, bir yandan soruyor: “Yaptın, değil mi?”</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kolonyalar döküldü, zarflar cebe girdi. Cebin hiç bu kadar kalın olmamıştı.</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birinci kattaki balkonun korkuluğuna takıldı. Balkonun sahibi teyze memlekette. Bahçedeki dut ağacının bir dalı tam o korkuluğa uzanıyor.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Bir Kedi Daha</t>
        </is>
      </c>
      <c r="F46" s="6" t="inlineStr">
        <is>
          <t>Bakkalın kedisi doğurdu; yavrular dağıtılıyor. Akşam yemeğinde konu açıldı: Bir tane de bize mi? Evin kedisi peteğin üstünden kulak kabartıyor. Babaannen şimdiden kaşlarını çattı.</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Annen içeride, öğretmenin karşısında. Sen koridorda, kapının önündeki sandalyedesin. İçeriden arada bir adın duyuluyor, arada bir de annenin “Yok canım!” demesi.</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Daha ekran koruyucusu takılmadan baban telefonu aldı, gözlüğünü taktı ve bir saat boyunca “ebeveyn denetimi” kurdu. Sonra uzattı: “Güle güle kullan.”</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öğretmen hediyesi için para toplanıyor. Bir anne “Herkes eşit versin” yazdı, öbür anne “Gönüllü olsun” diye cevap verdi. Üç baba ikisine birden başparmak bıraktı.</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Saat 23.14'te. Bu saatte gelen beğeni sıradan bir beğeni değildir. Ekranı yirminci kez açtın.</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Bayram tatili, kuzenin yatıya kaldı. 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Baban akşam eve bir dershane broşürüyle geldi, sofraya bıraktı: “Bir bak hele.” Broşürde gülümseyen öğrenciler var, fiyat küçük puntolu. Annen gözlüğünü taktı, fiyata baktı, gözlüğünü çıkardı.</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salonda sekiz komşunun oturduğunu gördün. Aidat artışı konuşuluyor; ortada bir tabak kuru pasta, kapıda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annenin dikiş makinesi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Takipçi Avı</t>
        </is>
      </c>
      <c r="F74" s="6" t="inlineStr">
        <is>
          <t>Kısa video hesabının 47 takipçisi var. On ikisi akraba, üçü sensin, biri köşedeki bakkal. Kırk sekizinci kişiyi nereden bulacaksın?</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Köşedeki üç çocuk iki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“Selam”dan bu yana bir buçuk yıl geçti: dört yüz mesaj, sıfır buluşma. Sonunda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sonuçları panoya asıldı. Herkes listeye yukarıdan bakmaya başladı. Sen aşağıdan başladın; daha hızlı.</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kimse seni tanımıyor. Annen arkandan son kez seslendi: “Sıra arkadaşını iyi seç!” Bütün koridor duydu.</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babanın cüzdanına bakarak konuşuyor: “Bu yaş çok kritik.” Baban cüzdanı yavaşça arka cebine geri koydu.</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is>
          <t>okulu-birakti</t>
        </is>
      </c>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is>
          <t>okulu-birakti</t>
        </is>
      </c>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Tarife tanıdık; tahsildarlar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Parkta İlk Yüz Yüze</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is>
          <t>ilk-bulusma-oldu</t>
        </is>
      </c>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 yeni bir uygulamaya geçti: her not, girildiği saniye annenin telefonuna düşüyor. Annen bildirim sesini sonuna kadar açtı.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Lise Gezisi</t>
        </is>
      </c>
      <c r="F96" s="6" t="inlineStr">
        <is>
          <t>Sınıf gezisi. Otobüs okulun önünde, annen camdan poğaça uzatıyor.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Saç kurutma makinesini mikrofon yapıp söylediğin on beş saniyelik şarkı bir gecede patladı. Sayı her yenilemede artıyor. Kahvaltıda baban telefonu sana çevirdi: “Bu sen misin?”</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Yaz İşinin Zarfı</t>
        </is>
      </c>
      <c r="F99" s="6" t="inlineStr">
        <is>
          <t>Yaz boyunca çalıştın ve eline ilk zarf geçti. Zarf ince, ama senin.</t>
        </is>
      </c>
      <c r="G99" s="5" t="inlineStr">
        <is>
          <t>ev</t>
        </is>
      </c>
      <c r="H99" s="5" t="inlineStr">
        <is>
          <t>para</t>
        </is>
      </c>
      <c r="I99" s="5" t="inlineStr"/>
      <c r="J99" s="5" t="inlineStr"/>
      <c r="K99" s="5" t="inlineStr"/>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Bu cümleyle başlayıp iyi biten bir konuşma bu mahallede hiç duyulmadı.</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İki kaptan sırayla takım seçiyor. Sen hâlâ ayaktasın ve sayı azalıyor.</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is>
          <t>okulu-birakti</t>
        </is>
      </c>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Öte Diyar Hayali</t>
        </is>
      </c>
      <c r="F105" s="6" t="inlineStr">
        <is>
          <t>Gece üç. Öte Diyar'daki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Ev Boş</t>
        </is>
      </c>
      <c r="F107" s="6" t="inlineStr">
        <is>
          <t>Bir arkadaşın ailesi hafta sonu memlekete gitti. “Küçük bir şey yapıyoruz” dendi.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Mahalledeki pidecinin bisikletli kuryesi oldun. Siparişler uygulamadan düşüyor, pideci arkandan bağırıyor: “On dört dakika demişler, koş!” Yokuştan kimse bahsetmedi.</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Ders salonda, misafir masasında yapılacak. Annen öğretmen için kristal şekerliği çıkardı; sana bir şey çıkarmadı.</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8 ay</t>
        </is>
      </c>
      <c r="D111" s="5" t="inlineStr">
        <is>
          <t>📵</t>
        </is>
      </c>
      <c r="E111" s="6" t="inlineStr">
        <is>
          <t>Telefon Emanette</t>
        </is>
      </c>
      <c r="F111" s="6" t="inlineStr">
        <is>
          <t>Sınava iki ay kala aile kararı: telefonun emanete alındı. Baban telefonu çekmeceye kilitledi: “Sınavdan sonra.” Annen arkasından ekledi: “Biz de sana mesaj atmayız, merak etme.”</t>
        </is>
      </c>
      <c r="G111" s="5" t="inlineStr">
        <is>
          <t>ev</t>
        </is>
      </c>
      <c r="H111" s="5" t="inlineStr">
        <is>
          <t>ev</t>
        </is>
      </c>
      <c r="I111" s="5" t="inlineStr"/>
      <c r="J111" s="5" t="inlineStr"/>
      <c r="K111" s="5" t="inlineStr"/>
      <c r="L111" s="5" t="inlineStr">
        <is>
          <t>okulu-birakti</t>
        </is>
      </c>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birazdan havaya atılacak ve kimse kendi kepini geri bulamayacak. Annen ön sırada; telefonu bir saattir kayıtta.</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2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Hesaba Yatan 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market boş, ışık fazla parlak. Gelen herkes ya ekmek arıyor ya konuşacak birini; ikincisinin reyonu yok.</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is>
          <t>evde-kaldi, yurtdisi-universite</t>
        </is>
      </c>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11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is>
          <t>bolum-hukuk, bolum-emniyet, bolum-tip</t>
        </is>
      </c>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 4 ay</t>
        </is>
      </c>
      <c r="D132" s="5" t="inlineStr">
        <is>
          <t>🏋️</t>
        </is>
      </c>
      <c r="E132" s="6" t="inlineStr">
        <is>
          <t>Yıllık Üyelik</t>
        </is>
      </c>
      <c r="F132" s="6" t="inlineStr">
        <is>
          <t>Yılbaşı kampanyası: aylık fiyatın yarısına bir yıl. Yeni yıldaki kendine güvendin. O hâlâ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Üniversite, ortak programla öğrencilerini bir dönem Öte Diyar'a gönderiyor: değişim programı. Burs oradaki kiranın yarısı, başvuru formu sekiz sayfa. Annen ilanı görünce önce “Orada ne yiyeceksin?” diye sordu.</t>
        </is>
      </c>
      <c r="G133" s="5" t="inlineStr">
        <is>
          <t>universite</t>
        </is>
      </c>
      <c r="H133" s="5" t="inlineStr"/>
      <c r="I133" s="5" t="inlineStr"/>
      <c r="J133" s="5" t="inlineStr"/>
      <c r="K133" s="5" t="inlineStr">
        <is>
          <t>universiteli</t>
        </is>
      </c>
      <c r="L133" s="5" t="inlineStr">
        <is>
          <t>bolum-emniyet, yurtdisi-universite, okulu-birakti</t>
        </is>
      </c>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is>
          <t>bolum-tip</t>
        </is>
      </c>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7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11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is>
          <t>hat-hekim</t>
        </is>
      </c>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 hat-cete</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is>
          <t>hat-polis, hat-yargi, hat-hekim, hat-politika</t>
        </is>
      </c>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is>
          <t>hat-girisimci, hat-sohret, hat-dolandirici</t>
        </is>
      </c>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is>
          <t>hat-polis, hat-yargi, meslek-memur, hat-hekim, meslek-esnaf, hat-koy, hat-cete</t>
        </is>
      </c>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is>
          <t>hat-hekim</t>
        </is>
      </c>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11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21 yaş 6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 usta-eli</t>
        </is>
      </c>
      <c r="L147" s="5" t="inlineStr">
        <is>
          <t>hat-usta</t>
        </is>
      </c>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is>
          <t>hat-cete</t>
        </is>
      </c>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Kapının önünde de bir sıra insan; hepsi senin imzanı bekliyor.</t>
        </is>
      </c>
      <c r="G149" s="5" t="inlineStr">
        <is>
          <t>devlet-dairesi</t>
        </is>
      </c>
      <c r="H149" s="5" t="inlineStr"/>
      <c r="I149" s="5" t="inlineStr"/>
      <c r="J149" s="5" t="inlineStr"/>
      <c r="K149" s="5" t="inlineStr">
        <is>
          <t>meslek-memur</t>
        </is>
      </c>
      <c r="L149" s="5" t="inlineStr">
        <is>
          <t>hat-polis, hat-yargi, hat-hekim, hat-politika</t>
        </is>
      </c>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is>
          <t>hat-girisimci, hat-sohret, hat-dolandirici</t>
        </is>
      </c>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“Doktordan,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is>
          <t>meslek-beyazyaka</t>
        </is>
      </c>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is>
          <t>hat-hekim</t>
        </is>
      </c>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is>
          <t>hat-cete</t>
        </is>
      </c>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is>
          <t>hat-polis, hat-yargi, hat-hekim, hat-politika</t>
        </is>
      </c>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is>
          <t>evde-kaldi, aile-dairesi, hat-koy</t>
        </is>
      </c>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Terliklisin.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is>
          <t>hat-girisimci, hat-sohret, hat-dolandirici</t>
        </is>
      </c>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is>
          <t>hat-polis, hat-yargi, meslek-memur, hat-hekim</t>
        </is>
      </c>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25 yaş 5 ay</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 hat-koy</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Annen fotoğrafı sana iletmiş, altına tek satır yazmış: “Bak, o da senin sınıfındaydı.”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 hat-hekim</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 hat-cete</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 hat-polis, hat-yargi, hat-hekim, hat-politika</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 hat-girisimci, hat-sohret, hat-dolandirici</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Bir İkinci El Daha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yanağını sıkıyor, aynı cümleyi kuruyor: “Sıra sende!” Cümle aynı, tonlar farklı. Biri tehdit gibi söyledi.</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ev</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 hat-hekim</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 hat-cete</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10 ay</t>
        </is>
      </c>
      <c r="D175" s="5" t="inlineStr">
        <is>
          <t>🪙</t>
        </is>
      </c>
      <c r="E175" s="6" t="inlineStr">
        <is>
          <t>Takı Merasimi</t>
        </is>
      </c>
      <c r="F175" s="6" t="inlineStr">
        <is>
          <t>Sahnedesin. Önünde yüz kişilik bir kuyruk, yanında takı defterini tutan bir amca. Orkestra her takıyı mikrofondan duyuruyor: “Gelinin halasından bir bilezik!” Kim ne taktı, defterde; kim takmadı, amcanın aklında.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11 ay</t>
        </is>
      </c>
      <c r="D176" s="5" t="inlineStr">
        <is>
          <t>🏝️</t>
        </is>
      </c>
      <c r="E176" s="6" t="inlineStr">
        <is>
          <t>Balayı</t>
        </is>
      </c>
      <c r="F176" s="6" t="inlineStr">
        <is>
          <t>Her şey dahil otel. Bilekliğin turuncu: açık büfe sınırsız, spa'nın kapısındaki görevli ise bileğine bakıp başını iki yana sallıyor. Annen günde üç kez arayıp “Yemek yiyor musunuz?” diye soruyor.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 hat-girisimci, hat-sohret, hat-dolandirici</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30 yaş 1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 hat-polis, hat-yargi, hat-hekim, hat-politika</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 5 ay</t>
        </is>
      </c>
      <c r="D183" s="5" t="inlineStr">
        <is>
          <t>🏋️</t>
        </is>
      </c>
      <c r="E183" s="6" t="inlineStr">
        <is>
          <t>Yeni Yıl, Aynı Kampanya</t>
        </is>
      </c>
      <c r="F183" s="6" t="inlineStr">
        <is>
          <t>Geçen kışın pantolonu bu sabah kapanmadı. Salon yılbaşı kampanyası yapıyor: yıllık üyelik, aylık fiyatın yarısına. Eğitmen, karın kaslarını göstermeden konuşmayı bitiremiyor.</t>
        </is>
      </c>
      <c r="G183" s="5" t="inlineStr">
        <is>
          <t>sokak</t>
        </is>
      </c>
      <c r="H183" s="5" t="inlineStr"/>
      <c r="I183" s="5" t="inlineStr"/>
      <c r="J183" s="5" t="n">
        <v>1</v>
      </c>
      <c r="K183" s="5" t="inlineStr"/>
      <c r="L183" s="5" t="inlineStr">
        <is>
          <t>hapis, hat-koy</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 hat-girisimci, hat-sohret, hat-dolandirici</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 hat-cete</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26 yaş 11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 hat-hekim</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 hat-polis, hat-yargi, hat-hekim, hat-politika</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31 yaş 2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Saat Üç</t>
        </is>
      </c>
      <c r="F191" s="6" t="inlineStr">
        <is>
          <t>Saat üç. Bebek uyanık, sen de. Otuz iki yıl önce annen de bu saatte seni böyle sallamış, sabah yedide de kahvaltıyı hazırlamış. Arayıp teşekkür etmek istiyorsun; annen mışıl mışıl uyuyor.</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 evde-kaldi, hat-koy</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 hat-girisimci, hat-sohret, hat-dolandirici</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Pazar kahvaltısı. Çocuğun bir yaşında; kaşığı bıraktı, ağzını açtı. Masada herkes çatalını havada dondurdu. Üç telefon kayıtta, iki büyükanne nefesini tutmuş.</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beş yaş partisindesin. Salonda on dört çocuk, on iki veli, bir palyaço ve sen; tek çocuksuz sensin. Elinde balonla bir çocuk yanına geldi: “Senin çocuğun hangisi?”</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 hat-hekim</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Kapıda bir baba ile oğlu. Baba çocuğu hafifçe öne itti: “Okulla arası yok ama eli yatkın. Adam et usta.” Usta sensin. Bu kelimeyi ilk kez senin için kullandılar.</t>
        </is>
      </c>
      <c r="G198" s="5" t="inlineStr">
        <is>
          <t>dukkan</t>
        </is>
      </c>
      <c r="H198" s="5" t="inlineStr"/>
      <c r="I198" s="5" t="inlineStr"/>
      <c r="J198" s="5" t="inlineStr"/>
      <c r="K198" s="5" t="inlineStr">
        <is>
          <t>meslek-esnaf</t>
        </is>
      </c>
      <c r="L198" s="5" t="inlineStr">
        <is>
          <t>hapis, hat-cete</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 müdürü gözlüğünün üstünden bakıyor: “Çocuğunuzun sosyal becerileri nasıl?” Çocuğun o sırada halıdaki peluş tavşanın kulağını kemiriyor. Müdür bekliyor, sonra ekliyor: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 hat-polis, hat-yargi, hat-hekim, hat-politika</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Gece ikiyi kırk geçiyor. Çocuğunun ateşi otuz dokuz buçuk; kucağında uyuyor, nefesi sıcak. Elindeki sıra numarası 47, pano 31'de. Pano yarım saattir kıpırdamadı.</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 hat-girisimci, hat-sohret, hat-dolandirici</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Anaokulunun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 hat-hekim</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Kapıda mahallenin teyzeleri, her biri “Geçen sene bu daha ucuzdu” diye başlıyor. Sezonun son malı da en üst rafta, toz içinde.</t>
        </is>
      </c>
      <c r="G209" s="5" t="inlineStr">
        <is>
          <t>dukkan</t>
        </is>
      </c>
      <c r="H209" s="5" t="inlineStr"/>
      <c r="I209" s="5" t="inlineStr"/>
      <c r="J209" s="5" t="inlineStr"/>
      <c r="K209" s="5" t="inlineStr">
        <is>
          <t>meslek-esnaf</t>
        </is>
      </c>
      <c r="L209" s="5" t="inlineStr">
        <is>
          <t>hapis, hat-cete</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 altı yaşına giriyor; tema uzay. Anaokulundaki son partide sihirbaz da vardı, köpük makinesi de. Çocuğun her akşam yatmadan soruyor: “Bizimkinde ne olacak?”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 hat-polis, hat-yargi, hat-hekim, hat-politika</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 Yaş Envanteri</t>
        </is>
      </c>
      <c r="F214" s="6" t="inlineStr">
        <is>
          <t>Kırk yaşına girdin. Annen sabah yedide aradı: “Kırk oldun, benim için hâlâ bebeksin.” Aynanın karşısında bir sayım yaptın: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Kuaför aynayı arkana tuttu. Tepede bir boşluk var. Kuaför “Işıktan öyle görünüyor” dedi, koltuğu pencereye çevirdi. Gün ışığında daha da öyle göründü.</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Posta kutusundan kahverengi bir zarf çıktı. Kahverengi zarftan iyi haber çıkmaz; çıkmadı. Yirmi yıldır çalışıyorsun, devletin defterinde dört ay görünüyor.</t>
        </is>
      </c>
      <c r="G217" s="5" t="inlineStr">
        <is>
          <t>devlet-dairesi</t>
        </is>
      </c>
      <c r="H217" s="5" t="inlineStr"/>
      <c r="I217" s="5" t="inlineStr"/>
      <c r="J217" s="5" t="n">
        <v>1</v>
      </c>
      <c r="K217" s="5" t="inlineStr">
        <is>
          <t>meslek-serbest</t>
        </is>
      </c>
      <c r="L217" s="5" t="inlineStr">
        <is>
          <t>hapis, hat-girisimci, hat-sohret, hat-dolandirici</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46 yaş</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teyzen “Ekmeksiz doyulmaz” deyip tabağına üçüncü dilimi koydu. Bu sabah tartı bir kilo fazla gösterdi. Tartı teyzeni tanımıyor.</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 hat-hekim</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 hat-cete</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 hat-polis, hat-yargi, hat-hekim, hat-politika</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Arkandaki teyze uzanıp okudu: “Şekersiz, evladım.”</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otuz sekiz sayfa. Proje özeti yüz elli kelimeyi geçmemeli. Hayatın geçiyor.</t>
        </is>
      </c>
      <c r="G227" s="5" t="inlineStr">
        <is>
          <t>ev</t>
        </is>
      </c>
      <c r="H227" s="5" t="inlineStr"/>
      <c r="I227" s="5" t="inlineStr"/>
      <c r="J227" s="5" t="n">
        <v>1</v>
      </c>
      <c r="K227" s="5" t="inlineStr">
        <is>
          <t>meslek-serbest</t>
        </is>
      </c>
      <c r="L227" s="5" t="inlineStr">
        <is>
          <t>hapis, hat-girisimci, hat-sohret, hat-dolandirici</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50 yaş 6 ay</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 hat-hekim</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 hat-cete</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 zirve, memur-terfi, hat-polis, hat-yargi, hat-hekim, hat-politika</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Boğazına bir cümle yükseldi; anne-babandan duyup asla kurmayacağına yemin ettiğin cümle: “Biz senin yaşındayken…”</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 hat-girisimci, hat-sohret, hat-dolandirici</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30. Yıl Buluşması</t>
        </is>
      </c>
      <c r="F238" s="6" t="inlineStr">
        <is>
          <t>Lise mezuniyetinin 30. yılı. Restoranın üst katı, canlı müzik, duvarda eski sınıf fotoğrafı. Herkes önce yüzüne, sonra saçına, sonra fotoğrafta seni arıyor.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grubuna amcan yazdı: “Yarın 15.00'te bütün telefonlar patlayacak, kapatın! Çok paylaşın.” Saat gece 03.12; mesaj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 hat-hekim</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 hat-cete</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 hat-polis, hat-yargi, hat-hekim, hat-politika</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Dizlerin ve kardiyoloğun aynı soruyu sordu: “Emin misin?”</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var. Baban kutuya baktı: “Bize kutu mu lazım, aklımız yerinde.” Sonra öğle ilacının hangisi olduğunu sordu.</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 hat-hekim</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 hat-girisimci, hat-sohret, hat-dolandirici</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Annene evde bakım maaşı bağlatmak için daireye geldin. Elinde heyet raporu, kimlik fotokopisi, iki vesikalık. Sıra numaran 347; ekran bir saattir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Alt kattaki teyze kapıyı çaldı: “Bir tanıdığın tanıdığı var, o da yalnız. Bir kahve içseniz?” Buluşma kafede, saat 19.00. En son ilk buluşmaya gittiğinde telefonun kapaklıydı.</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 zirve, hat-cete</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 hat-polis, hat-yargi, hat-hekim, hat-politika</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“Bizimki teknolojiye karşı.”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eğitimini zorunlu yaptı. Eğitmen yirmi üç yaşında. İlk sorusu sana: “Bilgisayarı açabiliyor musunuz?”</t>
        </is>
      </c>
      <c r="G256" s="5" t="inlineStr">
        <is>
          <t>ofis</t>
        </is>
      </c>
      <c r="H256" s="5" t="inlineStr">
        <is>
          <t>okul-iş</t>
        </is>
      </c>
      <c r="I256" s="5" t="inlineStr"/>
      <c r="J256" s="5" t="n">
        <v>1</v>
      </c>
      <c r="K256" s="5" t="inlineStr">
        <is>
          <t>meslek-beyazyaka</t>
        </is>
      </c>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51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Telefonu sehpaya koydun, iki adım geri çekildin, gözlerini kıstın. Mesaj: 'Tamam.'</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'Güzel bir Salı olsun'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sabah kimin çekiştirileceğine karar verir.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Emeklilik tarihini telefondan sorguladın. Ekrandaki tarihi okudun, gözlüğünü sildin, yine okudun. Ekranı yan masaya uzattın; o da gözlüğünü sildi. Değişmedi.</t>
        </is>
      </c>
      <c r="G263" s="5" t="inlineStr">
        <is>
          <t>devlet-dairesi</t>
        </is>
      </c>
      <c r="H263" s="5" t="inlineStr">
        <is>
          <t>para</t>
        </is>
      </c>
      <c r="I263" s="5" t="inlineStr"/>
      <c r="J263" s="5" t="n">
        <v>1</v>
      </c>
      <c r="K263" s="5" t="inlineStr">
        <is>
          <t>meslek-beyazyaka</t>
        </is>
      </c>
      <c r="L263" s="5" t="inlineStr">
        <is>
          <t>hapis, hat-hekim</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1.825 gün.' Her sabah bir çizgi çekiyorsun.</t>
        </is>
      </c>
      <c r="G264" s="5" t="inlineStr">
        <is>
          <t>devlet-dairesi</t>
        </is>
      </c>
      <c r="H264" s="5" t="inlineStr"/>
      <c r="I264" s="5" t="inlineStr"/>
      <c r="J264" s="5" t="inlineStr"/>
      <c r="K264" s="5" t="inlineStr">
        <is>
          <t>meslek-memur</t>
        </is>
      </c>
      <c r="L264" s="5" t="inlineStr">
        <is>
          <t>hapis, hat-polis, hat-yargi, hat-hekim, hat-politika</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58 yaş</t>
        </is>
      </c>
      <c r="D266" s="5" t="inlineStr">
        <is>
          <t>👶</t>
        </is>
      </c>
      <c r="E266" s="6" t="inlineStr">
        <is>
          <t>İlk Torun</t>
        </is>
      </c>
      <c r="F266" s="6" t="inlineStr">
        <is>
          <t>Hastane koridorunda bir kapı açıldı ve kucağına bir bebek kondu. Cebinde iki gündür bir çeyrek altın bekliyor; ellerin titriyor, iğneyi bir türlü takamıyorsun.</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Kahvede yaşıtların ikramiyelerini konuşuyor: biri yazlık diyor, biri araba. Sıra sana geldi. 'Ben ay sonunu hesaplıyorum' dedin. Masada kimse gülmedi, çünkü şaka değildi.</t>
        </is>
      </c>
      <c r="G267" s="5" t="inlineStr">
        <is>
          <t>ev</t>
        </is>
      </c>
      <c r="H267" s="5" t="inlineStr">
        <is>
          <t>para</t>
        </is>
      </c>
      <c r="I267" s="5" t="inlineStr"/>
      <c r="J267" s="5" t="n">
        <v>1</v>
      </c>
      <c r="K267" s="5" t="inlineStr">
        <is>
          <t>meslek-serbest</t>
        </is>
      </c>
      <c r="L267" s="5" t="inlineStr">
        <is>
          <t>hapis, hat-girisimci, hat-sohret, hat-dolandirici</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 hat-cete</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telefonda patronunu anlatıyor. Senin bu konuda otuz yıllık anlatacağın var; dilinin ucunda bekliyor. Kimse sormadı.</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Saksı, toprak, gübre, sulama kabı: hesapladın, her domates pazardaki bir kasa domatese geliyor. Hesabı kimseye söylemedin.</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60 yaş</t>
        </is>
      </c>
      <c r="D273" s="5" t="inlineStr">
        <is>
          <t>📂</t>
        </is>
      </c>
      <c r="E273" s="6" t="inlineStr">
        <is>
          <t>Genç Memura Devir</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 hat-polis, hat-yargi, hat-hekim, hat-politika</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Telefonuna bir yapay zekâ asistanı gelmiş; ne zaman kurulduğunu bilmiyorsun.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62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 hat-hekim</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 otuz dakikada sen, berber ve kapıcı birbirinizi iki kez aradınız.</t>
        </is>
      </c>
      <c r="G277" s="5" t="inlineStr">
        <is>
          <t>dukkan</t>
        </is>
      </c>
      <c r="H277" s="5" t="inlineStr"/>
      <c r="I277" s="5" t="inlineStr"/>
      <c r="J277" s="5" t="inlineStr"/>
      <c r="K277" s="5" t="inlineStr">
        <is>
          <t>meslek-esnaf</t>
        </is>
      </c>
      <c r="L277" s="5" t="inlineStr">
        <is>
          <t>hapis, hat-cete</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herkesin imzaladığı bir veda kartı; imzaların yarısını tanımıyorsun.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Otuz beş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 hat-girisimci, hat-sohret, hat-dolandirici</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işi olmaktan çıktı: çarşamba sabahı, file cebinde, pazar arabasının tekerleği yağlanmış. Komşu teyze de seninle; listesi seninkinden uzun.</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60 yaş 6 ay</t>
        </is>
      </c>
      <c r="D283" s="5" t="inlineStr">
        <is>
          <t>🎂</t>
        </is>
      </c>
      <c r="E283" s="6" t="inlineStr">
        <is>
          <t>Veda Çayı</t>
        </is>
      </c>
      <c r="F283" s="6" t="inlineStr">
        <is>
          <t>Emekliliğine bir ay var. Daire sana erken bir veda çayı düzenledi: biri börek, biri kolonya getirdi, biri de otuz yıl önce senden kaybolan zımbayı. Müdür bir konuşma yapmanı bekliyor.</t>
        </is>
      </c>
      <c r="G283" s="5" t="inlineStr">
        <is>
          <t>devlet-dairesi</t>
        </is>
      </c>
      <c r="H283" s="5" t="inlineStr"/>
      <c r="I283" s="5" t="inlineStr"/>
      <c r="J283" s="5" t="inlineStr"/>
      <c r="K283" s="5" t="inlineStr">
        <is>
          <t>meslek-memur</t>
        </is>
      </c>
      <c r="L283" s="5" t="inlineStr">
        <is>
          <t>hapis, hat-polis, hat-yargi, hat-hekim, hat-politika</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Bunca yıllık evliliğin ilk yirmi dört saati aynı odada geçti. İkinci gün kumanda kimde kalacak diye üç kez tartıştınız; üçünü de eşin kazandı.</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60 yaş 6 ay</t>
        </is>
      </c>
      <c r="D286" s="5" t="inlineStr">
        <is>
          <t>🏅</t>
        </is>
      </c>
      <c r="E286" s="6" t="inlineStr">
        <is>
          <t>Veda Plaketi</t>
        </is>
      </c>
      <c r="F286" s="6" t="inlineStr">
        <is>
          <t>Emekliliğine iki hafta var. Ekip sana erken bir veda yaptı: bir pasta, üç konuşma ve bir plaket. Plakette adın yanlış yazılmış.</t>
        </is>
      </c>
      <c r="G286" s="5" t="inlineStr">
        <is>
          <t>ofis</t>
        </is>
      </c>
      <c r="H286" s="5" t="inlineStr"/>
      <c r="I286" s="5" t="inlineStr"/>
      <c r="J286" s="5" t="n">
        <v>1</v>
      </c>
      <c r="K286" s="5" t="inlineStr">
        <is>
          <t>meslek-beyazyaka</t>
        </is>
      </c>
      <c r="L286" s="5" t="inlineStr">
        <is>
          <t>hapis, hat-hekim</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60 yaş 3 ay</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 hat-cete</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dondu ve sana getirildi: 'Sen tamir edersin.' Torun altı yaşında; senin her şeyi bildiğine hâlâ inanıyor.</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 maaşında bir eksik çıktı. Düzeltmek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 hat-polis, hat-yargi, hat-hekim, hat-politika</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 hat-girisimci, hat-sohret, hat-dolandirici</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is>
          <t>cocuklu</t>
        </is>
      </c>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Bahçedeki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60 yaş 9 ay</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 hat-cete</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is>
          <t>torunlu</t>
        </is>
      </c>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 hat-hekim</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asansör, çatı ve yönetici seçimi. Aday yok. Herkes sana bakıyor, çünkü gündüz apartmanda kapıyı açan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telefona parmakla mı yazıyordunuz?'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 hat-girisimci, hat-sohret, hat-dolandirici</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Aileden biri eski fotoğraf albümlerini telefona taşımış, bir slayt gösterisi hazırlamış. Fon müziğini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yanında iki şahit var, kapıcı ile bakkal. Önündeki üç kişi de vasiyet yazdırıyor: biri tarlayı, biri baba evini, biri annesinin bileziklerini anlatıyor. Bakkal kulağına eğildi: 'Veresiye defterini de yazdırsana, kapanmış olur.'</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on iki kişilik yemek takımını sordu; annenden kalan, bayramdan bayrama çıkan takımı.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Telefonun gece kendi kendine güncellendi; bütün düğmelerin yeri değişti. Belediyenin yaşlılar için teknoloji kursundasın. Eğitmen yirmi iki yaşında ve 'Çok kolay, bakın' cümlesini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tabure, bir minder ve bir çay termosu taşıdın. Karşı balkondaki komşu da aynı dakikada kendi taburesini çıkardı. Sokağın iki ucu artık tutuldu.</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biri geldi; beşinin adı artık yalnızca yoklamada geçiyor. Herkes birbirinin yüzünde altmış yedi yıl önceki çocuğu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bayramdan iki gün önce yattı; yeni para için banka kuyruğuna girdin. Bayram sabahı kapıda el öpmeye gelenler sıraya dizildi: yeğenlerin çocukları, komşu çocukları ve hiç tanımadığın iki çocuk.</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Altmış yılın şifresi: yarısı kedinin adı, yarısı doğum tarihi, biri de 'sifre123'.</t>
        </is>
      </c>
      <c r="G311" s="5" t="inlineStr">
        <is>
          <t>ev</t>
        </is>
      </c>
      <c r="H311" s="5" t="inlineStr"/>
      <c r="I311" s="5" t="inlineStr"/>
      <c r="J311" s="5" t="n">
        <v>1</v>
      </c>
      <c r="K311" s="5" t="inlineStr">
        <is>
          <t>torunlu</t>
        </is>
      </c>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mezarlıkta yeni parsel satışı açtı. Görevli haritayı açtı: 'Bu taraf manzaralı, o taraf otoparka bakıyor.' Yanındaki teyze ciddi ciddi sordu: 'Güney cephe hangisi?'</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Elli yıllık dostunu bugün uğurladın. Dönüşte taziye evinde helva kavruluyor, herkes onu anlatıyor; sen dinliyorsun, bir yandan da kendi taziyende kimin ne diyeceğini not ediyorsun. Köşedeki biri hikâyeyi üçüncü kez anlatıyor; her seferinde kendisi biraz daha büyüyor.</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hemen işi böldü: biri imlayı, biri tarihleri, en küçüğü de utandırıcı yerleri düzeltecek.</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seksen mum dikildi. Alt kattaki komşu 'Ne olur ne olmaz' deyip balkon kapısını açtı. Biri ışığı kapattı, oda turuncuya döndü, herkes telefonunu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Ailen seni bir huzurevine tanıtım turuna getirdi; 'Sadece bakıyoruz' dediler, üç kez. Görevli bir otel gibi anlatıyor: çay saati, bahçe, okey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 dul</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sabah aynı tekir geliyor. Oturuyor, sana bakıyor, kuyruğunu bir kez sallayıp gidiyor. Komşunun kedisi olduğu söyleniyor; kedi bunu hiç söylemedi.</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 yedi kişi; en genci yetmiş dokuz. Tur, parkın bir ucundan öbür ucundaki banka kadar. Üç kişide baston var, birinde de iddia: banka ilk varan, akşama kadar 'genç' sayılıyor.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Borcu Yoktur</t>
        </is>
      </c>
      <c r="F325" s="6" t="inlineStr">
        <is>
          <t>Bankadan bir yazı geldi: 'Borcu yoktur.' Kartının son taksidi de ödendi; altmış yıllık ilişki iki kelimeyle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Muhtar plaketi getirdi, kapıcı sandalyeleri dizdi, komşular ön sırayı kaptı. Senden kısa bir konuşma bekliyorlar; kısa olsun diye üç kez rica ettiler.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Söyleyeceğin son cümleyi bu odadakiler ömür boyu anlatacak.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teselli mesajı, bir de halanın oğlunun yerleştiği bölümün fotoğrafı. Babaannen hepsinin altına yazdı: “Kuzum sen üzülme, o da zor girdi.”</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 Ocakçı amca ilk gün tek ders verdi: “Tavşan kanı olacak evladım. Açık götürürsen geri gelir.”</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 hat-goc</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ilk vizelerine çalışırken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Burada kimi disiplin bulur, kimi komutanın köpeğiyle dost olur, kimi de bir ömür “Bizim bölükte…” diye başlayacağı hikâyelerini.</t>
        </is>
      </c>
      <c r="S341" s="5" t="inlineStr"/>
      <c r="T341" s="5" t="inlineStr"/>
      <c r="U341" s="5" t="inlineStr"/>
      <c r="V341" s="5" t="inlineStr"/>
    </row>
    <row r="342">
      <c r="A342" s="5" t="inlineStr">
        <is>
          <t>b6-tezkere</t>
        </is>
      </c>
      <c r="B342" s="5" t="n">
        <v>6</v>
      </c>
      <c r="C342" s="5" t="inlineStr">
        <is>
          <t>19 yaş 3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10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11 ay</t>
        </is>
      </c>
      <c r="D344" s="5" t="inlineStr">
        <is>
          <t>📝</t>
        </is>
      </c>
      <c r="E344" s="6" t="inlineStr">
        <is>
          <t>İkinci Tercih Listesi</t>
        </is>
      </c>
      <c r="F344" s="6" t="inlineStr">
        <is>
          <t>Geçen yılın listesi yine masada; kenarında annenin çay bardağı izi. Kuzen yine akıl veriyor. Geçen yıl dediklerinin hiçbiri tutmamıştı; bu yıl ağzını açtığı an konuyu değiştiriyorsun.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21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“Öte Diyar görmüş”. İkisi de bir ömür sürer, ikisinde de bir şey eksik kalır.</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Bayramda her akraba aynı soruyu soruyor: “Bölümün güzel mi?” Her seferinde “Güzel” diyorsun; her seferinde biraz daha az emin.</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kendi anahtarınla çıkarsın ya da yıllarca aynı odada kalırsın. Kira bir faturadır; aile evinde fatura sorularla ödenir: “Nereye? Kiminle? Kaçta?”</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Liseden beri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tezgâhta, sanayide, gece vardiyasında öğrenilmiş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önlüğünün cebinde bir steteskop, bir kalem, bir de babaannenin iğneyle iliştirdiği nazar boncuğu var. Aile grubunda artık resmen doktorsun; teyzen röntgen atmaya bile başladı.</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7 ay</t>
        </is>
      </c>
      <c r="D358" s="5" t="inlineStr">
        <is>
          <t>🚓</t>
        </is>
      </c>
      <c r="E358" s="6" t="inlineStr">
        <is>
          <t>İlk Devriye</t>
        </is>
      </c>
      <c r="F358" s="6" t="inlineStr">
        <is>
          <t>İlk devriye. Ekip arkadaşın emekliliğine iki ay kalmış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11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9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 zirve</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60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 zirve</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Teftiş için adliyeye bir müfettiş geldi; eski kararlarını inceliyor.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60 yaş 6 ay</t>
        </is>
      </c>
      <c r="D379" s="5" t="inlineStr">
        <is>
          <t>🌰</t>
        </is>
      </c>
      <c r="E379" s="6" t="inlineStr">
        <is>
          <t>Son Dosya: Ceviz Ağacı</t>
        </is>
      </c>
      <c r="F379" s="6" t="inlineStr">
        <is>
          <t>Emekliliğe bir dosya kaldı. Kapağı açtın: iki komşu, bir ceviz ağacı. Adaylığında izlediğin davanın ta kendisi; taraflar artık torunlar. Otuz beş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 zirve</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60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 olalı iki yıl oldu.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gelmediğin günlerde de kimse oturmuyor. Mahallenin gençleri eski hikâyeleri soruyor. Sen anlattıkça oto yıkamanın köpük makinesi büyüyor, kovalamacalar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“Acil satılık,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Seni yeni bir koğuşa aldılar: on dört yatak, bir çay ocağı, bir tavla. Kapı arkandan kapanınca kimse başını kaldırmadı; yalnızca ocağın başındaki çaycı. Kimin çayı kaç şekerli içtiğini ezbere biliyor. Sana da sordu: “Kaç şeker?”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35 yaş 9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büyük. Kapıda annen bekliyor; elinde bir termos çay ve girerken bıraktığın mont. Mont hâlâ naftalin kokuyor.</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“Fikriye”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koğuşun en genci annesine, en yaşlısı kırk yıl önceki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Deniz'e mi bırakacağını düşünüyor. Koğuşta müdür değişse kimse fark etmez; çaycı değişirse herkes fark eder.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telefonların boyu değişmiş; karşı kaldırımda elinde simitle bekleyen yüz değişmemiş. Arkandan koğuştan biri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pazarda bir domatesi kokladın ve “Bu domates bana küsmüş” dedin. Üç milyon kişi aynı domatese küstü.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yirmi beş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Girişimciler ve küçük işletmeciler buluşması: yüz kişi, üç yüz kartvizit, tek mikrofon. Herkes “sektörü sarsmaktan” bahsediyor; sarsılan tek şey kahve makinesi. Moderatör sana dönüyor: “Sen bu işe nasıl başladın?”</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is>
          <t>girisim-ilk-musteri, girisim-pivotcu</t>
        </is>
      </c>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il başkanı seni gençlik kollarına yazdı: “Önce teşkilatı tanı.”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Öte Diyar'da 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Öte Diyar'dan yaz iznine, memlekete geldin.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60 yaş 6 ay</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 3 ay</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köy kahvesinde yedide başlayacaktı; sekizde çay geldi, dokuzda muhtar boğazını temizledi: “Gündemimiz süt tankı.” İlk kırk dakika eski tankın neden bozulduğu, sonraki kırk dakika hava durumu konuşuldu. Arka sırada biri horluyor; kimse uyandırmıyor, oyu sayılıyor.</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 zirve</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muhtarın oğlu geldi: elinde şehirden bir iş teklifi, kulağında annesinin 'Gitme'si.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 zirve</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60 yaş 6 ay</t>
        </is>
      </c>
      <c r="D460" s="5" t="inlineStr">
        <is>
          <t>🔑</t>
        </is>
      </c>
      <c r="E460" s="6" t="inlineStr">
        <is>
          <t>Telefonda Teşhis</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is>
          <t>erkek</t>
        </is>
      </c>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eski garsonu emekli oldu. Yerine gelen genç senin masanı “Efsane masa” diye biliyor. Bu akşam karşına oturan kişi, yıllar önce aynı masada buluştuğun birinin kuzeni çıktı: “Sizi bizim evde çok anlatırlar.”</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Bizim Evin Çocuğu</t>
        </is>
      </c>
      <c r="F465" s="6" t="inlineStr">
        <is>
          <t>Otuz beş yaşındasın ve annenin evindesin. Odanın kapısında hâlâ ilkokul çıkartması var. Annen misafirlere seni “Bizim evin çocuğu” diye tanıtıyor; misafirler bunun bir iltifat mı, bir teşhis mi olduğunu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kira gecikmedi,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Kırkların sonuna doğru her şey aynı anda sallandı: iş, hesap, bel. Banka mesaj attı, doktor mesaj attı, aile grubu mesaj attı. Tek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bir yıl kala hesaplar tutmadı. Birikim eridi, prim eksik çıktı, aile grubu “Sen bilirsin” yazdı. Takvim sana değil, sen takvime bakıyorsun.</t>
        </is>
      </c>
      <c r="G469" s="5" t="inlineStr">
        <is>
          <t>ev</t>
        </is>
      </c>
      <c r="H469" s="5" t="inlineStr"/>
      <c r="I469" s="5" t="inlineStr"/>
      <c r="J469" s="5" t="inlineStr"/>
      <c r="K469" s="5" t="inlineStr"/>
      <c r="L469" s="5" t="inlineStr">
        <is>
          <t>hapis, emekli, emekliligi-reddetti</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yıllardır ertelediğin o son adım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row r="474">
      <c r="A474" s="5" t="inlineStr">
        <is>
          <t>b1-misafir-geldi</t>
        </is>
      </c>
      <c r="B474" s="5" t="n">
        <v>1</v>
      </c>
      <c r="C474" s="5" t="inlineStr">
        <is>
          <t>2 yaş 5 ay</t>
        </is>
      </c>
      <c r="D474" s="5" t="inlineStr">
        <is>
          <t>🫖</t>
        </is>
      </c>
      <c r="E474" s="6" t="inlineStr">
        <is>
          <t>Misafir Geldi</t>
        </is>
      </c>
      <c r="F474" s="6" t="inlineStr">
        <is>
          <t>Kapı çaldı. Annen on saniyede salonu topladı, sana “Uslu dur” dedi, kapıyı açtı. İçeri komşu teyze ve bir kutu çikolata girdi. Çikolata vitrine gitti.</t>
        </is>
      </c>
      <c r="G474" s="5" t="inlineStr">
        <is>
          <t>ev</t>
        </is>
      </c>
      <c r="H474" s="5" t="inlineStr">
        <is>
          <t>sosyal</t>
        </is>
      </c>
      <c r="I474" s="5" t="inlineStr"/>
      <c r="J474" s="5" t="inlineStr"/>
      <c r="K474" s="5" t="inlineStr"/>
      <c r="L474" s="5" t="inlineStr"/>
      <c r="M474" s="5" t="inlineStr"/>
      <c r="N474" s="5" t="inlineStr"/>
      <c r="O474" s="5" t="inlineStr"/>
      <c r="P474" s="5" t="inlineStr"/>
      <c r="Q474" s="5" t="inlineStr"/>
      <c r="R474" s="6" t="inlineStr"/>
      <c r="S474" s="5" t="inlineStr"/>
      <c r="T474" s="5" t="inlineStr"/>
      <c r="U474" s="5" t="inlineStr"/>
      <c r="V474" s="5" t="inlineStr"/>
    </row>
    <row r="475">
      <c r="A475" s="5" t="inlineStr">
        <is>
          <t>b2-kardes-geldi</t>
        </is>
      </c>
      <c r="B475" s="5" t="n">
        <v>2</v>
      </c>
      <c r="C475" s="5" t="inlineStr">
        <is>
          <t>3 yaş 10 ay</t>
        </is>
      </c>
      <c r="D475" s="5" t="inlineStr">
        <is>
          <t>👶</t>
        </is>
      </c>
      <c r="E475" s="6" t="inlineStr">
        <is>
          <t>Kardeş Geldi</t>
        </is>
      </c>
      <c r="F475" s="6" t="inlineStr">
        <is>
          <t>Annenle baban eve bir bebekle döndü. Herkes ona bakıyor, hediyeler ona geliyor. Babaannen sana “Artık büyüdün” dedi. Dün de bu kadardın.</t>
        </is>
      </c>
      <c r="G475" s="5" t="inlineStr">
        <is>
          <t>ev</t>
        </is>
      </c>
      <c r="H475" s="5" t="inlineStr">
        <is>
          <t>ev</t>
        </is>
      </c>
      <c r="I475" s="5" t="inlineStr"/>
      <c r="J475" s="5" t="inlineStr"/>
      <c r="K475" s="5" t="inlineStr"/>
      <c r="L475" s="5" t="inlineStr"/>
      <c r="M475" s="5" t="inlineStr"/>
      <c r="N475" s="5" t="inlineStr"/>
      <c r="O475" s="5" t="inlineStr"/>
      <c r="P475" s="5" t="inlineStr"/>
      <c r="Q475" s="5" t="inlineStr"/>
      <c r="R475" s="6" t="inlineStr"/>
      <c r="S475" s="5" t="inlineStr"/>
      <c r="T475" s="5" t="inlineStr"/>
      <c r="U475" s="5" t="inlineStr"/>
      <c r="V475" s="5" t="inlineStr"/>
    </row>
    <row r="476">
      <c r="A476" s="5" t="inlineStr">
        <is>
          <t>b2-bayram-sabahi</t>
        </is>
      </c>
      <c r="B476" s="5" t="n">
        <v>2</v>
      </c>
      <c r="C476" s="5" t="inlineStr">
        <is>
          <t>4 yaş 6 ay</t>
        </is>
      </c>
      <c r="D476" s="5" t="inlineStr">
        <is>
          <t>🍬</t>
        </is>
      </c>
      <c r="E476" s="6" t="inlineStr">
        <is>
          <t>Bayram Sabahı</t>
        </is>
      </c>
      <c r="F476" s="6" t="inlineStr">
        <is>
          <t>Bayram sabahı. Salonda on iki akraba, bir şişe kolonya, bir kâse şeker. Annen kapıda kulağına son kez fısıldadı: “Önce el, sonra cep. Cebe bakmak yok.” Herkesin cebinde bir şey var.</t>
        </is>
      </c>
      <c r="G476" s="5" t="inlineStr">
        <is>
          <t>ev</t>
        </is>
      </c>
      <c r="H476" s="5" t="inlineStr">
        <is>
          <t>sosyal</t>
        </is>
      </c>
      <c r="I476" s="5" t="inlineStr"/>
      <c r="J476" s="5" t="inlineStr"/>
      <c r="K476" s="5" t="inlineStr"/>
      <c r="L476" s="5" t="inlineStr"/>
      <c r="M476" s="5" t="inlineStr"/>
      <c r="N476" s="5" t="inlineStr"/>
      <c r="O476" s="5" t="inlineStr"/>
      <c r="P476" s="5" t="inlineStr"/>
      <c r="Q476" s="5" t="inlineStr"/>
      <c r="R476" s="6" t="inlineStr"/>
      <c r="S476" s="5" t="inlineStr"/>
      <c r="T476" s="5" t="inlineStr"/>
      <c r="U476" s="5" t="inlineStr"/>
      <c r="V476" s="5" t="inlineStr"/>
    </row>
    <row r="477">
      <c r="A477" s="5" t="inlineStr">
        <is>
          <t>b3-okuma-bayrami</t>
        </is>
      </c>
      <c r="B477" s="5" t="n">
        <v>3</v>
      </c>
      <c r="C477" s="5" t="inlineStr">
        <is>
          <t>6 yaş 9 ay</t>
        </is>
      </c>
      <c r="D477" s="5" t="inlineStr">
        <is>
          <t>🎀</t>
        </is>
      </c>
      <c r="E477" s="6" t="inlineStr">
        <is>
          <t>Kırmızı Kurdele</t>
        </is>
      </c>
      <c r="F477" s="6" t="inlineStr">
        <is>
          <t>Okuma bayramı. Salon veli dolu; babaannen en önde, telefonu kayıtta. Sırayla sahneye çıkıp bir cümle okuyacaksınız; okuyanın yakasına kırmızı kurdele takılacak. Sıra sana geldi.</t>
        </is>
      </c>
      <c r="G477" s="5" t="inlineStr">
        <is>
          <t>okul</t>
        </is>
      </c>
      <c r="H477" s="5" t="inlineStr">
        <is>
          <t>okul-iş</t>
        </is>
      </c>
      <c r="I477" s="5" t="inlineStr"/>
      <c r="J477" s="5" t="n">
        <v>1</v>
      </c>
      <c r="K477" s="5" t="inlineStr"/>
      <c r="L477" s="5" t="inlineStr"/>
      <c r="M477" s="5" t="inlineStr"/>
      <c r="N477" s="5" t="inlineStr"/>
      <c r="O477" s="5" t="inlineStr"/>
      <c r="P477" s="5" t="inlineStr"/>
      <c r="Q477" s="5" t="inlineStr"/>
      <c r="R477" s="6" t="inlineStr"/>
      <c r="S477" s="5" t="inlineStr"/>
      <c r="T477" s="5" t="inlineStr"/>
      <c r="U477" s="5" t="inlineStr"/>
      <c r="V477" s="5" t="inlineStr"/>
    </row>
    <row r="478">
      <c r="A478" s="5" t="inlineStr">
        <is>
          <t>b5-kuzenin-dugunu</t>
        </is>
      </c>
      <c r="B478" s="5" t="n">
        <v>5</v>
      </c>
      <c r="C478" s="5" t="inlineStr">
        <is>
          <t>16 yaş 9 ay</t>
        </is>
      </c>
      <c r="D478" s="5" t="inlineStr">
        <is>
          <t>🥁</t>
        </is>
      </c>
      <c r="E478" s="6" t="inlineStr">
        <is>
          <t>Kuzenin Düğünü</t>
        </is>
      </c>
      <c r="F478" s="6" t="inlineStr">
        <is>
          <t>Kuzenin evleniyor. Sabah gelin alma, akşam düğün salonu: yüz elli kişi, bir davul, bir zurna ve her masada sana “Sıra sende” diyen bir teyze.</t>
        </is>
      </c>
      <c r="G478" s="5" t="inlineStr">
        <is>
          <t>dugun-salonu</t>
        </is>
      </c>
      <c r="H478" s="5" t="inlineStr">
        <is>
          <t>ev</t>
        </is>
      </c>
      <c r="I478" s="5" t="inlineStr"/>
      <c r="J478" s="5" t="n">
        <v>1</v>
      </c>
      <c r="K478" s="5" t="inlineStr"/>
      <c r="L478" s="5" t="inlineStr"/>
      <c r="M478" s="5" t="inlineStr"/>
      <c r="N478" s="5" t="inlineStr"/>
      <c r="O478" s="5" t="inlineStr"/>
      <c r="P478" s="5" t="inlineStr"/>
      <c r="Q478" s="5" t="inlineStr"/>
      <c r="R478" s="6" t="inlineStr"/>
      <c r="S478" s="5" t="inlineStr"/>
      <c r="T478" s="5" t="inlineStr"/>
      <c r="U478" s="5" t="inlineStr"/>
      <c r="V478" s="5" t="inlineStr"/>
    </row>
    <row r="479">
      <c r="A479" s="5" t="inlineStr">
        <is>
          <t>b6-anneannenin-sandalyesi</t>
        </is>
      </c>
      <c r="B479" s="5" t="n">
        <v>6</v>
      </c>
      <c r="C479" s="5" t="inlineStr">
        <is>
          <t>21 yaş 7 ay</t>
        </is>
      </c>
      <c r="D479" s="5" t="inlineStr">
        <is>
          <t>🫖</t>
        </is>
      </c>
      <c r="E479" s="6" t="inlineStr">
        <is>
          <t>Anneannenin Sandalyesi</t>
        </is>
      </c>
      <c r="F479" s="6" t="inlineStr">
        <is>
          <t>Anneannen gece uykusunda gitti. Üç gündür evin kapısı kapanmıyor: komşular tencere taşıyor, kolonya elden ele dolaşıyor, kimse balkondaki sandalyesine oturmuyor. Annen hiç ağlamadı; durmadan çay demledi.</t>
        </is>
      </c>
      <c r="G479" s="5" t="inlineStr">
        <is>
          <t>ev</t>
        </is>
      </c>
      <c r="H479" s="5" t="inlineStr">
        <is>
          <t>ev</t>
        </is>
      </c>
      <c r="I479" s="5" t="inlineStr"/>
      <c r="J479" s="5" t="n">
        <v>1</v>
      </c>
      <c r="K479" s="5" t="inlineStr"/>
      <c r="L479" s="5" t="inlineStr"/>
      <c r="M479" s="5" t="inlineStr"/>
      <c r="N479" s="5" t="inlineStr"/>
      <c r="O479" s="5" t="inlineStr"/>
      <c r="P479" s="5" t="inlineStr"/>
      <c r="Q479" s="5" t="inlineStr"/>
      <c r="R479" s="6" t="inlineStr"/>
      <c r="S479" s="5" t="inlineStr"/>
      <c r="T479" s="5" t="inlineStr"/>
      <c r="U479" s="5" t="inlineStr"/>
      <c r="V479" s="5" t="inlineStr"/>
    </row>
    <row r="480">
      <c r="A480" s="5" t="inlineStr">
        <is>
          <t>b7-bebegin-adi</t>
        </is>
      </c>
      <c r="B480" s="5" t="n">
        <v>7</v>
      </c>
      <c r="C480" s="5" t="inlineStr">
        <is>
          <t>32 yaş 3 ay</t>
        </is>
      </c>
      <c r="D480" s="5" t="inlineStr">
        <is>
          <t>👶</t>
        </is>
      </c>
      <c r="E480" s="6" t="inlineStr">
        <is>
          <t>Bebeğin Adı</t>
        </is>
      </c>
      <c r="F480" s="6" t="inlineStr">
        <is>
          <t>Bebek doğdu. Hastane koridorunda iki aile var; hemşire bebeği getirip “Kim almak ister?” dedi, dört el birden uzandı. Önce sen aldın. Adı daha yok: babaanne kendi babasının adını istiyor, anneanne kendi annesininkini. Eşinin telefonunda da bir liste var.</t>
        </is>
      </c>
      <c r="G480" s="5" t="inlineStr">
        <is>
          <t>hastane</t>
        </is>
      </c>
      <c r="H480" s="5" t="inlineStr">
        <is>
          <t>ev</t>
        </is>
      </c>
      <c r="I480" s="5" t="inlineStr"/>
      <c r="J480" s="5" t="n">
        <v>2</v>
      </c>
      <c r="K480" s="5" t="inlineStr">
        <is>
          <t>cocuklu</t>
        </is>
      </c>
      <c r="L480" s="5" t="inlineStr">
        <is>
          <t>hapis, ikiz</t>
        </is>
      </c>
      <c r="M480" s="5" t="inlineStr"/>
      <c r="N480" s="5" t="inlineStr"/>
      <c r="O480" s="5" t="inlineStr"/>
      <c r="P480" s="5" t="inlineStr"/>
      <c r="Q480" s="5" t="inlineStr"/>
      <c r="R480" s="6" t="inlineStr"/>
      <c r="S480" s="5" t="inlineStr"/>
      <c r="T480" s="5" t="inlineStr"/>
      <c r="U480" s="5" t="inlineStr"/>
      <c r="V480" s="5" t="inlineStr"/>
    </row>
    <row r="481">
      <c r="A481" s="5" t="inlineStr">
        <is>
          <t>b7-okulun-ilk-gunu</t>
        </is>
      </c>
      <c r="B481" s="5" t="n">
        <v>7</v>
      </c>
      <c r="C481" s="5" t="inlineStr">
        <is>
          <t>38 yaş 6 ay</t>
        </is>
      </c>
      <c r="D481" s="5" t="inlineStr">
        <is>
          <t>🎒</t>
        </is>
      </c>
      <c r="E481" s="6" t="inlineStr">
        <is>
          <t>Önlük Bir Beden Büyük</t>
        </is>
      </c>
      <c r="F481" s="6" t="inlineStr">
        <is>
          <t>Çocuğun ilkokula başlıyor. Önlük bir beden büyük, beslenme çantasında dilimlenmiş elma, adı her kaleme tek tek yazılmış. Bahçede iki yüz veli var; yarısı ağlıyor, öbür yarısı ağlayanları çekiyor.</t>
        </is>
      </c>
      <c r="G481" s="5" t="inlineStr">
        <is>
          <t>okul-bahcesi</t>
        </is>
      </c>
      <c r="H481" s="5" t="inlineStr">
        <is>
          <t>okul-iş</t>
        </is>
      </c>
      <c r="I481" s="5" t="inlineStr"/>
      <c r="J481" s="5" t="n">
        <v>1</v>
      </c>
      <c r="K481" s="5" t="inlineStr">
        <is>
          <t>cocuklu</t>
        </is>
      </c>
      <c r="L481" s="5" t="inlineStr">
        <is>
          <t>hapis</t>
        </is>
      </c>
      <c r="M481" s="5" t="inlineStr"/>
      <c r="N481" s="5" t="inlineStr"/>
      <c r="O481" s="5" t="inlineStr"/>
      <c r="P481" s="5" t="inlineStr"/>
      <c r="Q481" s="5" t="inlineStr"/>
      <c r="R481" s="6" t="inlineStr"/>
      <c r="S481" s="5" t="inlineStr"/>
      <c r="T481" s="5" t="inlineStr"/>
      <c r="U481" s="5" t="inlineStr"/>
      <c r="V481" s="5" t="inlineStr"/>
    </row>
    <row r="482">
      <c r="A482" s="5" t="inlineStr">
        <is>
          <t>b8-taki-sirasi</t>
        </is>
      </c>
      <c r="B482" s="5" t="n">
        <v>8</v>
      </c>
      <c r="C482" s="5" t="inlineStr">
        <is>
          <t>45 yaş</t>
        </is>
      </c>
      <c r="D482" s="5" t="inlineStr">
        <is>
          <t>🎊</t>
        </is>
      </c>
      <c r="E482" s="6" t="inlineStr">
        <is>
          <t>Takı Sırası</t>
        </is>
      </c>
      <c r="F482" s="6" t="inlineStr">
        <is>
          <t>Kuzeninin oğlu evleniyor. Takı masasının başında mikrofonlu bir amca her takıyı anons ediyor: “Damadın teyzesi, iki bilezik!” Sıra sana yaklaşıyor. Cebinde bir çeyrek altın ve bir zarf var; arkanda bütün akraba.</t>
        </is>
      </c>
      <c r="G482" s="5" t="inlineStr">
        <is>
          <t>dugun-salonu</t>
        </is>
      </c>
      <c r="H482" s="5" t="inlineStr">
        <is>
          <t>sosyal</t>
        </is>
      </c>
      <c r="I482" s="5" t="inlineStr"/>
      <c r="J482" s="5" t="n">
        <v>1</v>
      </c>
      <c r="K482" s="5" t="inlineStr"/>
      <c r="L482" s="5" t="inlineStr">
        <is>
          <t>hapis</t>
        </is>
      </c>
      <c r="M482" s="5" t="inlineStr"/>
      <c r="N482" s="5" t="inlineStr"/>
      <c r="O482" s="5" t="inlineStr"/>
      <c r="P482" s="5" t="inlineStr"/>
      <c r="Q482" s="5" t="inlineStr"/>
      <c r="R482" s="6" t="inlineStr"/>
      <c r="S482" s="5" t="inlineStr"/>
      <c r="T482" s="5" t="inlineStr"/>
      <c r="U482" s="5" t="inlineStr"/>
      <c r="V482" s="5" t="inlineStr"/>
    </row>
    <row r="483">
      <c r="A483" s="5" t="inlineStr">
        <is>
          <t>b8-babanin-evi</t>
        </is>
      </c>
      <c r="B483" s="5" t="n">
        <v>8</v>
      </c>
      <c r="C483" s="5" t="inlineStr">
        <is>
          <t>53 yaş</t>
        </is>
      </c>
      <c r="D483" s="5" t="inlineStr">
        <is>
          <t>🧥</t>
        </is>
      </c>
      <c r="E483" s="6" t="inlineStr">
        <is>
          <t>Babanın Evi</t>
        </is>
      </c>
      <c r="F483" s="6" t="inlineStr">
        <is>
          <t>Babanı geçen ay toprağa verdiniz. Annen “Dolabını boşaltın, baktıkça içim gidiyor” dedi. Bugün kardeşlerle babanın dolabındasınız: kırk yıllık bir ceket, cebinde de senin ilkokul karnen.</t>
        </is>
      </c>
      <c r="G483" s="5" t="inlineStr">
        <is>
          <t>ev</t>
        </is>
      </c>
      <c r="H483" s="5" t="inlineStr">
        <is>
          <t>ev</t>
        </is>
      </c>
      <c r="I483" s="5" t="inlineStr"/>
      <c r="J483" s="5" t="n">
        <v>1</v>
      </c>
      <c r="K483" s="5" t="inlineStr"/>
      <c r="L483" s="5" t="inlineStr">
        <is>
          <t>hapis</t>
        </is>
      </c>
      <c r="M483" s="5" t="inlineStr"/>
      <c r="N483" s="5" t="inlineStr"/>
      <c r="O483" s="5" t="inlineStr"/>
      <c r="P483" s="5" t="inlineStr"/>
      <c r="Q483" s="5" t="inlineStr"/>
      <c r="R483" s="6" t="inlineStr"/>
      <c r="S483" s="5" t="inlineStr"/>
      <c r="T483" s="5" t="inlineStr"/>
      <c r="U483" s="5" t="inlineStr"/>
      <c r="V483" s="5" t="inlineStr"/>
    </row>
    <row r="484">
      <c r="A484" s="5" t="inlineStr">
        <is>
          <t>b9-dunurler</t>
        </is>
      </c>
      <c r="B484" s="5" t="n">
        <v>9</v>
      </c>
      <c r="C484" s="5" t="inlineStr">
        <is>
          <t>56 yaş 6 ay</t>
        </is>
      </c>
      <c r="D484" s="5" t="inlineStr">
        <is>
          <t>☕</t>
        </is>
      </c>
      <c r="E484" s="6" t="inlineStr">
        <is>
          <t>Dünürler</t>
        </is>
      </c>
      <c r="F484" s="6" t="inlineStr">
        <is>
          <t>Çocuğun evlenmek istiyor. Bu akşam iki aile ilk kez aynı salonda: kapıda kolonya, sehpada çikolata, ortada bir sessizlik. Herkes lafı kimin açacağını bekliyor; herkes sana bakıyor.</t>
        </is>
      </c>
      <c r="G484" s="5" t="inlineStr">
        <is>
          <t>ev</t>
        </is>
      </c>
      <c r="H484" s="5" t="inlineStr">
        <is>
          <t>ev</t>
        </is>
      </c>
      <c r="I484" s="5" t="inlineStr"/>
      <c r="J484" s="5" t="n">
        <v>1</v>
      </c>
      <c r="K484" s="5" t="inlineStr">
        <is>
          <t>cocuklu</t>
        </is>
      </c>
      <c r="L484" s="5" t="inlineStr">
        <is>
          <t>hapis</t>
        </is>
      </c>
      <c r="M484" s="5" t="inlineStr"/>
      <c r="N484" s="5" t="inlineStr"/>
      <c r="O484" s="5" t="inlineStr"/>
      <c r="P484" s="5" t="inlineStr"/>
      <c r="Q484" s="5" t="inlineStr"/>
      <c r="R484" s="6" t="inlineStr"/>
      <c r="S484" s="5" t="inlineStr"/>
      <c r="T484" s="5" t="inlineStr"/>
      <c r="U484" s="5" t="inlineStr"/>
      <c r="V484" s="5" t="inlineStr"/>
    </row>
    <row r="485">
      <c r="A485" s="5" t="inlineStr">
        <is>
          <t>b10-tek-fincan</t>
        </is>
      </c>
      <c r="B485" s="5" t="n">
        <v>10</v>
      </c>
      <c r="C485" s="5" t="inlineStr">
        <is>
          <t>79 yaş 6 ay</t>
        </is>
      </c>
      <c r="D485" s="5" t="inlineStr">
        <is>
          <t>☕</t>
        </is>
      </c>
      <c r="E485" s="6" t="inlineStr">
        <is>
          <t>Tek Fincan</t>
        </is>
      </c>
      <c r="F485" s="6" t="inlineStr">
        <is>
          <t>Eşin bu kış gitti. Sabah yine iki fincan çıkardın; birini dolaba geri koymak on dakika sürdü. Elli yıl çayı o demledi; demliğin kaç kaşık aldığını bilmiyorsun.</t>
        </is>
      </c>
      <c r="G485" s="5" t="inlineStr">
        <is>
          <t>mutfak</t>
        </is>
      </c>
      <c r="H485" s="5" t="inlineStr">
        <is>
          <t>ev</t>
        </is>
      </c>
      <c r="I485" s="5" t="inlineStr"/>
      <c r="J485" s="5" t="n">
        <v>1</v>
      </c>
      <c r="K485" s="5" t="inlineStr">
        <is>
          <t>evli</t>
        </is>
      </c>
      <c r="L485" s="5" t="inlineStr"/>
      <c r="M485" s="5" t="inlineStr"/>
      <c r="N485" s="5" t="inlineStr"/>
      <c r="O485" s="5" t="inlineStr"/>
      <c r="P485" s="5" t="inlineStr"/>
      <c r="Q485" s="5" t="inlineStr"/>
      <c r="R485" s="6" t="inlineStr"/>
      <c r="S485" s="5" t="inlineStr"/>
      <c r="T485" s="5" t="inlineStr"/>
      <c r="U485" s="5" t="inlineStr"/>
      <c r="V485" s="5" t="inlineStr"/>
    </row>
    <row r="486">
      <c r="A486" s="5" t="inlineStr">
        <is>
          <t>b7-isteme-kahvesi</t>
        </is>
      </c>
      <c r="B486" s="5" t="n">
        <v>7</v>
      </c>
      <c r="C486" s="5" t="inlineStr">
        <is>
          <t>29 yaş 2 ay</t>
        </is>
      </c>
      <c r="D486" s="5" t="inlineStr">
        <is>
          <t>☕</t>
        </is>
      </c>
      <c r="E486" s="6" t="inlineStr">
        <is>
          <t>Damada Tuzlu Kahve</t>
        </is>
      </c>
      <c r="F486" s="6" t="inlineStr">
        <is>
          <t>Seni istemeye geldiler. Annen salonu üç kez topladı, baban kravatını iki kez değiştirdi. Kahveleri sen yapıyorsun; mutfakta tuzluk sana göz kırpıyor. Salondan müstakbel kayınvalidenin sesi geliyor: “Kızımızın kahvesini bir içelim.”</t>
        </is>
      </c>
      <c r="G486" s="5" t="inlineStr">
        <is>
          <t>ev</t>
        </is>
      </c>
      <c r="H486" s="5" t="inlineStr"/>
      <c r="I486" s="5" t="inlineStr">
        <is>
          <t>E</t>
        </is>
      </c>
      <c r="J486" s="5" t="inlineStr"/>
      <c r="K486" s="5" t="inlineStr">
        <is>
          <t>ask-evliligi</t>
        </is>
      </c>
      <c r="L486" s="5" t="inlineStr">
        <is>
          <t>hapis</t>
        </is>
      </c>
      <c r="M486" s="5" t="inlineStr"/>
      <c r="N486" s="5" t="inlineStr">
        <is>
          <t>kız</t>
        </is>
      </c>
      <c r="O486" s="5" t="inlineStr"/>
      <c r="P486" s="5" t="inlineStr"/>
      <c r="Q486" s="5" t="inlineStr"/>
      <c r="R486" s="6" t="inlineStr"/>
      <c r="S486" s="5" t="inlineStr"/>
      <c r="T486" s="5" t="inlineStr"/>
      <c r="U486" s="5" t="inlineStr"/>
      <c r="V486" s="5" t="inlineStr"/>
    </row>
    <row r="487">
      <c r="A487" t="inlineStr">
        <is>
          <t>b6-staj-hukuk</t>
        </is>
      </c>
      <c r="B487" t="n">
        <v>6</v>
      </c>
      <c r="C487" t="inlineStr">
        <is>
          <t>20 yaş 11 ay</t>
        </is>
      </c>
      <c r="D487" t="inlineStr">
        <is>
          <t>⚖️</t>
        </is>
      </c>
      <c r="E487" t="inlineStr">
        <is>
          <t>Büro Stajı</t>
        </is>
      </c>
      <c r="F487" t="inlineStr">
        <is>
          <t>Staj başladı: bir hukuk bürosu, bir masa ve yirmi yıllık dosya dolabı. “Şimdilik etrafı izle” dediler. Şimdilik üç hafta sürdü.</t>
        </is>
      </c>
      <c r="G487" t="inlineStr">
        <is>
          <t>ofis</t>
        </is>
      </c>
      <c r="K487" t="inlineStr">
        <is>
          <t>universiteli, bolum-hukuk</t>
        </is>
      </c>
    </row>
    <row r="488">
      <c r="A488" t="inlineStr">
        <is>
          <t>b7-faiz-ay-donumu</t>
        </is>
      </c>
      <c r="B488" t="n">
        <v>7</v>
      </c>
      <c r="C488" t="inlineStr">
        <is>
          <t>31 yaş 4 ay</t>
        </is>
      </c>
      <c r="D488" t="inlineStr">
        <is>
          <t>💳</t>
        </is>
      </c>
      <c r="E488" t="inlineStr">
        <is>
          <t>Faiz Ay Dönümü</t>
        </is>
      </c>
      <c r="F488" t="inlineStr">
        <is>
          <t>Banka ekstre gönderdi: borç, ödediğinden hızlı büyümüş. Asgari ödemenin vadesi, karşına dönüp “Beni unuttun mu?” diye soran eski sevgili gibi geldi.</t>
        </is>
      </c>
      <c r="G488" t="inlineStr">
        <is>
          <t>banka</t>
        </is>
      </c>
      <c r="J488" t="n">
        <v>4</v>
      </c>
      <c r="K488" t="inlineStr">
        <is>
          <t>kart-borclu</t>
        </is>
      </c>
      <c r="L488" t="inlineStr">
        <is>
          <t>hapis</t>
        </is>
      </c>
    </row>
    <row r="489">
      <c r="A489" t="inlineStr">
        <is>
          <t>b8-kefil-mektubu</t>
        </is>
      </c>
      <c r="B489" t="n">
        <v>8</v>
      </c>
      <c r="C489" t="inlineStr">
        <is>
          <t>44 yaş</t>
        </is>
      </c>
      <c r="D489" t="inlineStr">
        <is>
          <t>✉️</t>
        </is>
      </c>
      <c r="E489" t="inlineStr">
        <is>
          <t>Kefil Mektubu</t>
        </is>
      </c>
      <c r="F489" t="inlineStr">
        <is>
          <t>Postacı tebligat getirdi. Yıllar önce imza attığın kişi taşınmış; banka artık sana “Sayın kefil” diyor. İmza, kalemden çok daha ağır çıktı.</t>
        </is>
      </c>
      <c r="G489" t="inlineStr">
        <is>
          <t>ev</t>
        </is>
      </c>
      <c r="J489" t="n">
        <v>4</v>
      </c>
      <c r="K489" t="inlineStr">
        <is>
          <t>kefil-borclu</t>
        </is>
      </c>
      <c r="L489" t="inlineStr">
        <is>
          <t>hapis</t>
        </is>
      </c>
    </row>
    <row r="490">
      <c r="A490" t="inlineStr">
        <is>
          <t>b8-icra-zarfi</t>
        </is>
      </c>
      <c r="B490" t="n">
        <v>8</v>
      </c>
      <c r="C490" t="inlineStr">
        <is>
          <t>47 yaş</t>
        </is>
      </c>
      <c r="D490" t="inlineStr">
        <is>
          <t>📮</t>
        </is>
      </c>
      <c r="E490" t="inlineStr">
        <is>
          <t>İcra Zarfı</t>
        </is>
      </c>
      <c r="F490" t="inlineStr">
        <is>
          <t>İcra memuru zarfı elden verdi. “Evde değildi” diyen komşu bile kapıdaydı; çocuklar merdivenden indi. Borcun yılları, bir zarfta toplanmış.</t>
        </is>
      </c>
      <c r="G490" t="inlineStr">
        <is>
          <t>apartman</t>
        </is>
      </c>
      <c r="J490" t="n">
        <v>4</v>
      </c>
      <c r="K490" t="inlineStr">
        <is>
          <t>borclu</t>
        </is>
      </c>
      <c r="L490" t="inlineStr">
        <is>
          <t>hapis</t>
        </is>
      </c>
      <c r="X490" t="inlineStr">
        <is>
          <t>Fakir</t>
        </is>
      </c>
    </row>
  </sheetData>
  <autoFilter ref="A1:V486"/>
  <dataValidations count="6">
    <dataValidation sqref="B2:B885" showDropDown="0" showInputMessage="0" showErrorMessage="1" allowBlank="1" errorTitle="Geçersiz değer" error="Listeden bir değer seçin." type="list">
      <formula1>"1,2,3,4,5,6,7,8,9,10"</formula1>
    </dataValidation>
    <dataValidation sqref="G2:G885"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85" showDropDown="0" showInputMessage="0" showErrorMessage="1" allowBlank="1" errorTitle="Geçersiz değer" error="Listeden bir değer seçin." type="list">
      <formula1>"ev,para,sosyal,okul-iş"</formula1>
    </dataValidation>
    <dataValidation sqref="I2:I885" showDropDown="0" showInputMessage="0" showErrorMessage="1" allowBlank="1" errorTitle="Geçersiz değer" error="Listeden bir değer seçin." type="list">
      <formula1>"E"</formula1>
    </dataValidation>
    <dataValidation sqref="N2:N885" showDropDown="0" showInputMessage="0" showErrorMessage="1" allowBlank="1" errorTitle="Geçersiz değer" error="Listeden bir değer seçin." type="list">
      <formula1>"erkek,kız"</formula1>
    </dataValidation>
    <dataValidation sqref="Q2:Q885"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L185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c r="AI1" s="4" t="inlineStr">
        <is>
          <t>Lakap</t>
        </is>
      </c>
      <c r="AJ1" s="4" t="inlineStr">
        <is>
          <t>Cinsiyet</t>
        </is>
      </c>
      <c r="AK1" s="4" t="inlineStr">
        <is>
          <t>Kritik başarıda hafıza</t>
        </is>
      </c>
      <c r="AL1" s="4" t="inlineStr">
        <is>
          <t>Başarısızlıkta para kaybı</t>
        </is>
      </c>
    </row>
    <row r="2">
      <c r="A2" s="5" t="inlineStr">
        <is>
          <t>dogum</t>
        </is>
      </c>
      <c r="B2" s="5" t="n">
        <v>1</v>
      </c>
      <c r="C2" s="6" t="inlineStr">
        <is>
          <t>Ağla</t>
        </is>
      </c>
      <c r="D2" s="5" t="inlineStr"/>
      <c r="E2" s="5" t="inlineStr"/>
      <c r="F2" s="5" t="inlineStr">
        <is>
          <t>Çene +1</t>
        </is>
      </c>
      <c r="G2" s="6" t="inlineStr">
        <is>
          <t>Ağladın. Odadaki herkes rahat bir nefes aldı; babaannen “Ciğeri sağlammış” dedi. Hayattaki ilk övgünü aldın.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c r="AI2" s="5" t="inlineStr"/>
      <c r="AJ2" s="5" t="inlineStr"/>
    </row>
    <row r="3">
      <c r="A3" s="5" t="inlineStr">
        <is>
          <t>dogum</t>
        </is>
      </c>
      <c r="B3" s="5" t="n">
        <v>2</v>
      </c>
      <c r="C3" s="6" t="inlineStr">
        <is>
          <t>Daha çok ağla</t>
        </is>
      </c>
      <c r="D3" s="5" t="inlineStr">
        <is>
          <t>Çene</t>
        </is>
      </c>
      <c r="E3" s="5" t="inlineStr">
        <is>
          <t>Orta</t>
        </is>
      </c>
      <c r="F3" s="5" t="inlineStr"/>
      <c r="G3" s="6" t="inlineStr"/>
      <c r="H3" s="6" t="inlineStr">
        <is>
          <t>Sesini biraz daha açtın. Hemşire koştu, baban ayağa fırladı. İlk dersin: bu evde sesi yükselten kazanıyor.</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sabaha kadar geçmedi. Babaannen “Nazar” dedi, annen “Açtır” dedi, doktor “Normal” dedi. Baban hepsini videoya çekti; video hâlâ aile grubunda.</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c r="AI3" s="5" t="inlineStr">
        <is>
          <t>Hıçkırık</t>
        </is>
      </c>
      <c r="AJ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seni bir saat gözleme aldı. Bütün aile camın önüne dizildi. Dünyadaki ilk saatin vitrinde geçti.</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c r="AI4" s="5" t="inlineStr"/>
      <c r="AJ4" s="5" t="inlineStr"/>
    </row>
    <row r="5">
      <c r="A5" s="5" t="inlineStr">
        <is>
          <t>dogum</t>
        </is>
      </c>
      <c r="B5" s="5" t="n">
        <v>4</v>
      </c>
      <c r="C5" s="6" t="inlineStr">
        <is>
          <t>Sessiz kal</t>
        </is>
      </c>
      <c r="D5" s="5" t="inlineStr"/>
      <c r="E5" s="5" t="inlineStr"/>
      <c r="F5" s="5" t="inlineStr">
        <is>
          <t>Sosyal Radar +1</t>
        </is>
      </c>
      <c r="G5" s="6" t="inlineStr">
        <is>
          <t>Sessiz kaldın. Önce doktor, sonra annen, sonra babaannen eğilip yüzüne baktı. Üçü de “Bir şey mi var?” dedi. Yoktu; sadece bakıyordun.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c r="AI5" s="5" t="inlineStr"/>
      <c r="AJ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İki saat deliksiz uyudun. Annen de uyudu, baban da. Sabah ikisi de aynı şeyi söyledi: “Ne güzel bir geceydi.” İki saat.</t>
        </is>
      </c>
      <c r="I6" s="6" t="inlineStr">
        <is>
          <t>Sabaha kadar deliksiz uyudun. Annenle baban ise uyuyamadı; “Bu kadar sessiz olmaz” diye saatlerce başında nöbet tuttular.</t>
        </is>
      </c>
      <c r="J6" s="6" t="inlineStr">
        <is>
          <t>Gözlerini kapadın, açtın, kapadın. Uyku gelmedi; onun yerine babaannen geldi, “Gaz sancısı” dedi, karnını ovdu.</t>
        </is>
      </c>
      <c r="K6" s="6" t="inlineStr">
        <is>
          <t>Kendi kendine uyumaya çalışırken kendi kendini uyandırdın. Bu sinirle sabaha kadar daha çok ağladın.</t>
        </is>
      </c>
      <c r="L6" s="6" t="inlineStr">
        <is>
          <t>Yarım saat uyudun. Ev halkı bunu tam bir gece gibi kutladı.</t>
        </is>
      </c>
      <c r="M6" s="5" t="inlineStr">
        <is>
          <t>simon</t>
        </is>
      </c>
      <c r="N6" s="5" t="inlineStr">
        <is>
          <t>Ninni Sırası</t>
        </is>
      </c>
      <c r="O6" s="6" t="inlineStr">
        <is>
          <t>Sırayı dinle, aynı sırayla tekrar et.</t>
        </is>
      </c>
      <c r="P6" s="6" t="inlineStr">
        <is>
          <t>{"items": ["🌙", "🧸", "🍼", "🎵"]}</t>
        </is>
      </c>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c r="AI6" s="5" t="inlineStr"/>
      <c r="AJ6" s="5" t="inlineStr"/>
    </row>
    <row r="7">
      <c r="A7" s="5" t="inlineStr">
        <is>
          <t>gece-vardiyasi</t>
        </is>
      </c>
      <c r="B7" s="5" t="n">
        <v>2</v>
      </c>
      <c r="C7" s="6" t="inlineStr">
        <is>
          <t>Ağlayarak yardım çağır</t>
        </is>
      </c>
      <c r="D7" s="5" t="inlineStr">
        <is>
          <t>Çene</t>
        </is>
      </c>
      <c r="E7" s="5" t="inlineStr">
        <is>
          <t>Kolay</t>
        </is>
      </c>
      <c r="F7" s="5" t="inlineStr"/>
      <c r="G7" s="6" t="inlineStr"/>
      <c r="H7" s="6" t="inlineStr">
        <is>
          <t>Ağladın; annen geldi. Yarı uykuda, tek gözü kapalı, kolları açık. Ama geldi.</t>
        </is>
      </c>
      <c r="I7" s="6" t="inlineStr">
        <is>
          <t>Tek bir “ıngaa” ile bütün ev ayaklandı: annen biberonla, baban bezle, babaannen nazar boncuğuyla geldi. Üç çözüm, bir bebek. Hepsini kabul ettin.</t>
        </is>
      </c>
      <c r="J7" s="6" t="inlineStr">
        <is>
          <t>Ağladın; kapının ardından “Uyur şimdi” dendi. Uyumadın. Onlar uyudu.</t>
        </is>
      </c>
      <c r="K7" s="6" t="inlineStr">
        <is>
          <t>Ağladın, ev halkı seferber oldu. Annen, baban ve babaannen aynı anda “Ben bakarım” diye kapıya yüklendi; üçü birden kapıda sıkıştı. Yardım çağırdın, şimdi yardıma yardım lazım.</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c r="AI7" s="5" t="inlineStr"/>
      <c r="AJ7" s="5" t="inlineStr"/>
    </row>
    <row r="8">
      <c r="A8" s="5" t="inlineStr">
        <is>
          <t>gece-vardiyasi</t>
        </is>
      </c>
      <c r="B8" s="5" t="n">
        <v>3</v>
      </c>
      <c r="C8" s="6" t="inlineStr">
        <is>
          <t>Sessizce bekle</t>
        </is>
      </c>
      <c r="D8" s="5" t="inlineStr"/>
      <c r="E8" s="5" t="inlineStr"/>
      <c r="F8" s="5" t="inlineStr">
        <is>
          <t>Sosyal Radar +1</t>
        </is>
      </c>
      <c r="G8" s="6" t="inlineStr">
        <is>
          <t>Sessizce tavana baktın. Sabah annen “Hiç ağlamadı” dedi; babaannen “Hasta mı?” diye alnına dokundu.</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c r="AI8" s="5" t="inlineStr"/>
      <c r="AJ8" s="5" t="inlineStr"/>
    </row>
    <row r="9">
      <c r="A9" s="5" t="inlineStr">
        <is>
          <t>yabanci-krizi</t>
        </is>
      </c>
      <c r="B9" s="5" t="n">
        <v>1</v>
      </c>
      <c r="C9" s="6" t="inlineStr">
        <is>
          <t>Anneni ara</t>
        </is>
      </c>
      <c r="D9" s="5" t="inlineStr">
        <is>
          <t>Sosyal Radar</t>
        </is>
      </c>
      <c r="E9" s="5" t="inlineStr">
        <is>
          <t>Kolay</t>
        </is>
      </c>
      <c r="F9" s="5" t="inlineStr"/>
      <c r="G9" s="6" t="inlineStr"/>
      <c r="H9" s="6" t="inlineStr">
        <is>
          <t>Anneni buldun, yüzünü omzuna gömdün. Teyze “Utangaçmış” dedi. Değildin; seçiciydin.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c r="AI9" s="5" t="inlineStr"/>
      <c r="AJ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Teyze bir süre annene “Neredesin?” diye seslendi; annen yanındaydı.</t>
        </is>
      </c>
      <c r="I10" s="6" t="inlineStr">
        <is>
          <t>Gözlük elinde. Teyze ne olduğunu anlayana kadar sen çoktan zaferini ilan ettin.</t>
        </is>
      </c>
      <c r="J10" s="6" t="inlineStr">
        <is>
          <t>Teyze senden hızlı çıktı; gözlüğü cebine koydu, yanağını bir kez daha sıktı.</t>
        </is>
      </c>
      <c r="K10" s="6" t="inlineStr">
        <is>
          <t>Gözlüğe uzandın, küpesini yakaladın. Teyze çığlık attı, sen ağladın, annen bir saat özür diledi. Teyze bir daha gelmedi; küpenin öbür teki de.</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c r="AI10" s="5" t="inlineStr"/>
      <c r="AJ10" s="5" t="inlineStr"/>
    </row>
    <row r="11">
      <c r="A11" s="5" t="inlineStr">
        <is>
          <t>yabanci-krizi</t>
        </is>
      </c>
      <c r="B11" s="5" t="n">
        <v>3</v>
      </c>
      <c r="C11" s="6" t="inlineStr">
        <is>
          <t>Kabullen</t>
        </is>
      </c>
      <c r="D11" s="5" t="inlineStr"/>
      <c r="E11" s="5" t="inlineStr"/>
      <c r="F11" s="5" t="inlineStr">
        <is>
          <t>Sosyal Radar +1</t>
        </is>
      </c>
      <c r="G11" s="6" t="inlineStr">
        <is>
          <t>Kabullendin. İki yanağın da sıkıldı, kucaktan kucağa bir tur attın. Akşam yanakların hâlâ kırmızıydı; teyze çok memnun gitti.</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c r="AI11" s="5" t="inlineStr"/>
      <c r="AJ11" s="5" t="inlineStr"/>
    </row>
    <row r="12">
      <c r="A12" s="5" t="inlineStr">
        <is>
          <t>yabanci-krizi</t>
        </is>
      </c>
      <c r="B12" s="5" t="n">
        <v>4</v>
      </c>
      <c r="C12" s="6" t="inlineStr">
        <is>
          <t>Ağla</t>
        </is>
      </c>
      <c r="D12" s="5" t="inlineStr"/>
      <c r="E12" s="5" t="inlineStr"/>
      <c r="F12" s="5" t="inlineStr">
        <is>
          <t>Çene +1</t>
        </is>
      </c>
      <c r="G12" s="6" t="inlineStr">
        <is>
          <t>Ağladın. Teyze “Ay, beni sevmedi” deyip geri çekildi ve annene küstü. Annen bunu bayrama kadar duyacak.</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c r="AI12" s="5" t="inlineStr"/>
      <c r="AJ12" s="5" t="inlineStr"/>
    </row>
    <row r="13">
      <c r="A13" s="5" t="inlineStr">
        <is>
          <t>yasak-nesne</t>
        </is>
      </c>
      <c r="B13" s="5" t="n">
        <v>1</v>
      </c>
      <c r="C13" s="6" t="inlineStr">
        <is>
          <t>Dokunma</t>
        </is>
      </c>
      <c r="D13" s="5" t="inlineStr"/>
      <c r="E13" s="5" t="inlineStr"/>
      <c r="F13" s="5" t="inlineStr">
        <is>
          <t>İtibar +1</t>
        </is>
      </c>
      <c r="G13" s="6" t="inlineStr">
        <is>
          <t>Dokunmadın. Annen “Aferin” dedi ve şekerliği yine de vitrine kaldırdı. Güven var ama sınırlı.</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c r="AI13" s="5" t="inlineStr"/>
      <c r="AJ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Annen telefona döndüğü an şekerliği okşadın: soğuk, kaygan, güzel. Annen döndüğünde elin dizindeydi.</t>
        </is>
      </c>
      <c r="I14" s="6" t="inlineStr">
        <is>
          <t>Anne çıktı, sen aldın, anne döndü, nesne yerindeydi. Kimse hiçbir şey anlamadı.</t>
        </is>
      </c>
      <c r="J14" s="6" t="inlineStr">
        <is>
          <t>Beklerken uyuyakaldın. Uyandığında şekerlik vitrine dönmüştü.</t>
        </is>
      </c>
      <c r="K14" s="6" t="inlineStr">
        <is>
          <t>Annen çıkmadı; kapı aralığından izledi. Elin şekerliğe değdiği an “Gördüm!” dedi. Şekerlik vitrine, sen oyun parkına kaldırıldın.</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c r="AI14" s="5" t="inlineStr"/>
      <c r="AJ14" s="5" t="inlineStr"/>
    </row>
    <row r="15">
      <c r="A15" s="5" t="inlineStr">
        <is>
          <t>yasak-nesne</t>
        </is>
      </c>
      <c r="B15" s="5" t="n">
        <v>3</v>
      </c>
      <c r="C15" s="6" t="inlineStr">
        <is>
          <t>Direkt al</t>
        </is>
      </c>
      <c r="D15" s="5" t="inlineStr">
        <is>
          <t>Pişkinlik</t>
        </is>
      </c>
      <c r="E15" s="5" t="inlineStr">
        <is>
          <t>Kolay</t>
        </is>
      </c>
      <c r="F15" s="5" t="inlineStr"/>
      <c r="G15" s="6" t="inlineStr"/>
      <c r="H15" s="6" t="inlineStr">
        <is>
          <t>Aldın. Annen “Bırak” dedi; bırakmadın. Misafir “Aman, çocuk işte” dedi. Misafir sayesinde bir dakika senindi.</t>
        </is>
      </c>
      <c r="I15" s="6" t="inlineStr">
        <is>
          <t>Aldın ve kimse itiraz edemedi. Yüz ifaden tüm soruları cevapladı.</t>
        </is>
      </c>
      <c r="J15" s="6" t="inlineStr">
        <is>
          <t>Uzandın; şekerlik sehpanın ortasındaydı, kolun kenarında kaldı.</t>
        </is>
      </c>
      <c r="K15" s="6" t="inlineStr">
        <is>
          <t>Aldın, düşürdün, kırdın. Babaannenin çeyizinden kalan şekerlikmiş. O akşam misafire şeker tabakta geldi; herkes nedenini biliyordu.</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c r="AI15" s="5" t="inlineStr"/>
      <c r="AJ15" s="5" t="inlineStr"/>
    </row>
    <row r="16">
      <c r="A16" s="5" t="inlineStr">
        <is>
          <t>ilk-kelime</t>
        </is>
      </c>
      <c r="B16" s="5" t="n">
        <v>1</v>
      </c>
      <c r="C16" s="6" t="inlineStr">
        <is>
          <t>Anne</t>
        </is>
      </c>
      <c r="D16" s="5" t="inlineStr"/>
      <c r="E16" s="5" t="inlineStr"/>
      <c r="F16" s="5" t="inlineStr">
        <is>
          <t>Gönül +1</t>
        </is>
      </c>
      <c r="G16" s="6" t="inlineStr">
        <is>
          <t>“Anne” dedin. Annen ağladı. Baban “Ben de buradayım” dedi; kimse duymadı.</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c r="AI16" s="5" t="inlineStr"/>
      <c r="AJ16" s="5" t="inlineStr"/>
    </row>
    <row r="17">
      <c r="A17" s="5" t="inlineStr">
        <is>
          <t>ilk-kelime</t>
        </is>
      </c>
      <c r="B17" s="5" t="n">
        <v>2</v>
      </c>
      <c r="C17" s="6" t="inlineStr">
        <is>
          <t>Baba</t>
        </is>
      </c>
      <c r="D17" s="5" t="inlineStr"/>
      <c r="E17" s="5" t="inlineStr"/>
      <c r="F17" s="5" t="inlineStr">
        <is>
          <t>Çene +1</t>
        </is>
      </c>
      <c r="G17" s="6" t="inlineStr">
        <is>
          <t>“Baba” dedin. Baban o akşam bütün sülaleyi aradı. Annen “Dokuz ay ben taşıdım” diye mırıldandı.</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c r="AI17" s="5" t="inlineStr"/>
      <c r="AJ17" s="5" t="inlineStr"/>
    </row>
    <row r="18">
      <c r="A18" s="5" t="inlineStr">
        <is>
          <t>ilk-kelime</t>
        </is>
      </c>
      <c r="B18" s="5" t="n">
        <v>3</v>
      </c>
      <c r="C18" s="6" t="inlineStr">
        <is>
          <t>Mama</t>
        </is>
      </c>
      <c r="D18" s="5" t="inlineStr"/>
      <c r="E18" s="5" t="inlineStr"/>
      <c r="F18" s="5" t="inlineStr">
        <is>
          <t>Dayanıklılık +1</t>
        </is>
      </c>
      <c r="G18" s="6" t="inlineStr">
        <is>
          <t>“Mama” dedin. Önce herkes güldü, sonra herkes mutfağa koştu. Bu kelime hâlâ işe yarıyor.</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c r="AI18" s="5" t="inlineStr"/>
      <c r="AJ18" s="5" t="inlineStr"/>
    </row>
    <row r="19">
      <c r="A19" s="5" t="inlineStr">
        <is>
          <t>ilk-kelime</t>
        </is>
      </c>
      <c r="B19" s="5" t="n">
        <v>4</v>
      </c>
      <c r="C19" s="6" t="inlineStr">
        <is>
          <t>Para</t>
        </is>
      </c>
      <c r="D19" s="5" t="inlineStr">
        <is>
          <t>Kurnazlık</t>
        </is>
      </c>
      <c r="E19" s="5" t="inlineStr">
        <is>
          <t>Zor</t>
        </is>
      </c>
      <c r="F19" s="5" t="inlineStr"/>
      <c r="G19" s="6" t="inlineStr"/>
      <c r="H19" s="6" t="inlineStr">
        <is>
          <t>“Para” dedin. Salon sustu. Deden gülmeye başladı; annen “Kimden duydu bunu?” diye babana baktı.</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Kumbara Çocuğu</t>
        </is>
      </c>
      <c r="U19" s="5" t="n"/>
      <c r="V19" s="5" t="inlineStr">
        <is>
          <t>ilkKelimePara</t>
        </is>
      </c>
      <c r="W19" s="5" t="inlineStr"/>
      <c r="X19" s="5" t="inlineStr"/>
      <c r="Y19" s="5" t="inlineStr"/>
      <c r="Z19" s="6" t="inlineStr"/>
      <c r="AA19" s="5" t="inlineStr"/>
      <c r="AB19" s="5" t="inlineStr"/>
      <c r="AC19" s="5" t="inlineStr"/>
      <c r="AD19" s="5" t="inlineStr"/>
      <c r="AE19" s="5" t="inlineStr"/>
      <c r="AF19" s="5" t="inlineStr"/>
      <c r="AG19" s="5" t="inlineStr"/>
      <c r="AH19" s="5" t="inlineStr"/>
      <c r="AI19" s="5" t="inlineStr">
        <is>
          <t>Küçük Tefeci</t>
        </is>
      </c>
      <c r="AJ19" s="5" t="inlineStr"/>
    </row>
    <row r="20">
      <c r="A20" s="5" t="inlineStr">
        <is>
          <t>ilk-adimlar</t>
        </is>
      </c>
      <c r="B20" s="5" t="n">
        <v>1</v>
      </c>
      <c r="C20" s="6" t="inlineStr">
        <is>
          <t>Koşmayı dene</t>
        </is>
      </c>
      <c r="D20" s="5" t="inlineStr">
        <is>
          <t>Cesaret</t>
        </is>
      </c>
      <c r="E20" s="5" t="inlineStr">
        <is>
          <t>Orta</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timing</t>
        </is>
      </c>
      <c r="N20" s="5" t="inlineStr">
        <is>
          <t>Dengede Kal</t>
        </is>
      </c>
      <c r="O20" s="6" t="inlineStr">
        <is>
          <t>İbre yeşil alandayken DURDUR'a bas. Art arda tutturdukça kombo kazanırsın.</t>
        </is>
      </c>
      <c r="P20" s="6" t="n"/>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c r="AI20" s="5" t="inlineStr"/>
      <c r="AJ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Koltuğa tutundun, sehpaya geçtin, sehpada durdun. Üstündeki çay bardakları tıkırdadı; annen koştu, sen gülümsedin.</t>
        </is>
      </c>
      <c r="I21" s="6" t="inlineStr">
        <is>
          <t>Koltuktan sehpaya, sehpadan kapıya: evin bütün tutunacak yerlerini bir turda gezdin. Baban “Bu çocuk yürüdü sayılır” dedi.</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c r="AI21" s="5" t="inlineStr"/>
      <c r="AJ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Babanı izledin: önce bir ayak, sonra öbürü. Denedin: iki adım, bir koltuk. Baban “Benden öğrendi” dedi; doğruydu.</t>
        </is>
      </c>
      <c r="I22" s="6" t="inlineStr">
        <is>
          <t>Kediyi izledin: dört ayak daha dengeli, iki ayak daha prestijli. Prestij kazandı.</t>
        </is>
      </c>
      <c r="J22" s="6" t="inlineStr">
        <is>
          <t>İzledin, izledin. O sırada herkes oturuyordu.</t>
        </is>
      </c>
      <c r="K22" s="6" t="inlineStr">
        <is>
          <t>Örnek aldığın kişi dedendi. Bir adım, bir “of”, bir bel tutma. Yürümeyi değil “of”u öğrendin; bir hafta her kalkışta “of” dedin.</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c r="AI22" s="5" t="inlineStr"/>
      <c r="AJ22" s="5" t="inlineStr"/>
    </row>
    <row r="23">
      <c r="A23" s="5" t="inlineStr">
        <is>
          <t>masadaki-telefon</t>
        </is>
      </c>
      <c r="B23" s="5" t="n">
        <v>1</v>
      </c>
      <c r="C23" s="6" t="inlineStr">
        <is>
          <t>Dokunma</t>
        </is>
      </c>
      <c r="D23" s="5" t="inlineStr"/>
      <c r="E23" s="5" t="inlineStr"/>
      <c r="F23" s="5" t="inlineStr">
        <is>
          <t>İtibar +1</t>
        </is>
      </c>
      <c r="G23" s="6" t="inlineStr">
        <is>
          <t>Dokunmadın. Annen “Bak, bizimki telefona bakmıyor” dedi; komşuya, telefondan.</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c r="AI23" s="5" t="inlineStr"/>
      <c r="AJ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Ekranı açtın, her yere bastın. Telefonun dili değişti; baban üç gün Öte Diyar diliyle idare etti.</t>
        </is>
      </c>
      <c r="I24" s="6" t="inlineStr">
        <is>
          <t>Ekranı açtın ve babanın çalma listesini 'Ninniler' olarak güncelledin.</t>
        </is>
      </c>
      <c r="J24" s="6" t="inlineStr">
        <is>
          <t>Ekran kilitliydi. Sen de bir süre kilitlendin.</t>
        </is>
      </c>
      <c r="K24" s="6" t="inlineStr">
        <is>
          <t>Rastgele dokunuşların babanın patronunu görüntülü aradı. Patron açtı. Ekranda sen, arkada atletle koşturan baban.</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c r="AI24" s="5" t="inlineStr"/>
      <c r="AJ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Telefonu aldın; kilidi açamadın ama kamerayı açtın. Kırk üç fotoğraf: tavan, burun, tavan.</t>
        </is>
      </c>
      <c r="I25" s="6" t="inlineStr">
        <is>
          <t>Telefonu aldın, bir oyun açtın, rekor kırdın. Kimse şifreyi nasıl bildiğini anlamadı.</t>
        </is>
      </c>
      <c r="J25" s="6" t="inlineStr">
        <is>
          <t>Telefon elinde titreşti; irkildin, bıraktın. Halıda titremeye devam etti, sen de.</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Şifreyi Bilen</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c r="AI25" s="5" t="inlineStr"/>
      <c r="AJ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Bekledin, bekledin, uyuyakaldın. Uyandığında pasta bitmişti; sana mum kaldı. Fotoğraflarda herkes yiyor, sen uyuyorsun.</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c r="AI26" s="5" t="inlineStr"/>
      <c r="AJ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Şarkı bitmeden parmağını kremaya daldırdın. Teyzen “Dur!” dedi; parmak çoktan ağzındaydı.</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c r="AI27" s="5" t="inlineStr">
        <is>
          <t>Kremalı</t>
        </is>
      </c>
      <c r="AJ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is>
          <t>Mumların yarısı söndü, yarısı direndi. Kuzenin kalanları üfledi; alkış ikinize bölündü.</t>
        </is>
      </c>
      <c r="M28" s="5" t="inlineStr">
        <is>
          <t>timing</t>
        </is>
      </c>
      <c r="N28" s="5" t="inlineStr">
        <is>
          <t>Mumu Üfle</t>
        </is>
      </c>
      <c r="O28" s="6" t="inlineStr">
        <is>
          <t>İbre yeşil alandayken DURDUR'a bas. Art arda tutturdukça kombo kazanırsın.</t>
        </is>
      </c>
      <c r="P28" s="6" t="n"/>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c r="AI28" s="5" t="inlineStr"/>
      <c r="AJ28" s="5" t="inlineStr"/>
    </row>
    <row r="29">
      <c r="A29" s="5" t="inlineStr">
        <is>
          <t>vazo-kirildi</t>
        </is>
      </c>
      <c r="B29" s="5" t="n">
        <v>1</v>
      </c>
      <c r="C29" s="6" t="inlineStr">
        <is>
          <t>Bekle</t>
        </is>
      </c>
      <c r="D29" s="5" t="inlineStr"/>
      <c r="E29" s="5" t="inlineStr"/>
      <c r="F29" s="5" t="inlineStr">
        <is>
          <t>İtibar +2</t>
        </is>
      </c>
      <c r="G29" s="6" t="inlineStr">
        <is>
          <t>Parçaların yanında bekledin. Annen geldi; önce ellerine baktı, sonra vazoya. “Elini kestin mi?” Kesmemiştin. Vazo ikinci sıradaydı.</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c r="AI29" s="5" t="inlineStr"/>
      <c r="AJ29" s="5" t="inlineStr"/>
    </row>
    <row r="30">
      <c r="A30" s="5" t="inlineStr">
        <is>
          <t>vazo-kirildi</t>
        </is>
      </c>
      <c r="B30" s="5" t="n">
        <v>2</v>
      </c>
      <c r="C30" s="6" t="inlineStr">
        <is>
          <t>Kaç</t>
        </is>
      </c>
      <c r="D30" s="5" t="inlineStr">
        <is>
          <t>Kurnazlık</t>
        </is>
      </c>
      <c r="E30" s="5" t="inlineStr">
        <is>
          <t>Orta</t>
        </is>
      </c>
      <c r="F30" s="5" t="inlineStr"/>
      <c r="G30" s="6" t="inlineStr"/>
      <c r="H30" s="6" t="inlineStr">
        <is>
          <t>Kaçtın, yatağına girdin, uyuyormuş gibi yaptın. Annen geldi, baktı, inanmadı; ama kanıt da bulamadı.</t>
        </is>
      </c>
      <c r="I30" s="6" t="inlineStr">
        <is>
          <t>Kaçtın ve üç dakika sonra 'Ne oldu?' diye içeri girdin. Annen bile inandı; babaannen 'Bu çocuk oyuncu olur' dedi.</t>
        </is>
      </c>
      <c r="J30" s="6" t="inlineStr">
        <is>
          <t>Kaçarken terlikler ses yaptı. Şüpheli tespit edildi.</t>
        </is>
      </c>
      <c r="K30" s="6" t="inlineStr">
        <is>
          <t>Kaçarken ikinci vazoyu da devirdin. O da babaannenindi; babaannen bu akşam yemeğe geliyor.</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c r="AI30" s="5" t="inlineStr"/>
      <c r="AJ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c r="AI31" s="5" t="inlineStr">
        <is>
          <t>Kedinin Savcısı</t>
        </is>
      </c>
      <c r="AJ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Annen seni kucağına aldı, sırtını sıvazladı; vazoyu ancak sen susunca hatırladı.</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c r="AI32" s="5" t="inlineStr"/>
      <c r="AJ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Parçaları koltuğun altına ittin. Annen vazoyu üç gün sonra aradı. Üç gün, şüpheli listesinden düşmeye yetti.</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c r="AI33" s="5" t="inlineStr"/>
      <c r="AJ33" s="5" t="inlineStr"/>
    </row>
    <row r="34">
      <c r="A34" s="5" t="inlineStr">
        <is>
          <t>ilk-harclik</t>
        </is>
      </c>
      <c r="B34" s="5" t="n">
        <v>1</v>
      </c>
      <c r="C34" s="6" t="inlineStr">
        <is>
          <t>Annene ver</t>
        </is>
      </c>
      <c r="D34" s="5" t="inlineStr"/>
      <c r="E34" s="5" t="inlineStr"/>
      <c r="F34" s="5" t="inlineStr">
        <is>
          <t>İtibar +1</t>
        </is>
      </c>
      <c r="G34" s="6" t="inlineStr">
        <is>
          <t>Paraları annene uzattın. “Benim akıllı evladım” dedi, cebine koydu. Para bir daha görünmedi; “akıllı evlat” kaldı.</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c r="AI34" s="5" t="inlineStr"/>
      <c r="AJ34" s="5" t="inlineStr"/>
    </row>
    <row r="35">
      <c r="A35" s="5" t="inlineStr">
        <is>
          <t>ilk-harclik</t>
        </is>
      </c>
      <c r="B35" s="5" t="n">
        <v>2</v>
      </c>
      <c r="C35" s="6" t="inlineStr">
        <is>
          <t>Oyuncak iste</t>
        </is>
      </c>
      <c r="D35" s="5" t="inlineStr"/>
      <c r="E35" s="5" t="inlineStr"/>
      <c r="F35" s="5" t="inlineStr">
        <is>
          <t>Çene +1</t>
        </is>
      </c>
      <c r="G35" s="6" t="inlineStr">
        <is>
          <t>Parayı uzatıp “Oyuncak” dedin. Para yetmedi, farkı deden ödedi. Oyuncak iki gün dayandı; deden hâlâ hatırlatıyor.</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c r="AI35" s="5" t="inlineStr"/>
      <c r="AJ35" s="5" t="inlineStr"/>
    </row>
    <row r="36">
      <c r="A36" s="5" t="inlineStr">
        <is>
          <t>ilk-harclik</t>
        </is>
      </c>
      <c r="B36" s="5" t="n">
        <v>3</v>
      </c>
      <c r="C36" s="6" t="inlineStr">
        <is>
          <t>Parayı sakla</t>
        </is>
      </c>
      <c r="D36" s="5" t="inlineStr">
        <is>
          <t>Kurnazlık</t>
        </is>
      </c>
      <c r="E36" s="5" t="inlineStr">
        <is>
          <t>Zor</t>
        </is>
      </c>
      <c r="F36" s="5" t="inlineStr"/>
      <c r="G36" s="6" t="inlineStr"/>
      <c r="H36" s="6" t="inlineStr">
        <is>
          <t>Paraları yastığının altına sakladın. Annen çarşaf değiştirirken buldu, geri koydu, hiçbir şey demedi. İkiniz de biliyorsunuz.</t>
        </is>
      </c>
      <c r="I36" s="6" t="inlineStr">
        <is>
          <t>Parayı sakladın, bir hafta sonra unutup yeniden buldun. Hayatında ilk kez zengin oldun; para aynı paraydı.</t>
        </is>
      </c>
      <c r="J36" s="6" t="inlineStr">
        <is>
          <t>Sakladığın yeri unuttun. Para artık evin ortak mirası.</t>
        </is>
      </c>
      <c r="K36" s="6" t="inlineStr">
        <is>
          <t>Parayı çorabının içine sakladın. Akşam çorap çamaşıra gitti. Para makinede; sesi hâlâ geliyor.</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c r="AI36" s="5" t="inlineStr"/>
      <c r="AJ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İki bozukluk verdin, bir oyuncak araba aldın. Kuzeninin annesi “O arabayı biz almıştık” dedi. Anlaşma geçerli, teyze küs.</t>
        </is>
      </c>
      <c r="I37" s="6" t="inlineStr">
        <is>
          <t>İki bozuk parayı bir oyuncak arabaya çevirdin, sonra arabayı üç bozuk paraya. Kârdasın.</t>
        </is>
      </c>
      <c r="J37" s="6" t="inlineStr">
        <is>
          <t>Parayı uzattın. Çocuk baktı, krakerini yedi, gitti.</t>
        </is>
      </c>
      <c r="K37" s="6" t="inlineStr">
        <is>
          <t>Takas ettin: bütün bozukluklar gitti, eline ısırılmış yarım bir kraker geçti. Öbür çocuk annesine “Kazandım” dedi. Haklıydı.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c r="AI37" s="5" t="inlineStr"/>
      <c r="AJ37" s="5" t="inlineStr"/>
    </row>
    <row r="38">
      <c r="A38" s="5" t="inlineStr">
        <is>
          <t>ilk-harclik</t>
        </is>
      </c>
      <c r="B38" s="5" t="n">
        <v>5</v>
      </c>
      <c r="C38" s="6" t="inlineStr">
        <is>
          <t>Faiz sor</t>
        </is>
      </c>
      <c r="D38" s="5" t="inlineStr">
        <is>
          <t>Kurnazlık</t>
        </is>
      </c>
      <c r="E38" s="5" t="inlineStr">
        <is>
          <t>Kolay</t>
        </is>
      </c>
      <c r="F38" s="5" t="inlineStr"/>
      <c r="G38" s="6" t="inlineStr"/>
      <c r="H38" s="6" t="inlineStr">
        <is>
          <t>Parayı dedene geri uzattın: “Daha.” Deden güldü, bir bozukluk daha koydu. Ailede faiz ilk kez böyle konuşuldu.</t>
        </is>
      </c>
      <c r="I38" s="6" t="inlineStr">
        <is>
          <t>“Daha” dedin, deden verdi. “Daha” dedin, babaannen verdi. Avucun dolduğunda halan “Bu çocuk bizi bitirecek” dedi.</t>
        </is>
      </c>
      <c r="J38" s="6" t="inlineStr">
        <is>
          <t>“Daha” dedin. Kimse paradan bahsettiğini anlamadı; eline bir bisküvi tutuşturdular.</t>
        </is>
      </c>
      <c r="K38" s="6" t="inlineStr">
        <is>
          <t>“Daha” dedin, elini uzattın. Babaannen paranın hepsini aldı: “Çocuk açgözlü olmasın.” Para gitti, bisküvi de gelmedi.</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c r="AI38" s="5" t="inlineStr"/>
      <c r="AJ38" s="5" t="inlineStr"/>
    </row>
    <row r="39">
      <c r="A39" s="5" t="inlineStr">
        <is>
          <t>oyuncak-krizi</t>
        </is>
      </c>
      <c r="B39" s="5" t="n">
        <v>1</v>
      </c>
      <c r="C39" s="6" t="inlineStr">
        <is>
          <t>Paylaş</t>
        </is>
      </c>
      <c r="D39" s="5" t="inlineStr">
        <is>
          <t>Gönül</t>
        </is>
      </c>
      <c r="E39" s="5" t="inlineStr">
        <is>
          <t>Zor</t>
        </is>
      </c>
      <c r="F39" s="5" t="inlineStr"/>
      <c r="G39" s="6" t="inlineStr"/>
      <c r="H39" s="6" t="inlineStr">
        <is>
          <t>Kovayı ona bıraktın. Ağlamadın. Annen bunu akşam babana üç kez anlattı.</t>
        </is>
      </c>
      <c r="I39" s="6" t="inlineStr">
        <is>
          <t>Kovayı bıraktın, küreği de uzattın. Birlikte kule yaptınız. İki anne yan yana oturdu; yıllar sürecek bir komşuluk kum havuzunda başladı.</t>
        </is>
      </c>
      <c r="J39" s="6" t="inlineStr">
        <is>
          <t>Paylaşmayı denedin. Elin bırakmadı. İki yaşında el, kafadan hızlıdır.</t>
        </is>
      </c>
      <c r="K39" s="6" t="inlineStr">
        <is>
          <t>Paylaştın. Çocuk kovayı kumla doldurdu ve kafana boşalttı. Saçından bir hafta kum döküldü.</t>
        </is>
      </c>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c r="AI39" s="5" t="inlineStr"/>
      <c r="AJ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“Bunu al, kovamı ver” dedin. Düşündü, kabul etti. İkiniz de kazandığınızı sanıyorsunuz.</t>
        </is>
      </c>
      <c r="I40" s="6" t="inlineStr">
        <is>
          <t>Eski oyuncağını teklif ettin, yenisini geri aldın, karşı taraf sana teşekkür bile etti. Tarihe 'başarılı takas' olarak geçti.</t>
        </is>
      </c>
      <c r="J40" s="6" t="inlineStr">
        <is>
          <t>Teklif ettin. Baktı, burnunu kırıştırdı, kovayla oynamaya devam etti.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c r="AI40" s="5" t="inlineStr"/>
      <c r="AJ40" s="5" t="inlineStr"/>
    </row>
    <row r="41">
      <c r="A41" s="5" t="inlineStr">
        <is>
          <t>oyuncak-krizi</t>
        </is>
      </c>
      <c r="B41" s="5" t="n">
        <v>3</v>
      </c>
      <c r="C41" s="6" t="inlineStr">
        <is>
          <t>Elinden al</t>
        </is>
      </c>
      <c r="D41" s="5" t="inlineStr">
        <is>
          <t>Cesaret</t>
        </is>
      </c>
      <c r="E41" s="5" t="inlineStr">
        <is>
          <t>Orta</t>
        </is>
      </c>
      <c r="F41" s="5" t="inlineStr"/>
      <c r="G41" s="6" t="inlineStr"/>
      <c r="H41" s="6" t="inlineStr">
        <is>
          <t>Çektin, aldın, arkanı döndün. O ağladı, sen oynadın. Annen “Ver” dedi; vermedin. Bu kez annen sustu.</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c r="AI41" s="5" t="inlineStr"/>
      <c r="AJ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Bekledin. Beş dakika sonra kova onu sıktı; bıraktı, salıncağa koştu. Kova yine senin.</t>
        </is>
      </c>
      <c r="I42" s="6" t="inlineStr">
        <is>
          <t>O sıkıldı, oyuncağı bıraktı, üstüne bir tane daha verdi — belli ki suçluluk duydu.</t>
        </is>
      </c>
      <c r="J42" s="6" t="inlineStr">
        <is>
          <t>O sıkılmadı. Sıkılan sendin, üstelik daha erken.</t>
        </is>
      </c>
      <c r="K42" s="6" t="inlineStr">
        <is>
          <t>Bekledin; bu arada annesi “Hadi gidiyoruz” dedi, kova da gitti. Annen “Bir tane daha alırız” dedi. Almadı.</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c r="AI42" s="5" t="inlineStr"/>
      <c r="AJ42" s="5" t="inlineStr"/>
    </row>
    <row r="43">
      <c r="A43" s="5" t="inlineStr">
        <is>
          <t>aile-toplantisi</t>
        </is>
      </c>
      <c r="B43" s="5" t="n">
        <v>1</v>
      </c>
      <c r="C43" s="6" t="inlineStr">
        <is>
          <t>Dinle</t>
        </is>
      </c>
      <c r="D43" s="5" t="inlineStr">
        <is>
          <t>Sosyal Radar</t>
        </is>
      </c>
      <c r="E43" s="5" t="inlineStr">
        <is>
          <t>Kolay</t>
        </is>
      </c>
      <c r="F43" s="5" t="inlineStr"/>
      <c r="G43" s="6" t="inlineStr"/>
      <c r="H43" s="6" t="inlineStr">
        <is>
          <t>Dinledin. Büyükler “Çocuğun yanında konuşmayalım” deyip yarım saat daha konuştu. Çocuk, sendin.</t>
        </is>
      </c>
      <c r="I43" s="6" t="inlineStr">
        <is>
          <t>Büyüklerin fısıldadığını yakaladın: yaz tatili iptal değil, ertelenmiş. Bütün akşam herkesten önce sen sevindin.</t>
        </is>
      </c>
      <c r="J43" s="6" t="inlineStr">
        <is>
          <t>Dinledin ama kelimeler çok uzundu.</t>
        </is>
      </c>
      <c r="K43" s="6" t="inlineStr">
        <is>
          <t>Dinlerken bir kelime kaptın; akşam misafirlerin önünde tekrar ettin: “Cimri.” Misafir, hakkında konuşulan amcandı.</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c r="AI43" s="5" t="inlineStr"/>
      <c r="AJ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Salonun ortasında dans ettin. Konuşma durdu, telefonlar çıktı. Videon o akşam aile grubundaydı.</t>
        </is>
      </c>
      <c r="I44" s="6" t="inlineStr">
        <is>
          <t>Dans ettin; önce deden kalktı, sonra halan. Salon düğüne döndü, konuşulacak her şey seneye kaldı.</t>
        </is>
      </c>
      <c r="J44" s="6" t="inlineStr">
        <is>
          <t>Dans ettin, kimse bakmadı. Bütçe konuşuluyordu.</t>
        </is>
      </c>
      <c r="K44" s="6" t="inlineStr">
        <is>
          <t>İlgi çekmek için boş bardaklı tepsiye uzandın. Tepsi halıya, bardaklar dört yöne, misafir koltuğun üstüne. Erkenden yatağa gönderildin; kahkahalar yatağına kadar geldi.</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c r="AI44" s="5" t="inlineStr"/>
      <c r="AJ44" s="5" t="inlineStr"/>
    </row>
    <row r="45">
      <c r="A45" s="5" t="inlineStr">
        <is>
          <t>aile-toplantisi</t>
        </is>
      </c>
      <c r="B45" s="5" t="n">
        <v>3</v>
      </c>
      <c r="C45" s="6" t="inlineStr">
        <is>
          <t>Oyuncağınla ilgilen</t>
        </is>
      </c>
      <c r="D45" s="5" t="inlineStr"/>
      <c r="E45" s="5" t="inlineStr"/>
      <c r="F45" s="5" t="inlineStr">
        <is>
          <t>Dayanıklılık +1</t>
        </is>
      </c>
      <c r="G45" s="6" t="inlineStr">
        <is>
          <t>Oyuncağınla oynadın. Büyükler konuştu, karar verdi, sana sormadı. Karar: “Yazın babaanneye gider.”</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c r="AI45" s="5" t="inlineStr"/>
      <c r="AJ45" s="5" t="inlineStr"/>
    </row>
    <row r="46">
      <c r="A46" s="5" t="inlineStr">
        <is>
          <t>parkta-sira</t>
        </is>
      </c>
      <c r="B46" s="5" t="n">
        <v>1</v>
      </c>
      <c r="C46" s="6" t="inlineStr">
        <is>
          <t>Sıraya gir</t>
        </is>
      </c>
      <c r="D46" s="5" t="inlineStr"/>
      <c r="E46" s="5" t="inlineStr"/>
      <c r="F46" s="5" t="inlineStr">
        <is>
          <t>İtibar +1</t>
        </is>
      </c>
      <c r="G46" s="6" t="inlineStr">
        <is>
          <t>Sıraya girdin, bekledin, kaydın. Annen banktaki herkese “Bizimki sıraya giriyor” dedi.</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c r="AI46" s="5" t="inlineStr"/>
      <c r="AJ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kaydın; kaydırağın dibindeki su birikintisine oturdun. Sıradakiler alkışladı. Annen havluyu evde unutmuştu.</t>
        </is>
      </c>
      <c r="L47" s="6" t="inlineStr">
        <is>
          <t>Yarıya kadar geldin. Sonra biri seni fark etti. Yarım zafer.</t>
        </is>
      </c>
      <c r="M47" s="5" t="inlineStr">
        <is>
          <t>fight</t>
        </is>
      </c>
      <c r="N47" s="5" t="inlineStr">
        <is>
          <t>Sıranın Arasından Geç</t>
        </is>
      </c>
      <c r="O47" s="6" t="inlineStr">
        <is>
          <t>Engelin olmadığı şeride geç.</t>
        </is>
      </c>
      <c r="P47" s="6" t="inlineStr">
        <is>
          <t>{"mode": "dodge", "obstacles": ["🧒", "👧", "🧒🏽", "👦"]}</t>
        </is>
      </c>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c r="AI47" s="5" t="inlineStr"/>
      <c r="AJ47" s="5" t="inlineStr"/>
    </row>
    <row r="48">
      <c r="A48" s="5" t="inlineStr">
        <is>
          <t>parkta-sira</t>
        </is>
      </c>
      <c r="B48" s="5" t="n">
        <v>3</v>
      </c>
      <c r="C48" s="6" t="inlineStr">
        <is>
          <t>Konuşarak çöz</t>
        </is>
      </c>
      <c r="D48" s="5" t="inlineStr">
        <is>
          <t>Çene</t>
        </is>
      </c>
      <c r="E48" s="5" t="inlineStr">
        <is>
          <t>Kolay</t>
        </is>
      </c>
      <c r="F48" s="5" t="inlineStr"/>
      <c r="G48" s="6" t="inlineStr"/>
      <c r="H48" s="6" t="inlineStr">
        <is>
          <t>“Ben küçüğüm” dedin. Önündeki iki çocuk sana yol verdi. Küçük olmanın son günleri; iyi kullandın.</t>
        </is>
      </c>
      <c r="I48" s="6" t="inlineStr">
        <is>
          <t>Konuştun ve sıradaki herkes sana geçiş hakkı verdi. Nedeni belirsiz.</t>
        </is>
      </c>
      <c r="J48" s="6" t="inlineStr">
        <is>
          <t>Konuştun; herkes dinledi, kimse kıpırdamadı.</t>
        </is>
      </c>
      <c r="K48" s="6" t="inlineStr">
        <is>
          <t>Konuştun, konuştun. Sen konuşurken arkadaki üç çocuk önüne geçti. Kaydırak kapandığında hâlâ konuşuyordun.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c r="AI48" s="5" t="inlineStr"/>
      <c r="AJ48" s="5" t="inlineStr"/>
    </row>
    <row r="49">
      <c r="A49" s="5" t="inlineStr">
        <is>
          <t>parkta-sira</t>
        </is>
      </c>
      <c r="B49" s="5" t="n">
        <v>4</v>
      </c>
      <c r="C49" s="6" t="inlineStr">
        <is>
          <t>Sırayı izle</t>
        </is>
      </c>
      <c r="D49" s="5" t="inlineStr">
        <is>
          <t>Sosyal Radar</t>
        </is>
      </c>
      <c r="E49" s="5" t="inlineStr">
        <is>
          <t>Kolay</t>
        </is>
      </c>
      <c r="F49" s="5" t="inlineStr"/>
      <c r="G49" s="6" t="inlineStr"/>
      <c r="H49" s="6" t="inlineStr">
        <is>
          <t>Sıradakilerin yarısının sırada değil, annesini beklediğini fark ettin. Gerçek sıranın başına geçtin.</t>
        </is>
      </c>
      <c r="I49" s="6" t="inlineStr">
        <is>
          <t>Sıranın aslında iki ayrı sıra olduğunu fark ettin ve boş olanına geçtin.</t>
        </is>
      </c>
      <c r="J49" s="6" t="inlineStr">
        <is>
          <t>İzledin; sıra hiç ilerlemedi. Kaydırak kapandı.</t>
        </is>
      </c>
      <c r="K49" s="6" t="inlineStr">
        <is>
          <t>Sırayı izlemeye öyle daldın ki en sonda kaldın. Tam sıra sana gelince annen “Hadi eve” dedi.</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c r="AI49" s="5" t="inlineStr"/>
      <c r="AJ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c r="AI50" s="5" t="inlineStr"/>
      <c r="AJ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c r="AI51" s="5" t="inlineStr"/>
      <c r="AJ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c r="AI52" s="5" t="inlineStr"/>
      <c r="AJ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c r="AI53" s="5" t="inlineStr">
        <is>
          <t>Güneş Ressamı</t>
        </is>
      </c>
      <c r="AJ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c r="AI54" s="5" t="inlineStr"/>
      <c r="AJ54" s="5" t="inlineStr"/>
    </row>
    <row r="55">
      <c r="A55" s="5" t="inlineStr">
        <is>
          <t>kres-kapisi</t>
        </is>
      </c>
      <c r="B55" s="5" t="n">
        <v>1</v>
      </c>
      <c r="C55" s="6" t="inlineStr">
        <is>
          <t>Bacağına sarıl</t>
        </is>
      </c>
      <c r="D55" s="5" t="inlineStr"/>
      <c r="E55" s="5" t="inlineStr"/>
      <c r="F55" s="5" t="inlineStr">
        <is>
          <t>Gönül +1</t>
        </is>
      </c>
      <c r="G55" s="6" t="inlineStr">
        <is>
          <t>Annenin bacağına sarıldın. Annen “Beş dakika” dedi; beş dakika kırk dakika sürdü. Sonunda öğretmen ikinizi birden içeri aldı.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c r="AI55" s="5" t="inlineStr"/>
      <c r="AJ55" s="5" t="inlineStr"/>
    </row>
    <row r="56">
      <c r="A56" s="5" t="inlineStr">
        <is>
          <t>kres-kapisi</t>
        </is>
      </c>
      <c r="B56" s="5" t="n">
        <v>2</v>
      </c>
      <c r="C56" s="6" t="inlineStr">
        <is>
          <t>İçeri gir</t>
        </is>
      </c>
      <c r="D56" s="5" t="inlineStr">
        <is>
          <t>Cesaret</t>
        </is>
      </c>
      <c r="E56" s="5" t="inlineStr">
        <is>
          <t>Orta</t>
        </is>
      </c>
      <c r="F56" s="5" t="inlineStr"/>
      <c r="G56" s="6" t="inlineStr"/>
      <c r="H56" s="6" t="inlineStr">
        <is>
          <t>İçeri girdin, bir kez arkana baktın. Annen el salladı; sen sallamadın, oyuncak köşesi daha ilginçti. Annen kapıda biraz daha durdu.</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c r="AI56" s="5" t="inlineStr"/>
      <c r="AJ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c r="AI57" s="5" t="inlineStr"/>
      <c r="AJ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c r="AI58" s="5" t="inlineStr"/>
      <c r="AJ58" s="5" t="inlineStr"/>
    </row>
    <row r="59">
      <c r="A59" s="5" t="inlineStr">
        <is>
          <t>ilk-arkadas</t>
        </is>
      </c>
      <c r="B59" s="5" t="n">
        <v>1</v>
      </c>
      <c r="C59" s="6" t="inlineStr">
        <is>
          <t>İsmini söyle</t>
        </is>
      </c>
      <c r="D59" s="5" t="inlineStr"/>
      <c r="E59" s="5" t="inlineStr"/>
      <c r="F59" s="5" t="inlineStr">
        <is>
          <t>Çene +1</t>
        </is>
      </c>
      <c r="G59" s="6" t="inlineStr">
        <is>
          <t>Adını söyledin, o da söyledi. İkiniz de hemen unuttunuz; kuma bakıp beraber oynadınız. Ertesi gün yine sordunuz.</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c r="AI59" s="5" t="inlineStr"/>
      <c r="AJ59" s="5" t="inlineStr"/>
    </row>
    <row r="60">
      <c r="A60" s="5" t="inlineStr">
        <is>
          <t>ilk-arkadas</t>
        </is>
      </c>
      <c r="B60" s="5" t="n">
        <v>2</v>
      </c>
      <c r="C60" s="6" t="inlineStr">
        <is>
          <t>Oyuncağını sor</t>
        </is>
      </c>
      <c r="D60" s="5" t="inlineStr">
        <is>
          <t>Çene</t>
        </is>
      </c>
      <c r="E60" s="5" t="inlineStr">
        <is>
          <t>Kolay</t>
        </is>
      </c>
      <c r="F60" s="5" t="inlineStr"/>
      <c r="G60" s="6" t="inlineStr"/>
      <c r="H60" s="6" t="inlineStr">
        <is>
          <t>“Bu ne?” dedin. “Dinozor” dedi. “Benim de var” dedin; yoktu. Arkadaş oldunuz.</t>
        </is>
      </c>
      <c r="I60" s="6" t="inlineStr">
        <is>
          <t>Oyuncağını sordun; bütün oyuncaklarını tek tek, adlarıyla gösterdi. Öğlene kadar bitmedi. Dost oldunuz.</t>
        </is>
      </c>
      <c r="J60" s="6" t="inlineStr">
        <is>
          <t>Sordun, cevap vermedi. Oyuncak daha ilginçti.</t>
        </is>
      </c>
      <c r="K60" s="6" t="inlineStr">
        <is>
          <t>“Bu ne?” dedin. Oyuncağı göğsüne bastırıp bütün bahçeye bağırdı: “BENİİİM, VERMEM!” Öğretmen koşup ikinizi ayırdı. Akşam kapıda annene “Bugün oyuncak kavgası çıkardı” dedi; sen yalnızca sormuştun.</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c r="AI60" s="5" t="inlineStr"/>
      <c r="AJ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Yan yana oturdunuz, ikiniz de kumu eşelediniz; tek kelime konuşmadınız. Akşam annen “Arkadaşının adı ne?” diye sordu. “Kürek” dedin.</t>
        </is>
      </c>
      <c r="I61" s="6" t="inlineStr">
        <is>
          <t>Hiç konuşmadınız. Ertesi gün aynı saatte aynı kum havuzunda buluştunuz; yine konuşmadınız. Öğretmen iki anneye de aynı şeyi söyledi: “Bunlar nasıl anlaşıyor, ben de anlamadım.”</t>
        </is>
      </c>
      <c r="J61" s="6" t="inlineStr">
        <is>
          <t>Sessizlik biraz garipti.</t>
        </is>
      </c>
      <c r="K61" s="6" t="inlineStr">
        <is>
          <t>Sessizce durdun. O da durdu. Öğretmen “Siz niye küstünüz?” diye ikinizi barıştırdı. Daha tanışmamıştınız.</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c r="AI61" s="5" t="inlineStr"/>
      <c r="AJ61" s="5" t="inlineStr"/>
    </row>
    <row r="62">
      <c r="A62" s="5" t="inlineStr">
        <is>
          <t>ilk-arkadas</t>
        </is>
      </c>
      <c r="B62" s="5" t="n">
        <v>4</v>
      </c>
      <c r="C62" s="6" t="inlineStr">
        <is>
          <t>Elinden tut, kaydırağa götür</t>
        </is>
      </c>
      <c r="D62" s="5" t="inlineStr">
        <is>
          <t>Cesaret</t>
        </is>
      </c>
      <c r="E62" s="5" t="inlineStr">
        <is>
          <t>Orta</t>
        </is>
      </c>
      <c r="F62" s="5" t="inlineStr"/>
      <c r="G62" s="6" t="inlineStr"/>
      <c r="H62" s="6" t="inlineStr">
        <is>
          <t>Elinden tuttun; şaşırdı ama geldi. İki tur kaydınız. Üçüncüde o seni çekti.</t>
        </is>
      </c>
      <c r="I62" s="6" t="inlineStr">
        <is>
          <t>Elinden tuttun, kaydırağa koştunuz. Öğlene kadar on kez kaydınız; isimlerinizi akşam öğrendiniz.</t>
        </is>
      </c>
      <c r="J62" s="6" t="inlineStr">
        <is>
          <t>Elinden tuttun; elini çekti. Kaydırağa tek gittin, tek kaydın. Aşağıda seni bekliyordu ama.</t>
        </is>
      </c>
      <c r="K62" s="6" t="inlineStr">
        <is>
          <t>Elinden fazla hızlı çektin; kum havuzuna oturdu ve ağladı. Öğretmen seni adını öğrenmeden “iten çocuk” diye tanıdı.</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c r="AI62" s="5" t="inlineStr"/>
      <c r="AJ62" s="5" t="inlineStr"/>
    </row>
    <row r="63">
      <c r="A63" s="5" t="inlineStr">
        <is>
          <t>oyuncagimi-aldi</t>
        </is>
      </c>
      <c r="B63" s="5" t="n">
        <v>1</v>
      </c>
      <c r="C63" s="6" t="inlineStr">
        <is>
          <t>Geri iste</t>
        </is>
      </c>
      <c r="D63" s="5" t="inlineStr">
        <is>
          <t>Cesaret</t>
        </is>
      </c>
      <c r="E63" s="5" t="inlineStr">
        <is>
          <t>Kolay</t>
        </is>
      </c>
      <c r="F63" s="5" t="inlineStr"/>
      <c r="G63" s="6" t="inlineStr"/>
      <c r="H63" s="6" t="inlineStr">
        <is>
          <t>“O benim elimdeydi!” dedin. Öğretmen duydu, araba sana döndü.</t>
        </is>
      </c>
      <c r="I63" s="6" t="inlineStr">
        <is>
          <t>“O benim elimdeydi! Araba da beni seviyor!” dedin. Çocuk arabaya baktı, sana baktı, geri verdi; giderken bir de “Pardon” dedi. Öğretmen bunu öğle çayında bütün öğretmenlere anlattı.</t>
        </is>
      </c>
      <c r="J63" s="6" t="inlineStr">
        <is>
          <t>İstedin. Duymamış gibi yaptı.</t>
        </is>
      </c>
      <c r="K63" s="6" t="inlineStr">
        <is>
          <t>İstedin; o da elindeki küreği istedi. Öğretmen geldi, ikisini de aldı, rafa koydu. İkiniz de eli boş kaldınız.</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c r="AI63" s="5" t="inlineStr"/>
      <c r="AJ63" s="5" t="inlineStr"/>
    </row>
    <row r="64">
      <c r="A64" s="5" t="inlineStr">
        <is>
          <t>oyuncagimi-aldi</t>
        </is>
      </c>
      <c r="B64" s="5" t="n">
        <v>2</v>
      </c>
      <c r="C64" s="6" t="inlineStr">
        <is>
          <t>Elinden al</t>
        </is>
      </c>
      <c r="D64" s="5" t="inlineStr">
        <is>
          <t>Cesaret</t>
        </is>
      </c>
      <c r="E64" s="5" t="inlineStr">
        <is>
          <t>Orta</t>
        </is>
      </c>
      <c r="F64" s="5" t="inlineStr"/>
      <c r="G64" s="6" t="inlineStr"/>
      <c r="H64" s="6" t="inlineStr">
        <is>
          <t>Arabayı çektin, geri aldın. Öğle yemeğine kadar bakıştınız; araba sende, kaş çatıklığı onda.</t>
        </is>
      </c>
      <c r="I64" s="6" t="inlineStr">
        <is>
          <t>Arabayı tek hamlede geri aldın. Çocuk ağzını açtı, kapadı, gidip boyama masasına oturdu. Akşam annene “Bugün ben kazandım” dedin; neyi kazandığını anlatmadın.</t>
        </is>
      </c>
      <c r="J64" s="6" t="inlineStr">
        <is>
          <t>Aldın, geri aldı. Oyun berabere.</t>
        </is>
      </c>
      <c r="K64" s="6" t="inlineStr">
        <is>
          <t>Arabayı çektiğin an öğretmen döndü. Onun aldığını görmemişti; senin çektiğini gördü. Akşam kapıda annene “Bugün biraz sert oynadı” dedi; annen eve kadar elini bırakmadı ama tek kelime de etmedi.</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c r="AI64" s="5" t="inlineStr"/>
      <c r="AJ64" s="5" t="inlineStr"/>
    </row>
    <row r="65">
      <c r="A65" s="5" t="inlineStr">
        <is>
          <t>oyuncagimi-aldi</t>
        </is>
      </c>
      <c r="B65" s="5" t="n">
        <v>3</v>
      </c>
      <c r="C65" s="6" t="inlineStr">
        <is>
          <t>Takas öner</t>
        </is>
      </c>
      <c r="D65" s="5" t="inlineStr">
        <is>
          <t>Kurnazlık</t>
        </is>
      </c>
      <c r="E65" s="5" t="inlineStr">
        <is>
          <t>Kolay</t>
        </is>
      </c>
      <c r="F65" s="5" t="inlineStr"/>
      <c r="G65" s="6" t="inlineStr"/>
      <c r="H65" s="6" t="inlineStr">
        <is>
          <t>“Sen bunu al, ben onu alayım” dedin. Kabul etti. İkiniz de kandırıldığınızı düşünüyorsunuz; iyi takas böyle olur.</t>
        </is>
      </c>
      <c r="I65" s="6" t="inlineStr">
        <is>
          <t>Takas ettin, üstüne bir kurabiye aldın. Kurabiyeyi ikiye böldün; yarısını ona geri sattın.</t>
        </is>
      </c>
      <c r="J65" s="6" t="inlineStr">
        <is>
          <t>Teklif ettin. “Seninki eski” dedi. Eskiydi.</t>
        </is>
      </c>
      <c r="K65" s="6" t="inlineStr">
        <is>
          <t>Takas ettin; eline geçen bebek, sınıftaki ikizlerden birinin bebeğiymiş. Şimdi karşında aynı yüzden iki tane var ve ikisi aynı anda ağlıyor. Öğretmen bebeğin hangisinin olduğunu çözene kadar sen köşede bekledin.</t>
        </is>
      </c>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c r="AI65" s="5" t="inlineStr"/>
      <c r="AJ65" s="5" t="inlineStr"/>
    </row>
    <row r="66">
      <c r="A66" s="5" t="inlineStr">
        <is>
          <t>oyuncagimi-aldi</t>
        </is>
      </c>
      <c r="B66" s="5" t="n">
        <v>4</v>
      </c>
      <c r="C66" s="6" t="inlineStr">
        <is>
          <t>Öğretmene söyle</t>
        </is>
      </c>
      <c r="D66" s="5" t="inlineStr"/>
      <c r="E66" s="5" t="inlineStr"/>
      <c r="F66" s="5" t="inlineStr">
        <is>
          <t>İtibar +1</t>
        </is>
      </c>
      <c r="G66" s="6" t="inlineStr">
        <is>
          <t>Öğretmene söyledin. Öğretmen “Paylaşın” dedi ve arabayı aldı. İkiniz de kaybettiniz; ilk kez aynı taraftasınız.</t>
        </is>
      </c>
      <c r="H66" s="6" t="inlineStr"/>
      <c r="I66" s="6" t="inlineStr"/>
      <c r="J66" s="6" t="inlineStr"/>
      <c r="K66" s="6" t="inlineStr"/>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c r="AI66" s="5" t="inlineStr"/>
      <c r="AJ66" s="5" t="inlineStr"/>
    </row>
    <row r="67">
      <c r="A67" s="5" t="inlineStr">
        <is>
          <t>ogretmen-yanlis-anladi</t>
        </is>
      </c>
      <c r="B67" s="5" t="n">
        <v>1</v>
      </c>
      <c r="C67" s="6" t="inlineStr">
        <is>
          <t>Kendini anlat</t>
        </is>
      </c>
      <c r="D67" s="5" t="inlineStr">
        <is>
          <t>Çene</t>
        </is>
      </c>
      <c r="E67" s="5" t="inlineStr">
        <is>
          <t>Kolay</t>
        </is>
      </c>
      <c r="F67" s="5" t="inlineStr"/>
      <c r="G67" s="6" t="inlineStr"/>
      <c r="H67" s="6" t="inlineStr">
        <is>
          <t>Anlattın. Öğretmen dinledi, “Haklısın” dedi. İlk kez bir büyük sana “haklısın” dedi.</t>
        </is>
      </c>
      <c r="I67" s="6" t="inlineStr">
        <is>
          <t>Öyle net anlattın ki öğretmen özür diledi ve seni günün yardımcısı yaptı. Suyu dökene kâğıt havluyu sen verdin.</t>
        </is>
      </c>
      <c r="J67" s="6" t="inlineStr">
        <is>
          <t>Anlatmaya başladın; kelimeler bitti, hıçkırık başladı. Öğretmen “Tamam, tamam, ağlama” dedi; bezi yine de sana verdi.</t>
        </is>
      </c>
      <c r="K67" s="6" t="inlineStr">
        <is>
          <t>Anlatırken ellerini kollarını salladın; ikinci bardağı da devirdin. Öğretmen iki bardağa baktı, sonra sana: “Bunu da mı başkası döktü?” Bütün sınıf da sana baktı.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c r="AI67" s="5" t="inlineStr"/>
      <c r="AJ67" s="5" t="inlineStr"/>
    </row>
    <row r="68">
      <c r="A68" s="5" t="inlineStr">
        <is>
          <t>ogretmen-yanlis-anladi</t>
        </is>
      </c>
      <c r="B68" s="5" t="n">
        <v>2</v>
      </c>
      <c r="C68" s="6" t="inlineStr">
        <is>
          <t>Sakin kal</t>
        </is>
      </c>
      <c r="D68" s="5" t="inlineStr">
        <is>
          <t>İtibar</t>
        </is>
      </c>
      <c r="E68" s="5" t="inlineStr">
        <is>
          <t>Kolay</t>
        </is>
      </c>
      <c r="F68" s="5" t="inlineStr"/>
      <c r="G68" s="6" t="inlineStr"/>
      <c r="H68" s="6" t="inlineStr">
        <is>
          <t>Sakin kaldın, bezi aldın, sildin. Öğretmen “Dökmedin ama sildin” dedi; bunu aklında tuttu.</t>
        </is>
      </c>
      <c r="I68" s="6" t="inlineStr">
        <is>
          <t>Sakin kaldın. Öğretmen yerdeki izi takip etti; iz, asıl dökenin ıslak çoraplarına çıktı. Öğretmen “Kusura bakma kuzum” dedi; akşam annen “Bizimki yalan söylemez” deyip sana dondurma aldı.</t>
        </is>
      </c>
      <c r="J68" s="6" t="inlineStr">
        <is>
          <t>Sakin durdun ama alt dudağın öne çıktı; dudağın senden önce konuştu. Öğretmen “O dudağı topla bakalım” dedi.</t>
        </is>
      </c>
      <c r="K68" s="6" t="inlineStr">
        <is>
          <t>Sakin kaldın. Öğretmen “İnkâr bile etmiyor” dedi. On dakika köşede durdun; asıl dökenin yanında.</t>
        </is>
      </c>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c r="AI68" s="5" t="inlineStr"/>
      <c r="AJ68" s="5" t="inlineStr"/>
    </row>
    <row r="69">
      <c r="A69" s="5" t="inlineStr">
        <is>
          <t>ogretmen-yanlis-anladi</t>
        </is>
      </c>
      <c r="B69" s="5" t="n">
        <v>3</v>
      </c>
      <c r="C69" s="6" t="inlineStr">
        <is>
          <t>Boş ver</t>
        </is>
      </c>
      <c r="D69" s="5" t="inlineStr"/>
      <c r="E69" s="5" t="inlineStr"/>
      <c r="F69" s="5" t="inlineStr">
        <is>
          <t>Dayanıklılık +1</t>
        </is>
      </c>
      <c r="G69" s="6" t="inlineStr">
        <is>
          <t>Boş verdin. Öğretmen ertesi gün hatırlamadı bile. Sen hatırlıyorsun; öğretmenin adını unutacaksın, o bardağı unutmayacaksın.</t>
        </is>
      </c>
      <c r="H69" s="6" t="inlineStr"/>
      <c r="I69" s="6" t="inlineStr"/>
      <c r="J69" s="6" t="inlineStr"/>
      <c r="K69" s="6" t="inlineStr"/>
      <c r="L69" s="6" t="inlineStr"/>
      <c r="M69" s="5" t="inlineStr"/>
      <c r="N69" s="5" t="inlineStr"/>
      <c r="O69" s="6" t="inlineStr"/>
      <c r="P69" s="6" t="inlineStr"/>
      <c r="Q69" s="5" t="inlineStr"/>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c r="AI69" s="5" t="inlineStr"/>
      <c r="AJ69" s="5" t="inlineStr"/>
    </row>
    <row r="70">
      <c r="A70" s="5" t="inlineStr">
        <is>
          <t>ogretmen-yanlis-anladi</t>
        </is>
      </c>
      <c r="B70" s="5" t="n">
        <v>4</v>
      </c>
      <c r="C70" s="6" t="inlineStr">
        <is>
          <t>Gerçek suçluyu gösteren ayrıntıyı hatırla</t>
        </is>
      </c>
      <c r="D70" s="5" t="inlineStr">
        <is>
          <t>Sosyal Radar</t>
        </is>
      </c>
      <c r="E70" s="5" t="inlineStr">
        <is>
          <t>Kolay</t>
        </is>
      </c>
      <c r="F70" s="5" t="inlineStr"/>
      <c r="G70" s="6" t="inlineStr"/>
      <c r="H70" s="6" t="inlineStr">
        <is>
          <t>Suyu dökenin kolunun ıslak olduğunu hatırladın. Öğretmen kola baktı, sonra sana: “Özür dilerim.”</t>
        </is>
      </c>
      <c r="I70" s="6" t="inlineStr">
        <is>
          <t>“Onun kolu ıslak, benimki kuru, bardak da onun tarafına yatmış” dedin. Öğretmen gözlüğünü indirdi: “Sen kaç yaşındasın?” Akşam annene “Bu çocuk her şeyi görüyor” dedi; annen bunu müjde gibi değil, uyarı gibi dinledi.</t>
        </is>
      </c>
      <c r="J70" s="6" t="inlineStr">
        <is>
          <t>Ayrıntıyı hatırladın ama kimse inanmadı.</t>
        </is>
      </c>
      <c r="K70" s="6" t="inlineStr">
        <is>
          <t>“Islak kol!” dedin ve kanıt diye bir kolu havaya kaldırdın. Kendi kolunu; sırılsıklamdı. Öğretmen “Peki, teşekkür ederiz” dedi; bütün sınıf güldü, asıl döken en çok.</t>
        </is>
      </c>
      <c r="L70" s="6" t="inlineStr"/>
      <c r="M70" s="5" t="inlineStr"/>
      <c r="N70" s="5" t="inlineStr"/>
      <c r="O70" s="6" t="inlineStr"/>
      <c r="P70" s="6" t="inlineStr"/>
      <c r="Q70" s="5" t="inlineStr">
        <is>
          <t>Sessiz Gözlemci</t>
        </is>
      </c>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c r="AI70" s="5" t="inlineStr"/>
      <c r="AJ70" s="5" t="inlineStr"/>
    </row>
    <row r="71">
      <c r="A71" s="5" t="inlineStr">
        <is>
          <t>parkin-buyuk-cocugu</t>
        </is>
      </c>
      <c r="B71" s="5" t="n">
        <v>1</v>
      </c>
      <c r="C71" s="6" t="inlineStr">
        <is>
          <t>Başka yere git</t>
        </is>
      </c>
      <c r="D71" s="5" t="inlineStr"/>
      <c r="E71" s="5" t="inlineStr"/>
      <c r="F71" s="5" t="inlineStr">
        <is>
          <t>Dayanıklılık +1</t>
        </is>
      </c>
      <c r="G71" s="6" t="inlineStr">
        <is>
          <t>Salıncağa gittin. Salıncak boştu, güneş de oradaydı. Kaydırağı akşama kadar unuttun.</t>
        </is>
      </c>
      <c r="H71" s="6" t="inlineStr"/>
      <c r="I71" s="6" t="inlineStr"/>
      <c r="J71" s="6" t="inlineStr"/>
      <c r="K71" s="6" t="inlineStr"/>
      <c r="L71" s="6" t="inlineStr"/>
      <c r="M71" s="5" t="inlineStr"/>
      <c r="N71" s="5" t="inlineStr"/>
      <c r="O71" s="6" t="inlineStr"/>
      <c r="P71" s="6" t="inlineStr"/>
      <c r="Q71" s="5" t="inlineStr"/>
      <c r="R71" s="5" t="inlineStr"/>
      <c r="S71" s="5" t="inlineStr"/>
      <c r="T71" s="5" t="inlineStr"/>
      <c r="U71" s="5" t="inlineStr"/>
      <c r="V71" s="5" t="inlineStr"/>
      <c r="W71" s="5" t="inlineStr"/>
      <c r="X71" s="5" t="inlineStr"/>
      <c r="Y71" s="5" t="inlineStr"/>
      <c r="Z71" s="6" t="inlineStr"/>
      <c r="AA71" s="5" t="inlineStr"/>
      <c r="AB71" s="5" t="inlineStr"/>
      <c r="AC71" s="5" t="inlineStr"/>
      <c r="AD71" s="5" t="inlineStr"/>
      <c r="AE71" s="5" t="inlineStr"/>
      <c r="AF71" s="5" t="inlineStr"/>
      <c r="AG71" s="5" t="inlineStr"/>
      <c r="AH71" s="5" t="inlineStr"/>
      <c r="AI71" s="5" t="inlineStr"/>
      <c r="AJ71" s="5" t="inlineStr"/>
    </row>
    <row r="72">
      <c r="A72" s="5" t="inlineStr">
        <is>
          <t>parkin-buyuk-cocugu</t>
        </is>
      </c>
      <c r="B72" s="5" t="n">
        <v>2</v>
      </c>
      <c r="C72" s="6" t="inlineStr">
        <is>
          <t>'Herkesin burası' de</t>
        </is>
      </c>
      <c r="D72" s="5" t="inlineStr">
        <is>
          <t>Cesaret</t>
        </is>
      </c>
      <c r="E72" s="5" t="inlineStr">
        <is>
          <t>Zor</t>
        </is>
      </c>
      <c r="F72" s="5" t="inlineStr"/>
      <c r="G72" s="6" t="inlineStr"/>
      <c r="H72" s="6" t="inlineStr">
        <is>
          <t>“Burası herkesin!” dedin. Sesin titredi ama cümle bitti. Bankta oturan bir teyze “Doğru söylüyor çocuk” dedi; büyük çocuk kenara çekildi.</t>
        </is>
      </c>
      <c r="I72" s="6" t="inlineStr">
        <is>
          <t>“Burası herkesin!” diye bağırdın. Banktaki teyzeler alkışladı, küçükler arkana dizildi, büyük çocuk sessizce kayıp gitti. Annen akşam babana “Bizimki parkı kurtardı” dedi.</t>
        </is>
      </c>
      <c r="J72" s="6" t="inlineStr">
        <is>
          <t>“Burası herkesin!” dedin. Büyük çocuk eğildi: “Sen kimin nesisin?” Bilmiyordun; sormak için annene koştun.</t>
        </is>
      </c>
      <c r="K72" s="6" t="inlineStr">
        <is>
          <t>“Burası herkesin!” dedin. Büyük çocuk kaydı, tam önüne indi, eğildi: “Kim dedi?” “Annem” dedin. Bütün park güldü; bankta annen yüzünü telefonunun arkasına sakladı.</t>
        </is>
      </c>
      <c r="L72" s="6" t="inlineStr"/>
      <c r="M72" s="5" t="inlineStr"/>
      <c r="N72" s="5" t="inlineStr"/>
      <c r="O72" s="6" t="inlineStr"/>
      <c r="P72" s="6" t="inlineStr"/>
      <c r="Q72" s="5" t="inlineStr"/>
      <c r="R72" s="5" t="inlineStr"/>
      <c r="S72" s="5" t="inlineStr"/>
      <c r="T72" s="5" t="inlineStr"/>
      <c r="U72" s="5" t="inlineStr"/>
      <c r="V72" s="5" t="inlineStr">
        <is>
          <t>cesurPark</t>
        </is>
      </c>
      <c r="W72" s="5" t="inlineStr"/>
      <c r="X72" s="5" t="inlineStr"/>
      <c r="Y72" s="5" t="inlineStr"/>
      <c r="Z72" s="6" t="inlineStr"/>
      <c r="AA72" s="5" t="inlineStr"/>
      <c r="AB72" s="5" t="inlineStr"/>
      <c r="AC72" s="5" t="inlineStr"/>
      <c r="AD72" s="5" t="inlineStr"/>
      <c r="AE72" s="5" t="inlineStr"/>
      <c r="AF72" s="5" t="inlineStr"/>
      <c r="AG72" s="5" t="inlineStr"/>
      <c r="AH72" s="5" t="inlineStr"/>
      <c r="AI72" s="5" t="inlineStr"/>
      <c r="AJ72" s="5" t="inlineStr"/>
    </row>
    <row r="73">
      <c r="A73" s="5" t="inlineStr">
        <is>
          <t>parkin-buyuk-cocugu</t>
        </is>
      </c>
      <c r="B73" s="5" t="n">
        <v>3</v>
      </c>
      <c r="C73" s="6" t="inlineStr">
        <is>
          <t>Küçükleri arkana topla</t>
        </is>
      </c>
      <c r="D73" s="5" t="inlineStr">
        <is>
          <t>Sosyal Radar</t>
        </is>
      </c>
      <c r="E73" s="5" t="inlineStr">
        <is>
          <t>Orta</t>
        </is>
      </c>
      <c r="F73" s="5" t="inlineStr"/>
      <c r="G73" s="6" t="inlineStr"/>
      <c r="H73" s="6" t="inlineStr">
        <is>
          <t>Etrafa baktın: iki çocuk daha bekliyor. Yan yana durdunuz. Büyük çocuk üçünüzü sayınca kaydı ve gitti.</t>
        </is>
      </c>
      <c r="I73" s="6" t="inlineStr">
        <is>
          <t>Üç küçüğü yanına aldın; dördünüz birden merdivene dizildiniz. Büyük çocuk “Tamam, tamam” dedi, indi.</t>
        </is>
      </c>
      <c r="J73" s="6" t="inlineStr">
        <is>
          <t>Arkana dönüp “Gelin!” dedin. Küçüklerden biri emzikliydi, biri annesine koştu, biri kumda kaldı. Ordu kuramadın; salıncağa geçtin.</t>
        </is>
      </c>
      <c r="K73" s="6" t="inlineStr">
        <is>
          <t>İki çocuğu yanına çağırdın; ikisi de gidip büyük çocuğun arkasına dizildi. Şimdi üç kişiye karşı tek başınasın.</t>
        </is>
      </c>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c r="AI73" s="5" t="inlineStr"/>
      <c r="AJ73" s="5" t="inlineStr"/>
    </row>
    <row r="74">
      <c r="A74" s="5" t="inlineStr">
        <is>
          <t>market-kasasi</t>
        </is>
      </c>
      <c r="B74" s="5" t="n">
        <v>1</v>
      </c>
      <c r="C74" s="6" t="inlineStr">
        <is>
          <t>Şekeri iste</t>
        </is>
      </c>
      <c r="D74" s="5" t="inlineStr"/>
      <c r="E74" s="5" t="inlineStr"/>
      <c r="F74" s="5" t="inlineStr">
        <is>
          <t>Çene +1</t>
        </is>
      </c>
      <c r="G74" s="6" t="inlineStr">
        <is>
          <t>“Bunu alalım” dedin. Annen “Eve gidince” dedi. Eve gidince yok.</t>
        </is>
      </c>
      <c r="H74" s="6" t="inlineStr"/>
      <c r="I74" s="6" t="inlineStr"/>
      <c r="J74" s="6" t="inlineStr"/>
      <c r="K74" s="6" t="inlineStr"/>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c r="AI74" s="5" t="inlineStr"/>
      <c r="AJ74" s="5" t="inlineStr"/>
    </row>
    <row r="75">
      <c r="A75" s="5" t="inlineStr">
        <is>
          <t>market-kasasi</t>
        </is>
      </c>
      <c r="B75" s="5" t="n">
        <v>2</v>
      </c>
      <c r="C75" s="6" t="inlineStr">
        <is>
          <t>Sepete gizlice koy</t>
        </is>
      </c>
      <c r="D75" s="5" t="inlineStr">
        <is>
          <t>Kurnazlık</t>
        </is>
      </c>
      <c r="E75" s="5" t="inlineStr">
        <is>
          <t>Orta</t>
        </is>
      </c>
      <c r="F75" s="5" t="inlineStr"/>
      <c r="G75" s="6" t="inlineStr"/>
      <c r="H75" s="6" t="inlineStr">
        <is>
          <t>Şekeri sepetin dibine ittin. Kasada çıktı. Annen baktı, sana baktı, kasiyerin önünde bir şey demedi. Ödedi.</t>
        </is>
      </c>
      <c r="I75" s="6" t="inlineStr">
        <is>
          <t>Şeker kasadan geçti, poşete girdi, eve geldi. Kimse fark etmedi; dolabın arkasında ilk zulan kuruldu.</t>
        </is>
      </c>
      <c r="J75" s="6" t="inlineStr">
        <is>
          <t>Kasiyer şekeri gördü ve sana göz kırptı. Şeker rafa döndü.</t>
        </is>
      </c>
      <c r="K75" s="6" t="inlineStr">
        <is>
          <t>Şekeri sepete sakladın. Kasiyer okuttu; annen herkesin önünde “Bunu kim koydu?” dedi. Sıradaki beş kişi sana baktı. Şeker rafa, sen eve.</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c r="AI75" s="5" t="inlineStr"/>
      <c r="AJ75" s="5" t="inlineStr"/>
    </row>
    <row r="76">
      <c r="A76" s="5" t="inlineStr">
        <is>
          <t>market-kasasi</t>
        </is>
      </c>
      <c r="B76" s="5" t="n">
        <v>3</v>
      </c>
      <c r="C76" s="6" t="inlineStr">
        <is>
          <t>Dokunma</t>
        </is>
      </c>
      <c r="D76" s="5" t="inlineStr">
        <is>
          <t>İtibar</t>
        </is>
      </c>
      <c r="E76" s="5" t="inlineStr">
        <is>
          <t>Kolay</t>
        </is>
      </c>
      <c r="F76" s="5" t="inlineStr"/>
      <c r="G76" s="6" t="inlineStr"/>
      <c r="H76" s="6" t="inlineStr">
        <is>
          <t>Dokunmadın. Annen “Aferin” dedi. Kasiyer de “Aferin” dedi. Şeker veren olmadı.</t>
        </is>
      </c>
      <c r="I76" s="6" t="inlineStr">
        <is>
          <t>Dokunmadın; kasiyer “Ne uslu çocuk” deyip sana bir şeker hediye etti. Dokunmamak da işe yarıyormuş.</t>
        </is>
      </c>
      <c r="J76" s="6" t="inlineStr">
        <is>
          <t>Dokunmadın ama gözün şekerde kaldı, ağzın açık. Kasiyer gördü, annen gördü; ikisi de güldü, kimse almadı.</t>
        </is>
      </c>
      <c r="K76" s="6" t="inlineStr">
        <is>
          <t>Ellerini arkana saklayıp dokunmamaya çalıştın; popon standa çarptı. Bütün şekerler yere yayıldı. Kasiyer “Aman, çocuk işte” dedi; annen kasanın önünde dizlerinin üstünde on dakika şeker topladı. Sıradakiler yardım etmedi, izledi.</t>
        </is>
      </c>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c r="AI76" s="5" t="inlineStr"/>
      <c r="AJ76" s="5" t="inlineStr"/>
    </row>
    <row r="77">
      <c r="A77" s="5" t="inlineStr">
        <is>
          <t>market-kasasi</t>
        </is>
      </c>
      <c r="B77" s="5" t="n">
        <v>4</v>
      </c>
      <c r="C77" s="6" t="inlineStr">
        <is>
          <t>Yere yat, ağla</t>
        </is>
      </c>
      <c r="D77" s="5" t="inlineStr">
        <is>
          <t>Pişkinlik</t>
        </is>
      </c>
      <c r="E77" s="5" t="inlineStr">
        <is>
          <t>Orta</t>
        </is>
      </c>
      <c r="F77" s="5" t="inlineStr"/>
      <c r="G77" s="6" t="inlineStr"/>
      <c r="H77" s="6" t="inlineStr">
        <is>
          <t>Yere yattın, bağırdın. Annen kasiyere baktı, kasiyer annene; annen iç çekip şekeri poşete attı: “Son.” Bu “son”ların sayısını kimse tutmuyor.</t>
        </is>
      </c>
      <c r="I77" s="6" t="inlineStr">
        <is>
          <t>Kasanın önünde yere yattın, tavana bakıp avazın çıktığı kadar ağladın. Sıradaki dede dayanamadı, şekeri kendi parasıyla aldı: “Benim torun da böyle.” Annen teşekkür etti; eve kadar seninle konuşmadı ama şeker cebindeydi.</t>
        </is>
      </c>
      <c r="J77" s="6" t="inlineStr">
        <is>
          <t>Yere yattın. Annen arabayı itmeye devam etti: “Ben gidiyorum, sen kal.” İki rafı geçmeden kalktın, koştun; şeker rafta kaldı.</t>
        </is>
      </c>
      <c r="K77" s="6" t="inlineStr">
        <is>
          <t>Yere yatıp tekmeleyerek ağladın. Tam o sırada komşu teyze sıraya girdi: “Aa, bu sizinki mi?” Akşam bütün apartman biliyordu; ertesi gün kapıcı bile “Şekeri aldın mı bari?” diye sordu.</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c r="AI77" s="5" t="inlineStr"/>
      <c r="AJ77" s="5" t="inlineStr"/>
    </row>
    <row r="78">
      <c r="A78" s="5" t="inlineStr">
        <is>
          <t>baskasinin-dogum-gunu</t>
        </is>
      </c>
      <c r="B78" s="5" t="n">
        <v>1</v>
      </c>
      <c r="C78" s="6" t="inlineStr">
        <is>
          <t>Alkışla</t>
        </is>
      </c>
      <c r="D78" s="5" t="inlineStr"/>
      <c r="E78" s="5" t="inlineStr"/>
      <c r="F78" s="5" t="inlineStr">
        <is>
          <t>İtibar +1</t>
        </is>
      </c>
      <c r="G78" s="6" t="inlineStr">
        <is>
          <t>Alkışladın, şarkıyı herkesten yüksek söyledin; sözleri yanlış. Doğum günü çocuğunun annesi “Ne tatlı” deyip seni videoya aldı.</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c r="AI78" s="5" t="inlineStr"/>
      <c r="AJ78" s="5" t="inlineStr"/>
    </row>
    <row r="79">
      <c r="A79" s="5" t="inlineStr">
        <is>
          <t>baskasinin-dogum-gunu</t>
        </is>
      </c>
      <c r="B79" s="5" t="n">
        <v>2</v>
      </c>
      <c r="C79" s="6" t="inlineStr">
        <is>
          <t>İlgi çek</t>
        </is>
      </c>
      <c r="D79" s="5" t="inlineStr">
        <is>
          <t>Pişkinlik</t>
        </is>
      </c>
      <c r="E79" s="5" t="inlineStr">
        <is>
          <t>Orta</t>
        </is>
      </c>
      <c r="F79" s="5" t="inlineStr"/>
      <c r="G79" s="6" t="inlineStr"/>
      <c r="H79" s="6" t="inlineStr">
        <is>
          <t>Hediyeler açılırken salonun ortasında takla attın. Teyzeler “Aaa!” dedi; iki dakika herkes sana baktı. Sonra paketten uzaktan kumandalı araba çıktı ve o iki dakika bitti.</t>
        </is>
      </c>
      <c r="I79" s="6" t="inlineStr">
        <is>
          <t>Sahneye çıktın, şarkıyı sen söyledin, fotoğraflarda ortadasın.</t>
        </is>
      </c>
      <c r="J79" s="6" t="inlineStr">
        <is>
          <t>İlgi çekmeye çalıştın; palyaço daha iyiydi.</t>
        </is>
      </c>
      <c r="K79" s="6" t="inlineStr">
        <is>
          <t>İlgi çekmek için en büyük paketi kaptın, kâğıdını yırttın. İçinden pembe bir bisiklet çıktı; doğum günü çocuğu çığlığı bastı. Annesi kâğıdı geri sarmaya çalıştı, annen de yardım etti; ikisi de birbirinin yüzüne bakamadı.</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c r="AI79" s="5" t="inlineStr"/>
      <c r="AJ79" s="5" t="inlineStr"/>
    </row>
    <row r="80">
      <c r="A80" s="5" t="inlineStr">
        <is>
          <t>baskasinin-dogum-gunu</t>
        </is>
      </c>
      <c r="B80" s="5" t="n">
        <v>3</v>
      </c>
      <c r="C80" s="6" t="inlineStr">
        <is>
          <t>Pastaya odaklan</t>
        </is>
      </c>
      <c r="D80" s="5" t="inlineStr"/>
      <c r="E80" s="5" t="inlineStr"/>
      <c r="F80" s="5" t="inlineStr">
        <is>
          <t>Dayanıklılık +1</t>
        </is>
      </c>
      <c r="G80" s="6" t="inlineStr">
        <is>
          <t>Pastaya baktın. Dilim geldi, yedin, ikinciyi istedin. Doğum günü kimin, hâlâ bilmiyorsun.</t>
        </is>
      </c>
      <c r="H80" s="6" t="inlineStr"/>
      <c r="I80" s="6" t="inlineStr"/>
      <c r="J80" s="6" t="inlineStr"/>
      <c r="K80" s="6" t="inlineStr"/>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c r="AI80" s="5" t="inlineStr"/>
      <c r="AJ80" s="5" t="inlineStr"/>
    </row>
    <row r="81">
      <c r="A81" s="5" t="inlineStr">
        <is>
          <t>baskasinin-dogum-gunu</t>
        </is>
      </c>
      <c r="B81" s="5" t="n">
        <v>4</v>
      </c>
      <c r="C81" s="6" t="inlineStr">
        <is>
          <t>Doğum günü çocuğunun elini tut, şarkıyı beraber söyle</t>
        </is>
      </c>
      <c r="D81" s="5" t="inlineStr">
        <is>
          <t>Gönül</t>
        </is>
      </c>
      <c r="E81" s="5" t="inlineStr">
        <is>
          <t>Kolay</t>
        </is>
      </c>
      <c r="F81" s="5" t="inlineStr"/>
      <c r="G81" s="6" t="inlineStr"/>
      <c r="H81" s="6" t="inlineStr">
        <is>
          <t>Elini tuttun; utandı, sonra güldü. Pasta kesilirken ilk dilim ona, ikincisi sana geldi. Sıra böyle değildi.</t>
        </is>
      </c>
      <c r="I81" s="6" t="inlineStr">
        <is>
          <t>Elini tuttun, şarkıyı beraber söylediniz. Fotoğrafta ikiniz varsınız; annesi o fotoğrafı çerçeveletti. Sen artık “o çocuk”sun.</t>
        </is>
      </c>
      <c r="J81" s="6" t="inlineStr">
        <is>
          <t>Elini tutmak istedin; elinde pasta vardı. Sana krema bulaştı, şarkı bitti.</t>
        </is>
      </c>
      <c r="K81" s="6" t="inlineStr">
        <is>
          <t>Elini tuttun, bırakmadın. Mumları üfleyemedi, ağladı. Fotoğrafta ikiniz varsınız: biri ağlıyor, biri tutuyor.</t>
        </is>
      </c>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c r="AI81" s="5" t="inlineStr"/>
      <c r="AJ81" s="5" t="inlineStr"/>
    </row>
    <row r="82">
      <c r="A82" s="5" t="inlineStr">
        <is>
          <t>en-guzel-oyuncak</t>
        </is>
      </c>
      <c r="B82" s="5" t="n">
        <v>1</v>
      </c>
      <c r="C82" s="6" t="inlineStr">
        <is>
          <t>İste</t>
        </is>
      </c>
      <c r="D82" s="5" t="inlineStr">
        <is>
          <t>Cesaret</t>
        </is>
      </c>
      <c r="E82" s="5" t="inlineStr">
        <is>
          <t>Kolay</t>
        </is>
      </c>
      <c r="F82" s="5" t="inlineStr"/>
      <c r="G82" s="6" t="inlineStr"/>
      <c r="H82" s="6" t="inlineStr">
        <is>
          <t>“Bir bakabilir miyim?” dedin. Verdi. Beş dakika; ama senin beş dakikan.</t>
        </is>
      </c>
      <c r="I82" s="6" t="inlineStr">
        <is>
          <t>“Bir bakabilir miyim?” dedin. Kuzenin itfaiyeyi raftan indirdi: “Sen sür, ben siren yaparım.” Akşama kadar ikiniz, bir itfaiye, bir siren. Halan fotoğrafınızı aile grubuna attı.</t>
        </is>
      </c>
      <c r="J82" s="6" t="inlineStr">
        <is>
          <t>İstedin; sıraya alındın. Sıra hiç gelmedi.</t>
        </is>
      </c>
      <c r="K82" s="6" t="inlineStr">
        <is>
          <t>“Bir bakabilir miyim?” dedin; kuzenin cümlen bitmeden ağlamaya başladı. Halan arabayı dolaba kilitledi, anahtarı da cebine koydu. Öbür çocuklar bütün gün sana küs küs baktı.</t>
        </is>
      </c>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c r="AI82" s="5" t="inlineStr"/>
      <c r="AJ82" s="5" t="inlineStr"/>
    </row>
    <row r="83">
      <c r="A83" s="5" t="inlineStr">
        <is>
          <t>en-guzel-oyuncak</t>
        </is>
      </c>
      <c r="B83" s="5" t="n">
        <v>2</v>
      </c>
      <c r="C83" s="6" t="inlineStr">
        <is>
          <t>Takas öner</t>
        </is>
      </c>
      <c r="D83" s="5" t="inlineStr">
        <is>
          <t>Kurnazlık</t>
        </is>
      </c>
      <c r="E83" s="5" t="inlineStr">
        <is>
          <t>Kolay</t>
        </is>
      </c>
      <c r="F83" s="5" t="inlineStr"/>
      <c r="G83" s="6" t="inlineStr"/>
      <c r="H83" s="6" t="inlineStr">
        <is>
          <t>Eski kamyonunu verdin, itfaiyeyi aldın. Kuzenin kamyona bayıldı. Sen itfaiyenin hiçbir şey yapmadığını öğrendin.</t>
        </is>
      </c>
      <c r="I83" s="6" t="inlineStr">
        <is>
          <t>Eski bir kalemi uzattın: “Bu sihirli, karanlıkta parlıyor.” Kuzenin inandı, itfaiyeyi verdi; o gece yorganın altında kalemin parlamasını bekledi. Halan sabah “Bu çocuk kime çekmiş?” dedi.</t>
        </is>
      </c>
      <c r="J83" s="6" t="inlineStr">
        <is>
          <t>Oyuncak ayını teklif ettin. Kuzenin ayıya baktı: “Bunun gözü yok.” Yoktu; geçen bayram sen koparmıştın.</t>
        </is>
      </c>
      <c r="K83" s="6" t="inlineStr">
        <is>
          <t>Takas ettin, itfaiyeyi kucaklayıp eve getirdin. Akşam halan aradı: “O araba yeni, geri getirin.” Arabayı geri götürdünüz; senin kamyonun kuzende kaldı.</t>
        </is>
      </c>
      <c r="L83" s="6" t="inlineStr"/>
      <c r="M83" s="5" t="inlineStr"/>
      <c r="N83" s="5" t="inlineStr"/>
      <c r="O83" s="6" t="inlineStr"/>
      <c r="P83" s="6" t="inlineStr"/>
      <c r="Q83" s="5" t="inlineStr"/>
      <c r="R83" s="5" t="inlineStr"/>
      <c r="S83" s="5" t="inlineStr"/>
      <c r="T83" s="5" t="inlineStr"/>
      <c r="U83" s="5" t="inlineStr"/>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c r="AI83" s="5" t="inlineStr"/>
      <c r="AJ83" s="5" t="inlineStr"/>
    </row>
    <row r="84">
      <c r="A84" s="5" t="inlineStr">
        <is>
          <t>en-guzel-oyuncak</t>
        </is>
      </c>
      <c r="B84" s="5" t="n">
        <v>3</v>
      </c>
      <c r="C84" s="6" t="inlineStr">
        <is>
          <t>Kendi oyuncağınla devam et</t>
        </is>
      </c>
      <c r="D84" s="5" t="inlineStr"/>
      <c r="E84" s="5" t="inlineStr"/>
      <c r="F84" s="5" t="inlineStr">
        <is>
          <t>Dayanıklılık +1</t>
        </is>
      </c>
      <c r="G84" s="6" t="inlineStr">
        <is>
          <t>Kendi oyuncağınla devam ettin. Bir süre sonra herkes seninkine bakıyordu. Eski oyuncak, yeni ilgi.</t>
        </is>
      </c>
      <c r="H84" s="6" t="inlineStr"/>
      <c r="I84" s="6" t="inlineStr"/>
      <c r="J84" s="6" t="inlineStr"/>
      <c r="K84" s="6" t="inlineStr"/>
      <c r="L84" s="6" t="inlineStr"/>
      <c r="M84" s="5" t="inlineStr"/>
      <c r="N84" s="5" t="inlineStr"/>
      <c r="O84" s="6" t="inlineStr"/>
      <c r="P84" s="6" t="inlineStr"/>
      <c r="Q84" s="5" t="inlineStr"/>
      <c r="R84" s="5" t="inlineStr"/>
      <c r="S84" s="5" t="inlineStr"/>
      <c r="T84" s="5" t="inlineStr"/>
      <c r="U84" s="5" t="inlineStr"/>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c r="AI84" s="5" t="inlineStr"/>
      <c r="AJ84" s="5" t="inlineStr"/>
    </row>
    <row r="85">
      <c r="A85" s="5" t="inlineStr">
        <is>
          <t>ilk-gercek-yalan</t>
        </is>
      </c>
      <c r="B85" s="5" t="n">
        <v>1</v>
      </c>
      <c r="C85" s="6" t="inlineStr">
        <is>
          <t>İtiraf et</t>
        </is>
      </c>
      <c r="D85" s="5" t="inlineStr"/>
      <c r="E85" s="5" t="inlineStr"/>
      <c r="F85" s="5" t="inlineStr">
        <is>
          <t>İtibar +2</t>
        </is>
      </c>
      <c r="G85" s="6" t="inlineStr">
        <is>
          <t>“Ben yedim” dedin. Annen hiçbir şey demeden ağzının kenarındaki çikolatayı sildi, başını okşadı. Ceza yoktu; bu, cezadan daha uzun sürdü.</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c r="AI85" s="5" t="inlineStr"/>
      <c r="AJ85" s="5" t="inlineStr"/>
    </row>
    <row r="86">
      <c r="A86" s="5" t="inlineStr">
        <is>
          <t>ilk-gercek-yalan</t>
        </is>
      </c>
      <c r="B86" s="5" t="n">
        <v>2</v>
      </c>
      <c r="C86" s="6" t="inlineStr">
        <is>
          <t>'Hayır' de</t>
        </is>
      </c>
      <c r="D86" s="5" t="inlineStr">
        <is>
          <t>Çene</t>
        </is>
      </c>
      <c r="E86" s="5" t="inlineStr">
        <is>
          <t>Zor</t>
        </is>
      </c>
      <c r="F86" s="5" t="inlineStr"/>
      <c r="G86" s="6" t="inlineStr"/>
      <c r="H86" s="6" t="inlineStr">
        <is>
          <t>“Hayır” dedin; o kadar sakin dedin ki annen pastayı bir daha inceledi. Köşe yine eksikti ama senin suçun yoktu. Şimdilik.</t>
        </is>
      </c>
      <c r="I86" s="6" t="inlineStr">
        <is>
          <t>“Hayır” dedin, gözünü bile kırpmadın. Annen bir sana baktı, bir pastaya, sonra babana döndü: “Sen mi yedin?” Baban hâlâ yemediğini anlatıyor.</t>
        </is>
      </c>
      <c r="J86" s="6" t="inlineStr">
        <is>
          <t>'Hayır' dedin, kulakların kızardı. Kulaklar yalan söylemiyor.</t>
        </is>
      </c>
      <c r="K86" s="6" t="inlineStr">
        <is>
          <t>“Hayır” dedin. Sonra “Evet” dedin. Sonra “Biraz” deyip ağladın. Akşam misafirler pastanın eksik köşesini sordu; annen tek kelime etmeden sana baktı, misafirler de baktı.</t>
        </is>
      </c>
      <c r="L86" s="6" t="inlineStr">
        <is>
          <t>Yüzün yarı yarıya ikna ediciydi. Annen “Peki” dedi ama pastayı buzdolabının en üst rafına kaldırdı.</t>
        </is>
      </c>
      <c r="M86" s="5" t="inlineStr">
        <is>
          <t>lie</t>
        </is>
      </c>
      <c r="N86" s="5" t="inlineStr">
        <is>
          <t>Annenin Soruları</t>
        </is>
      </c>
      <c r="O86" s="6" t="inlineStr">
        <is>
          <t>Söylediklerini aklında tut; sorulara çelişmeden cevap ver.</t>
        </is>
      </c>
      <c r="P86" s="6" t="inlineStr">
        <is>
          <t>{"who": "Annen", "facts": ["Pastaya dokunmadım.", "Buzdolabını açmadım bile.", "Çikolatalı köşe zaten öyleydi."], "qs": [{"q": "Buzdolabına en son ne zaman baktın?", "o": ["Hiç açmadım.", "Sabah açtım.", "Az önce."]}, {"q": "Dudağındaki ne?", "o": ["Kuru üzüm, belki.", "Çikolata.", "Pasta."]}, {"q": "Köşe ne zaman eksildi?", "o": ["Zaten eksikti.", "Ben gelince.", "Az önce."]}]}</t>
        </is>
      </c>
      <c r="Q86" s="5" t="inlineStr"/>
      <c r="R86" s="5" t="inlineStr"/>
      <c r="S86" s="5" t="inlineStr"/>
      <c r="T86" s="5" t="inlineStr"/>
      <c r="U86" s="5" t="inlineStr">
        <is>
          <t>yalanci</t>
        </is>
      </c>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c r="AI86" s="5" t="inlineStr"/>
      <c r="AJ86" s="5" t="inlineStr"/>
    </row>
    <row r="87">
      <c r="A87" s="5" t="inlineStr">
        <is>
          <t>ilk-gercek-yalan</t>
        </is>
      </c>
      <c r="B87" s="5" t="n">
        <v>3</v>
      </c>
      <c r="C87" s="6" t="inlineStr">
        <is>
          <t>'O kendi oldu' de</t>
        </is>
      </c>
      <c r="D87" s="5" t="inlineStr">
        <is>
          <t>Pişkinlik</t>
        </is>
      </c>
      <c r="E87" s="5" t="inlineStr">
        <is>
          <t>Çok Zor</t>
        </is>
      </c>
      <c r="F87" s="5" t="inlineStr"/>
      <c r="G87" s="6" t="inlineStr"/>
      <c r="H87" s="6" t="inlineStr">
        <is>
          <t>“Kendi oldu” dedin. Annen “Olur öyle” dedi. İkiniz de inanmadınız; ikiniz de kabul ettiniz.</t>
        </is>
      </c>
      <c r="I87" s="6" t="inlineStr">
        <is>
          <t>“Kendi oldu” dedin; o kadar ciddi dedin ki annen buzdolabının kapağını kontrol etti. Akşam babana “Bu dolap pastayı eritiyor galiba” dedi. Ertesi gün buzdolabına usta çağrıldı.</t>
        </is>
      </c>
      <c r="J87" s="6" t="inlineStr">
        <is>
          <t>“Kendi oldu” dedin. Annen inanmadı; gülmemek için dudağını ısırıp mutfağa kaçtı. Pasta da onunla gitti.</t>
        </is>
      </c>
      <c r="K87" s="6" t="inlineStr">
        <is>
          <t>“Kendi oldu” dedin. Annen “Pasta kendi kendine mi yendi?” diye sordu; ciddi ciddi başını salladın, dudağının kenarında çikolata vardı. Annen babana anlattı, baban halana; o günden beri bu evde ne dökülse, ne kırılsa biri “Kendi oldu” diyor ve herkes sana bakıyor.</t>
        </is>
      </c>
      <c r="L87" s="6" t="inlineStr"/>
      <c r="M87" s="5" t="inlineStr"/>
      <c r="N87" s="5" t="inlineStr"/>
      <c r="O87" s="6" t="inlineStr"/>
      <c r="P87" s="6" t="inlineStr"/>
      <c r="Q87" s="5" t="inlineStr"/>
      <c r="R87" s="5" t="inlineStr"/>
      <c r="S87" s="5" t="inlineStr"/>
      <c r="T87" s="5" t="inlineStr"/>
      <c r="U87" s="5" t="inlineStr">
        <is>
          <t>yalanci</t>
        </is>
      </c>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c r="AI87" s="5" t="inlineStr">
        <is>
          <t>Kendi Oldu</t>
        </is>
      </c>
      <c r="AJ87" s="5" t="inlineStr"/>
    </row>
    <row r="88">
      <c r="A88" s="5" t="inlineStr">
        <is>
          <t>mahalle-bakkali</t>
        </is>
      </c>
      <c r="B88" s="5" t="n">
        <v>1</v>
      </c>
      <c r="C88" s="6" t="inlineStr">
        <is>
          <t>Listeyi ver</t>
        </is>
      </c>
      <c r="D88" s="5" t="inlineStr"/>
      <c r="E88" s="5" t="inlineStr"/>
      <c r="F88" s="5" t="inlineStr">
        <is>
          <t>Dayanıklılık +1</t>
        </is>
      </c>
      <c r="G88" s="6" t="inlineStr">
        <is>
          <t>Listeyi verdin. Bakkal okudu, “Annenin yazısı” dedi, poşeti doldurdu, üstüne bir sakız koydu. Sakız listede yoktu.</t>
        </is>
      </c>
      <c r="H88" s="6" t="inlineStr"/>
      <c r="I88" s="6" t="inlineStr"/>
      <c r="J88" s="6" t="inlineStr"/>
      <c r="K88" s="6" t="inlineStr"/>
      <c r="L88" s="6" t="inlineStr"/>
      <c r="M88" s="5" t="inlineStr"/>
      <c r="N88" s="5" t="inlineStr"/>
      <c r="O88" s="6" t="inlineStr"/>
      <c r="P88" s="6" t="inlineStr"/>
      <c r="Q88" s="5" t="inlineStr"/>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c r="AI88" s="5" t="inlineStr"/>
      <c r="AJ88" s="5" t="inlineStr"/>
    </row>
    <row r="89">
      <c r="A89" s="5" t="inlineStr">
        <is>
          <t>mahalle-bakkali</t>
        </is>
      </c>
      <c r="B89" s="5" t="n">
        <v>2</v>
      </c>
      <c r="C89" s="6" t="inlineStr">
        <is>
          <t>Fiyat sor</t>
        </is>
      </c>
      <c r="D89" s="5" t="inlineStr">
        <is>
          <t>Çene</t>
        </is>
      </c>
      <c r="E89" s="5" t="inlineStr">
        <is>
          <t>Kolay</t>
        </is>
      </c>
      <c r="F89" s="5" t="inlineStr"/>
      <c r="G89" s="6" t="inlineStr"/>
      <c r="H89" s="6" t="inlineStr">
        <is>
          <t>Fiyat sordun. Bakkal söyledi. “Geçen hafta daha ucuzdu” dedin. Bakkal güldü: “Geçen hafta hepimiz daha ucuzduk.”</t>
        </is>
      </c>
      <c r="I89" s="6" t="inlineStr">
        <is>
          <t>“Amca, bu kaç?” dedin ve cevabı beklerken kirpiklerini üç kez kırptın. Bakkal yarı fiyatına verdi, üstüne bir çikolata koydu. Balkondan annen seslendi: “Ne dedin adama?”</t>
        </is>
      </c>
      <c r="J89" s="6" t="inlineStr">
        <is>
          <t>Sordun, bakkal duymadı. Radyo açıktı.</t>
        </is>
      </c>
      <c r="K89" s="6" t="inlineStr">
        <is>
          <t>Fiyat sordun; bakkal yüksek sesle “Paran yetmez” dedi. Dükkândaki üç komşu duydu. Akşam annen üçünden ayrı ayrı öğrendi.</t>
        </is>
      </c>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c r="AI89" s="5" t="inlineStr"/>
      <c r="AJ89" s="5" t="inlineStr"/>
    </row>
    <row r="90">
      <c r="A90" s="5" t="inlineStr">
        <is>
          <t>mahalle-bakkali</t>
        </is>
      </c>
      <c r="B90" s="5" t="n">
        <v>3</v>
      </c>
      <c r="C90" s="6" t="inlineStr">
        <is>
          <t>Para üstünü kontrol et</t>
        </is>
      </c>
      <c r="D90" s="5" t="inlineStr">
        <is>
          <t>Kurnazlık</t>
        </is>
      </c>
      <c r="E90" s="5" t="inlineStr">
        <is>
          <t>Zor</t>
        </is>
      </c>
      <c r="F90" s="5" t="inlineStr"/>
      <c r="G90" s="6" t="inlineStr"/>
      <c r="H90" s="6" t="inlineStr">
        <is>
          <t>Para üstünü saydın: bir eksik. Bakkal “Hay aksi” dedi, tamamladı. Annen balkondan alkışladı.</t>
        </is>
      </c>
      <c r="I90" s="6" t="inlineStr">
        <is>
          <t>“Bir eksik!” dedin. Bakkal saydı; gerçekten eksikti. Dükkândaki teyzelere döndü: “Bu çocuk benim çırağım olur.” Annen balkondan “Olmaz, okuyacak!” diye bağırdı.</t>
        </is>
      </c>
      <c r="J90" s="6" t="inlineStr">
        <is>
          <t>Saydın, bir daha saydın. Sonuç her seferinde farklı.</t>
        </is>
      </c>
      <c r="K90" s="6" t="inlineStr">
        <is>
          <t>Para üstünü saymak için avucunu açtın; bozukluklar yere saçıldı, biri rafın altına kaçtı. Bakkal amca dizlerinin üstüne çöktü, süpürge sapıyla on dakika aradı. Balkondan annen “Bırakın, bırakın!” diye bağırınca bütün apartman cama çıktı.</t>
        </is>
      </c>
      <c r="L90" s="6" t="inlineStr"/>
      <c r="M90" s="5" t="inlineStr"/>
      <c r="N90" s="5" t="inlineStr"/>
      <c r="O90" s="6" t="inlineStr"/>
      <c r="P90" s="6" t="inlineStr"/>
      <c r="Q90" s="5" t="inlineStr"/>
      <c r="R90" s="5" t="inlineStr"/>
      <c r="S90" s="5" t="inlineStr"/>
      <c r="T90" s="5" t="inlineStr">
        <is>
          <t>Para Üstü Radarı</t>
        </is>
      </c>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c r="AI90" s="5" t="inlineStr"/>
      <c r="AJ90" s="5" t="inlineStr"/>
    </row>
    <row r="91">
      <c r="A91" s="5" t="inlineStr">
        <is>
          <t>mahalle-bakkali</t>
        </is>
      </c>
      <c r="B91" s="5" t="n">
        <v>4</v>
      </c>
      <c r="C91" s="6" t="inlineStr">
        <is>
          <t>Veresiye defterine yazdır</t>
        </is>
      </c>
      <c r="D91" s="5" t="inlineStr">
        <is>
          <t>Çene</t>
        </is>
      </c>
      <c r="E91" s="5" t="inlineStr">
        <is>
          <t>Kolay</t>
        </is>
      </c>
      <c r="F91" s="5" t="inlineStr"/>
      <c r="G91" s="6" t="inlineStr"/>
      <c r="H91" s="6" t="inlineStr">
        <is>
          <t>Adın veresiye defterine girdi; babanın adının hemen altına.</t>
        </is>
      </c>
      <c r="I91" s="6" t="inlineStr">
        <is>
          <t>Bakkal defteri açıp adını kocaman yazdı, bir de sakız uzattı: “Bizim en küçük müşterimiz.” Akşam baban defteri görmeye indi; senin adın onunkinden kalın yazılmıştı.</t>
        </is>
      </c>
      <c r="J91" s="6" t="inlineStr">
        <is>
          <t>Bakkal defteri kapattı: 'Önce annen gelsin.'</t>
        </is>
      </c>
      <c r="K91" s="6" t="inlineStr">
        <is>
          <t>Bakkal defteri açtı ve senin satırını bulana kadar babanın sayfasını yüksek sesle okudu: “İki ekmek, bir yoğurt… geçen ayınki de duruyor.” Dükkândaki iki komşu birbirine baktı. Akşam baban borcu kapattı, sana da bir hafta bakkal yolunu yasakladı.</t>
        </is>
      </c>
      <c r="L91" s="6" t="inlineStr"/>
      <c r="M91" s="5" t="inlineStr"/>
      <c r="N91" s="5" t="inlineStr"/>
      <c r="O91" s="6" t="inlineStr"/>
      <c r="P91" s="6" t="inlineStr"/>
      <c r="Q91" s="5" t="inlineStr">
        <is>
          <t>Küçük Tüccar</t>
        </is>
      </c>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c r="AI91" s="5" t="inlineStr"/>
      <c r="AJ91" s="5" t="inlineStr"/>
    </row>
    <row r="92">
      <c r="A92" s="5" t="inlineStr">
        <is>
          <t>kaybolan-bozuk-para</t>
        </is>
      </c>
      <c r="B92" s="5" t="n">
        <v>1</v>
      </c>
      <c r="C92" s="6" t="inlineStr">
        <is>
          <t>Yanındaki teyzeye ver</t>
        </is>
      </c>
      <c r="D92" s="5" t="inlineStr"/>
      <c r="E92" s="5" t="inlineStr"/>
      <c r="F92" s="5" t="inlineStr">
        <is>
          <t>İtibar +1</t>
        </is>
      </c>
      <c r="G92" s="6" t="inlineStr">
        <is>
          <t>Parayı yanındaki teyzeye verdin. Teyze “Senin olsun” dedi. Şimdi hem para sende hem “aferin”.</t>
        </is>
      </c>
      <c r="H92" s="6" t="inlineStr"/>
      <c r="I92" s="6" t="inlineStr"/>
      <c r="J92" s="6" t="inlineStr"/>
      <c r="K92" s="6" t="inlineStr"/>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c r="AI92" s="5" t="inlineStr"/>
      <c r="AJ92" s="5" t="inlineStr"/>
    </row>
    <row r="93">
      <c r="A93" s="5" t="inlineStr">
        <is>
          <t>kaybolan-bozuk-para</t>
        </is>
      </c>
      <c r="B93" s="5" t="n">
        <v>2</v>
      </c>
      <c r="C93" s="6" t="inlineStr">
        <is>
          <t>Cebe koy</t>
        </is>
      </c>
      <c r="D93" s="5" t="inlineStr">
        <is>
          <t>Kurnazlık</t>
        </is>
      </c>
      <c r="E93" s="5" t="inlineStr">
        <is>
          <t>Kolay</t>
        </is>
      </c>
      <c r="F93" s="5" t="inlineStr"/>
      <c r="G93" s="6" t="inlineStr"/>
      <c r="H93" s="6" t="inlineStr">
        <is>
          <t>Parayı aldın, cebine koydun. Cebin bir bozukluk ağırlaştı, vicdanın biraz daha.</t>
        </is>
      </c>
      <c r="I93" s="6" t="inlineStr">
        <is>
          <t>Kimse bakmazken eğildin, aldın, doğruldun. Bozukluk cebinde, yüzünde melek ifadesi.</t>
        </is>
      </c>
      <c r="J93" s="6" t="inlineStr">
        <is>
          <t>Uzandın; başka bir çocuk senden önce kaptı. Teşekkür bile etmedi.</t>
        </is>
      </c>
      <c r="K93" s="6" t="inlineStr">
        <is>
          <t>Tam eğildiğin an annen de teyze de aynı anda döndü: “Ne yapıyorsun orada?” “Bağcığımı bağlıyordum.” Ayakkabın cırt cırtlıydı. Teyze bunu akşama kadar bütün apartmana anlattı; ertesi gün kapıcı seni “Gel bakalım, Cırt Cırt” diye karşıladı.</t>
        </is>
      </c>
      <c r="L93" s="6" t="inlineStr">
        <is>
          <t>Parayı aldın; tam o anda bir teyze döndü: “Yerden mi aldın?” Cevap vermedin.</t>
        </is>
      </c>
      <c r="M93" s="5" t="inlineStr">
        <is>
          <t>timing</t>
        </is>
      </c>
      <c r="N93" s="5" t="inlineStr">
        <is>
          <t>Kimse Bakmazken</t>
        </is>
      </c>
      <c r="O93" s="6" t="inlineStr">
        <is>
          <t>Büyükler başka yere baktığında işaret yeşile girer. O an dokun.</t>
        </is>
      </c>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c r="AI93" s="5" t="inlineStr">
        <is>
          <t>Cırt Cırt</t>
        </is>
      </c>
      <c r="AJ93" s="5" t="inlineStr"/>
    </row>
    <row r="94">
      <c r="A94" s="5" t="inlineStr">
        <is>
          <t>kaybolan-bozuk-para</t>
        </is>
      </c>
      <c r="B94" s="5" t="n">
        <v>3</v>
      </c>
      <c r="C94" s="6" t="inlineStr">
        <is>
          <t>Olduğu yerde bırak</t>
        </is>
      </c>
      <c r="D94" s="5" t="inlineStr"/>
      <c r="E94" s="5" t="inlineStr"/>
      <c r="F94" s="5" t="inlineStr">
        <is>
          <t>İtibar +1</t>
        </is>
      </c>
      <c r="G94" s="6" t="inlineStr">
        <is>
          <t>Bıraktın, yürüdün. Üç adım sonra döndün; başkası almıştı.</t>
        </is>
      </c>
      <c r="H94" s="6" t="inlineStr"/>
      <c r="I94" s="6" t="inlineStr"/>
      <c r="J94" s="6" t="inlineStr"/>
      <c r="K94" s="6" t="inlineStr"/>
      <c r="L94" s="6" t="inlineStr"/>
      <c r="M94" s="5" t="inlineStr"/>
      <c r="N94" s="5" t="inlineStr"/>
      <c r="O94" s="6" t="inlineStr"/>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c r="AI94" s="5" t="inlineStr"/>
      <c r="AJ94" s="5" t="inlineStr"/>
    </row>
    <row r="95">
      <c r="A95" s="5" t="inlineStr">
        <is>
          <t>takim-seciliyor</t>
        </is>
      </c>
      <c r="B95" s="5" t="n">
        <v>1</v>
      </c>
      <c r="C95" s="6" t="inlineStr">
        <is>
          <t>Bekle</t>
        </is>
      </c>
      <c r="D95" s="5" t="inlineStr">
        <is>
          <t>Dayanıklılık</t>
        </is>
      </c>
      <c r="E95" s="5" t="inlineStr">
        <is>
          <t>Kolay</t>
        </is>
      </c>
      <c r="F95" s="5" t="inlineStr"/>
      <c r="G95" s="6" t="inlineStr"/>
      <c r="H95" s="6" t="inlineStr">
        <is>
          <t>Bekledin. Sekizinci seçildin; ne ilk, ne son. Kaptan “Sağ bek” dedi; sağ bekin ne olduğunu o maçta öğrendin.</t>
        </is>
      </c>
      <c r="I95" s="6" t="inlineStr">
        <is>
          <t>Kaptanlar ayak ayak yürürken sen topunu dizinde sessizce sektirdin. İlk seçen kaptan hiç düşünmedi: “Topun sahibi bizde!”</t>
        </is>
      </c>
      <c r="J95" s="6" t="inlineStr">
        <is>
          <t>Son seçilen oldun. Takıma kaleci olarak katıldın.</t>
        </is>
      </c>
      <c r="K95" s="6" t="inlineStr">
        <is>
          <t>Kaptanlar seni değil, topunu seçti: “Topu bırak, sen yedeksin.” “Top benim, oynamıyorum!” dedin, topu koltuğunun altına alıp sınıfa döndün. Ertesi teneffüs başka bir topla oynadılar; seni çağırmadılar.</t>
        </is>
      </c>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c r="AI95" s="5" t="inlineStr"/>
      <c r="AJ95" s="5" t="inlineStr"/>
    </row>
    <row r="96">
      <c r="A96" s="5" t="inlineStr">
        <is>
          <t>takim-seciliyor</t>
        </is>
      </c>
      <c r="B96" s="5" t="n">
        <v>2</v>
      </c>
      <c r="C96" s="6" t="inlineStr">
        <is>
          <t>'Beni al' de</t>
        </is>
      </c>
      <c r="D96" s="5" t="inlineStr">
        <is>
          <t>Cesaret</t>
        </is>
      </c>
      <c r="E96" s="5" t="inlineStr">
        <is>
          <t>Kolay</t>
        </is>
      </c>
      <c r="F96" s="5" t="inlineStr"/>
      <c r="G96" s="6" t="inlineStr"/>
      <c r="H96" s="6" t="inlineStr">
        <is>
          <t>“Beni al, hızlıyım!” dedin. Kaptan aldı. Hızlı değildin; ilk yarıda kimse anlamadı.</t>
        </is>
      </c>
      <c r="I96" s="6" t="inlineStr">
        <is>
          <t>“Beni alan kazanır, annem de tost getiriyor!” dedin. İki kaptan seni almak için ayak ayak yeniden yürüdü. Annen tostu gerçekten getirdi.</t>
        </is>
      </c>
      <c r="J96" s="6" t="inlineStr">
        <is>
          <t>'Beni al' dedin. Kaptan 'bakarız' dedi.</t>
        </is>
      </c>
      <c r="K96" s="6" t="inlineStr">
        <is>
          <t>“Beni al!” dedin. Kaptan sana baktı, düşündü, çantaları gösterdi: “Sen direk ol.” Bütün maçı kale direği olarak geçirdin. Top iki kez sana çarptı; ikisi de gol sayıldı.</t>
        </is>
      </c>
      <c r="L96" s="6" t="inlineStr"/>
      <c r="M96" s="5" t="inlineStr"/>
      <c r="N96" s="5" t="inlineStr"/>
      <c r="O96" s="6" t="inlineStr"/>
      <c r="P96" s="6" t="inlineStr"/>
      <c r="Q96" s="5" t="inlineStr"/>
      <c r="R96" s="5" t="inlineStr"/>
      <c r="S96" s="5" t="inlineStr"/>
      <c r="T96" s="5" t="inlineStr"/>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c r="AI96" s="5" t="inlineStr"/>
      <c r="AJ96" s="5" t="inlineStr"/>
    </row>
    <row r="97">
      <c r="A97" s="5" t="inlineStr">
        <is>
          <t>takim-seciliyor</t>
        </is>
      </c>
      <c r="B97" s="5" t="n">
        <v>3</v>
      </c>
      <c r="C97" s="6" t="inlineStr">
        <is>
          <t>İyi oynayan çocuğa git</t>
        </is>
      </c>
      <c r="D97" s="5" t="inlineStr">
        <is>
          <t>Sosyal Radar</t>
        </is>
      </c>
      <c r="E97" s="5" t="inlineStr">
        <is>
          <t>Orta</t>
        </is>
      </c>
      <c r="F97" s="5" t="inlineStr"/>
      <c r="G97" s="6" t="inlineStr"/>
      <c r="H97" s="6" t="inlineStr">
        <is>
          <t>En iyi oynayanın yanına gittin; o seçilince seni de gösterdi: “O benimle.” Yetti.</t>
        </is>
      </c>
      <c r="I97" s="6" t="inlineStr">
        <is>
          <t>Bir bakışta sahanın en iyisini buldun: dizleri yara bere içinde, ayakkabısının burnu açılmış bir çocuk. Kaptan onu seçince ikinizi birden aldı. Yedi gol attınız; zil çaldı, kimse duymadı.</t>
        </is>
      </c>
      <c r="J97" s="6" t="inlineStr">
        <is>
          <t>Yanına gittiğin çocuk çantasından top yerine bilye çıkardı. İkiniz en son seçildiniz.</t>
        </is>
      </c>
      <c r="K97" s="6" t="inlineStr">
        <is>
          <t>“En iyi o oynar” diye yanına gittiğin çocuk ilk vuruşta kendi kalesine attı. Bütün takım sana döndü.</t>
        </is>
      </c>
      <c r="L97" s="6" t="inlineStr">
        <is>
          <t>Fena değildi ama en iyisi değildi.</t>
        </is>
      </c>
      <c r="M97" s="5" t="inlineStr">
        <is>
          <t>hidden</t>
        </is>
      </c>
      <c r="N97" s="5" t="inlineStr">
        <is>
          <t>Takımı Oku</t>
        </is>
      </c>
      <c r="O97" s="6" t="inlineStr">
        <is>
          <t>Kalabalıkta topu en iyi sürenin işaretini (⚽) bul.</t>
        </is>
      </c>
      <c r="P97" s="6" t="inlineStr">
        <is>
          <t>{"target": "⚽", "decoys": ["🧒", "👦", "👧", "🧒🏽"]}</t>
        </is>
      </c>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c r="AI97" s="5" t="inlineStr"/>
      <c r="AJ97" s="5" t="inlineStr"/>
    </row>
    <row r="98">
      <c r="A98" s="5" t="inlineStr">
        <is>
          <t>sana-guluyorlar</t>
        </is>
      </c>
      <c r="B98" s="5" t="n">
        <v>1</v>
      </c>
      <c r="C98" s="6" t="inlineStr">
        <is>
          <t>Sus</t>
        </is>
      </c>
      <c r="D98" s="5" t="inlineStr"/>
      <c r="E98" s="5" t="inlineStr"/>
      <c r="F98" s="5" t="inlineStr">
        <is>
          <t>Dayanıklılık +1</t>
        </is>
      </c>
      <c r="G98" s="6" t="inlineStr">
        <is>
          <t>Sustun. Gülme üç saniye sürdü, sonra top geldi, unutuldu. Sen unutmadın.</t>
        </is>
      </c>
      <c r="H98" s="6" t="inlineStr"/>
      <c r="I98" s="6" t="inlineStr"/>
      <c r="J98" s="6" t="inlineStr"/>
      <c r="K98" s="6" t="inlineStr"/>
      <c r="L98" s="6" t="inlineStr"/>
      <c r="M98" s="5" t="inlineStr"/>
      <c r="N98" s="5" t="inlineStr"/>
      <c r="O98" s="6" t="inlineStr"/>
      <c r="P98" s="6" t="inlineStr"/>
      <c r="Q98" s="5" t="inlineStr"/>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c r="AI98" s="5" t="inlineStr"/>
      <c r="AJ98" s="5" t="inlineStr"/>
    </row>
    <row r="99">
      <c r="A99" s="5" t="inlineStr">
        <is>
          <t>sana-guluyorlar</t>
        </is>
      </c>
      <c r="B99" s="5" t="n">
        <v>2</v>
      </c>
      <c r="C99" s="6" t="inlineStr">
        <is>
          <t>Kendine de gül</t>
        </is>
      </c>
      <c r="D99" s="5" t="inlineStr">
        <is>
          <t>Pişkinlik</t>
        </is>
      </c>
      <c r="E99" s="5" t="inlineStr">
        <is>
          <t>Zor</t>
        </is>
      </c>
      <c r="F99" s="5" t="inlineStr"/>
      <c r="G99" s="6" t="inlineStr"/>
      <c r="H99" s="6" t="inlineStr">
        <is>
          <t>Sen de güldün, hem de en yüksek sesle. Gülme şakadan oyuna döndü; artık herkes seninle gülüyor.</t>
        </is>
      </c>
      <c r="I99" s="6" t="inlineStr">
        <is>
          <t>Kendine güldün, herkes seninle güldü; bir saat sonra aynı espriyi onlar tekrar ediyordu.</t>
        </is>
      </c>
      <c r="J99" s="6" t="inlineStr">
        <is>
          <t>Güldün ama biraz geç. Kahkahalar çoktan bitmişti.</t>
        </is>
      </c>
      <c r="K99" s="6" t="inlineStr">
        <is>
          <t>Sen de güldün; öyle güldün ki burnundan süt geldi. Gülme ikinci tura girdi, öğretmen peçete yetiştiremedi. Akşam kapıda annene “Bugün çok eğlendi” dedi; sütü anlatmadı, çocuklar anlattı.</t>
        </is>
      </c>
      <c r="L99" s="6" t="inlineStr"/>
      <c r="M99" s="5" t="inlineStr"/>
      <c r="N99" s="5" t="inlineStr"/>
      <c r="O99" s="6" t="inlineStr"/>
      <c r="P99" s="6" t="inlineStr"/>
      <c r="Q99" s="5" t="inlineStr"/>
      <c r="R99" s="5" t="inlineStr"/>
      <c r="S99" s="5" t="inlineStr"/>
      <c r="T99" s="5" t="inlineStr">
        <is>
          <t>Kendine Gülebilir</t>
        </is>
      </c>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c r="AI99" s="5" t="inlineStr"/>
      <c r="AJ99" s="5" t="inlineStr"/>
    </row>
    <row r="100">
      <c r="A100" s="5" t="inlineStr">
        <is>
          <t>sana-guluyorlar</t>
        </is>
      </c>
      <c r="B100" s="5" t="n">
        <v>3</v>
      </c>
      <c r="C100" s="6" t="inlineStr">
        <is>
          <t>Laf yetiştir</t>
        </is>
      </c>
      <c r="D100" s="5" t="inlineStr">
        <is>
          <t>Çene</t>
        </is>
      </c>
      <c r="E100" s="5" t="inlineStr">
        <is>
          <t>Zor</t>
        </is>
      </c>
      <c r="F100" s="5" t="inlineStr"/>
      <c r="G100" s="6" t="inlineStr"/>
      <c r="H100" s="6" t="inlineStr">
        <is>
          <t>“Sen de burnunu karıştırıyordun” dedin. Doğruydu. Gülme yön değiştirdi.</t>
        </is>
      </c>
      <c r="I100" s="6" t="inlineStr">
        <is>
          <t>Ciddi ciddi anlattın: “Kedi bütün gün uyuyor, herkes onu seviyor, mamasını da başkası alıyor.” Gülenler sustu, düşündü. Ertesi gün sınıfta üç kedi adayı daha vardı.</t>
        </is>
      </c>
      <c r="J100" s="6" t="inlineStr">
        <is>
          <t>Cevabı buldun; eve gidince.</t>
        </is>
      </c>
      <c r="K100" s="6" t="inlineStr">
        <is>
          <t>“Siz… siz… siz de kedisiniz!” dedin. Ne demek istediğini sen de bilmiyordun. Gülme ikiye katlandı; o hafta bahçede herkes seni “Miyav!” diye selamladı.</t>
        </is>
      </c>
      <c r="L100" s="6" t="inlineStr"/>
      <c r="M100" s="5" t="inlineStr"/>
      <c r="N100" s="5" t="inlineStr"/>
      <c r="O100" s="6" t="inlineStr"/>
      <c r="P100" s="6" t="inlineStr"/>
      <c r="Q100" s="5" t="inlineStr"/>
      <c r="R100" s="5" t="inlineStr"/>
      <c r="S100" s="5" t="inlineStr"/>
      <c r="T100" s="5" t="inlineStr"/>
      <c r="U100" s="5" t="inlineStr"/>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c r="AI100" s="5" t="inlineStr">
        <is>
          <t>Miyav</t>
        </is>
      </c>
      <c r="AJ100" s="5" t="inlineStr"/>
    </row>
    <row r="101">
      <c r="A101" s="5" t="inlineStr">
        <is>
          <t>sana-guluyorlar</t>
        </is>
      </c>
      <c r="B101" s="5" t="n">
        <v>4</v>
      </c>
      <c r="C101" s="6" t="inlineStr">
        <is>
          <t>Sahneyi devral</t>
        </is>
      </c>
      <c r="D101" s="5" t="inlineStr">
        <is>
          <t>Pişkinlik</t>
        </is>
      </c>
      <c r="E101" s="5" t="inlineStr">
        <is>
          <t>Kolay</t>
        </is>
      </c>
      <c r="F101" s="5" t="inlineStr"/>
      <c r="G101" s="6" t="inlineStr"/>
      <c r="H101" s="6" t="inlineStr">
        <is>
          <t>Ayağa kalktın, “Miyav!” dedin, eğilip selam verdin. Gülenler alkışlamaya başladı. Öğretmen “Peki kedicik, yerine geç” dedi; yerine geçtin, kuyruğunu toplayarak.</t>
        </is>
      </c>
      <c r="I101" s="6" t="inlineStr">
        <is>
          <t>Halıya kıvrılıp esnedin, öğretmenin bacağına sürtündün, beslenme çantana mama kabı gibi baktın. Sınıf yerlere yattı; öğretmen de. Ertesi gün yan sınıf da gösteriyi izlemeye geldi.</t>
        </is>
      </c>
      <c r="J101" s="6" t="inlineStr">
        <is>
          <t>Sahneyi devraldın; seyirci dağıldı.</t>
        </is>
      </c>
      <c r="K101" s="6" t="inlineStr">
        <is>
          <t>Sahneyi devraldın ve takıldın. Artık gerçekten gülüyorlar.</t>
        </is>
      </c>
      <c r="L101" s="6" t="inlineStr"/>
      <c r="M101" s="5" t="inlineStr"/>
      <c r="N101" s="5" t="inlineStr"/>
      <c r="O101" s="6" t="inlineStr"/>
      <c r="P101" s="6" t="inlineStr"/>
      <c r="Q101" s="5" t="inlineStr">
        <is>
          <t>Sahne Sever</t>
        </is>
      </c>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c r="AI101" s="5" t="inlineStr"/>
      <c r="AJ101" s="5" t="inlineStr"/>
    </row>
    <row r="102">
      <c r="A102" s="5" t="inlineStr">
        <is>
          <t>ilk-kucuk-sir</t>
        </is>
      </c>
      <c r="B102" s="5" t="n">
        <v>1</v>
      </c>
      <c r="C102" s="6" t="inlineStr">
        <is>
          <t>Sırrı tut</t>
        </is>
      </c>
      <c r="D102" s="5" t="inlineStr">
        <is>
          <t>İtibar</t>
        </is>
      </c>
      <c r="E102" s="5" t="inlineStr">
        <is>
          <t>Orta</t>
        </is>
      </c>
      <c r="F102" s="5" t="inlineStr"/>
      <c r="G102" s="6" t="inlineStr"/>
      <c r="H102" s="6" t="inlineStr">
        <is>
          <t>Sırrı tuttun; bütün gün ağzını sıkı sıkı kapalı gezdin. Annen “Bu çocuk niye hiç konuşmuyor?” diye ateşine baktı. Arkadaşın uzaktan göz kırptı.</t>
        </is>
      </c>
      <c r="I102" s="6" t="inlineStr">
        <is>
          <t>Sırrı tuttun. Arkadaşın ertesi gün daha büyük bir sır verdi: babaannesinin saçı da çıkıyormuş. Artık kreşin sır kutusu sensin.</t>
        </is>
      </c>
      <c r="J102" s="6" t="inlineStr">
        <is>
          <t>Annen “Ne konuştunuz?” dedi. “Hiç” dedin. Sonra ekledin: “Diş falan konuşmadık.”</t>
        </is>
      </c>
      <c r="K102" s="6" t="inlineStr">
        <is>
          <t>Sırrı gündüz tuttun; gece uykunda bağırdın: “Dişler bardakta!” Annen babana anlattı, baban dedene, deden kahvede arkadaşının dedesine. İki dede bütün gün güldü; arkadaşın bir hafta seninle konuşmadı.</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c r="AI102" s="5" t="inlineStr"/>
      <c r="AJ102" s="5" t="inlineStr"/>
    </row>
    <row r="103">
      <c r="A103" s="5" t="inlineStr">
        <is>
          <t>ilk-kucuk-sir</t>
        </is>
      </c>
      <c r="B103" s="5" t="n">
        <v>2</v>
      </c>
      <c r="C103" s="6" t="inlineStr">
        <is>
          <t>Başkasına anlat</t>
        </is>
      </c>
      <c r="D103" s="5" t="inlineStr">
        <is>
          <t>Çene</t>
        </is>
      </c>
      <c r="E103" s="5" t="inlineStr">
        <is>
          <t>Orta</t>
        </is>
      </c>
      <c r="F103" s="5" t="inlineStr"/>
      <c r="G103" s="6" t="inlineStr"/>
      <c r="H103" s="6" t="inlineStr">
        <is>
          <t>Bir kişiye anlattın. Öğlene kadar bütün kreş biliyordu. Öğle yemeğinde üç kişi yanına oturdu; arkadaşın oturmadı.</t>
        </is>
      </c>
      <c r="I103" s="6" t="inlineStr">
        <is>
          <t>Sırrı öyle yaydın ki öğlene kadar bütün kreş dişleri konuştu, kimse kimden duyduğunu bilmiyordu. Arkadaşın bile gelip sana fısıldadı: “Biri benim sırrımı yaymış.” Başını salladın, çok üzgün baktın.</t>
        </is>
      </c>
      <c r="J103" s="6" t="inlineStr">
        <is>
          <t>Anlattın; dinleyen zaten biliyormuş.</t>
        </is>
      </c>
      <c r="K103" s="6" t="inlineStr">
        <is>
          <t>Fısıldadığın çocuk, arkadaşının kuzeniymiş. Akşam aile sofrasında anlatmış; dede dişlerini taktı ve “Kim söyledi?” diye sordu. Ertesi gün kreş kapısında seni bekleyen bir dede vardı; gülümsedi, dişleri tamdı.</t>
        </is>
      </c>
      <c r="L103" s="6" t="inlineStr"/>
      <c r="M103" s="5" t="inlineStr"/>
      <c r="N103" s="5" t="inlineStr"/>
      <c r="O103" s="6" t="inlineStr"/>
      <c r="P103" s="6" t="inlineStr"/>
      <c r="Q103" s="5" t="inlineStr"/>
      <c r="R103" s="5" t="inlineStr"/>
      <c r="S103" s="5" t="inlineStr"/>
      <c r="T103" s="5" t="inlineStr"/>
      <c r="U103" s="5" t="inlineStr">
        <is>
          <t>sirVerdi</t>
        </is>
      </c>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c r="AI103" s="5" t="inlineStr"/>
      <c r="AJ103" s="5" t="inlineStr"/>
    </row>
    <row r="104">
      <c r="A104" s="5" t="inlineStr">
        <is>
          <t>ilk-kucuk-sir</t>
        </is>
      </c>
      <c r="B104" s="5" t="n">
        <v>3</v>
      </c>
      <c r="C104" s="6" t="inlineStr">
        <is>
          <t>“Bu sır mı ki?” diye düşün</t>
        </is>
      </c>
      <c r="D104" s="5" t="inlineStr">
        <is>
          <t>Sosyal Radar</t>
        </is>
      </c>
      <c r="E104" s="5" t="inlineStr">
        <is>
          <t>Kolay</t>
        </is>
      </c>
      <c r="F104" s="5" t="inlineStr"/>
      <c r="G104" s="6" t="inlineStr"/>
      <c r="H104" s="6" t="inlineStr">
        <is>
          <t>Biraz düşündün ve karar verdin: dişler çıkıyorsa takılıyor da demek. Korkacak bir şey yok. Sır cebe, sen oyuna.</t>
        </is>
      </c>
      <c r="I104" s="6" t="inlineStr">
        <is>
          <t>Düşündün: senin dedenin de dişleri çıkıyor, babaannenin de. Arkadaşına söyledin: “Bu sır değil, bütün dedeler böyle.” Arkadaşın öyle rahatladı ki öğle yemeğindeki köftesini sana verdi.</t>
        </is>
      </c>
      <c r="J104" s="6" t="inlineStr">
        <is>
          <t>Düşündün, düşündün; dişlerin nasıl çıkıp girdiğini çözemedin. O gece dişlerini fırçalarken sıkı sıkı tuttun.</t>
        </is>
      </c>
      <c r="K104" s="6" t="inlineStr">
        <is>
          <t>“Bu sır mı şimdi? Dişler bardakta, ne olmuş?” diye yüksek sesle düşündün. Bütün sınıf duydu; sırrın sahibi de arkandaydı. Öğle yemeğinde herkes takma diş taklidi yaptı; arkadaşın yapmadı.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c r="AI104" s="5" t="inlineStr"/>
      <c r="AJ104" s="5" t="inlineStr"/>
    </row>
    <row r="105">
      <c r="A105" s="5" t="inlineStr">
        <is>
          <t>aileler-kiyasliyor</t>
        </is>
      </c>
      <c r="B105" s="5" t="n">
        <v>1</v>
      </c>
      <c r="C105" s="6" t="inlineStr">
        <is>
          <t>Görmezden gel</t>
        </is>
      </c>
      <c r="D105" s="5" t="inlineStr">
        <is>
          <t>Dayanıklılık</t>
        </is>
      </c>
      <c r="E105" s="5" t="inlineStr">
        <is>
          <t>Kolay</t>
        </is>
      </c>
      <c r="F105" s="5" t="inlineStr"/>
      <c r="G105" s="6" t="inlineStr"/>
      <c r="H105" s="6" t="inlineStr">
        <is>
          <t>Halıya oturup boyamana devam ettin. Annen “Bizimki sakin, kendi halinde” dedi; teyze başını salladı. Sakin olmak da puanmış.</t>
        </is>
      </c>
      <c r="I105" s="6" t="inlineStr">
        <is>
          <t>Hiç oralı olmadın, halıda arabanı sürdün. Teyze oğluna döndü: “Bak ne güzel oturuyor, sen niye oturamıyorsun?” Annen ikinci çayı keyifle doldurdu.</t>
        </is>
      </c>
      <c r="J105" s="6" t="inlineStr">
        <is>
          <t>Görmezden gelmeye çalıştın; adın on kez geçti.</t>
        </is>
      </c>
      <c r="K105" s="6" t="inlineStr">
        <is>
          <t>Halıda sessizce oynarken annen seslendi: “Hadi kuzum, teyzeye alfabeyi tersten söyle.” Tersten bir yana, düzünü de bilmiyordun. “Z…” dedin, durdun; teyzenin oğlu kalanını tamamladı.</t>
        </is>
      </c>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c r="AI105" s="5" t="inlineStr"/>
      <c r="AJ105" s="5" t="inlineStr"/>
    </row>
    <row r="106">
      <c r="A106" s="5" t="inlineStr">
        <is>
          <t>aileler-kiyasliyor</t>
        </is>
      </c>
      <c r="B106" s="5" t="n">
        <v>2</v>
      </c>
      <c r="C106" s="6" t="inlineStr">
        <is>
          <t>Bildiğini göster</t>
        </is>
      </c>
      <c r="D106" s="5" t="inlineStr">
        <is>
          <t>Pişkinlik</t>
        </is>
      </c>
      <c r="E106" s="5" t="inlineStr">
        <is>
          <t>Orta</t>
        </is>
      </c>
      <c r="F106" s="5" t="inlineStr"/>
      <c r="G106" s="6" t="inlineStr"/>
      <c r="H106" s="6" t="inlineStr">
        <is>
          <t>Ortaya çıkıp alfabeyi baştan sona söyledin; tersten değil ama hatasız. Annen teyzeye çaktırmadan baktı; teyze şekerliğe uzandı. Bu turu siz aldınız.</t>
        </is>
      </c>
      <c r="I106" s="6" t="inlineStr">
        <is>
          <t>Alfabeyi tersten söyledin; hiç takılmadan. Annen bile şaşırdı ama belli etmedi; teyzeye bir çay daha koydu. Teyze oğlunu ertesi gün kursa yazdırdı.</t>
        </is>
      </c>
      <c r="J106" s="6" t="inlineStr">
        <is>
          <t>Göstermeye çalıştın; heyecandan unuttun.</t>
        </is>
      </c>
      <c r="K106" s="6" t="inlineStr">
        <is>
          <t>Alfabeyi söyledin; “Ş”den “Z”ye atladın. Teyze düzeltti, teyzenin oğlu da. Annen çayını bir dikişte bitirdi.</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c r="AI106" s="5" t="inlineStr"/>
      <c r="AJ106" s="5" t="inlineStr"/>
    </row>
    <row r="107">
      <c r="A107" s="5" t="inlineStr">
        <is>
          <t>aileler-kiyasliyor</t>
        </is>
      </c>
      <c r="B107" s="5" t="n">
        <v>3</v>
      </c>
      <c r="C107" s="6" t="inlineStr">
        <is>
          <t>Annenle teyzeyi izle</t>
        </is>
      </c>
      <c r="D107" s="5" t="inlineStr">
        <is>
          <t>Sosyal Radar</t>
        </is>
      </c>
      <c r="E107" s="5" t="inlineStr">
        <is>
          <t>Orta</t>
        </is>
      </c>
      <c r="F107" s="5" t="inlineStr"/>
      <c r="G107" s="6" t="inlineStr"/>
      <c r="H107" s="6" t="inlineStr">
        <is>
          <t>İzledin: kimse kendi çocuğuna bakmıyor, herkes ötekinin çocuğuna bakıyor. Sen de kurabiyeye baktın; kimse fark etmedi, üç tane yedin.</t>
        </is>
      </c>
      <c r="I107" s="6" t="inlineStr">
        <is>
          <t>İzledin ve çözdün: teyze oğlunu övünce annen burnunu kaşıyor, annen seni övünce teyze çayını karıştırıyor. Akşam babana anlattın. Baban annene bakıp güldü, annen burnunu kaşıdı.</t>
        </is>
      </c>
      <c r="J107" s="6" t="inlineStr">
        <is>
          <t>İzledin. Vardığın sonuç: büyükler garip.</t>
        </is>
      </c>
      <c r="K107" s="6" t="inlineStr">
        <is>
          <t>Gözlemini herkese duyurdun: “Annem yalan söylüyor, ben alfabeyi tersten bilmiyorum.” Çay bardakları havada kaldı. Teyze kahkahayı bastı, annen basmadı; teyze bu cümleyi akşama kadar bütün apartmana anlattı.</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c r="AI107" s="5" t="inlineStr"/>
      <c r="AJ107" s="5" t="inlineStr"/>
    </row>
    <row r="108">
      <c r="A108" s="5" t="inlineStr">
        <is>
          <t>kirilan-oyuncak</t>
        </is>
      </c>
      <c r="B108" s="5" t="n">
        <v>1</v>
      </c>
      <c r="C108" s="6" t="inlineStr">
        <is>
          <t>Hemen söyle</t>
        </is>
      </c>
      <c r="D108" s="5" t="inlineStr"/>
      <c r="E108" s="5" t="inlineStr"/>
      <c r="F108" s="5" t="inlineStr">
        <is>
          <t>İtibar +2</t>
        </is>
      </c>
      <c r="G108" s="6" t="inlineStr">
        <is>
          <t>Kırık oyuncağı götürüp “Ben kırdım” dedin. Annen baktı, iç çekti, “Neyse” dedi. Sonra ekledi: “Ama bir daha olmaz.” Oldu.</t>
        </is>
      </c>
      <c r="H108" s="6" t="inlineStr"/>
      <c r="I108" s="6" t="inlineStr"/>
      <c r="J108" s="6" t="inlineStr"/>
      <c r="K108" s="6" t="inlineStr"/>
      <c r="L108" s="6" t="inlineStr"/>
      <c r="M108" s="5" t="inlineStr"/>
      <c r="N108" s="5" t="inlineStr"/>
      <c r="O108" s="6" t="inlineStr"/>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c r="AI108" s="5" t="inlineStr"/>
      <c r="AJ108" s="5" t="inlineStr"/>
    </row>
    <row r="109">
      <c r="A109" s="5" t="inlineStr">
        <is>
          <t>kirilan-oyuncak</t>
        </is>
      </c>
      <c r="B109" s="5" t="n">
        <v>2</v>
      </c>
      <c r="C109" s="6" t="inlineStr">
        <is>
          <t>Yerine koy, uzaklaş</t>
        </is>
      </c>
      <c r="D109" s="5" t="inlineStr">
        <is>
          <t>Kurnazlık</t>
        </is>
      </c>
      <c r="E109" s="5" t="inlineStr">
        <is>
          <t>Zor</t>
        </is>
      </c>
      <c r="F109" s="5" t="inlineStr"/>
      <c r="G109" s="6" t="inlineStr"/>
      <c r="H109" s="6" t="inlineStr">
        <is>
          <t>Yerine koydun, uzaklaştın. Üç gün kimse fark etmedi. Üç gün her sese irkildin.</t>
        </is>
      </c>
      <c r="I109" s="6" t="inlineStr">
        <is>
          <t>Kolu yerine oturtup robotu kutusuna koydun. Bir hafta sonra kuzenin geldi, robotla oynadı; kol onun elinde kaldı. Kuzenin ağladı, sen sırtını sıvazladın: “Olur öyle.”</t>
        </is>
      </c>
      <c r="J109" s="6" t="inlineStr">
        <is>
          <t>Kolu yerine oturtup robotu rafa koydun. Arkanı döndüğün an robot “Merhaba dostum!” dedi ve kolu halıya düştü. Annen salondan seslendi: “Kiminle konuşuyorsun?”</t>
        </is>
      </c>
      <c r="K109" s="6" t="inlineStr">
        <is>
          <t>Kolu bantla yapıştırıp rafa koydun, ıslık çalarak uzaklaştın. Hayatında hiç ıslık çalmamıştın. Baban ıslığı duyunca doğruca rafa yürüdü.</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c r="AI109" s="5" t="inlineStr"/>
      <c r="AJ109" s="5" t="inlineStr"/>
    </row>
    <row r="110">
      <c r="A110" s="5" t="inlineStr">
        <is>
          <t>kirilan-oyuncak</t>
        </is>
      </c>
      <c r="B110" s="5" t="n">
        <v>3</v>
      </c>
      <c r="C110" s="6" t="inlineStr">
        <is>
          <t>Tamir etmeye çalış</t>
        </is>
      </c>
      <c r="D110" s="5" t="inlineStr">
        <is>
          <t>Akıl</t>
        </is>
      </c>
      <c r="E110" s="5" t="inlineStr">
        <is>
          <t>Orta</t>
        </is>
      </c>
      <c r="F110" s="5" t="inlineStr"/>
      <c r="G110" s="6" t="inlineStr"/>
      <c r="H110" s="6" t="inlineStr">
        <is>
          <t>Bantla sardın. Oyuncak çalışıyor: biraz eğri, biraz yapışkan, ama çalışıyor. Baban “Aferin” dedi ve bant rulosunu geri istedi.</t>
        </is>
      </c>
      <c r="I110" s="6" t="inlineStr">
        <is>
          <t>Tamir ettin; oyuncak eskisinden iyi çalışıyor. Üstelik artık ışığı da yanıyor.</t>
        </is>
      </c>
      <c r="J110" s="6" t="inlineStr">
        <is>
          <t>Tamir ettin; bir parça arttı.</t>
        </is>
      </c>
      <c r="K110" s="6" t="inlineStr">
        <is>
          <t>Tamir için babanın alet çantasını açtın. Robotun karnından yaylar, vidalar ve iki pil fırladı; biri koltuğun altına kaçtı. Akşam baban dizlerinin üstünde vida aradı; annen babana bakarak “Kimden öğrendi acaba?” dedi.</t>
        </is>
      </c>
      <c r="L110" s="6" t="inlineStr"/>
      <c r="M110" s="5" t="inlineStr"/>
      <c r="N110" s="5" t="inlineStr"/>
      <c r="O110" s="6" t="inlineStr"/>
      <c r="P110" s="6" t="inlineStr"/>
      <c r="Q110" s="5" t="inlineStr"/>
      <c r="R110" s="5" t="inlineStr"/>
      <c r="S110" s="5" t="inlineStr"/>
      <c r="T110" s="5" t="inlineStr"/>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c r="AI110" s="5" t="inlineStr"/>
      <c r="AJ110" s="5" t="inlineStr"/>
    </row>
    <row r="111">
      <c r="A111" s="5" t="inlineStr">
        <is>
          <t>mahalle-turnuvasi</t>
        </is>
      </c>
      <c r="B111" s="5" t="n">
        <v>1</v>
      </c>
      <c r="C111" s="6" t="inlineStr">
        <is>
          <t>Yarış</t>
        </is>
      </c>
      <c r="D111" s="5" t="inlineStr">
        <is>
          <t>Dayanıklılık</t>
        </is>
      </c>
      <c r="E111" s="5" t="inlineStr">
        <is>
          <t>Orta</t>
        </is>
      </c>
      <c r="F111" s="5" t="inlineStr"/>
      <c r="G111" s="6" t="inlineStr"/>
      <c r="H111" s="6" t="inlineStr">
        <is>
          <t>Burun farkıyla öndeydin. Annen balkondan öyle bağırdı ki bütün sokak kimin çocuğu olduğunu öğrendi.</t>
        </is>
      </c>
      <c r="I111" s="6" t="inlineStr">
        <is>
          <t>Düdükle fırladın; bakkalın sandalyesine vardığında rakibin daha yarı yoldaydı. Bakkal ödül diye bir gazoz açtı, annen balkondan bütün apartmana bağırdı: “Bizimki!”</t>
        </is>
      </c>
      <c r="J111" s="6" t="inlineStr">
        <is>
          <t>Rakibin biraz daha hızlıydı.</t>
        </is>
      </c>
      <c r="K111" s="6" t="inlineStr">
        <is>
          <t>Başlangıçta tökezledin; herkes yanından geçti. Sonuncu geldin ama en çok alkışı sen aldın: acıma alkışı.</t>
        </is>
      </c>
      <c r="L111" s="6" t="inlineStr">
        <is>
          <t>Neredeyse aynı anda vardınız.</t>
        </is>
      </c>
      <c r="M111" s="5" t="inlineStr">
        <is>
          <t>timing</t>
        </is>
      </c>
      <c r="N111" s="5" t="inlineStr">
        <is>
          <t>Düdük!</t>
        </is>
      </c>
      <c r="O111" s="6" t="inlineStr">
        <is>
          <t>İbre yeşile girdiği an dokun; tam düdükle fırla.</t>
        </is>
      </c>
      <c r="P111" s="6" t="inlineStr"/>
      <c r="Q111" s="5" t="inlineStr"/>
      <c r="R111" s="5" t="inlineStr"/>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c r="AI111" s="5" t="inlineStr"/>
      <c r="AJ111" s="5" t="inlineStr"/>
    </row>
    <row r="112">
      <c r="A112" s="5" t="inlineStr">
        <is>
          <t>mahalle-turnuvasi</t>
        </is>
      </c>
      <c r="B112" s="5" t="n">
        <v>2</v>
      </c>
      <c r="C112" s="6" t="inlineStr">
        <is>
          <t>Başlangıç avantajı bul</t>
        </is>
      </c>
      <c r="D112" s="5" t="inlineStr">
        <is>
          <t>Kurnazlık</t>
        </is>
      </c>
      <c r="E112" s="5" t="inlineStr">
        <is>
          <t>Zor</t>
        </is>
      </c>
      <c r="F112" s="5" t="inlineStr"/>
      <c r="G112" s="6" t="inlineStr"/>
      <c r="H112" s="6" t="inlineStr">
        <is>
          <t>Kural “Kim ‘Başla’ derse o başlar”dı. “Başla” dedin. Başladın.</t>
        </is>
      </c>
      <c r="I112" s="6" t="inlineStr">
        <is>
          <t>Kural “Bakkala ilk varan kazanır”dı; hangi kapıdan varılacağını kimse söylememişti. Arka bahçeden dolanıp dükkânın arka kapısından girdin, ön kapıdan “Birinci!” diye çıktın. O günden beri mahallede yarış başlamadan biri “Arka kapı yok!” diye bağırıyor.</t>
        </is>
      </c>
      <c r="J112" s="6" t="inlineStr">
        <is>
          <t>Boşluk bulamadın. Kurallar sıkıymış.</t>
        </is>
      </c>
      <c r="K112" s="6" t="inlineStr">
        <is>
          <t>“Başla” denmeden fırladın. Bakkal seni geri çağırdı: “Sen bir dahaki yarışa.” Bir dahaki yarışa kadar seni her gördüğünde “Erkenci geldi” dedi; bütün mahalle de dedi.</t>
        </is>
      </c>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c r="AI112" s="5" t="inlineStr"/>
      <c r="AJ112" s="5" t="inlineStr"/>
    </row>
    <row r="113">
      <c r="A113" s="5" t="inlineStr">
        <is>
          <t>mahalle-turnuvasi</t>
        </is>
      </c>
      <c r="B113" s="5" t="n">
        <v>3</v>
      </c>
      <c r="C113" s="6" t="inlineStr">
        <is>
          <t>Hakem olmaya çalış</t>
        </is>
      </c>
      <c r="D113" s="5" t="inlineStr">
        <is>
          <t>İtibar</t>
        </is>
      </c>
      <c r="E113" s="5" t="inlineStr">
        <is>
          <t>Zor</t>
        </is>
      </c>
      <c r="F113" s="5" t="inlineStr"/>
      <c r="G113" s="6" t="inlineStr"/>
      <c r="H113" s="6" t="inlineStr">
        <is>
          <t>Yarışmadın; kuralları sen koydun: düşen yeniden başlar, ağlayan bir daha başlar, kuzenin yarışmaz. Kimse sebebini sormadı. Kuzenin de sormadı; o da sevindi.</t>
        </is>
      </c>
      <c r="I113" s="6" t="inlineStr">
        <is>
          <t>Hakem oldun; düdük yoktu, annenin iki tencere kapağını çarptın. Yarış bitince ödül töreni yaptın: birinciye bir bisküvi, ikinciye yarım, sonuncuya bir sarılma. Balkonlardaki anneler alkışladı.</t>
        </is>
      </c>
      <c r="J113" s="6" t="inlineStr">
        <is>
          <t>“Ben hakem olayım” dedin. Büyük çocuk “Hakem büyük olur” dedi ve seni başlangıç çizgisine yolladı. Ne hakem oldun ne birinci.</t>
        </is>
      </c>
      <c r="K113" s="6" t="inlineStr">
        <is>
          <t>İki çocuk aynı anda vardı; ikisine de “Birinci sen!” dedin. İkisi de annesini çağırdı, anneler balkonlardan birbirine seslendi. Yarış bitti; balkon atışması akşama kadar sürdü.</t>
        </is>
      </c>
      <c r="L113" s="6" t="inlineStr"/>
      <c r="M113" s="5" t="inlineStr"/>
      <c r="N113" s="5" t="inlineStr"/>
      <c r="O113" s="6" t="inlineStr"/>
      <c r="P113" s="6" t="inlineStr"/>
      <c r="Q113" s="5" t="inlineStr"/>
      <c r="R113" s="5" t="inlineStr"/>
      <c r="S113" s="5" t="inlineStr"/>
      <c r="T113" s="5" t="inlineStr">
        <is>
          <t>Kuralı Koyan</t>
        </is>
      </c>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c r="AI113" s="5" t="inlineStr"/>
      <c r="AJ113" s="5" t="inlineStr"/>
    </row>
    <row r="114">
      <c r="A114" s="5" t="inlineStr">
        <is>
          <t>mahalle-turnuvasi</t>
        </is>
      </c>
      <c r="B114" s="5" t="n">
        <v>4</v>
      </c>
      <c r="C114" s="6" t="inlineStr">
        <is>
          <t>Mahallenin kestirmesini kullan</t>
        </is>
      </c>
      <c r="D114" s="5" t="inlineStr">
        <is>
          <t>Kurnazlık</t>
        </is>
      </c>
      <c r="E114" s="5" t="inlineStr">
        <is>
          <t>Orta</t>
        </is>
      </c>
      <c r="F114" s="5" t="inlineStr"/>
      <c r="G114" s="6" t="inlineStr"/>
      <c r="H114" s="6" t="inlineStr">
        <is>
          <t>Yarışın ortasında bahçe duvarının arkasından çıktın. Kurallarda bununla ilgili bir madde yoktu.</t>
        </is>
      </c>
      <c r="I114" s="6" t="inlineStr">
        <is>
          <t>Kestirmeyi kullandın, birinci geldin. Hakem de mahalleden olduğu için itiraz eden çıkmadı.</t>
        </is>
      </c>
      <c r="J114" s="6" t="inlineStr">
        <is>
          <t>Kestirmeye saptın; duvarın arkasında komşunun köpeği vardı. Yarışın sonunu duvarın üstünden izledin.</t>
        </is>
      </c>
      <c r="K114" s="6" t="inlineStr">
        <is>
          <t>Kestirmeden çıktığında yarış bitmişti. Birinci sen değildin ama en çok çamura bulanan sendin.</t>
        </is>
      </c>
      <c r="L114" s="6" t="inlineStr"/>
      <c r="M114" s="5" t="inlineStr"/>
      <c r="N114" s="5" t="inlineStr"/>
      <c r="O114" s="6" t="inlineStr"/>
      <c r="P114" s="6" t="inlineStr"/>
      <c r="Q114" s="5" t="inlineStr"/>
      <c r="R114" s="5" t="inlineStr">
        <is>
          <t>mahalle-cocugu</t>
        </is>
      </c>
      <c r="S114" s="5" t="inlineStr"/>
      <c r="T114" s="5" t="inlineStr"/>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c r="AI114" s="5" t="inlineStr"/>
      <c r="AJ114" s="5" t="inlineStr"/>
    </row>
    <row r="115">
      <c r="A115" s="5" t="inlineStr">
        <is>
          <t>harclik-pazarligi</t>
        </is>
      </c>
      <c r="B115" s="5" t="n">
        <v>1</v>
      </c>
      <c r="C115" s="6" t="inlineStr">
        <is>
          <t>Kabul et</t>
        </is>
      </c>
      <c r="D115" s="5" t="inlineStr"/>
      <c r="E115" s="5" t="inlineStr"/>
      <c r="F115" s="5" t="inlineStr">
        <is>
          <t>İtibar +1</t>
        </is>
      </c>
      <c r="G115" s="6" t="inlineStr">
        <is>
          <t>Kabul ettin. Annen “Aferin, kanaatkâr çocuk” dedi. Kanaatkâr, harçlığı az olan demek.</t>
        </is>
      </c>
      <c r="H115" s="6" t="inlineStr"/>
      <c r="I115" s="6" t="inlineStr"/>
      <c r="J115" s="6" t="inlineStr"/>
      <c r="K115" s="6" t="inlineStr"/>
      <c r="L115" s="6" t="inlineStr"/>
      <c r="M115" s="5" t="inlineStr"/>
      <c r="N115" s="5" t="inlineStr"/>
      <c r="O115" s="6" t="inlineStr"/>
      <c r="P115" s="6" t="inlineStr"/>
      <c r="Q115" s="5" t="inlineStr"/>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c r="AI115" s="5" t="inlineStr"/>
      <c r="AJ115" s="5" t="inlineStr"/>
    </row>
    <row r="116">
      <c r="A116" s="5" t="inlineStr">
        <is>
          <t>harclik-pazarligi</t>
        </is>
      </c>
      <c r="B116" s="5" t="n">
        <v>2</v>
      </c>
      <c r="C116" s="6" t="inlineStr">
        <is>
          <t>Biraz daha iste</t>
        </is>
      </c>
      <c r="D116" s="5" t="inlineStr">
        <is>
          <t>Çene</t>
        </is>
      </c>
      <c r="E116" s="5" t="inlineStr">
        <is>
          <t>Zor</t>
        </is>
      </c>
      <c r="F116" s="5" t="inlineStr"/>
      <c r="G116" s="6" t="inlineStr"/>
      <c r="H116" s="6" t="inlineStr">
        <is>
          <t>“Biraz daha” dedin. Baban annene baktı, annen omuz silkti. Bir bozukluk daha. Omuz silkmenin fiyatı bu.</t>
        </is>
      </c>
      <c r="I116" s="6" t="inlineStr">
        <is>
          <t>“Biraz daha” dedin ve babanın gözünün içine baktın, hiç kırpmadan. Baban bir bozukluk koydu, sonra bir tane daha. Annen mutfaktan seslendi: “Sen mi onu kandırıyorsun, o mu seni?”</t>
        </is>
      </c>
      <c r="J116" s="6" t="inlineStr">
        <is>
          <t>İstedin. Baban “Büyüyünce” dedi. “Ne zaman büyüyeceğim?” dedin; “Büyüyünce” dedi.</t>
        </is>
      </c>
      <c r="K116" s="6" t="inlineStr">
        <is>
          <t>“Biraz daha” dedin. Baban harçlığı geri aldı: “Önce kıymetini öğren.” Bu hafta sıfır. Konuşma yirmi dakika sürdü ve “Biz sizin yaşınızdayken” diye başladı.</t>
        </is>
      </c>
      <c r="L116" s="6" t="inlineStr"/>
      <c r="M116" s="5" t="inlineStr"/>
      <c r="N116" s="5" t="inlineStr"/>
      <c r="O116" s="6" t="inlineStr"/>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c r="AI116" s="5" t="inlineStr"/>
      <c r="AJ116" s="5" t="inlineStr"/>
    </row>
    <row r="117">
      <c r="A117" s="5" t="inlineStr">
        <is>
          <t>harclik-pazarligi</t>
        </is>
      </c>
      <c r="B117" s="5" t="n">
        <v>3</v>
      </c>
      <c r="C117" s="6" t="inlineStr">
        <is>
          <t>Ev işi karşılığı teklif et</t>
        </is>
      </c>
      <c r="D117" s="5" t="inlineStr">
        <is>
          <t>Kurnazlık</t>
        </is>
      </c>
      <c r="E117" s="5" t="inlineStr">
        <is>
          <t>Zor</t>
        </is>
      </c>
      <c r="F117" s="5" t="inlineStr"/>
      <c r="G117" s="6" t="inlineStr"/>
      <c r="H117" s="6" t="inlineStr">
        <is>
          <t>“Sofrayı kurarsam fazla verir misin?” dedin. Baban annene baktı; annen “Zaten kuracaktı” dedi. Yine de verdiler.</t>
        </is>
      </c>
      <c r="I117" s="6" t="inlineStr">
        <is>
          <t>“Sofrayı kurarım, peçeteleri katlarım, tuzu da ben getiririm” dedin; her biri ayrı bozukluk. Baban gülerek ödedi. Babaannen sofraya oturunca “Çatallar neden ters?” dedi; kimse parayı geri istemedi.</t>
        </is>
      </c>
      <c r="J117" s="6" t="inlineStr">
        <is>
          <t>Teklifin kabul edildi; parasız. Babaannen “Evin işi parayla mı olur?” dedi, sonra avucuna bir şeker koydu.</t>
        </is>
      </c>
      <c r="K117" s="6" t="inlineStr">
        <is>
          <t>“Ev işi yaparsam para verir misin?” dedin. Annen hemen bir liste yazdı: sofra, oyuncaklar, çorap eşleme, kedinin suyu. Akşama kadar çalıştın; parayı sorunca annen “Ay başında” dedi. Kaç ay başı geçti, sayamadın.</t>
        </is>
      </c>
      <c r="L117" s="6" t="inlineStr"/>
      <c r="M117" s="5" t="inlineStr"/>
      <c r="N117" s="5" t="inlineStr"/>
      <c r="O117" s="6" t="inlineStr"/>
      <c r="P117" s="6" t="inlineStr"/>
      <c r="Q117" s="5" t="inlineStr"/>
      <c r="R117" s="5" t="inlineStr"/>
      <c r="S117" s="5" t="inlineStr"/>
      <c r="T117" s="5" t="inlineStr">
        <is>
          <t>Sofra Müteahhidi</t>
        </is>
      </c>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c r="AI117" s="5" t="inlineStr"/>
      <c r="AJ117" s="5" t="inlineStr"/>
    </row>
    <row r="118">
      <c r="A118" s="5" t="inlineStr">
        <is>
          <t>harclik-pazarligi</t>
        </is>
      </c>
      <c r="B118" s="5" t="n">
        <v>4</v>
      </c>
      <c r="C118" s="6" t="inlineStr">
        <is>
          <t>Enflasyon farkı iste</t>
        </is>
      </c>
      <c r="D118" s="5" t="inlineStr">
        <is>
          <t>Akıl</t>
        </is>
      </c>
      <c r="E118" s="5" t="inlineStr">
        <is>
          <t>Orta</t>
        </is>
      </c>
      <c r="F118" s="5" t="inlineStr"/>
      <c r="G118" s="6" t="inlineStr"/>
      <c r="H118" s="6" t="inlineStr">
        <is>
          <t>“Geçen hafta simit daha ucuzdu” dedin. Baban annene baktı: “Bunu kim öğretiyor bu çocuğa?” Bir bozukluk zam geldi.</t>
        </is>
      </c>
      <c r="I118" s="6" t="inlineStr">
        <is>
          <t>“Geçen ay bu parayla iki sakız alıyordum, şimdi bir tane” dedin. Baban annene baktı, annen omuz silkti: “Haklı ama.” Harçlığın iki katına çıktı; baban o akşam haberleri sessize aldı.</t>
        </is>
      </c>
      <c r="J118" s="6" t="inlineStr">
        <is>
          <t>“Enflasyon” demeye çalıştın; “Enfilasyon” çıktı, sonra “Enflanyon”. Baban gülmekten harçlığı vermeyi unuttu; sen de hatırlatmayı.</t>
        </is>
      </c>
      <c r="K118" s="6" t="inlineStr">
        <is>
          <t>“Enflasyon farkı istiyorum” dedin. Baban kumandayı bıraktı: “Bir de bana sor!” Yarım saat kira, fatura ve babanın maaşı konuşuldu; sonunda baban harçlığından bir bozukluğu geri istedi.</t>
        </is>
      </c>
      <c r="L118" s="6" t="inlineStr"/>
      <c r="M118" s="5" t="inlineStr"/>
      <c r="N118" s="5" t="inlineStr"/>
      <c r="O118" s="6" t="inlineStr"/>
      <c r="P118" s="6" t="inlineStr"/>
      <c r="Q118" s="5" t="inlineStr">
        <is>
          <t>Kumbara Çocuğu</t>
        </is>
      </c>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c r="AI118" s="5" t="inlineStr"/>
      <c r="AJ118" s="5" t="inlineStr"/>
    </row>
    <row r="119">
      <c r="A119" s="5" t="inlineStr">
        <is>
          <t>okul-hazirligi</t>
        </is>
      </c>
      <c r="B119" s="5" t="n">
        <v>1</v>
      </c>
      <c r="C119" s="6" t="inlineStr">
        <is>
          <t>Harflerle ilgilen</t>
        </is>
      </c>
      <c r="D119" s="5" t="inlineStr">
        <is>
          <t>Akıl</t>
        </is>
      </c>
      <c r="E119" s="5" t="inlineStr">
        <is>
          <t>Kolay</t>
        </is>
      </c>
      <c r="F119" s="5" t="inlineStr"/>
      <c r="G119" s="6" t="inlineStr"/>
      <c r="H119" s="6" t="inlineStr">
        <is>
          <t>M oldu, A oldu. Annen kâğıdı buzdolabına astı. Buzdolabı artık senin sergin.</t>
        </is>
      </c>
      <c r="I119" s="6" t="inlineStr">
        <is>
          <t>Harfleri öğrendin ve markette etiketleri okumaya başladın. Fiyatlar seni endişelendirdi.</t>
        </is>
      </c>
      <c r="J119" s="6" t="inlineStr">
        <is>
          <t>Harflerle ilgilendin; harfler seninle ilgilenmedi.</t>
        </is>
      </c>
      <c r="K119" s="6" t="inlineStr">
        <is>
          <t>B ile D'yi karıştırdın; babaannene yazdığın kartta kocaman “DADAANNE” yazıyordu. Babaannen kartı vitrine koydu, gelen her misafire okuttu. Hâlâ okutuyor.</t>
        </is>
      </c>
      <c r="L119" s="6" t="inlineStr">
        <is>
          <t>Harf oldu ama biraz yamuk. Öğretmen yine de yıldız verdi.</t>
        </is>
      </c>
      <c r="M119" s="5" t="inlineStr">
        <is>
          <t>trace</t>
        </is>
      </c>
      <c r="N119" s="5" t="inlineStr">
        <is>
          <t>İlk Harf</t>
        </is>
      </c>
      <c r="O119" s="6" t="inlineStr">
        <is>
          <t>Parmağını kaldırmadan kesikli çizginin üstünden M harfini çiz.</t>
        </is>
      </c>
      <c r="P119" s="6" t="inlineStr"/>
      <c r="Q119" s="5" t="inlineStr"/>
      <c r="R119" s="5" t="inlineStr"/>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c r="AI119" s="5" t="inlineStr"/>
      <c r="AJ119" s="5" t="inlineStr"/>
    </row>
    <row r="120">
      <c r="A120" s="5" t="inlineStr">
        <is>
          <t>okul-hazirligi</t>
        </is>
      </c>
      <c r="B120" s="5" t="n">
        <v>2</v>
      </c>
      <c r="C120" s="6" t="inlineStr">
        <is>
          <t>Çantayı kendin hazırla</t>
        </is>
      </c>
      <c r="D120" s="5" t="inlineStr">
        <is>
          <t>Dayanıklılık</t>
        </is>
      </c>
      <c r="E120" s="5" t="inlineStr">
        <is>
          <t>Kolay</t>
        </is>
      </c>
      <c r="F120" s="5" t="inlineStr"/>
      <c r="G120" s="6" t="inlineStr"/>
      <c r="H120" s="6" t="inlineStr">
        <is>
          <t>Çantayı kendin hazırladın. Annen gece gizlice açıp bir yedek beslenme koydu. İkiniz de bilmiyormuş gibi yaptınız.</t>
        </is>
      </c>
      <c r="I120" s="6" t="inlineStr">
        <is>
          <t>Beslenme, kalem, yedek çorap; hepsi yerinde. Annen kontrol etti, ekleyecek bir şey bulamadı, biraz bozuldu. Sonra yine de bir kolonya sıkıştırdı.</t>
        </is>
      </c>
      <c r="J120" s="6" t="inlineStr">
        <is>
          <t>Çantayı hazırladın; içinde sadece oyuncak var.</t>
        </is>
      </c>
      <c r="K120" s="6" t="inlineStr">
        <is>
          <t>Çantaya her şeyi koydun: üç kitap, beş oyuncak, bir kavanoz bozukluk ve kedinin maması. Sırtına aldın, geriye doğru popo üstü oturdun. Baban fotoğrafını çekti; aile grubunda altında “Okula hazır” yazıyor.</t>
        </is>
      </c>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c r="AI120" s="5" t="inlineStr"/>
      <c r="AJ120" s="5" t="inlineStr"/>
    </row>
    <row r="121">
      <c r="A121" s="5" t="inlineStr">
        <is>
          <t>okul-hazirligi</t>
        </is>
      </c>
      <c r="B121" s="5" t="n">
        <v>3</v>
      </c>
      <c r="C121" s="6" t="inlineStr">
        <is>
          <t>Annene bırak</t>
        </is>
      </c>
      <c r="D121" s="5" t="inlineStr"/>
      <c r="E121" s="5" t="inlineStr"/>
      <c r="F121" s="5" t="inlineStr">
        <is>
          <t>Sosyal Radar +1</t>
        </is>
      </c>
      <c r="G121" s="6" t="inlineStr">
        <is>
          <t>Çantayı annen hazırladı. İçinde ne olduğunu ilk derste öğrendin: peçete, peçete, ıslak mendil. Kalem yoktu.</t>
        </is>
      </c>
      <c r="H121" s="6" t="inlineStr"/>
      <c r="I121" s="6" t="inlineStr"/>
      <c r="J121" s="6" t="inlineStr"/>
      <c r="K121" s="6" t="inlineStr"/>
      <c r="L121" s="6" t="inlineStr"/>
      <c r="M121" s="5" t="inlineStr"/>
      <c r="N121" s="5" t="inlineStr"/>
      <c r="O121" s="6" t="inlineStr"/>
      <c r="P121" s="6" t="inlineStr"/>
      <c r="Q121" s="5" t="inlineStr"/>
      <c r="R121" s="5" t="inlineStr"/>
      <c r="S121" s="5" t="inlineStr"/>
      <c r="T121" s="5" t="inlineStr"/>
      <c r="U121" s="5" t="inlineStr"/>
      <c r="V121" s="5" t="inlineStr"/>
      <c r="W121" s="5" t="inlineStr"/>
      <c r="X121" s="5" t="inlineStr"/>
      <c r="Y121" s="5" t="inlineStr"/>
      <c r="Z121" s="6" t="inlineStr"/>
      <c r="AA121" s="5" t="inlineStr"/>
      <c r="AB121" s="5" t="inlineStr"/>
      <c r="AC121" s="5" t="inlineStr"/>
      <c r="AD121" s="5" t="inlineStr"/>
      <c r="AE121" s="5" t="inlineStr"/>
      <c r="AF121" s="5" t="inlineStr"/>
      <c r="AG121" s="5" t="inlineStr"/>
      <c r="AH121" s="5" t="inlineStr"/>
      <c r="AI121" s="5" t="inlineStr"/>
      <c r="AJ121" s="5" t="inlineStr"/>
    </row>
    <row r="122">
      <c r="A122" s="5" t="inlineStr">
        <is>
          <t>okul-hazirligi</t>
        </is>
      </c>
      <c r="B122" s="5" t="n">
        <v>4</v>
      </c>
      <c r="C122" s="6" t="inlineStr">
        <is>
          <t>Harfleri tabletten bildiğini göster</t>
        </is>
      </c>
      <c r="D122" s="5" t="inlineStr">
        <is>
          <t>Akıl</t>
        </is>
      </c>
      <c r="E122" s="5" t="inlineStr">
        <is>
          <t>Orta</t>
        </is>
      </c>
      <c r="F122" s="5" t="inlineStr"/>
      <c r="G122" s="6" t="inlineStr"/>
      <c r="H122" s="6" t="inlineStr">
        <is>
          <t>Harfleri tabletteki bir oyundan öğrenmiştin. Öğretmen “Bunu kim öğretti?” diye sordu; “Bir uygulama” dedin.</t>
        </is>
      </c>
      <c r="I122" s="6" t="inlineStr">
        <is>
          <t>Harfleri sayıp döktün, sonra hepsini sıraya dizdin. Öğretmen defterine “tablet çocuğu” diye not düştü.</t>
        </is>
      </c>
      <c r="J122" s="6" t="inlineStr">
        <is>
          <t>Harfleri biliyordun ama sadece dokunmatik ekranda. Kâğıt dokunuşuna tepki vermedi.</t>
        </is>
      </c>
      <c r="K122" s="6" t="inlineStr">
        <is>
          <t>Deftere harf yazmak yerine sayfayı kaydırmaya çalıştın. Defter yırtıldı, harfler dağıldı.</t>
        </is>
      </c>
      <c r="L122" s="6" t="inlineStr"/>
      <c r="M122" s="5" t="inlineStr"/>
      <c r="N122" s="5" t="inlineStr"/>
      <c r="O122" s="6" t="inlineStr"/>
      <c r="P122" s="6" t="inlineStr"/>
      <c r="Q122" s="5" t="inlineStr"/>
      <c r="R122" s="5" t="inlineStr">
        <is>
          <t>ekran-cocugu</t>
        </is>
      </c>
      <c r="S122" s="5" t="inlineStr"/>
      <c r="T122" s="5" t="inlineStr"/>
      <c r="U122" s="5" t="inlineStr"/>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c r="AI122" s="5" t="inlineStr"/>
      <c r="AJ122" s="5" t="inlineStr"/>
    </row>
    <row r="123">
      <c r="A123" s="5" t="inlineStr">
        <is>
          <t>tepsiyle-kayak</t>
        </is>
      </c>
      <c r="B123" s="5" t="n">
        <v>1</v>
      </c>
      <c r="C123" s="6" t="inlineStr">
        <is>
          <t>Pencereden izle</t>
        </is>
      </c>
      <c r="D123" s="5" t="inlineStr"/>
      <c r="E123" s="5" t="inlineStr"/>
      <c r="F123" s="5" t="inlineStr">
        <is>
          <t>Akıl +1</t>
        </is>
      </c>
      <c r="G123" s="6" t="inlineStr">
        <is>
          <t>Pencereden izledin; burnun cama yapıştı, cam buğulandı. Annen arkandan bir bardak ıhlamur uzattı: “Benim aklı başında evladım.” Akşam mahallenin yarısı ıslak döndü; sen kuruydun.</t>
        </is>
      </c>
      <c r="H123" s="6" t="inlineStr"/>
      <c r="I123" s="6" t="inlineStr"/>
      <c r="J123" s="6" t="inlineStr"/>
      <c r="K123" s="6" t="inlineStr"/>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c r="AI123" s="5" t="inlineStr"/>
      <c r="AJ123" s="5" t="inlineStr"/>
    </row>
    <row r="124">
      <c r="A124" s="5" t="inlineStr">
        <is>
          <t>tepsiyle-kayak</t>
        </is>
      </c>
      <c r="B124" s="5" t="n">
        <v>2</v>
      </c>
      <c r="C124" s="6" t="inlineStr">
        <is>
          <t>Tepsiyle kay</t>
        </is>
      </c>
      <c r="D124" s="5" t="inlineStr">
        <is>
          <t>Cesaret</t>
        </is>
      </c>
      <c r="E124" s="5" t="inlineStr">
        <is>
          <t>Orta</t>
        </is>
      </c>
      <c r="F124" s="5" t="inlineStr"/>
      <c r="G124" s="6" t="inlineStr"/>
      <c r="H124" s="6" t="inlineStr">
        <is>
          <t>Yokuşu baştan sona kaydın. Mahalle seni alkışladı, annen seni aradı.</t>
        </is>
      </c>
      <c r="I124" s="6" t="inlineStr">
        <is>
          <t>Öyle bir kaydın ki yokuşun sonunda bir tur daha attın. Efsane doğdu.</t>
        </is>
      </c>
      <c r="J124" s="6" t="inlineStr">
        <is>
          <t>Tepsi döndü, sen döndün, yokuş dönmedi. Kar dolu bir kafayla eve vardın.</t>
        </is>
      </c>
      <c r="K124" s="6" t="inlineStr">
        <is>
          <t>Tepsi bir yöne, sen öbür yöne. Popo üstü bir kar yığınına gömüldün; dışarıda yalnızca botların kaldı. Kapıcı seni kardan söküp çıkardı. Annen balkondan önce “Tepsim!” diye bağırdı, sonra “İyi misin?” Sıra buydu.</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c r="AI124" s="5" t="inlineStr"/>
      <c r="AJ124" s="5" t="inlineStr"/>
    </row>
    <row r="125">
      <c r="A125" s="5" t="inlineStr">
        <is>
          <t>tepsiyle-kayak</t>
        </is>
      </c>
      <c r="B125" s="5" t="n">
        <v>3</v>
      </c>
      <c r="C125" s="6" t="inlineStr">
        <is>
          <t>Tepsi kiralama işi kur</t>
        </is>
      </c>
      <c r="D125" s="5" t="inlineStr">
        <is>
          <t>Kurnazlık</t>
        </is>
      </c>
      <c r="E125" s="5" t="inlineStr">
        <is>
          <t>Orta</t>
        </is>
      </c>
      <c r="F125" s="5" t="inlineStr"/>
      <c r="G125" s="6" t="inlineStr"/>
      <c r="H125" s="6" t="inlineStr">
        <is>
          <t>Evden üç tepsi indirdin; tur başına bir şeker. Akşama cebin şekerle doldu, mutfak tepsisiz kaldı; annen çayı tabakla taşıdı.</t>
        </is>
      </c>
      <c r="I125" s="6" t="inlineStr">
        <is>
          <t>Öğlene kadar mahallenin bütün tepsileri sende toplandı; kapıcı bile sıraya girdi. Akşam anneler kapı kapı tepsi aradı. Hepsi sizin balkondaydı.</t>
        </is>
      </c>
      <c r="J125" s="6" t="inlineStr">
        <is>
          <t>Tepsileri kiraladın; kimse geri getirmedi.</t>
        </is>
      </c>
      <c r="K125" s="6" t="inlineStr">
        <is>
          <t>Kiraladığın tepsilerden biri annenin baklava tepsisiymiş. Yokuşun dibinden ortası göçük döndü. O bayram baklava yine o tepsiden çıktı: ortası çukur, bütün şerbet ortada; her misafir sordu, annen her seferinde sana baktı.</t>
        </is>
      </c>
      <c r="L125" s="6" t="inlineStr"/>
      <c r="M125" s="5" t="inlineStr"/>
      <c r="N125" s="5" t="inlineStr"/>
      <c r="O125" s="6" t="inlineStr"/>
      <c r="P125" s="6" t="inlineStr"/>
      <c r="Q125" s="5" t="inlineStr"/>
      <c r="R125" s="5" t="inlineStr"/>
      <c r="S125" s="5" t="inlineStr"/>
      <c r="T125" s="5" t="inlineStr"/>
      <c r="U125" s="5" t="inlineStr">
        <is>
          <t>tepsiTekeli</t>
        </is>
      </c>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c r="AI125" s="5" t="inlineStr">
        <is>
          <t>Baklava Tepsisi</t>
        </is>
      </c>
      <c r="AJ125" s="5" t="inlineStr"/>
    </row>
    <row r="126">
      <c r="A126" s="5" t="inlineStr">
        <is>
          <t>tepsiyle-kayak</t>
        </is>
      </c>
      <c r="B126" s="5" t="n">
        <v>4</v>
      </c>
      <c r="C126" s="6" t="inlineStr">
        <is>
          <t>Kardan adam yap</t>
        </is>
      </c>
      <c r="D126" s="5" t="inlineStr">
        <is>
          <t>Dayanıklılık</t>
        </is>
      </c>
      <c r="E126" s="5" t="inlineStr">
        <is>
          <t>Kolay</t>
        </is>
      </c>
      <c r="F126" s="5" t="inlineStr"/>
      <c r="G126" s="6" t="inlineStr"/>
      <c r="H126" s="6" t="inlineStr">
        <is>
          <t>Sağlam bir kardan adam yaptın. Havuçlu, düğmeli, vakur.</t>
        </is>
      </c>
      <c r="I126" s="6" t="inlineStr">
        <is>
          <t>Kardan adamın o kadar iyi oldu ki mahalle muhtarı fotoğrafını çekti.</t>
        </is>
      </c>
      <c r="J126" s="6" t="inlineStr">
        <is>
          <t>Kardan adam yarıda eridi. Tam bir kardan yarım adam.</t>
        </is>
      </c>
      <c r="K126" s="6" t="inlineStr">
        <is>
          <t>Kardan adamın kafasını takarken elinden kaçtı; yokuştan aşağı yuvarlandı, tepsiyle kayan üç çocuğu kara gömdü. Kardan çıkan ilk cümle “Kim attı bunu?” oldu. Bütün yokuş sana baktı.</t>
        </is>
      </c>
      <c r="L126" s="6" t="inlineStr"/>
      <c r="M126" s="5" t="inlineStr"/>
      <c r="N126" s="5" t="inlineStr"/>
      <c r="O126" s="6" t="inlineStr"/>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c r="AI126" s="5" t="inlineStr"/>
      <c r="AJ126" s="5" t="inlineStr"/>
    </row>
    <row r="127">
      <c r="A127" s="5" t="inlineStr">
        <is>
          <t>ilkokul-kapisi</t>
        </is>
      </c>
      <c r="B127" s="5" t="n">
        <v>1</v>
      </c>
      <c r="C127" s="6" t="inlineStr">
        <is>
          <t>Cesurca gir</t>
        </is>
      </c>
      <c r="D127" s="5" t="inlineStr">
        <is>
          <t>Cesaret</t>
        </is>
      </c>
      <c r="E127" s="5" t="inlineStr">
        <is>
          <t>Orta</t>
        </is>
      </c>
      <c r="F127" s="5" t="inlineStr"/>
      <c r="G127" s="6" t="inlineStr"/>
      <c r="H127" s="6" t="inlineStr">
        <is>
          <t>İçeri girdin, boş bir sıra buldun, oturdun. Arkandan annen el salladı; sen görmedin, o gördü.</t>
        </is>
      </c>
      <c r="I127" s="6" t="inlineStr">
        <is>
          <t>İçeri girdin, öğretmene 'Günaydın' dedin, en öndeki sırayı aldın.</t>
        </is>
      </c>
      <c r="J127" s="6" t="inlineStr">
        <is>
          <t>Kapıda bir an durdun. Arkadaki kalabalık seni içeri itti.</t>
        </is>
      </c>
      <c r="K127" s="6" t="inlineStr">
        <is>
          <t>Cesurca girdin; öğretmenler odasına. Altı öğretmen çay bardaklarıyla sana döndü: “Kaçıncı sınıfsın kuzum?” “Birinci.” “Burası değil.” Bir öğretmen seni elinden tutup koridor boyunca sınıfına götürdü; bütün veliler kapıdan izledi.</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c r="AI127" s="5" t="inlineStr"/>
      <c r="AJ127" s="5" t="inlineStr"/>
    </row>
    <row r="128">
      <c r="A128" s="5" t="inlineStr">
        <is>
          <t>ilkokul-kapisi</t>
        </is>
      </c>
      <c r="B128" s="5" t="n">
        <v>2</v>
      </c>
      <c r="C128" s="6" t="inlineStr">
        <is>
          <t>Önce ortamı oku</t>
        </is>
      </c>
      <c r="D128" s="5" t="inlineStr">
        <is>
          <t>Sosyal Radar</t>
        </is>
      </c>
      <c r="E128" s="5" t="inlineStr">
        <is>
          <t>Orta</t>
        </is>
      </c>
      <c r="F128" s="5" t="inlineStr"/>
      <c r="G128" s="6" t="inlineStr"/>
      <c r="H128" s="6" t="inlineStr">
        <is>
          <t>Kimin ağladığını, kimin ağlamaya hazırlandığını ve kimin beslenmesinde çikolata olduğunu ilk on dakikada öğrendin. Çikolatalının yanına oturdun.</t>
        </is>
      </c>
      <c r="I128" s="6" t="inlineStr">
        <is>
          <t>Kimin lider, kimin sessiz dahi, kimin kantincinin yeğeni olduğunu ilk gün öğrendin.</t>
        </is>
      </c>
      <c r="J128" s="6" t="inlineStr">
        <is>
          <t>Kapıda durup herkesi süzdün. Sınıf doldu, sıralar bitti; sana öğretmen masasının dibindeki sıra kaldı.</t>
        </is>
      </c>
      <c r="K128" s="6" t="inlineStr">
        <is>
          <t>Ortamı okumaya öyle daldın ki herkes oturdu, sen ayakta kaldın. Öğretmen sordu: “Sen de veli misin?” İlk günün ilk kahkahası seninle başladı.</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c r="AI128" s="5" t="inlineStr"/>
      <c r="AJ128" s="5" t="inlineStr"/>
    </row>
    <row r="129">
      <c r="A129" s="5" t="inlineStr">
        <is>
          <t>ilkokul-kapisi</t>
        </is>
      </c>
      <c r="B129" s="5" t="n">
        <v>3</v>
      </c>
      <c r="C129" s="6" t="inlineStr">
        <is>
          <t>Sınıfı kendin bul</t>
        </is>
      </c>
      <c r="D129" s="5" t="inlineStr">
        <is>
          <t>Akıl</t>
        </is>
      </c>
      <c r="E129" s="5" t="inlineStr">
        <is>
          <t>Kolay</t>
        </is>
      </c>
      <c r="F129" s="5" t="inlineStr"/>
      <c r="G129" s="6" t="inlineStr"/>
      <c r="H129" s="6" t="inlineStr">
        <is>
          <t>Kapıdaki resmi hatırladın: kırmızı balon. İçeri girdin; öğretmen “İlk gelen sensin” dedi.</t>
        </is>
      </c>
      <c r="I129" s="6" t="inlineStr">
        <is>
          <t>İpucunu tek bakışta çözdün. Doğru sınıf, ilk sıra.</t>
        </is>
      </c>
      <c r="J129" s="6" t="inlineStr">
        <is>
          <t>Yanlış sınıfa girdin, sonra doğrusunu buldun.</t>
        </is>
      </c>
      <c r="K129" s="6" t="inlineStr">
        <is>
          <t>Yanlış sınıfa girdin, en öne oturdun. Herkes senden bir baş uzundu; dördüncü sınıftı. Öğretmen “Bu yıl erken başladın galiba” dedi; sınıf güldü, kapıda annen de.</t>
        </is>
      </c>
      <c r="L129" s="6" t="inlineStr">
        <is>
          <t>Doğru koridor, yanlış kapı; ama öğretmen seni yönlendirdi.</t>
        </is>
      </c>
      <c r="M129" s="5" t="inlineStr">
        <is>
          <t>hidden</t>
        </is>
      </c>
      <c r="N129" s="5" t="inlineStr">
        <is>
          <t>Doğru Sınıfı Bul</t>
        </is>
      </c>
      <c r="O129" s="6" t="inlineStr">
        <is>
          <t>Sınıfının çiçeğini (🌻) kapılar arasında bul.</t>
        </is>
      </c>
      <c r="P129" s="6" t="inlineStr">
        <is>
          <t>{"target": "🌻", "decoys": ["🌼", "🌷", "🌹", "🪻"]}</t>
        </is>
      </c>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c r="AI129" s="5" t="inlineStr"/>
      <c r="AJ129" s="5" t="inlineStr"/>
    </row>
    <row r="130">
      <c r="A130" s="5" t="inlineStr">
        <is>
          <t>ilk-ders</t>
        </is>
      </c>
      <c r="B130" s="5" t="n">
        <v>1</v>
      </c>
      <c r="C130" s="6" t="inlineStr">
        <is>
          <t>El kaldır</t>
        </is>
      </c>
      <c r="D130" s="5" t="inlineStr">
        <is>
          <t>Cesaret</t>
        </is>
      </c>
      <c r="E130" s="5" t="inlineStr">
        <is>
          <t>Kolay</t>
        </is>
      </c>
      <c r="F130" s="5" t="inlineStr"/>
      <c r="G130" s="6" t="inlineStr"/>
      <c r="H130" s="6" t="inlineStr">
        <is>
          <t>Tahtaya kalktın, adını kocaman yazdın. Öğretmen “Aferin” dedi. Akşam annene üç kez anlattın.</t>
        </is>
      </c>
      <c r="I130" s="6" t="inlineStr">
        <is>
          <t>Tahtaya çıktın ve koca bir cümle yazdın. Öğretmen defterine yıldız koydu.</t>
        </is>
      </c>
      <c r="J130" s="6" t="inlineStr">
        <is>
          <t>El kaldırdın; öğretmen başkasını seçti.</t>
        </is>
      </c>
      <c r="K130" s="6" t="inlineStr">
        <is>
          <t>Tahtaya kalktın, adını yazdın; harflerin yarısı ters. Arka sıradan biri yazdığını yüksek sesle okudu. Sınıf güldü, öğretmen de biraz.</t>
        </is>
      </c>
      <c r="L130" s="6" t="inlineStr"/>
      <c r="M130" s="5" t="inlineStr"/>
      <c r="N130" s="5" t="inlineStr"/>
      <c r="O130" s="6" t="inlineStr"/>
      <c r="P130" s="6" t="inlineStr"/>
      <c r="Q130" s="5" t="inlineStr"/>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c r="AI130" s="5" t="inlineStr"/>
      <c r="AJ130" s="5" t="inlineStr"/>
    </row>
    <row r="131">
      <c r="A131" s="5" t="inlineStr">
        <is>
          <t>ilk-ders</t>
        </is>
      </c>
      <c r="B131" s="5" t="n">
        <v>2</v>
      </c>
      <c r="C131" s="6" t="inlineStr">
        <is>
          <t>Sessizce defterine yaz</t>
        </is>
      </c>
      <c r="D131" s="5" t="inlineStr">
        <is>
          <t>Akıl</t>
        </is>
      </c>
      <c r="E131" s="5" t="inlineStr">
        <is>
          <t>Kolay</t>
        </is>
      </c>
      <c r="F131" s="5" t="inlineStr"/>
      <c r="G131" s="6" t="inlineStr"/>
      <c r="H131" s="6" t="inlineStr">
        <is>
          <t>Sessizce yaptın. Öğretmen defterini görünce kaşlarını kaldırdı.</t>
        </is>
      </c>
      <c r="I131" s="6" t="inlineStr">
        <is>
          <t>Öğretmen defterini havaya kaldırdı: “İşte böyle yazılır.” Akşam annen defteri komşu teyzeye gösterdi, komşu teyze de telefonla kendi torununa.</t>
        </is>
      </c>
      <c r="J131" s="6" t="inlineStr">
        <is>
          <t>Yazdın, sildin, yine yazdın. Sayfada harf kalmadı, delik kaldı.</t>
        </is>
      </c>
      <c r="K131" s="6" t="inlineStr">
        <is>
          <t>O kadar dikkatli yazdın ki defterin kaydığını fark etmedin; bütün harfler sıraya geçmiş. Öğretmen sıraya baktı: “Çok güzel olmuş. Şimdi sil.” Teneffüs boyunca sildin; bir “a” hâlâ orada.</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c r="AI131" s="5" t="inlineStr"/>
      <c r="AJ131" s="5" t="inlineStr"/>
    </row>
    <row r="132">
      <c r="A132" s="5" t="inlineStr">
        <is>
          <t>ilk-ders</t>
        </is>
      </c>
      <c r="B132" s="5" t="n">
        <v>3</v>
      </c>
      <c r="C132" s="6" t="inlineStr">
        <is>
          <t>Yanındakine yardım et</t>
        </is>
      </c>
      <c r="D132" s="5" t="inlineStr"/>
      <c r="E132" s="5" t="inlineStr"/>
      <c r="F132" s="5" t="inlineStr">
        <is>
          <t>Gönül +1</t>
        </is>
      </c>
      <c r="G132" s="6" t="inlineStr">
        <is>
          <t>Yanındaki çocuğun ters yazdığı “a”yı düzelttin. Teneffüste simidinin yarısını sana uzattı. İlk arkadaşın oldu.</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c r="AI132" s="5" t="inlineStr"/>
      <c r="AJ132" s="5" t="inlineStr"/>
    </row>
    <row r="133">
      <c r="A133" s="5" t="inlineStr">
        <is>
          <t>ilk-ders</t>
        </is>
      </c>
      <c r="B133" s="5" t="n">
        <v>4</v>
      </c>
      <c r="C133" s="6" t="inlineStr">
        <is>
          <t>Tabletten öğrendiklerini göster</t>
        </is>
      </c>
      <c r="D133" s="5" t="inlineStr">
        <is>
          <t>Akıl</t>
        </is>
      </c>
      <c r="E133" s="5" t="inlineStr">
        <is>
          <t>Kolay</t>
        </is>
      </c>
      <c r="F133" s="5" t="inlineStr"/>
      <c r="G133" s="6" t="inlineStr"/>
      <c r="H133" s="6" t="inlineStr">
        <is>
          <t>Harfleri bir oyundan öğrendiğini anlattın. Öğretmen not aldı.</t>
        </is>
      </c>
      <c r="I133" s="6" t="inlineStr">
        <is>
          <t>Sınıfa harf oyunu tanıttın. Öğretmen dersin yarısını sana bıraktı.</t>
        </is>
      </c>
      <c r="J133" s="6" t="inlineStr">
        <is>
          <t>Anlatırken oyunun adını hatırlayamadın.</t>
        </is>
      </c>
      <c r="K133" s="6" t="inlineStr">
        <is>
          <t>“Harfleri biliyorum!” dedin ve okumaya başladın; ağzından bir deterjan reklamının şarkısı çıktı. Sınıfın yarısı nakaratta sana katıldı. Öğretmen akşam annene “Tablet saatine bir bakalım” dedi.</t>
        </is>
      </c>
      <c r="L133" s="6" t="inlineStr"/>
      <c r="M133" s="5" t="inlineStr"/>
      <c r="N133" s="5" t="inlineStr"/>
      <c r="O133" s="6" t="inlineStr"/>
      <c r="P133" s="6" t="inlineStr"/>
      <c r="Q133" s="5" t="inlineStr">
        <is>
          <t>Şifreyi Bilen</t>
        </is>
      </c>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c r="AI133" s="5" t="inlineStr"/>
      <c r="AJ133" s="5" t="inlineStr"/>
    </row>
    <row r="134">
      <c r="A134" s="5" t="inlineStr">
        <is>
          <t>sira-arkadasi</t>
        </is>
      </c>
      <c r="B134" s="5" t="n">
        <v>1</v>
      </c>
      <c r="C134" s="6" t="inlineStr">
        <is>
          <t>Kendini tanıt</t>
        </is>
      </c>
      <c r="D134" s="5" t="inlineStr">
        <is>
          <t>Çene</t>
        </is>
      </c>
      <c r="E134" s="5" t="inlineStr">
        <is>
          <t>Kolay</t>
        </is>
      </c>
      <c r="F134" s="5" t="inlineStr"/>
      <c r="G134" s="6" t="inlineStr"/>
      <c r="H134" s="6" t="inlineStr">
        <is>
          <t>Adını söyledin, o da söyledi. Teneffüste senin kalemlerini de saymana izin verdi. Onun için büyük bir adım.</t>
        </is>
      </c>
      <c r="I134" s="6" t="inlineStr">
        <is>
          <t>Tanıştınız. İkinizin de silgisinin çilek koktuğu ortaya çıktı. Teneffüste beslenmeleri yarı yarıya böldünüz; öğretmen sizi ilk ay üç kez ayırmayı denedi.</t>
        </is>
      </c>
      <c r="J134" s="6" t="inlineStr">
        <is>
          <t>Tanıttın; o kalem saymaya devam etti.</t>
        </is>
      </c>
      <c r="K134" s="6" t="inlineStr">
        <is>
          <t>Heyecandan evdeki adını söyledin: “Ben Pamuk.” Öğretmen bile güldü. Bütün yıl Pamuk diye çağrıldın.</t>
        </is>
      </c>
      <c r="L134" s="6" t="inlineStr"/>
      <c r="M134" s="5" t="inlineStr"/>
      <c r="N134" s="5" t="inlineStr"/>
      <c r="O134" s="6" t="inlineStr"/>
      <c r="P134" s="6" t="inlineStr"/>
      <c r="Q134" s="5" t="inlineStr"/>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c r="AI134" s="5" t="inlineStr">
        <is>
          <t>Pamuk</t>
        </is>
      </c>
      <c r="AJ134" s="5" t="inlineStr"/>
    </row>
    <row r="135">
      <c r="A135" s="5" t="inlineStr">
        <is>
          <t>sira-arkadasi</t>
        </is>
      </c>
      <c r="B135" s="5" t="n">
        <v>2</v>
      </c>
      <c r="C135" s="6" t="inlineStr">
        <is>
          <t>Kalemlerini paylaş</t>
        </is>
      </c>
      <c r="D135" s="5" t="inlineStr"/>
      <c r="E135" s="5" t="inlineStr"/>
      <c r="F135" s="5" t="inlineStr">
        <is>
          <t>Gönül +1</t>
        </is>
      </c>
      <c r="G135" s="6" t="inlineStr">
        <is>
          <t>Kalemlerini ortaya koydun. İki kez saydı, sonra en sevdiğin yeşili aldı. Akşam annene “Arkadaşım oldu” dedin; yeşilden bahsetmedin.</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c r="AI135" s="5" t="inlineStr"/>
      <c r="AJ135" s="5" t="inlineStr"/>
    </row>
    <row r="136">
      <c r="A136" s="5" t="inlineStr">
        <is>
          <t>sira-arkadasi</t>
        </is>
      </c>
      <c r="B136" s="5" t="n">
        <v>3</v>
      </c>
      <c r="C136" s="6" t="inlineStr">
        <is>
          <t>Sıraya sınır çiz</t>
        </is>
      </c>
      <c r="D136" s="5" t="inlineStr">
        <is>
          <t>Cesaret</t>
        </is>
      </c>
      <c r="E136" s="5" t="inlineStr">
        <is>
          <t>Orta</t>
        </is>
      </c>
      <c r="F136" s="5" t="inlineStr"/>
      <c r="G136" s="6" t="inlineStr"/>
      <c r="H136" s="6" t="inlineStr">
        <is>
          <t>Sıranın ortasına silgini koydun: “Buradan öbür tarafı senin.” Kalemlerini saydı, kendi tarafına dizdi, başını salladı. Ertesi gün silgiyi o getirdi.</t>
        </is>
      </c>
      <c r="I136" s="6" t="inlineStr">
        <is>
          <t>Sıranın ortasına cetvelle bir çizgi çektin. O da çizginin üstüne küçük bir kapı çizdi. Silgi o kapıdan gidip geliyor.</t>
        </is>
      </c>
      <c r="J136" s="6" t="inlineStr">
        <is>
          <t>Sınırı çizdin; dirseği her gün sınırı ihlal etti.</t>
        </is>
      </c>
      <c r="K136" s="6" t="inlineStr">
        <is>
          <t>Sınırı kalemle sıraya çizdin, hem de kalın kalın. Öğretmen gördü; teneffüste sırayı ıslak bezle sen sildin. Sıra arkadaşın izledi.</t>
        </is>
      </c>
      <c r="L136" s="6" t="inlineStr"/>
      <c r="M136" s="5" t="inlineStr"/>
      <c r="N136" s="5" t="inlineStr"/>
      <c r="O136" s="6" t="inlineStr"/>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c r="AI136" s="5" t="inlineStr"/>
      <c r="AJ136" s="5" t="inlineStr"/>
    </row>
    <row r="137">
      <c r="A137" s="5" t="inlineStr">
        <is>
          <t>sira-arkadasi</t>
        </is>
      </c>
      <c r="B137" s="5" t="n">
        <v>4</v>
      </c>
      <c r="C137" s="6" t="inlineStr">
        <is>
          <t>Espriyle buzları kır</t>
        </is>
      </c>
      <c r="D137" s="5" t="inlineStr">
        <is>
          <t>Pişkinlik</t>
        </is>
      </c>
      <c r="E137" s="5" t="inlineStr">
        <is>
          <t>Kolay</t>
        </is>
      </c>
      <c r="F137" s="5" t="inlineStr"/>
      <c r="G137" s="6" t="inlineStr"/>
      <c r="H137" s="6" t="inlineStr">
        <is>
          <t>“Benim kalemler sayılınca utanıyor” dedin. Güldü, saymayı bıraktı. Teneffüste kendi kalemlerini de utandırmaya çalıştı.</t>
        </is>
      </c>
      <c r="I137" s="6" t="inlineStr">
        <is>
          <t>“Benim kalemler sayılınca utanıyor” dedin. Öyle güldü ki teneffüste bütün sınıfa, akşam da annesine anlattı. Ertesi sabah annesi seni okul kapısında durdurdu: “Kalemler utanıyormuş, öyle mi?”</t>
        </is>
      </c>
      <c r="J137" s="6" t="inlineStr">
        <is>
          <t>“Benim kalemler sayılınca utanıyor” dedin. Anlamadı; saymaya devam etti, bu kez daha yavaş.</t>
        </is>
      </c>
      <c r="K137" s="6" t="inlineStr">
        <is>
          <t>Espri yaparken sandalyeden düştün. Sıra arkadaşın güldü, sınıf güldü, öğretmen güldü. Espriyi hâlâ kimse bilmiyor.</t>
        </is>
      </c>
      <c r="L137" s="6" t="inlineStr"/>
      <c r="M137" s="5" t="inlineStr"/>
      <c r="N137" s="5" t="inlineStr"/>
      <c r="O137" s="6" t="inlineStr"/>
      <c r="P137" s="6" t="inlineStr"/>
      <c r="Q137" s="5" t="inlineStr">
        <is>
          <t>Kendine Gülebilir</t>
        </is>
      </c>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c r="AI137" s="5" t="inlineStr"/>
      <c r="AJ137" s="5" t="inlineStr"/>
    </row>
    <row r="138">
      <c r="A138" s="5" t="inlineStr">
        <is>
          <t>teneffus-kantini</t>
        </is>
      </c>
      <c r="B138" s="5" t="n">
        <v>1</v>
      </c>
      <c r="C138" s="6" t="inlineStr">
        <is>
          <t>Sırada bekle</t>
        </is>
      </c>
      <c r="D138" s="5" t="inlineStr"/>
      <c r="E138" s="5" t="inlineStr"/>
      <c r="F138" s="5" t="inlineStr">
        <is>
          <t>Dayanıklılık +1</t>
        </is>
      </c>
      <c r="G138" s="6" t="inlineStr">
        <is>
          <t>Sırada bekledin. Tam sıra sana gelince zil çaldı; kantinci tostu kâğıda sarıp uzattı: “Derste yeme, cebine koy.” Matematik dersi boyunca cebin sıcaktı.</t>
        </is>
      </c>
      <c r="H138" s="6" t="inlineStr"/>
      <c r="I138" s="6" t="inlineStr"/>
      <c r="J138" s="6" t="inlineStr"/>
      <c r="K138" s="6" t="inlineStr"/>
      <c r="L138" s="6" t="inlineStr"/>
      <c r="M138" s="5" t="inlineStr"/>
      <c r="N138" s="5" t="inlineStr"/>
      <c r="O138" s="6" t="inlineStr"/>
      <c r="P138" s="6" t="inlineStr"/>
      <c r="Q138" s="5" t="inlineStr"/>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c r="AI138" s="5" t="inlineStr"/>
      <c r="AJ138" s="5" t="inlineStr"/>
    </row>
    <row r="139">
      <c r="A139" s="5" t="inlineStr">
        <is>
          <t>teneffus-kantini</t>
        </is>
      </c>
      <c r="B139" s="5" t="n">
        <v>2</v>
      </c>
      <c r="C139" s="6" t="inlineStr">
        <is>
          <t>Öndeki arkadaşına sipariş verdir</t>
        </is>
      </c>
      <c r="D139" s="5" t="inlineStr">
        <is>
          <t>Çene</t>
        </is>
      </c>
      <c r="E139" s="5" t="inlineStr">
        <is>
          <t>Orta</t>
        </is>
      </c>
      <c r="F139" s="5" t="inlineStr"/>
      <c r="G139" s="6" t="inlineStr"/>
      <c r="H139" s="6" t="inlineStr">
        <is>
          <t>Sipariş zincirini kurdun, tost sana ulaştı.</t>
        </is>
      </c>
      <c r="I139" s="6" t="inlineStr">
        <is>
          <t>“İki kaşarlı, bir karışık, bir de bana” zincirini öyle kurdun ki dört tost aynı anda çıktı. Kantinci teyze göz kırptı: “Sen bu işi bilirsin.” Teneffüs bitmeden üçüncü sınıflar da sana sipariş vermeye geldi.</t>
        </is>
      </c>
      <c r="J139" s="6" t="inlineStr">
        <is>
          <t>Arkadaşın siparişi unuttu. Kendi tostunu yedi.</t>
        </is>
      </c>
      <c r="K139" s="6" t="inlineStr">
        <is>
          <t>Kantinci gördü: “Arkadan sipariş yok! İkiniz de en sona!” Sona vardığınızda zil çaldı. Arkadaşın matematik dersi boyunca sana küstü; acıkmıştı ve haklıydı.</t>
        </is>
      </c>
      <c r="L139" s="6" t="inlineStr">
        <is>
          <t>Siparişin yarısı doğru geldi. Tost geldi, ayran yerine su geldi.</t>
        </is>
      </c>
      <c r="M139" s="5" t="inlineStr">
        <is>
          <t>simon</t>
        </is>
      </c>
      <c r="N139" s="5" t="inlineStr">
        <is>
          <t>Siparişi Ezberle</t>
        </is>
      </c>
      <c r="O139" s="6" t="inlineStr">
        <is>
          <t>Arkadaşın siparişi bir kez söyleyecek. Aynı sırayla tekrar et.</t>
        </is>
      </c>
      <c r="P139" s="6" t="inlineStr"/>
      <c r="Q139" s="5" t="inlineStr"/>
      <c r="R139" s="5" t="inlineStr"/>
      <c r="S139" s="5" t="inlineStr"/>
      <c r="T139" s="5" t="inlineStr"/>
      <c r="U139" s="5" t="inlineStr"/>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c r="AI139" s="5" t="inlineStr"/>
      <c r="AJ139" s="5" t="inlineStr"/>
    </row>
    <row r="140">
      <c r="A140" s="5" t="inlineStr">
        <is>
          <t>teneffus-kantini</t>
        </is>
      </c>
      <c r="B140" s="5" t="n">
        <v>3</v>
      </c>
      <c r="C140" s="6" t="inlineStr">
        <is>
          <t>Kantinciye yardım et</t>
        </is>
      </c>
      <c r="D140" s="5" t="inlineStr">
        <is>
          <t>Dayanıklılık</t>
        </is>
      </c>
      <c r="E140" s="5" t="inlineStr">
        <is>
          <t>Orta</t>
        </is>
      </c>
      <c r="F140" s="5" t="inlineStr"/>
      <c r="G140" s="6" t="inlineStr"/>
      <c r="H140" s="6" t="inlineStr">
        <is>
          <t>Dökülen bozuklukları topladın. Kantinci seni sıranın önüne aldı.</t>
        </is>
      </c>
      <c r="I140" s="6" t="inlineStr">
        <is>
          <t>Yere saçılan bozuklukların hepsini zil çalmadan topladın, birini de tost makinesinin altından çıkardın. Kantinci seni herkesin önünde tezgâhın arkasına aldı: “Bu benim çırağım.” O yıl tostun hep çift kaşarlı geldi.</t>
        </is>
      </c>
      <c r="J140" s="6" t="inlineStr">
        <is>
          <t>Topladın ama zil çaldı. Yardım ettin, aç kaldın.</t>
        </is>
      </c>
      <c r="K140" s="6" t="inlineStr">
        <is>
          <t>Bozuklukları toplarken eğildin, kalkarken kafanla peynir kasesini devirdin. Kantinci tezgâhın arkasından seslendi: “Bugün kaşarlı yok, teşekkürler bu arkadaşınıza!” Bütün kuyruk sana döndü.</t>
        </is>
      </c>
      <c r="L140" s="6" t="inlineStr">
        <is>
          <t>Çoğunu topladın; kantinci teşekkür etti ama sıra aynı.</t>
        </is>
      </c>
      <c r="M140" s="5" t="inlineStr">
        <is>
          <t>collect</t>
        </is>
      </c>
      <c r="N140" s="5" t="inlineStr">
        <is>
          <t>Bozuklukları Topla</t>
        </is>
      </c>
      <c r="O140" s="6" t="inlineStr">
        <is>
          <t>Yere saçılan paraları zil çalmadan topla.</t>
        </is>
      </c>
      <c r="P140" s="6" t="inlineStr">
        <is>
          <t>{"piece": "🪙"}</t>
        </is>
      </c>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c r="AI140" s="5" t="inlineStr"/>
      <c r="AJ140" s="5" t="inlineStr"/>
    </row>
    <row r="141">
      <c r="A141" s="5" t="inlineStr">
        <is>
          <t>teneffus-kantini</t>
        </is>
      </c>
      <c r="B141" s="5" t="n">
        <v>4</v>
      </c>
      <c r="C141" s="6" t="inlineStr">
        <is>
          <t>Kantincinin hesap hatasını düzelt</t>
        </is>
      </c>
      <c r="D141" s="5" t="inlineStr">
        <is>
          <t>Kurnazlık</t>
        </is>
      </c>
      <c r="E141" s="5" t="inlineStr">
        <is>
          <t>Kolay</t>
        </is>
      </c>
      <c r="F141" s="5" t="inlineStr"/>
      <c r="G141" s="6" t="inlineStr"/>
      <c r="H141" s="6" t="inlineStr">
        <is>
          <t>Kantincinin hesabındaki hatayı buldun. Sana 'Muhasebeci' lakabı takıldı.</t>
        </is>
      </c>
      <c r="I141" s="6" t="inlineStr">
        <is>
          <t>Kantinci teyzenin para üstünü yanlış verdiğini fark ettin; kendi aleyhine, bir bozukluk eksik. Söyledin. Teyze tamamladı, avucuna bir çikolata koydu: “Bu çocuk kantini batırmaz.”</t>
        </is>
      </c>
      <c r="J141" s="6" t="inlineStr">
        <is>
          <t>Hatayı söyledin; kantinci 'Sen önce toplama öğren' dedi.</t>
        </is>
      </c>
      <c r="K141" s="6" t="inlineStr">
        <is>
          <t>Hatayı söyledin; hata yokmuş. Kuyruk seni izledi.</t>
        </is>
      </c>
      <c r="L141" s="6" t="inlineStr"/>
      <c r="M141" s="5" t="inlineStr"/>
      <c r="N141" s="5" t="inlineStr"/>
      <c r="O141" s="6" t="inlineStr"/>
      <c r="P141" s="6" t="inlineStr"/>
      <c r="Q141" s="5" t="inlineStr">
        <is>
          <t>Para Üstü Radarı</t>
        </is>
      </c>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c r="AI141" s="5" t="inlineStr"/>
      <c r="AJ141" s="5" t="inlineStr"/>
    </row>
    <row r="142">
      <c r="A142" s="5" t="inlineStr">
        <is>
          <t>teneffus-kantini</t>
        </is>
      </c>
      <c r="B142" s="5" t="n">
        <v>5</v>
      </c>
      <c r="C142" s="6" t="inlineStr">
        <is>
          <t>Bir paket sakız al, sınıfta tek tek sat</t>
        </is>
      </c>
      <c r="D142" s="5" t="inlineStr">
        <is>
          <t>Kurnazlık</t>
        </is>
      </c>
      <c r="E142" s="5" t="inlineStr">
        <is>
          <t>Orta</t>
        </is>
      </c>
      <c r="F142" s="5" t="inlineStr"/>
      <c r="G142" s="6" t="inlineStr"/>
      <c r="H142" s="6" t="inlineStr">
        <is>
          <t>Bir paket sakız aldın, teneffüs bitmeden tanesini bir çıkartmaya sattın. Akşam çantandan yirmi çıkartma çıktı; annen nereden geldiklerini hâlâ soruyor.</t>
        </is>
      </c>
      <c r="I142" s="6" t="inlineStr">
        <is>
          <t>Sakızlar ilk teneffüste bitti, ertesi gün yan sınıftan sipariş geldi. Kantinci seni görünce “Küçük rakip geldi” diye gülüyor.</t>
        </is>
      </c>
      <c r="J142" s="6" t="inlineStr">
        <is>
          <t>Sakızları aldın; sınıfta herkesin cebinde zaten sakız vardı. Akşama kadar on sakız çiğnedin. Çenen ağrıdı.</t>
        </is>
      </c>
      <c r="K142" s="6" t="inlineStr">
        <is>
          <t>Kantinci öğretmene “Benim müşterimi elimden alıyor” dedi. Öğretmen sakızları topladı ve sınıfa dağıttı. Bedava.</t>
        </is>
      </c>
      <c r="L142" s="6" t="inlineStr"/>
      <c r="M142" s="5" t="inlineStr"/>
      <c r="N142" s="5" t="inlineStr"/>
      <c r="O142" s="6" t="inlineStr"/>
      <c r="P142" s="6" t="inlineStr"/>
      <c r="Q142" s="5" t="inlineStr"/>
      <c r="R142" s="5" t="inlineStr"/>
      <c r="S142" s="5" t="inlineStr"/>
      <c r="T142" s="5" t="inlineStr"/>
      <c r="U142" s="5" t="inlineStr">
        <is>
          <t>teneffus-tuccari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c r="AI142" s="5" t="inlineStr"/>
      <c r="AJ142" s="5" t="inlineStr"/>
    </row>
    <row r="143">
      <c r="A143" s="5" t="inlineStr">
        <is>
          <t>odev-nerede</t>
        </is>
      </c>
      <c r="B143" s="5" t="n">
        <v>1</v>
      </c>
      <c r="C143" s="6" t="inlineStr">
        <is>
          <t>Doğruyu söyle</t>
        </is>
      </c>
      <c r="D143" s="5" t="inlineStr"/>
      <c r="E143" s="5" t="inlineStr"/>
      <c r="F143" s="5" t="inlineStr">
        <is>
          <t>İtibar +2</t>
        </is>
      </c>
      <c r="G143" s="6" t="inlineStr">
        <is>
          <t>“Yapmadım öğretmenim” dedin. Öğretmen gözlüğünün üstünden baktı, ödev defterine yazdı: “Dürüst ama tembel.” Akşam annen imzayı atarken “dürüst” kelimesinin altını çizdi.</t>
        </is>
      </c>
      <c r="H143" s="6" t="inlineStr"/>
      <c r="I143" s="6" t="inlineStr"/>
      <c r="J143" s="6" t="inlineStr"/>
      <c r="K143" s="6" t="inlineStr"/>
      <c r="L143" s="6" t="inlineStr"/>
      <c r="M143" s="5" t="inlineStr"/>
      <c r="N143" s="5" t="inlineStr"/>
      <c r="O143" s="6" t="inlineStr"/>
      <c r="P143" s="6" t="inlineStr"/>
      <c r="Q143" s="5" t="inlineStr"/>
      <c r="R143" s="5" t="inlineStr"/>
      <c r="S143" s="5" t="inlineStr"/>
      <c r="T143" s="5" t="inlineStr"/>
      <c r="U143" s="5" t="inlineStr"/>
      <c r="V143" s="5" t="inlineStr"/>
      <c r="W143" s="5" t="inlineStr"/>
      <c r="X143" s="5" t="inlineStr"/>
      <c r="Y143" s="5" t="inlineStr"/>
      <c r="Z143" s="6" t="inlineStr"/>
      <c r="AA143" s="5" t="inlineStr"/>
      <c r="AB143" s="5" t="inlineStr"/>
      <c r="AC143" s="5" t="inlineStr"/>
      <c r="AD143" s="5" t="inlineStr"/>
      <c r="AE143" s="5" t="inlineStr"/>
      <c r="AF143" s="5" t="inlineStr"/>
      <c r="AG143" s="5" t="inlineStr"/>
      <c r="AH143" s="5" t="inlineStr"/>
      <c r="AI143" s="5" t="inlineStr"/>
      <c r="AJ143" s="5" t="inlineStr"/>
    </row>
    <row r="144">
      <c r="A144" s="5" t="inlineStr">
        <is>
          <t>odev-nerede</t>
        </is>
      </c>
      <c r="B144" s="5" t="n">
        <v>2</v>
      </c>
      <c r="C144" s="6" t="inlineStr">
        <is>
          <t>Teneffüste yetiştir</t>
        </is>
      </c>
      <c r="D144" s="5" t="inlineStr">
        <is>
          <t>Akıl</t>
        </is>
      </c>
      <c r="E144" s="5" t="inlineStr">
        <is>
          <t>Orta</t>
        </is>
      </c>
      <c r="F144" s="5" t="inlineStr"/>
      <c r="G144" s="6" t="inlineStr"/>
      <c r="H144" s="6" t="inlineStr">
        <is>
          <t>On dakikada bir sayfa “e” yazdın; harfler teneffüste koşturmuş gibi. Öğretmen defteri çevirdi, bir daha çevirdi: “Bunu otobüste mi yazdın?” Ama yıldızı koydu.</t>
        </is>
      </c>
      <c r="I144" s="6" t="inlineStr">
        <is>
          <t>Teneffüste bitirdin; öğretmen 'En temiz ödev bu' dedi. Kimse sormadı.</t>
        </is>
      </c>
      <c r="J144" s="6" t="inlineStr">
        <is>
          <t>Yetiştiremedin; ödevin yarısını verdin. Öğretmen yarım ödevin altına yarım yıldız çizdi.</t>
        </is>
      </c>
      <c r="K144" s="6" t="inlineStr">
        <is>
          <t>Teneffüs boyunca yazdın, zil çaldı. Son satıra “Devamı yarın” yazdın. Öğretmen altına kırmızıyla ekledi: “Annen de yarın gelsin.”</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c r="AI144" s="5" t="inlineStr"/>
      <c r="AJ144" s="5" t="inlineStr"/>
    </row>
    <row r="145">
      <c r="A145" s="5" t="inlineStr">
        <is>
          <t>odev-nerede</t>
        </is>
      </c>
      <c r="B145" s="5" t="n">
        <v>3</v>
      </c>
      <c r="C145" s="6" t="inlineStr">
        <is>
          <t>'Köpek yedi' de</t>
        </is>
      </c>
      <c r="D145" s="5" t="inlineStr">
        <is>
          <t>Pişkinlik</t>
        </is>
      </c>
      <c r="E145" s="5" t="inlineStr">
        <is>
          <t>Zor</t>
        </is>
      </c>
      <c r="F145" s="5" t="inlineStr"/>
      <c r="G145" s="6" t="inlineStr"/>
      <c r="H145" s="6" t="inlineStr">
        <is>
          <t>Öğretmen güldü ve bir gün ek süre verdi.</t>
        </is>
      </c>
      <c r="I145" s="6" t="inlineStr">
        <is>
          <t>Öyle anlattın ki öğretmen köpeğin sağlığını sordu, sınıf da ona geçmiş olsun kartı yaptı. Kart hâlâ buzdolabında. Köpek hâlâ yok.</t>
        </is>
      </c>
      <c r="J145" s="6" t="inlineStr">
        <is>
          <t>'Sizin köpeğiniz yok ki' dedi öğretmen.</t>
        </is>
      </c>
      <c r="K145" s="6" t="inlineStr">
        <is>
          <t>Köpeğin adını bile uydurdun: Karabaş. Öğretmen akşam anneni arayıp Karabaş'ın sağlığını sordu; annen “Hangi Karabaş?” dedi. Ertesi sabah sınıfa girdiğinde tahtada kocaman bir köpek resmi vardı, altında senin adın.</t>
        </is>
      </c>
      <c r="L145" s="6" t="inlineStr"/>
      <c r="M145" s="5" t="inlineStr"/>
      <c r="N145" s="5" t="inlineStr"/>
      <c r="O145" s="6" t="inlineStr"/>
      <c r="P145" s="6" t="inlineStr"/>
      <c r="Q145" s="5" t="inlineStr"/>
      <c r="R145" s="5" t="inlineStr"/>
      <c r="S145" s="5" t="inlineStr"/>
      <c r="T145" s="5" t="inlineStr"/>
      <c r="U145" s="5" t="inlineStr">
        <is>
          <t>yalanci</t>
        </is>
      </c>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c r="AI145" s="5" t="inlineStr">
        <is>
          <t>Karabaş</t>
        </is>
      </c>
      <c r="AJ145" s="5" t="inlineStr"/>
    </row>
    <row r="146">
      <c r="A146" s="5" t="inlineStr">
        <is>
          <t>sinif-baskani</t>
        </is>
      </c>
      <c r="B146" s="5" t="n">
        <v>1</v>
      </c>
      <c r="C146" s="6" t="inlineStr">
        <is>
          <t>Aday ol</t>
        </is>
      </c>
      <c r="D146" s="5" t="inlineStr">
        <is>
          <t>Cesaret</t>
        </is>
      </c>
      <c r="E146" s="5" t="inlineStr">
        <is>
          <t>Zor</t>
        </is>
      </c>
      <c r="F146" s="5" t="inlineStr"/>
      <c r="G146" s="6" t="inlineStr"/>
      <c r="H146" s="6" t="inlineStr">
        <is>
          <t>Seçildin. Öğretmen çıkınca tahtaya konuşanları yazma yetkisi artık sende. Sınıf hiç bu kadar sessiz olmamıştı.</t>
        </is>
      </c>
      <c r="I146" s="6" t="inlineStr">
        <is>
          <t>Oyların çoğunu aldın. Rakibin ağlayarak tebrik etti, öğretmen de onu yardımcın yaptı. Akşam baban kapıda “Buyurun başkanım” deyip terliklerini önüne koydu.</t>
        </is>
      </c>
      <c r="J146" s="6" t="inlineStr">
        <is>
          <t>Aday oldun; iki oy aldın. Biri senin, biri sıra arkadaşının.</t>
        </is>
      </c>
      <c r="K146" s="6" t="inlineStr">
        <is>
          <t>Konuşmanda “Başkan olursam herkese her gün dondurma!” dedin. Sınıf ayağa kalktı. Öğretmen sordu: “Dondurmayı kim alacak?” “Annem” dedin. Annen ertesi gün okula geldi, ama dondurmayla değil.</t>
        </is>
      </c>
      <c r="L146" s="6" t="inlineStr"/>
      <c r="M146" s="5" t="inlineStr"/>
      <c r="N146" s="5" t="inlineStr"/>
      <c r="O146" s="6" t="inlineStr"/>
      <c r="P146" s="6" t="inlineStr"/>
      <c r="Q146" s="5" t="inlineStr"/>
      <c r="R146" s="5" t="inlineStr"/>
      <c r="S146" s="5" t="inlineStr"/>
      <c r="T146" s="5" t="inlineStr">
        <is>
          <t>Teneffüs Başkanı</t>
        </is>
      </c>
      <c r="U146" s="5" t="inlineStr"/>
      <c r="V146" s="5" t="inlineStr">
        <is>
          <t>baskan</t>
        </is>
      </c>
      <c r="W146" s="5" t="inlineStr"/>
      <c r="X146" s="5" t="inlineStr"/>
      <c r="Y146" s="5" t="inlineStr"/>
      <c r="Z146" s="6" t="inlineStr"/>
      <c r="AA146" s="5" t="inlineStr"/>
      <c r="AB146" s="5" t="inlineStr"/>
      <c r="AC146" s="5" t="inlineStr"/>
      <c r="AD146" s="5" t="inlineStr"/>
      <c r="AE146" s="5" t="inlineStr"/>
      <c r="AF146" s="5" t="inlineStr"/>
      <c r="AG146" s="5" t="inlineStr"/>
      <c r="AH146" s="5" t="inlineStr"/>
      <c r="AI146" s="5" t="inlineStr"/>
      <c r="AJ146" s="5" t="inlineStr"/>
    </row>
    <row r="147">
      <c r="A147" s="5" t="inlineStr">
        <is>
          <t>sinif-baskani</t>
        </is>
      </c>
      <c r="B147" s="5" t="n">
        <v>2</v>
      </c>
      <c r="C147" s="6" t="inlineStr">
        <is>
          <t>Arkadaşının kampanyasını yönet</t>
        </is>
      </c>
      <c r="D147" s="5" t="inlineStr">
        <is>
          <t>Sosyal Radar</t>
        </is>
      </c>
      <c r="E147" s="5" t="inlineStr">
        <is>
          <t>Orta</t>
        </is>
      </c>
      <c r="F147" s="5" t="inlineStr"/>
      <c r="G147" s="6" t="inlineStr"/>
      <c r="H147" s="6" t="inlineStr">
        <is>
          <t>Adayın kazandı. Teneffüste herkes ona sarıldı, sana “Sağ ol” dedi. Başkan o; akvaryum gelirse balıklara sen bakacaksın.</t>
        </is>
      </c>
      <c r="I147" s="6" t="inlineStr">
        <is>
          <t>Adayın açık farkla kazandı; afişleri sen yazmıştın, sloganı sen bulmuştun. Başkan her karardan önce sıraya eğilip soruyor: “Sence?”</t>
        </is>
      </c>
      <c r="J147" s="6" t="inlineStr">
        <is>
          <t>Adayın kaybetti. Teneffüste ikiniz merdivene oturup oyları yeniden saydınız. Yine kaybetmişti.</t>
        </is>
      </c>
      <c r="K147" s="6" t="inlineStr">
        <is>
          <t>Adayın kaybetti ve ağlayarak öğretmene koştu: “Afişleri o yazdı!” Afişlerde “Başkan” yerine “Başkam” yazıyordu. Hepsini sen yazmıştın.</t>
        </is>
      </c>
      <c r="L147" s="6" t="inlineStr"/>
      <c r="M147" s="5" t="inlineStr"/>
      <c r="N147" s="5" t="inlineStr"/>
      <c r="O147" s="6" t="inlineStr"/>
      <c r="P147" s="6" t="inlineStr"/>
      <c r="Q147" s="5" t="inlineStr"/>
      <c r="R147" s="5" t="inlineStr"/>
      <c r="S147" s="5" t="inlineStr"/>
      <c r="T147" s="5" t="inlineStr"/>
      <c r="U147" s="5" t="inlineStr"/>
      <c r="V147" s="5" t="inlineStr"/>
      <c r="W147" s="5" t="inlineStr"/>
      <c r="X147" s="5" t="inlineStr"/>
      <c r="Y147" s="5" t="inlineStr"/>
      <c r="Z147" s="6" t="inlineStr"/>
      <c r="AA147" s="5" t="inlineStr"/>
      <c r="AB147" s="5" t="inlineStr"/>
      <c r="AC147" s="5" t="inlineStr"/>
      <c r="AD147" s="5" t="inlineStr"/>
      <c r="AE147" s="5" t="inlineStr"/>
      <c r="AF147" s="5" t="inlineStr"/>
      <c r="AG147" s="5" t="inlineStr"/>
      <c r="AH147" s="5" t="inlineStr"/>
      <c r="AI147" s="5" t="inlineStr"/>
      <c r="AJ147" s="5" t="inlineStr"/>
    </row>
    <row r="148">
      <c r="A148" s="5" t="inlineStr">
        <is>
          <t>sinif-baskani</t>
        </is>
      </c>
      <c r="B148" s="5" t="n">
        <v>3</v>
      </c>
      <c r="C148" s="6" t="inlineStr">
        <is>
          <t>Oy ver, geç</t>
        </is>
      </c>
      <c r="D148" s="5" t="inlineStr"/>
      <c r="E148" s="5" t="inlineStr"/>
      <c r="F148" s="5" t="inlineStr">
        <is>
          <t>İtibar +1</t>
        </is>
      </c>
      <c r="G148" s="6" t="inlineStr">
        <is>
          <t>Demokrasiye katkıda bulundun. Akvaryum gelmedi.</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c r="AI148" s="5" t="inlineStr"/>
      <c r="AJ148" s="5" t="inlineStr"/>
    </row>
    <row r="149">
      <c r="A149" s="5" t="inlineStr">
        <is>
          <t>sinif-baskani</t>
        </is>
      </c>
      <c r="B149" s="5" t="n">
        <v>4</v>
      </c>
      <c r="C149" s="6" t="inlineStr">
        <is>
          <t>Seçim kurulunu kur</t>
        </is>
      </c>
      <c r="D149" s="5" t="inlineStr">
        <is>
          <t>İtibar</t>
        </is>
      </c>
      <c r="E149" s="5" t="inlineStr">
        <is>
          <t>Kolay</t>
        </is>
      </c>
      <c r="F149" s="5" t="inlineStr"/>
      <c r="G149" s="6" t="inlineStr"/>
      <c r="H149" s="6" t="inlineStr">
        <is>
          <t>Sandığı sen kurdun, oyları sen saydın. Kim kazanırsa kazansın, sonucu herkes senden duydu.</t>
        </is>
      </c>
      <c r="I149" s="6" t="inlineStr">
        <is>
          <t>Ayakkabı kutusundan sandık yaptın, üstüne yarık açtın, oyları tek tek yüksek sesle okudun. Öğretmen “Bu çocuk bizden düzgün sayıyor” dedi; müdür sandığı yıl sonu sergisine istedi.</t>
        </is>
      </c>
      <c r="J149" s="6" t="inlineStr">
        <is>
          <t>Kurul kuruldu; kimse seni dinlemedi.</t>
        </is>
      </c>
      <c r="K149" s="6" t="inlineStr">
        <is>
          <t>Heyecandan bir pusulayı iki kez okudun. Kaybeden aday parmağıyla saydı: “Yirmi sekiz kişiyiz, yirmi dokuz oy var!” Seçim yenilendi; sayımı bu kez öğretmen yaptı, sen kenardan izledin.</t>
        </is>
      </c>
      <c r="L149" s="6" t="inlineStr"/>
      <c r="M149" s="5" t="inlineStr"/>
      <c r="N149" s="5" t="inlineStr"/>
      <c r="O149" s="6" t="inlineStr"/>
      <c r="P149" s="6" t="inlineStr"/>
      <c r="Q149" s="5" t="inlineStr">
        <is>
          <t>Kuralı Koyan</t>
        </is>
      </c>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c r="AI149" s="5" t="inlineStr"/>
      <c r="AJ149" s="5" t="inlineStr"/>
    </row>
    <row r="150">
      <c r="A150" s="5" t="inlineStr">
        <is>
          <t>sinif-baskani</t>
        </is>
      </c>
      <c r="B150" s="5" t="n">
        <v>5</v>
      </c>
      <c r="C150" s="6" t="inlineStr">
        <is>
          <t>Seçim konuşması yap</t>
        </is>
      </c>
      <c r="D150" s="5" t="inlineStr">
        <is>
          <t>Pişkinlik</t>
        </is>
      </c>
      <c r="E150" s="5" t="inlineStr">
        <is>
          <t>Orta</t>
        </is>
      </c>
      <c r="F150" s="5" t="inlineStr"/>
      <c r="G150" s="6" t="inlineStr"/>
      <c r="H150" s="6" t="inlineStr">
        <is>
          <t>Konuşmanı yaptın; sınıf ayakta alkışladı.</t>
        </is>
      </c>
      <c r="I150" s="6" t="inlineStr">
        <is>
          <t>Konuşmanı “Teneffüs uzayacak, ödev azalacak, akvaryuma da ben bakacağım!” diye bitirdin. Akvaryum vaat eden aday elini indirdi: “Ben de ona veriyorum.”</t>
        </is>
      </c>
      <c r="J150" s="6" t="inlineStr">
        <is>
          <t>Konuşman uzun sürdü; teneffüs zili yarıda kesti.</t>
        </is>
      </c>
      <c r="K150" s="6" t="inlineStr">
        <is>
          <t>Konuşmanın ortasında ne diyeceğini unuttun. Kırk saniye sustun; arka sıradan biri “Akvaryum!” diye fısıldadı. “Akvaryum!” dedin. Rakibinin vaadini sen okumuş oldun.</t>
        </is>
      </c>
      <c r="L150" s="6" t="inlineStr"/>
      <c r="M150" s="5" t="inlineStr"/>
      <c r="N150" s="5" t="inlineStr"/>
      <c r="O150" s="6" t="inlineStr"/>
      <c r="P150" s="6" t="inlineStr"/>
      <c r="Q150" s="5" t="inlineStr">
        <is>
          <t>Sahne Sever</t>
        </is>
      </c>
      <c r="R150" s="5" t="inlineStr"/>
      <c r="S150" s="5" t="inlineStr"/>
      <c r="T150" s="5" t="inlineStr"/>
      <c r="U150" s="5" t="inlineStr"/>
      <c r="V150" s="5" t="inlineStr">
        <is>
          <t>baskan</t>
        </is>
      </c>
      <c r="W150" s="5" t="inlineStr"/>
      <c r="X150" s="5" t="inlineStr"/>
      <c r="Y150" s="5" t="inlineStr"/>
      <c r="Z150" s="6" t="inlineStr"/>
      <c r="AA150" s="5" t="inlineStr"/>
      <c r="AB150" s="5" t="inlineStr"/>
      <c r="AC150" s="5" t="inlineStr"/>
      <c r="AD150" s="5" t="inlineStr"/>
      <c r="AE150" s="5" t="inlineStr"/>
      <c r="AF150" s="5" t="inlineStr"/>
      <c r="AG150" s="5" t="inlineStr"/>
      <c r="AH150" s="5" t="inlineStr"/>
      <c r="AI150" s="5" t="inlineStr"/>
      <c r="AJ150" s="5" t="inlineStr"/>
    </row>
    <row r="151">
      <c r="A151" s="5" t="inlineStr">
        <is>
          <t>davetiyeler</t>
        </is>
      </c>
      <c r="B151" s="5" t="n">
        <v>1</v>
      </c>
      <c r="C151" s="6" t="inlineStr">
        <is>
          <t>Umursama</t>
        </is>
      </c>
      <c r="D151" s="5" t="inlineStr"/>
      <c r="E151" s="5" t="inlineStr"/>
      <c r="F151" s="5" t="inlineStr">
        <is>
          <t>Dayanıklılık +1</t>
        </is>
      </c>
      <c r="G151" s="6" t="inlineStr">
        <is>
          <t>Umursamadın. En azından öyle görünmeye çalıştın. Akşam annen hiçbir şey sormadan kek yaptı.</t>
        </is>
      </c>
      <c r="H151" s="6" t="inlineStr"/>
      <c r="I151" s="6" t="inlineStr"/>
      <c r="J151" s="6" t="inlineStr"/>
      <c r="K151" s="6" t="inlineStr"/>
      <c r="L151" s="6" t="inlineStr"/>
      <c r="M151" s="5" t="inlineStr"/>
      <c r="N151" s="5" t="inlineStr"/>
      <c r="O151" s="6" t="inlineStr"/>
      <c r="P151" s="6" t="inlineStr"/>
      <c r="Q151" s="5" t="inlineStr"/>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c r="AI151" s="5" t="inlineStr"/>
      <c r="AJ151" s="5" t="inlineStr"/>
    </row>
    <row r="152">
      <c r="A152" s="5" t="inlineStr">
        <is>
          <t>davetiyeler</t>
        </is>
      </c>
      <c r="B152" s="5" t="n">
        <v>2</v>
      </c>
      <c r="C152" s="6" t="inlineStr">
        <is>
          <t>Nedenini sor</t>
        </is>
      </c>
      <c r="D152" s="5" t="inlineStr">
        <is>
          <t>Cesaret</t>
        </is>
      </c>
      <c r="E152" s="5" t="inlineStr">
        <is>
          <t>Orta</t>
        </is>
      </c>
      <c r="F152" s="5" t="inlineStr"/>
      <c r="G152" s="6" t="inlineStr"/>
      <c r="H152" s="6" t="inlineStr">
        <is>
          <t>Sordun; davetiyen çantada unutulmuş.</t>
        </is>
      </c>
      <c r="I152" s="6" t="inlineStr">
        <is>
          <t>Sordun. Seninkini kendisi çizecekmiş, o yüzden gecikmiş. Ertesi gün getirdi: el ele iki çöp adam ve bir pasta. Annen davetiyeyi çerçeveletti.</t>
        </is>
      </c>
      <c r="J152" s="6" t="inlineStr">
        <is>
          <t>Sordun; cevap 'yer kalmadı' oldu.</t>
        </is>
      </c>
      <c r="K152" s="6" t="inlineStr">
        <is>
          <t>Heyecandan “Benim davetiyem nerede?” yerine “Benim doğum günüm nerede?” dedin. Bütün sınıf sana doğum günü şarkısı söyledi. Doğum günün martta.</t>
        </is>
      </c>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c r="AI152" s="5" t="inlineStr"/>
      <c r="AJ152" s="5" t="inlineStr"/>
    </row>
    <row r="153">
      <c r="A153" s="5" t="inlineStr">
        <is>
          <t>davetiyeler</t>
        </is>
      </c>
      <c r="B153" s="5" t="n">
        <v>3</v>
      </c>
      <c r="C153" s="6" t="inlineStr">
        <is>
          <t>Aynı gün kendi partini planla</t>
        </is>
      </c>
      <c r="D153" s="5" t="inlineStr">
        <is>
          <t>Kurnazlık</t>
        </is>
      </c>
      <c r="E153" s="5" t="inlineStr">
        <is>
          <t>Orta</t>
        </is>
      </c>
      <c r="F153" s="5" t="inlineStr"/>
      <c r="G153" s="6" t="inlineStr"/>
      <c r="H153" s="6" t="inlineStr">
        <is>
          <t>Aynı gün kendi partini ilan ettin. Altı kişi sana geldi, altı kişi ona. Annen pastanın yarısını kesip karşı partiye yolladı.</t>
        </is>
      </c>
      <c r="I153" s="6" t="inlineStr">
        <is>
          <t>Partine dayının palyaço olarak geleceğini duyurdun. Öbür partinin yarısı sana kaydı. Dayın geldi; kostüm küçüktü ama çocuklar bayıldı.</t>
        </is>
      </c>
      <c r="J153" s="6" t="inlineStr">
        <is>
          <t>Parti planladın; kimse gelmedi, çünkü herkes öbür partideydi.</t>
        </is>
      </c>
      <c r="K153" s="6" t="inlineStr">
        <is>
          <t>Sınıfa “Cumartesi bizde parti” dedin; annenin haberi yoktu. Cumartesi on iki çocuk kapıya geldi. Annen kapıyı bornozla açtı; evde bir paket bisküvi vardı.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c r="AI153" s="5" t="inlineStr"/>
      <c r="AJ153" s="5" t="inlineStr"/>
    </row>
    <row r="154">
      <c r="A154" s="5" t="inlineStr">
        <is>
          <t>davetiyeler</t>
        </is>
      </c>
      <c r="B154" s="5" t="n">
        <v>4</v>
      </c>
      <c r="C154" s="6" t="inlineStr">
        <is>
          <t>Kimin gerçekten gideceğini tahmin et</t>
        </is>
      </c>
      <c r="D154" s="5" t="inlineStr">
        <is>
          <t>Sosyal Radar</t>
        </is>
      </c>
      <c r="E154" s="5" t="inlineStr">
        <is>
          <t>Kolay</t>
        </is>
      </c>
      <c r="F154" s="5" t="inlineStr"/>
      <c r="G154" s="6" t="inlineStr"/>
      <c r="H154" s="6" t="inlineStr">
        <is>
          <t>Partiye yarısının gitmeyeceğini tahmin ettin. Haklıydın.</t>
        </is>
      </c>
      <c r="I154" s="6" t="inlineStr">
        <is>
          <t>Tahminin o kadar isabetliydi ki parti sahibi davetiye listesini sana danıştı.</t>
        </is>
      </c>
      <c r="J154" s="6" t="inlineStr">
        <is>
          <t>Tahmin ettin; yanıldın. Herkes gitti.</t>
        </is>
      </c>
      <c r="K154" s="6" t="inlineStr">
        <is>
          <t>“Bunların yarısı gitmez” dedin; parti sahibi tam arkandaydı. Gözleri doldu, öğretmen sana baktı. Cumartesi partiye herkes gitti, inadına.</t>
        </is>
      </c>
      <c r="L154" s="6" t="inlineStr"/>
      <c r="M154" s="5" t="inlineStr"/>
      <c r="N154" s="5" t="inlineStr"/>
      <c r="O154" s="6" t="inlineStr"/>
      <c r="P154" s="6" t="inlineStr"/>
      <c r="Q154" s="5" t="inlineStr">
        <is>
          <t>Odayı Okur</t>
        </is>
      </c>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c r="AI154" s="5" t="inlineStr"/>
      <c r="AJ154" s="5" t="inlineStr"/>
    </row>
    <row r="155">
      <c r="A155" s="5" t="inlineStr">
        <is>
          <t>bayram-harcligi</t>
        </is>
      </c>
      <c r="B155" s="5" t="n">
        <v>1</v>
      </c>
      <c r="C155" s="6" t="inlineStr">
        <is>
          <t>Ailene teslim et</t>
        </is>
      </c>
      <c r="D155" s="5" t="inlineStr"/>
      <c r="E155" s="5" t="inlineStr"/>
      <c r="F155" s="5" t="inlineStr">
        <is>
          <t>İtibar +1</t>
        </is>
      </c>
      <c r="G155" s="6" t="inlineStr">
        <is>
          <t>Zarfları annene verdin. Annen “Ben senin için saklıyorum” dedi. Bu cümleyi yıllar sonra kendi çocuğuna söyleyeceksin.</t>
        </is>
      </c>
      <c r="H155" s="6" t="inlineStr"/>
      <c r="I155" s="6" t="inlineStr"/>
      <c r="J155" s="6" t="inlineStr"/>
      <c r="K155" s="6" t="inlineStr"/>
      <c r="L155" s="6" t="inlineStr"/>
      <c r="M155" s="5" t="inlineStr"/>
      <c r="N155" s="5" t="inlineStr"/>
      <c r="O155" s="6" t="inlineStr"/>
      <c r="P155" s="6" t="inlineStr"/>
      <c r="Q155" s="5" t="inlineStr"/>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c r="AI155" s="5" t="inlineStr"/>
      <c r="AJ155" s="5" t="inlineStr"/>
    </row>
    <row r="156">
      <c r="A156" s="5" t="inlineStr">
        <is>
          <t>bayram-harcligi</t>
        </is>
      </c>
      <c r="B156" s="5" t="n">
        <v>2</v>
      </c>
      <c r="C156" s="6" t="inlineStr">
        <is>
          <t>Hepsini harca</t>
        </is>
      </c>
      <c r="D156" s="5" t="inlineStr">
        <is>
          <t>Pişkinlik</t>
        </is>
      </c>
      <c r="E156" s="5" t="inlineStr">
        <is>
          <t>Kolay</t>
        </is>
      </c>
      <c r="F156" s="5" t="inlineStr"/>
      <c r="G156" s="6" t="inlineStr"/>
      <c r="H156" s="6" t="inlineStr">
        <is>
          <t>Bayram yerine koştun: iki tur atlıkarınca, bir pamuk şeker, bir de sallanan gemi. Cebin boş, yüzün pembe.</t>
        </is>
      </c>
      <c r="I156" s="6" t="inlineStr">
        <is>
          <t>Atlıkarıncacı amca dördüncü turdan sonra para almadı: “Sen artık bizdensin.” Cebindeki son bozuklukla babaannene şeker aldın. Babaannen şekeri yemedi, çantasında sakladı.</t>
        </is>
      </c>
      <c r="J156" s="6" t="inlineStr">
        <is>
          <t>Harcadın; aldıklarının yarısı ertesi gün bozuldu.</t>
        </is>
      </c>
      <c r="K156" s="6" t="inlineStr">
        <is>
          <t>Bütün zarfları tek bir uzaktan kumandalı arabaya yatırdın. Araba ilk turda merdivenden düştü. Baban parçaları toplayıp “Bak, pili sağlam” dedi. Pil hâlâ çekmecede.</t>
        </is>
      </c>
      <c r="L156" s="6" t="inlineStr"/>
      <c r="M156" s="5" t="inlineStr"/>
      <c r="N156" s="5" t="inlineStr"/>
      <c r="O156" s="6" t="inlineStr"/>
      <c r="P156" s="6" t="inlineStr"/>
      <c r="Q156" s="5" t="inlineStr"/>
      <c r="R156" s="5" t="inlineStr"/>
      <c r="S156" s="5" t="inlineStr"/>
      <c r="T156" s="5" t="inlineStr"/>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c r="AI156" s="5" t="inlineStr"/>
      <c r="AJ156" s="5" t="inlineStr"/>
    </row>
    <row r="157">
      <c r="A157" s="5" t="inlineStr">
        <is>
          <t>bayram-harcligi</t>
        </is>
      </c>
      <c r="B157" s="5" t="n">
        <v>3</v>
      </c>
      <c r="C157" s="6" t="inlineStr">
        <is>
          <t>Akrabalarla ikinci tur yap</t>
        </is>
      </c>
      <c r="D157" s="5" t="inlineStr">
        <is>
          <t>Çene</t>
        </is>
      </c>
      <c r="E157" s="5" t="inlineStr">
        <is>
          <t>Orta</t>
        </is>
      </c>
      <c r="F157" s="5" t="inlineStr"/>
      <c r="G157" s="6" t="inlineStr"/>
      <c r="H157" s="6" t="inlineStr">
        <is>
          <t>İkinci el öpme turunda zarflar ikiye katlandı. Ellerin üç gün limon kolonyası koktu.</t>
        </is>
      </c>
      <c r="I157" s="6" t="inlineStr">
        <is>
          <t>Uzak akrabaları da ziyaret listesine ekledin. Babanın teyzesinin kayınbiraderi bile zarf verdi; kim olduğunu hâlâ bilmiyorsun.</t>
        </is>
      </c>
      <c r="J157" s="6" t="inlineStr">
        <is>
          <t>İkinci tura çıktın. Teyze kapıyı açtı, sana baktı ve kolonya şişesini uzattı. Zarf yok, kolonya bol.</t>
        </is>
      </c>
      <c r="K157" s="6" t="inlineStr">
        <is>
          <t>İkinci turda aynı amcanın elini ikinci kez öptün. Amca zarfı uzatırken durdu: “Sen az önce de öpmüştün.” Zarf cebine geri girdi, hikâye bütün bayram anlatıldı.</t>
        </is>
      </c>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c r="AI157" s="5" t="inlineStr"/>
      <c r="AJ157" s="5" t="inlineStr"/>
    </row>
    <row r="158">
      <c r="A158" s="5" t="inlineStr">
        <is>
          <t>bayram-harcligi</t>
        </is>
      </c>
      <c r="B158" s="5" t="n">
        <v>4</v>
      </c>
      <c r="C158" s="6" t="inlineStr">
        <is>
          <t>Kumbaraya at, kimseye söyleme</t>
        </is>
      </c>
      <c r="D158" s="5" t="inlineStr">
        <is>
          <t>Kurnazlık</t>
        </is>
      </c>
      <c r="E158" s="5" t="inlineStr">
        <is>
          <t>Kolay</t>
        </is>
      </c>
      <c r="F158" s="5" t="inlineStr"/>
      <c r="G158" s="6" t="inlineStr"/>
      <c r="H158" s="6" t="inlineStr">
        <is>
          <t>Kumbara ağırlaştı. Kimse bilmiyor.</t>
        </is>
      </c>
      <c r="I158" s="6" t="inlineStr">
        <is>
          <t>Kumbara o kadar doldu ki ikinci kumbara açıldı. Yastık altı büyüyor.</t>
        </is>
      </c>
      <c r="J158" s="6" t="inlineStr">
        <is>
          <t>Kumbarayı açmak için çekiç gerekti.</t>
        </is>
      </c>
      <c r="K158" s="6" t="inlineStr">
        <is>
          <t>Kumbarayı yatağın altına sakladın. Bayramın üçüncü günü kuzenin buldu, salladı ve sofraya bağırdı: “Bunun içi dolu!” İki amca zarflarını şakayla geri istedi. Şakayla aldılar.</t>
        </is>
      </c>
      <c r="L158" s="6" t="inlineStr"/>
      <c r="M158" s="5" t="inlineStr"/>
      <c r="N158" s="5" t="inlineStr"/>
      <c r="O158" s="6" t="inlineStr"/>
      <c r="P158" s="6" t="inlineStr"/>
      <c r="Q158" s="5" t="inlineStr">
        <is>
          <t>Yastık Altı Ekonomisti</t>
        </is>
      </c>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c r="AI158" s="5" t="inlineStr"/>
      <c r="AJ158" s="5" t="inlineStr"/>
    </row>
    <row r="159">
      <c r="A159" s="5" t="inlineStr">
        <is>
          <t>bayram-harcligi</t>
        </is>
      </c>
      <c r="B159" s="5" t="n">
        <v>5</v>
      </c>
      <c r="C159" s="6" t="inlineStr">
        <is>
          <t>Harçlıkla çekirdek al, mahalle maçında sat</t>
        </is>
      </c>
      <c r="D159" s="5" t="inlineStr">
        <is>
          <t>Kurnazlık</t>
        </is>
      </c>
      <c r="E159" s="5" t="inlineStr">
        <is>
          <t>Zor</t>
        </is>
      </c>
      <c r="F159" s="5" t="inlineStr"/>
      <c r="G159" s="6" t="inlineStr"/>
      <c r="H159" s="6" t="inlineStr">
        <is>
          <t>Kuruyemişçiden bir kilo çekirdek aldın, gazeteden külah külah sardın, maçta sattın. Bayram parası ikiye katlandı.</t>
        </is>
      </c>
      <c r="I159" s="6" t="inlineStr">
        <is>
          <t>Maçta çekirdek bitince herkes seni çağırdı. Ertesi hafta karşı mahallenin maçından da sipariş geldi. İki sahada tezgâhın var.</t>
        </is>
      </c>
      <c r="J159" s="6" t="inlineStr">
        <is>
          <t>Çekirdekler satılmadı. Devre arasında hepsini kendin çitledin; dilin üç gün tuzlu kaldı.</t>
        </is>
      </c>
      <c r="K159" s="6" t="inlineStr">
        <is>
          <t>Bütün harçlığı çekirdeğe yatırdın; maç yağmurdan iptal oldu. Bir kilo ıslak çekirdekle eve döndün. Babaannen kış boyu balkonda kurutup sana geri sattı.</t>
        </is>
      </c>
      <c r="L159" s="6" t="inlineStr"/>
      <c r="M159" s="5" t="inlineStr"/>
      <c r="N159" s="5" t="inlineStr"/>
      <c r="O159" s="6" t="inlineStr"/>
      <c r="P159" s="6" t="inlineStr"/>
      <c r="Q159" s="5" t="inlineStr">
        <is>
          <t>Sofra Müteahhidi</t>
        </is>
      </c>
      <c r="R159" s="5" t="inlineStr"/>
      <c r="S159" s="5" t="inlineStr"/>
      <c r="T159" s="5" t="inlineStr">
        <is>
          <t>Çekirdek Baronu</t>
        </is>
      </c>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c r="AI159" s="5" t="inlineStr"/>
      <c r="AJ159" s="5" t="inlineStr"/>
    </row>
    <row r="160">
      <c r="A160" s="5" t="inlineStr">
        <is>
          <t>balkondaki-ucurtma</t>
        </is>
      </c>
      <c r="B160" s="5" t="n">
        <v>1</v>
      </c>
      <c r="C160" s="6" t="inlineStr">
        <is>
          <t>Vazgeç, yenisini iste</t>
        </is>
      </c>
      <c r="D160" s="5" t="inlineStr"/>
      <c r="E160" s="5" t="inlineStr"/>
      <c r="F160" s="5" t="inlineStr">
        <is>
          <t>Çene +1</t>
        </is>
      </c>
      <c r="G160" s="6" t="inlineStr">
        <is>
          <t>Yeni uçurtma istedin. Baban “Maaş yatsın, bakarız” dedi. Maaş üç kez yattı.</t>
        </is>
      </c>
      <c r="H160" s="6" t="inlineStr"/>
      <c r="I160" s="6" t="inlineStr"/>
      <c r="J160" s="6" t="inlineStr"/>
      <c r="K160" s="6" t="inlineStr"/>
      <c r="L160" s="6" t="inlineStr"/>
      <c r="M160" s="5" t="inlineStr"/>
      <c r="N160" s="5" t="inlineStr"/>
      <c r="O160" s="6" t="inlineStr"/>
      <c r="P160" s="6" t="inlineStr"/>
      <c r="Q160" s="5" t="inlineStr"/>
      <c r="R160" s="5" t="inlineStr"/>
      <c r="S160" s="5" t="inlineStr"/>
      <c r="T160" s="5" t="inlineStr"/>
      <c r="U160" s="5" t="inlineStr"/>
      <c r="V160" s="5" t="inlineStr"/>
      <c r="W160" s="5" t="inlineStr"/>
      <c r="X160" s="5" t="inlineStr"/>
      <c r="Y160" s="5" t="inlineStr"/>
      <c r="Z160" s="6" t="inlineStr"/>
      <c r="AA160" s="5" t="inlineStr"/>
      <c r="AB160" s="5" t="inlineStr"/>
      <c r="AC160" s="5" t="inlineStr"/>
      <c r="AD160" s="5" t="inlineStr"/>
      <c r="AE160" s="5" t="inlineStr"/>
      <c r="AF160" s="5" t="inlineStr"/>
      <c r="AG160" s="5" t="inlineStr"/>
      <c r="AH160" s="5" t="inlineStr"/>
      <c r="AI160" s="5" t="inlineStr"/>
      <c r="AJ160" s="5" t="inlineStr"/>
    </row>
    <row r="161">
      <c r="A161" s="5" t="inlineStr">
        <is>
          <t>balkondaki-ucurtma</t>
        </is>
      </c>
      <c r="B161" s="5" t="n">
        <v>2</v>
      </c>
      <c r="C161" s="6" t="inlineStr">
        <is>
          <t>Süpürge sapıyla kurtar</t>
        </is>
      </c>
      <c r="D161" s="5" t="inlineStr">
        <is>
          <t>Akıl</t>
        </is>
      </c>
      <c r="E161" s="5" t="inlineStr">
        <is>
          <t>Orta</t>
        </is>
      </c>
      <c r="F161" s="5" t="inlineStr"/>
      <c r="G161" s="6" t="inlineStr"/>
      <c r="H161" s="6" t="inlineStr">
        <is>
          <t>Süpürge, sandalye ve bir bant rulosuyla mühendislik harikası kurdun. Uçurtma kurtuldu.</t>
        </is>
      </c>
      <c r="I161" s="6" t="inlineStr">
        <is>
          <t>Uçurtmayı kurtardın; süpürgenin ucuna komşu çocuğun iki ay önce balkona kaçırdığı top da takıldı. Topu kapısına götürdün; annesi sana kocaman bir dilim kek verdi.</t>
        </is>
      </c>
      <c r="J161" s="6" t="inlineStr">
        <is>
          <t>Süpürge kısa geldi. Sandalye de. Sen de.</t>
        </is>
      </c>
      <c r="K161" s="6" t="inlineStr">
        <is>
          <t>Süpürge sapı korkuluğa sıkıştı. Artık balkonda bir uçurtma ve bir süpürge var. Akşam annen süpürgeyi aradı; sen pencereden parmağınla gösterdin.</t>
        </is>
      </c>
      <c r="L161" s="6" t="inlineStr"/>
      <c r="M161" s="5" t="inlineStr"/>
      <c r="N161" s="5" t="inlineStr"/>
      <c r="O161" s="6" t="inlineStr"/>
      <c r="P161" s="6" t="inlineStr"/>
      <c r="Q161" s="5" t="inlineStr"/>
      <c r="R161" s="5" t="inlineStr"/>
      <c r="S161" s="5" t="inlineStr"/>
      <c r="T161" s="5" t="inlineStr"/>
      <c r="U161" s="5" t="inlineStr"/>
      <c r="V161" s="5" t="inlineStr"/>
      <c r="W161" s="5" t="inlineStr"/>
      <c r="X161" s="5" t="inlineStr"/>
      <c r="Y161" s="5" t="inlineStr"/>
      <c r="Z161" s="6" t="inlineStr"/>
      <c r="AA161" s="5" t="inlineStr"/>
      <c r="AB161" s="5" t="inlineStr"/>
      <c r="AC161" s="5" t="inlineStr"/>
      <c r="AD161" s="5" t="inlineStr"/>
      <c r="AE161" s="5" t="inlineStr"/>
      <c r="AF161" s="5" t="inlineStr"/>
      <c r="AG161" s="5" t="inlineStr"/>
      <c r="AH161" s="5" t="inlineStr"/>
      <c r="AI161" s="5" t="inlineStr"/>
      <c r="AJ161" s="5" t="inlineStr"/>
    </row>
    <row r="162">
      <c r="A162" s="5" t="inlineStr">
        <is>
          <t>balkondaki-ucurtma</t>
        </is>
      </c>
      <c r="B162" s="5" t="n">
        <v>3</v>
      </c>
      <c r="C162" s="6" t="inlineStr">
        <is>
          <t>Kapıcıyı ikna et</t>
        </is>
      </c>
      <c r="D162" s="5" t="inlineStr">
        <is>
          <t>Çene</t>
        </is>
      </c>
      <c r="E162" s="5" t="inlineStr">
        <is>
          <t>Kolay</t>
        </is>
      </c>
      <c r="F162" s="5" t="inlineStr"/>
      <c r="G162" s="6" t="inlineStr"/>
      <c r="H162" s="6" t="inlineStr">
        <is>
          <t>Kapıcı yedek anahtarla çıktı ve uçurtmayı indirdi. Karşılığında bir hafta onun ekmeğini sen taşıdın.</t>
        </is>
      </c>
      <c r="I162" s="6" t="inlineStr">
        <is>
          <t>Kapıcı uçurtmayı indirdi, üstüne bir de nasıl daha iyi uçurulacağını gösterdi.</t>
        </is>
      </c>
      <c r="J162" s="6" t="inlineStr">
        <is>
          <t>Kapıcı 'Sahibi gelsin' dedi. Sahibi üç hafta sonra geliyor.</t>
        </is>
      </c>
      <c r="K162" s="6" t="inlineStr">
        <is>
          <t>Kapıcıyı ikna ettin, yedek anahtarla balkona çıktınız. Tam uçurtmayı alırken teyze memleketten döndü. Sen, kapıcı ve uçurtma, onun salonunda yakalandınız.</t>
        </is>
      </c>
      <c r="L162" s="6" t="inlineStr"/>
      <c r="M162" s="5" t="inlineStr"/>
      <c r="N162" s="5" t="inlineStr"/>
      <c r="O162" s="6" t="inlineStr"/>
      <c r="P162" s="6" t="inlineStr"/>
      <c r="Q162" s="5" t="inlineStr"/>
      <c r="R162" s="5" t="inlineStr"/>
      <c r="S162" s="5" t="inlineStr"/>
      <c r="T162" s="5" t="inlineStr"/>
      <c r="U162" s="5" t="inlineStr"/>
      <c r="V162" s="5" t="inlineStr"/>
      <c r="W162" s="5" t="inlineStr"/>
      <c r="X162" s="5" t="inlineStr"/>
      <c r="Y162" s="5" t="inlineStr"/>
      <c r="Z162" s="6" t="inlineStr"/>
      <c r="AA162" s="5" t="inlineStr"/>
      <c r="AB162" s="5" t="inlineStr"/>
      <c r="AC162" s="5" t="inlineStr"/>
      <c r="AD162" s="5" t="inlineStr"/>
      <c r="AE162" s="5" t="inlineStr"/>
      <c r="AF162" s="5" t="inlineStr"/>
      <c r="AG162" s="5" t="inlineStr"/>
      <c r="AH162" s="5" t="inlineStr"/>
      <c r="AI162" s="5" t="inlineStr"/>
      <c r="AJ162" s="5" t="inlineStr"/>
    </row>
    <row r="163">
      <c r="A163" s="5" t="inlineStr">
        <is>
          <t>balkondaki-ucurtma</t>
        </is>
      </c>
      <c r="B163" s="5" t="n">
        <v>4</v>
      </c>
      <c r="C163" s="6" t="inlineStr">
        <is>
          <t>Dut ağacına tırman</t>
        </is>
      </c>
      <c r="D163" s="5" t="inlineStr">
        <is>
          <t>Cesaret</t>
        </is>
      </c>
      <c r="E163" s="5" t="inlineStr">
        <is>
          <t>Zor</t>
        </is>
      </c>
      <c r="F163" s="5" t="inlineStr"/>
      <c r="G163" s="6" t="inlineStr"/>
      <c r="H163" s="6" t="inlineStr">
        <is>
          <t>Tırmandın, uzandın, aldın. Aşağıda babaannen ellerini yüzüne kapamış, parmaklarının arasından bakıyordu. İnince önce “Bir daha görmeyeyim!” dedi, sonra öptü ve dut istedi.</t>
        </is>
      </c>
      <c r="I163" s="6" t="inlineStr">
        <is>
          <t>Dala çıktın, uçurtmayı aldın, inerken ceplerini dutla doldurdun. Babaannen dutları yıkayıp komşulara “Torunum topladı” diye dağıttı.</t>
        </is>
      </c>
      <c r="J163" s="6" t="inlineStr">
        <is>
          <t>Yarıya kadar tırmandın, sonra aşağı baktın. Aşağı bakmak hataydı.</t>
        </is>
      </c>
      <c r="K163" s="6" t="inlineStr">
        <is>
          <t>Dala çıktın, uzandın, uçurtmayı aldın; dal çıt dedi. Altı hafta alçı. Alçına bütün sınıf imza attı, üstüne dut lekesi de bulaştı.</t>
        </is>
      </c>
      <c r="L163" s="6" t="inlineStr"/>
      <c r="M163" s="5" t="inlineStr"/>
      <c r="N163" s="5" t="inlineStr"/>
      <c r="O163" s="6" t="inlineStr"/>
      <c r="P163" s="6" t="inlineStr"/>
      <c r="Q163" s="5" t="inlineStr"/>
      <c r="R163" s="5" t="inlineStr"/>
      <c r="S163" s="5" t="inlineStr"/>
      <c r="T163" s="5" t="inlineStr"/>
      <c r="U163" s="5" t="inlineStr"/>
      <c r="V163" s="5" t="inlineStr"/>
      <c r="W163" s="5" t="inlineStr">
        <is>
          <t>alcili-kol</t>
        </is>
      </c>
      <c r="X163" s="5" t="inlineStr"/>
      <c r="Y163" s="5" t="inlineStr"/>
      <c r="Z163" s="6" t="inlineStr"/>
      <c r="AA163" s="5" t="inlineStr"/>
      <c r="AB163" s="5" t="inlineStr"/>
      <c r="AC163" s="5" t="inlineStr"/>
      <c r="AD163" s="5" t="inlineStr"/>
      <c r="AE163" s="5" t="inlineStr"/>
      <c r="AF163" s="5" t="inlineStr"/>
      <c r="AG163" s="5" t="inlineStr"/>
      <c r="AH163" s="5" t="inlineStr"/>
      <c r="AI163" s="5" t="inlineStr"/>
      <c r="AJ163" s="5" t="inlineStr"/>
    </row>
    <row r="164">
      <c r="A164" s="5" t="inlineStr">
        <is>
          <t>mahalle-maci</t>
        </is>
      </c>
      <c r="B164" s="5" t="n">
        <v>1</v>
      </c>
      <c r="C164" s="6" t="inlineStr">
        <is>
          <t>Şut çek</t>
        </is>
      </c>
      <c r="D164" s="5" t="inlineStr">
        <is>
          <t>Cesaret</t>
        </is>
      </c>
      <c r="E164" s="5" t="inlineStr">
        <is>
          <t>Orta</t>
        </is>
      </c>
      <c r="F164" s="5" t="inlineStr"/>
      <c r="G164" s="6" t="inlineStr"/>
      <c r="H164" s="6" t="inlineStr">
        <is>
          <t>Gol! Cam sağlam. Mahalle sallandı.</t>
        </is>
      </c>
      <c r="I164" s="6" t="inlineStr">
        <is>
          <t>Köşeye gol. Komşu bile balkondan alkışladı.</t>
        </is>
      </c>
      <c r="J164" s="6" t="inlineStr">
        <is>
          <t>Top kaleciye gitti. Maç berabere bitti.</t>
        </is>
      </c>
      <c r="K164" s="6" t="inlineStr">
        <is>
          <t>Var gücünle vurdun; top kaleyi değil, komşunun camını buldu. Camı kırdın. Alt kattaki amca topu aldı, balkondan herkese gösterdi ve ekmek bıçağıyla ikiye kesti.</t>
        </is>
      </c>
      <c r="L164" s="6" t="inlineStr">
        <is>
          <t>Direk! Cam sağlam, skor aynı.</t>
        </is>
      </c>
      <c r="M164" s="5" t="inlineStr">
        <is>
          <t>timing</t>
        </is>
      </c>
      <c r="N164" s="5" t="inlineStr">
        <is>
          <t>Şut Çek!</t>
        </is>
      </c>
      <c r="O164" s="6" t="inlineStr">
        <is>
          <t>Kırmızı işareti yeşil alanda durdur.</t>
        </is>
      </c>
      <c r="P164" s="6" t="inlineStr"/>
      <c r="Q164" s="5" t="inlineStr"/>
      <c r="R164" s="5" t="inlineStr"/>
      <c r="S164" s="5" t="inlineStr"/>
      <c r="T164" s="5" t="inlineStr"/>
      <c r="U164" s="5" t="inlineStr"/>
      <c r="V164" s="5" t="inlineStr"/>
      <c r="W164" s="5" t="inlineStr">
        <is>
          <t>camKirildi</t>
        </is>
      </c>
      <c r="X164" s="5" t="inlineStr"/>
      <c r="Y164" s="5" t="inlineStr"/>
      <c r="Z164" s="6" t="inlineStr"/>
      <c r="AA164" s="5" t="inlineStr"/>
      <c r="AB164" s="5" t="inlineStr"/>
      <c r="AC164" s="5" t="inlineStr"/>
      <c r="AD164" s="5" t="inlineStr"/>
      <c r="AE164" s="5" t="inlineStr"/>
      <c r="AF164" s="5" t="inlineStr"/>
      <c r="AG164" s="5" t="inlineStr"/>
      <c r="AH164" s="5" t="inlineStr"/>
      <c r="AI164" s="5" t="inlineStr"/>
      <c r="AJ164" s="5" t="inlineStr"/>
    </row>
    <row r="165">
      <c r="A165" s="5" t="inlineStr">
        <is>
          <t>mahalle-maci</t>
        </is>
      </c>
      <c r="B165" s="5" t="n">
        <v>2</v>
      </c>
      <c r="C165" s="6" t="inlineStr">
        <is>
          <t>Pas ver</t>
        </is>
      </c>
      <c r="D165" s="5" t="inlineStr">
        <is>
          <t>Sosyal Radar</t>
        </is>
      </c>
      <c r="E165" s="5" t="inlineStr">
        <is>
          <t>Zor</t>
        </is>
      </c>
      <c r="F165" s="5" t="inlineStr"/>
      <c r="G165" s="6" t="inlineStr"/>
      <c r="H165" s="6" t="inlineStr">
        <is>
          <t>Pas verdin, arkadaşın attı. Bütün takım golcünün üstüne çullandı; golcü kalabalığın altından sana el salladı. Sen bunu golden çok sevdin.</t>
        </is>
      </c>
      <c r="I165" s="6" t="inlineStr">
        <is>
          <t>Öyle bir pas verdin ki arkadaşın boş kaleye attı. Herkes seni kucakladı.</t>
        </is>
      </c>
      <c r="J165" s="6" t="inlineStr">
        <is>
          <t>Pas verdin; top karşı takıma gitti.</t>
        </is>
      </c>
      <c r="K165" s="6" t="inlineStr">
        <is>
          <t>Pas verdin; arkadaşın gelişine vurdu, top komşunun camını kırdı. Arkadaşın seni gösterdi: “Pası o verdi.” Komşu onu değil, seni hatırladı.</t>
        </is>
      </c>
      <c r="L165" s="6" t="inlineStr"/>
      <c r="M165" s="5" t="inlineStr"/>
      <c r="N165" s="5" t="inlineStr"/>
      <c r="O165" s="6" t="inlineStr"/>
      <c r="P165" s="6" t="inlineStr"/>
      <c r="Q165" s="5" t="inlineStr"/>
      <c r="R165" s="5" t="inlineStr"/>
      <c r="S165" s="5" t="inlineStr"/>
      <c r="T165" s="5" t="inlineStr">
        <is>
          <t>Asist Ustası</t>
        </is>
      </c>
      <c r="U165" s="5" t="inlineStr"/>
      <c r="V165" s="5" t="inlineStr"/>
      <c r="W165" s="5" t="inlineStr">
        <is>
          <t>camKirildi</t>
        </is>
      </c>
      <c r="X165" s="5" t="inlineStr"/>
      <c r="Y165" s="5" t="inlineStr"/>
      <c r="Z165" s="6" t="inlineStr"/>
      <c r="AA165" s="5" t="inlineStr"/>
      <c r="AB165" s="5" t="inlineStr"/>
      <c r="AC165" s="5" t="inlineStr"/>
      <c r="AD165" s="5" t="inlineStr"/>
      <c r="AE165" s="5" t="inlineStr"/>
      <c r="AF165" s="5" t="inlineStr"/>
      <c r="AG165" s="5" t="inlineStr"/>
      <c r="AH165" s="5" t="inlineStr"/>
      <c r="AI165" s="5" t="inlineStr"/>
      <c r="AJ165" s="5" t="inlineStr"/>
    </row>
    <row r="166">
      <c r="A166" s="5" t="inlineStr">
        <is>
          <t>mahalle-maci</t>
        </is>
      </c>
      <c r="B166" s="5" t="n">
        <v>3</v>
      </c>
      <c r="C166" s="6" t="inlineStr">
        <is>
          <t>Camı düşün, yavaş vur</t>
        </is>
      </c>
      <c r="D166" s="5" t="inlineStr"/>
      <c r="E166" s="5" t="inlineStr"/>
      <c r="F166" s="5" t="inlineStr">
        <is>
          <t>İtibar +1</t>
        </is>
      </c>
      <c r="G166" s="6" t="inlineStr">
        <is>
          <t>Top kaleye yavaşça yuvarlandı, kaleci eğilip aldı. Balkondaki komşu teyze “Aferin yavrum, aklı başında çocuk” dedi. Takım arkadaşların aynı şeyi demedi.</t>
        </is>
      </c>
      <c r="H166" s="6" t="inlineStr"/>
      <c r="I166" s="6" t="inlineStr"/>
      <c r="J166" s="6" t="inlineStr"/>
      <c r="K166" s="6" t="inlineStr"/>
      <c r="L166" s="6" t="inlineStr"/>
      <c r="M166" s="5" t="inlineStr"/>
      <c r="N166" s="5" t="inlineStr"/>
      <c r="O166" s="6" t="inlineStr"/>
      <c r="P166" s="6" t="inlineStr"/>
      <c r="Q166" s="5" t="inlineStr"/>
      <c r="R166" s="5" t="inlineStr"/>
      <c r="S166" s="5" t="inlineStr"/>
      <c r="T166" s="5" t="inlineStr"/>
      <c r="U166" s="5" t="inlineStr"/>
      <c r="V166" s="5" t="inlineStr"/>
      <c r="W166" s="5" t="inlineStr"/>
      <c r="X166" s="5" t="inlineStr"/>
      <c r="Y166" s="5" t="inlineStr"/>
      <c r="Z166" s="6" t="inlineStr"/>
      <c r="AA166" s="5" t="inlineStr"/>
      <c r="AB166" s="5" t="inlineStr"/>
      <c r="AC166" s="5" t="inlineStr"/>
      <c r="AD166" s="5" t="inlineStr"/>
      <c r="AE166" s="5" t="inlineStr"/>
      <c r="AF166" s="5" t="inlineStr"/>
      <c r="AG166" s="5" t="inlineStr"/>
      <c r="AH166" s="5" t="inlineStr"/>
      <c r="AI166" s="5" t="inlineStr"/>
      <c r="AJ166" s="5" t="inlineStr"/>
    </row>
    <row r="167">
      <c r="A167" s="5" t="inlineStr">
        <is>
          <t>kedi-istiyoruz</t>
        </is>
      </c>
      <c r="B167" s="5" t="n">
        <v>1</v>
      </c>
      <c r="C167" s="6" t="inlineStr">
        <is>
          <t>Duygusal konuşma yap</t>
        </is>
      </c>
      <c r="D167" s="5" t="inlineStr">
        <is>
          <t>Çene</t>
        </is>
      </c>
      <c r="E167" s="5" t="inlineStr">
        <is>
          <t>Orta</t>
        </is>
      </c>
      <c r="F167" s="5" t="inlineStr"/>
      <c r="G167" s="6" t="inlineStr"/>
      <c r="H167" s="6" t="inlineStr">
        <is>
          <t>Gözlerin doldu, sesin titredi. Baban annene baktı, annen babaannene. Babaannen iç çekti: “Kumunu sen temizleyeceksin.” Yavru geldi.</t>
        </is>
      </c>
      <c r="I167" s="6" t="inlineStr">
        <is>
          <t>Evin kedisinin yalnızlığını öyle anlattın ki babaannen gözlüğünü çıkarıp sildi: “Tek kedi büyütülmez, yazık.” Bakkaldan iki yavru geldi.</t>
        </is>
      </c>
      <c r="J167" s="6" t="inlineStr">
        <is>
          <t>Konuşman etkileyiciydi ama karar 'yazın bakarız'.</t>
        </is>
      </c>
      <c r="K167" s="6" t="inlineStr">
        <is>
          <t>Konuşmanın sonunda “Kedi gelmezse yemek yemem” dedin. Kedi gelmedi. Akşam yemeği köfteydi; ilk tabağı sen istedin, herkes gördü.</t>
        </is>
      </c>
      <c r="L167" s="6" t="inlineStr"/>
      <c r="M167" s="5" t="inlineStr"/>
      <c r="N167" s="5" t="inlineStr"/>
      <c r="O167" s="6" t="inlineStr"/>
      <c r="P167" s="6" t="inlineStr"/>
      <c r="Q167" s="5" t="inlineStr"/>
      <c r="R167" s="5" t="inlineStr"/>
      <c r="S167" s="5" t="inlineStr"/>
      <c r="T167" s="5" t="inlineStr"/>
      <c r="U167" s="5" t="inlineStr"/>
      <c r="V167" s="5" t="inlineStr">
        <is>
          <t>kediGeldi</t>
        </is>
      </c>
      <c r="W167" s="5" t="inlineStr"/>
      <c r="X167" s="5" t="inlineStr"/>
      <c r="Y167" s="5" t="inlineStr"/>
      <c r="Z167" s="6" t="inlineStr"/>
      <c r="AA167" s="5" t="inlineStr"/>
      <c r="AB167" s="5" t="inlineStr"/>
      <c r="AC167" s="5" t="inlineStr"/>
      <c r="AD167" s="5" t="inlineStr"/>
      <c r="AE167" s="5" t="inlineStr"/>
      <c r="AF167" s="5" t="inlineStr"/>
      <c r="AG167" s="5" t="inlineStr"/>
      <c r="AH167" s="5" t="inlineStr"/>
      <c r="AI167" s="5" t="inlineStr"/>
      <c r="AJ167" s="5" t="inlineStr"/>
    </row>
    <row r="168">
      <c r="A168" s="5" t="inlineStr">
        <is>
          <t>kedi-istiyoruz</t>
        </is>
      </c>
      <c r="B168" s="5" t="n">
        <v>2</v>
      </c>
      <c r="C168" s="6" t="inlineStr">
        <is>
          <t>Sorumluluk planı sun</t>
        </is>
      </c>
      <c r="D168" s="5" t="inlineStr">
        <is>
          <t>Akıl</t>
        </is>
      </c>
      <c r="E168" s="5" t="inlineStr">
        <is>
          <t>Orta</t>
        </is>
      </c>
      <c r="F168" s="5" t="inlineStr"/>
      <c r="G168" s="6" t="inlineStr"/>
      <c r="H168" s="6" t="inlineStr">
        <is>
          <t>Mama, kum, veteriner: üç maddeyi kâğıda yazıp buzdolabına astın. Baban okudu: “Bu kâğıt kadar düzenli ol yeter.” Yavru geldi; kâğıt bir hafta dayandı.</t>
        </is>
      </c>
      <c r="I168" s="6" t="inlineStr">
        <is>
          <t>Mama ve kum için kumbarandan pay ayırdın. Baban “Bu çocuk benden düzenli” dedi; iki yavru birden onaylandı.</t>
        </is>
      </c>
      <c r="J168" s="6" t="inlineStr">
        <is>
          <t>Planını okudun. Baban sonuna kadar dinledi, sonra sordu: “Veteriner parasını da kumbaradan mı vereceksin?” Kumbarana baktın. Konu yaza kaldı.</t>
        </is>
      </c>
      <c r="K168" s="6" t="inlineStr">
        <is>
          <t>Planın ilk maddesi: “Kumu babam temizler.” Baban çatalı bıraktı. Konu kapandı.</t>
        </is>
      </c>
      <c r="L168" s="6" t="inlineStr"/>
      <c r="M168" s="5" t="inlineStr"/>
      <c r="N168" s="5" t="inlineStr"/>
      <c r="O168" s="6" t="inlineStr"/>
      <c r="P168" s="6" t="inlineStr"/>
      <c r="Q168" s="5" t="inlineStr"/>
      <c r="R168" s="5" t="inlineStr"/>
      <c r="S168" s="5" t="inlineStr"/>
      <c r="T168" s="5" t="inlineStr"/>
      <c r="U168" s="5" t="inlineStr"/>
      <c r="V168" s="5" t="inlineStr">
        <is>
          <t>kediGeldi</t>
        </is>
      </c>
      <c r="W168" s="5" t="inlineStr"/>
      <c r="X168" s="5" t="inlineStr"/>
      <c r="Y168" s="5" t="inlineStr"/>
      <c r="Z168" s="6" t="inlineStr"/>
      <c r="AA168" s="5" t="inlineStr"/>
      <c r="AB168" s="5" t="inlineStr"/>
      <c r="AC168" s="5" t="inlineStr"/>
      <c r="AD168" s="5" t="inlineStr"/>
      <c r="AE168" s="5" t="inlineStr"/>
      <c r="AF168" s="5" t="inlineStr"/>
      <c r="AG168" s="5" t="inlineStr"/>
      <c r="AH168" s="5" t="inlineStr"/>
      <c r="AI168" s="5" t="inlineStr"/>
      <c r="AJ168" s="5" t="inlineStr"/>
    </row>
    <row r="169">
      <c r="A169" s="5" t="inlineStr">
        <is>
          <t>kedi-istiyoruz</t>
        </is>
      </c>
      <c r="B169" s="5" t="n">
        <v>3</v>
      </c>
      <c r="C169" s="6" t="inlineStr">
        <is>
          <t>Babaanneni ikna et</t>
        </is>
      </c>
      <c r="D169" s="5" t="inlineStr">
        <is>
          <t>Sosyal Radar</t>
        </is>
      </c>
      <c r="E169" s="5" t="inlineStr">
        <is>
          <t>Orta</t>
        </is>
      </c>
      <c r="F169" s="5" t="inlineStr"/>
      <c r="G169" s="6" t="inlineStr"/>
      <c r="H169" s="6" t="inlineStr">
        <is>
          <t>Babaanneni yanına çektin. Yemekte “Çocuk istiyor işte” dedi. Kimse babaanneye itiraz etmedi.</t>
        </is>
      </c>
      <c r="I169" s="6" t="inlineStr">
        <is>
          <t>Babaannen ertesi sabah elinde sepetle geldi: “Yavruların en tombulunu ben seçtim.” Tartışma bile olmadı.</t>
        </is>
      </c>
      <c r="J169" s="6" t="inlineStr">
        <is>
          <t>Babaannen kuş istiyormuş.</t>
        </is>
      </c>
      <c r="K169" s="6" t="inlineStr">
        <is>
          <t>Babaannen ikna oldu ve yavruyu kendi evine aldı. Artık bayramlarda kediyi ziyarete gidiyorsun.</t>
        </is>
      </c>
      <c r="L169" s="6" t="inlineStr"/>
      <c r="M169" s="5" t="inlineStr"/>
      <c r="N169" s="5" t="inlineStr"/>
      <c r="O169" s="6" t="inlineStr"/>
      <c r="P169" s="6" t="inlineStr"/>
      <c r="Q169" s="5" t="inlineStr"/>
      <c r="R169" s="5" t="inlineStr"/>
      <c r="S169" s="5" t="inlineStr"/>
      <c r="T169" s="5" t="inlineStr"/>
      <c r="U169" s="5" t="inlineStr"/>
      <c r="V169" s="5" t="inlineStr">
        <is>
          <t>kediGeldi</t>
        </is>
      </c>
      <c r="W169" s="5" t="inlineStr"/>
      <c r="X169" s="5" t="inlineStr"/>
      <c r="Y169" s="5" t="inlineStr"/>
      <c r="Z169" s="6" t="inlineStr"/>
      <c r="AA169" s="5" t="inlineStr"/>
      <c r="AB169" s="5" t="inlineStr"/>
      <c r="AC169" s="5" t="inlineStr"/>
      <c r="AD169" s="5" t="inlineStr"/>
      <c r="AE169" s="5" t="inlineStr"/>
      <c r="AF169" s="5" t="inlineStr"/>
      <c r="AG169" s="5" t="inlineStr"/>
      <c r="AH169" s="5" t="inlineStr"/>
      <c r="AI169" s="5" t="inlineStr"/>
      <c r="AJ169" s="5" t="inlineStr"/>
    </row>
    <row r="170">
      <c r="A170" s="5" t="inlineStr">
        <is>
          <t>kedi-istiyoruz</t>
        </is>
      </c>
      <c r="B170" s="5" t="n">
        <v>4</v>
      </c>
      <c r="C170" s="6" t="inlineStr">
        <is>
          <t>Vazo için kediden resmen özür dile</t>
        </is>
      </c>
      <c r="D170" s="5" t="inlineStr"/>
      <c r="E170" s="5" t="inlineStr"/>
      <c r="F170" s="5" t="inlineStr">
        <is>
          <t>Gönül +2</t>
        </is>
      </c>
      <c r="G170" s="6" t="inlineStr">
        <is>
          <t>Evin kedisinin önüne çömeldin: “Vazoyu ben kırdım, özür dilerim.” Babaannen gözlerini sildi, baban burnunu çekti. Yavru o akşam kabul edildi; kedi ise hâlâ düşünüyor.</t>
        </is>
      </c>
      <c r="H170" s="6" t="inlineStr"/>
      <c r="I170" s="6" t="inlineStr"/>
      <c r="J170" s="6" t="inlineStr"/>
      <c r="K170" s="6" t="inlineStr"/>
      <c r="L170" s="6" t="inlineStr"/>
      <c r="M170" s="5" t="inlineStr"/>
      <c r="N170" s="5" t="inlineStr"/>
      <c r="O170" s="6" t="inlineStr"/>
      <c r="P170" s="6" t="inlineStr"/>
      <c r="Q170" s="5" t="inlineStr"/>
      <c r="R170" s="5" t="inlineStr">
        <is>
          <t>kediSuclu</t>
        </is>
      </c>
      <c r="S170" s="5" t="inlineStr"/>
      <c r="T170" s="5" t="inlineStr"/>
      <c r="U170" s="5" t="inlineStr">
        <is>
          <t>kediGeldi</t>
        </is>
      </c>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c r="AI170" s="5" t="inlineStr"/>
      <c r="AJ170" s="5" t="inlineStr"/>
    </row>
    <row r="171">
      <c r="A171" s="5" t="inlineStr">
        <is>
          <t>tablet-saati</t>
        </is>
      </c>
      <c r="B171" s="5" t="n">
        <v>1</v>
      </c>
      <c r="C171" s="6" t="inlineStr">
        <is>
          <t>Süreye uy</t>
        </is>
      </c>
      <c r="D171" s="5" t="inlineStr"/>
      <c r="E171" s="5" t="inlineStr"/>
      <c r="F171" s="5" t="inlineStr">
        <is>
          <t>Dayanıklılık +1</t>
        </is>
      </c>
      <c r="G171" s="6" t="inlineStr">
        <is>
          <t>Saat dolunca tableti kendin kapattın. Annen inanamadı, elini alnına koyup ateşine baktı. Canavar yarına kaldı.</t>
        </is>
      </c>
      <c r="H171" s="6" t="inlineStr"/>
      <c r="I171" s="6" t="inlineStr"/>
      <c r="J171" s="6" t="inlineStr"/>
      <c r="K171" s="6" t="inlineStr"/>
      <c r="L171" s="6" t="inlineStr"/>
      <c r="M171" s="5" t="inlineStr"/>
      <c r="N171" s="5" t="inlineStr"/>
      <c r="O171" s="6" t="inlineStr"/>
      <c r="P171" s="6" t="inlineStr"/>
      <c r="Q171" s="5" t="inlineStr"/>
      <c r="R171" s="5" t="inlineStr"/>
      <c r="S171" s="5" t="inlineStr"/>
      <c r="T171" s="5" t="inlineStr"/>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c r="AI171" s="5" t="inlineStr"/>
      <c r="AJ171" s="5" t="inlineStr"/>
    </row>
    <row r="172">
      <c r="A172" s="5" t="inlineStr">
        <is>
          <t>tablet-saati</t>
        </is>
      </c>
      <c r="B172" s="5" t="n">
        <v>2</v>
      </c>
      <c r="C172" s="6" t="inlineStr">
        <is>
          <t>Beş dakika daha iste</t>
        </is>
      </c>
      <c r="D172" s="5" t="inlineStr">
        <is>
          <t>Çene</t>
        </is>
      </c>
      <c r="E172" s="5" t="inlineStr">
        <is>
          <t>Kolay</t>
        </is>
      </c>
      <c r="F172" s="5" t="inlineStr"/>
      <c r="G172" s="6" t="inlineStr"/>
      <c r="H172" s="6" t="inlineStr">
        <is>
          <t>Beş dakika aldın, canavarı yendin.</t>
        </is>
      </c>
      <c r="I172" s="6" t="inlineStr">
        <is>
          <t>“Beş dakika” dedin. Annen “Tamam” dedi ve çayına daldı. Beş dakika on beş oldu, canavar yere serildi. Annen sonunda başını kaldırdı: “Bitti mi?” “Az önce” dedin.</t>
        </is>
      </c>
      <c r="J172" s="6" t="inlineStr">
        <is>
          <t>Beş dakika istedin; 'Yarın' dendi.</t>
        </is>
      </c>
      <c r="K172" s="6" t="inlineStr">
        <is>
          <t>“Beş dakika daha” dedin, sonra bir beş daha, sonra bir beş daha. Baban tableti alıp buzdolabının üstüne koydu: “Yarınki saatin de orada.”</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c r="AI172" s="5" t="inlineStr"/>
      <c r="AJ172" s="5" t="inlineStr"/>
    </row>
    <row r="173">
      <c r="A173" s="5" t="inlineStr">
        <is>
          <t>tablet-saati</t>
        </is>
      </c>
      <c r="B173" s="5" t="n">
        <v>3</v>
      </c>
      <c r="C173" s="6" t="inlineStr">
        <is>
          <t>Saati gizlice geri al</t>
        </is>
      </c>
      <c r="D173" s="5" t="inlineStr">
        <is>
          <t>Kurnazlık</t>
        </is>
      </c>
      <c r="E173" s="5" t="inlineStr">
        <is>
          <t>Zor</t>
        </is>
      </c>
      <c r="F173" s="5" t="inlineStr"/>
      <c r="G173" s="6" t="inlineStr"/>
      <c r="H173" s="6" t="inlineStr">
        <is>
          <t>Tabletin saati bir saat geri gitti. Canavar yenildi.</t>
        </is>
      </c>
      <c r="I173" s="6" t="inlineStr">
        <is>
          <t>Saati geri aldın, canavarı yendin, saati yine ileri aldın. Annen akşam “Bugün ne uslusun” dedi.</t>
        </is>
      </c>
      <c r="J173" s="6" t="inlineStr">
        <is>
          <t>Saati geri aldın; alarm çaldı.</t>
        </is>
      </c>
      <c r="K173" s="6" t="inlineStr">
        <is>
          <t>Saati geri aldın; tablet tarihi de geri aldı. Oyun kaydın üç gün önceye döndü. Canavar yine 61. dakikada seni bekliyor.</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c r="AI173" s="5" t="inlineStr"/>
      <c r="AJ173" s="5" t="inlineStr"/>
    </row>
    <row r="174">
      <c r="A174" s="5" t="inlineStr">
        <is>
          <t>tablet-saati</t>
        </is>
      </c>
      <c r="B174" s="5" t="n">
        <v>4</v>
      </c>
      <c r="C174" s="6" t="inlineStr">
        <is>
          <t>Ebeveyn kilidini çöz</t>
        </is>
      </c>
      <c r="D174" s="5" t="inlineStr">
        <is>
          <t>Akıl</t>
        </is>
      </c>
      <c r="E174" s="5" t="inlineStr">
        <is>
          <t>Zor</t>
        </is>
      </c>
      <c r="F174" s="5" t="inlineStr"/>
      <c r="G174" s="6" t="inlineStr"/>
      <c r="H174" s="6" t="inlineStr">
        <is>
          <t>Kilidi çözdün. Tablet artık istediğin an açılıyor; annen hâlâ kilidin çalıştığını sanıyor. İlk gece saat ikiye kadar oynadın, ertesi gün sıranın üstünde uyudun.</t>
        </is>
      </c>
      <c r="I174" s="6" t="inlineStr">
        <is>
          <t>Kilidi çözdün ve ailenin telefonuna ekran süresi koydun.</t>
        </is>
      </c>
      <c r="J174" s="6" t="inlineStr">
        <is>
          <t>Kilit çözülmedi; tablet 10 dakika kilitlendi.</t>
        </is>
      </c>
      <c r="K174" s="6" t="inlineStr">
        <is>
          <t>Kilidi çözmeye çalışırken tableti sıfırladın. Oyunlar, kayıtlar, babaannenin bayram videoları; hepsi gitti. Babaannen hâlâ soruyor: “Benim oynadığım video nerede?”</t>
        </is>
      </c>
      <c r="L174" s="6" t="inlineStr"/>
      <c r="M174" s="5" t="inlineStr"/>
      <c r="N174" s="5" t="inlineStr"/>
      <c r="O174" s="6" t="inlineStr"/>
      <c r="P174" s="6" t="inlineStr"/>
      <c r="Q174" s="5" t="inlineStr">
        <is>
          <t>Şifreyi Bilen</t>
        </is>
      </c>
      <c r="R174" s="5" t="inlineStr"/>
      <c r="S174" s="5" t="inlineStr"/>
      <c r="T174" s="5" t="inlineStr">
        <is>
          <t>Kilit Kırıcı</t>
        </is>
      </c>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c r="AI174" s="5" t="inlineStr"/>
      <c r="AJ174" s="5" t="inlineStr"/>
    </row>
    <row r="175">
      <c r="A175" s="5" t="inlineStr">
        <is>
          <t>veli-toplantisi</t>
        </is>
      </c>
      <c r="B175" s="5" t="n">
        <v>1</v>
      </c>
      <c r="C175" s="6" t="inlineStr">
        <is>
          <t>Kapıyı dinle</t>
        </is>
      </c>
      <c r="D175" s="5" t="inlineStr">
        <is>
          <t>Sosyal Radar</t>
        </is>
      </c>
      <c r="E175" s="5" t="inlineStr">
        <is>
          <t>Orta</t>
        </is>
      </c>
      <c r="F175" s="5" t="inlineStr"/>
      <c r="G175" s="6" t="inlineStr"/>
      <c r="H175" s="6" t="inlineStr">
        <is>
          <t>Kilit cümleleri duydun: 'zeki' ve 'biraz konuşkan'. Hazırlıklısın.</t>
        </is>
      </c>
      <c r="I175" s="6" t="inlineStr">
        <is>
          <t>Kulağını kapıya dayadın, her şeyi duydun: “zeki”, “biraz konuşkan”, “kalem kutusu”. Annen daha ağzını açmadan atıldın: “Kalem kutusu benim değildi.” Annen güldü, gerisini unuttu.</t>
        </is>
      </c>
      <c r="J175" s="6" t="inlineStr">
        <is>
          <t>Hiçbir şey duyamadın. Kapı çok kalınmış.</t>
        </is>
      </c>
      <c r="K175" s="6" t="inlineStr">
        <is>
          <t>Kapıya yaslandın, kapı açıldı, içeri düştün. Öğretmen hiç şaşırmadı, annene döndü: “İşte, bahsettiğim konu bu.”</t>
        </is>
      </c>
      <c r="L175" s="6" t="inlineStr"/>
      <c r="M175" s="5" t="inlineStr"/>
      <c r="N175" s="5" t="inlineStr"/>
      <c r="O175" s="6" t="inlineStr"/>
      <c r="P175" s="6" t="inlineStr"/>
      <c r="Q175" s="5" t="inlineStr"/>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c r="AI175" s="5" t="inlineStr"/>
      <c r="AJ175" s="5" t="inlineStr"/>
    </row>
    <row r="176">
      <c r="A176" s="5" t="inlineStr">
        <is>
          <t>veli-toplantisi</t>
        </is>
      </c>
      <c r="B176" s="5" t="n">
        <v>2</v>
      </c>
      <c r="C176" s="6" t="inlineStr">
        <is>
          <t>Öğretmene önceden çiçek götür</t>
        </is>
      </c>
      <c r="D176" s="5" t="inlineStr">
        <is>
          <t>Kurnazlık</t>
        </is>
      </c>
      <c r="E176" s="5" t="inlineStr">
        <is>
          <t>Orta</t>
        </is>
      </c>
      <c r="F176" s="5" t="inlineStr"/>
      <c r="G176" s="6" t="inlineStr"/>
      <c r="H176" s="6" t="inlineStr">
        <is>
          <t>Çiçek kabul edildi. Öğretmen “zayıf” diyecekken “gelişiyor” dedi.</t>
        </is>
      </c>
      <c r="I176" s="6" t="inlineStr">
        <is>
          <t>Öğretmen çiçeği vazoya koydu ve annene ilk cümle olarak “Ne kadar kibar bir çocuk” dedi. Annen o cümleyi akşam üç kişiye anlattı.</t>
        </is>
      </c>
      <c r="J176" s="6" t="inlineStr">
        <is>
          <t>Çiçeği verdin; öğretmen alerjikmiş.</t>
        </is>
      </c>
      <c r="K176" s="6" t="inlineStr">
        <is>
          <t>Çiçeği okul bahçesinden kopardın. Öğretmen çiçeği hemen tanıdı: kendi diktiği sardunyaydı.</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c r="AI176" s="5" t="inlineStr"/>
      <c r="AJ176" s="5" t="inlineStr"/>
    </row>
    <row r="177">
      <c r="A177" s="5" t="inlineStr">
        <is>
          <t>veli-toplantisi</t>
        </is>
      </c>
      <c r="B177" s="5" t="n">
        <v>3</v>
      </c>
      <c r="C177" s="6" t="inlineStr">
        <is>
          <t>Sonucu bekle</t>
        </is>
      </c>
      <c r="D177" s="5" t="inlineStr"/>
      <c r="E177" s="5" t="inlineStr"/>
      <c r="F177" s="5" t="inlineStr">
        <is>
          <t>Dayanıklılık +1</t>
        </is>
      </c>
      <c r="G177" s="6" t="inlineStr">
        <is>
          <t>Kapının önünde yirmi dakika bekledin, ayakkabı bağcığını üç kez bağladın. Annen çıktı, saçını okşadı, “Hadi eve” dedi. Ne konuşulduğunu yolda da söylemedi.</t>
        </is>
      </c>
      <c r="H177" s="6" t="inlineStr"/>
      <c r="I177" s="6" t="inlineStr"/>
      <c r="J177" s="6" t="inlineStr"/>
      <c r="K177" s="6" t="inlineStr"/>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c r="AI177" s="5" t="inlineStr"/>
      <c r="AJ177" s="5" t="inlineStr"/>
    </row>
    <row r="178">
      <c r="A178" s="5" t="inlineStr">
        <is>
          <t>veli-toplantisi</t>
        </is>
      </c>
      <c r="B178" s="5" t="n">
        <v>4</v>
      </c>
      <c r="C178" s="6" t="inlineStr">
        <is>
          <t>Annenin yüzünden sonucu oku</t>
        </is>
      </c>
      <c r="D178" s="5" t="inlineStr">
        <is>
          <t>Sosyal Radar</t>
        </is>
      </c>
      <c r="E178" s="5" t="inlineStr">
        <is>
          <t>Kolay</t>
        </is>
      </c>
      <c r="F178" s="5" t="inlineStr"/>
      <c r="G178" s="6" t="inlineStr"/>
      <c r="H178" s="6" t="inlineStr">
        <is>
          <t>Annen kapıdan çıktı; dudağının kenarı kıpırdıyordu, gülmemek için. Sonuç iyiydi. Eve dönerken simit aldınız.</t>
        </is>
      </c>
      <c r="I178" s="6" t="inlineStr">
        <is>
          <t>Yüz ifadesinden sadece sonucu değil, akşam yemeğini de tahmin ettin.</t>
        </is>
      </c>
      <c r="J178" s="6" t="inlineStr">
        <is>
          <t>Annenin yüzü hiçbir şey söylemiyordu.</t>
        </is>
      </c>
      <c r="K178" s="6" t="inlineStr">
        <is>
          <t>Annenin yüzünü “iyi” diye okudun, koşup boynuna sarıldın: “Ben demiştim!” Annen seni yavaşça indirdi: “Ne demiştin, anlat bakalım.” Eve kadar anlattın.</t>
        </is>
      </c>
      <c r="L178" s="6" t="inlineStr"/>
      <c r="M178" s="5" t="inlineStr"/>
      <c r="N178" s="5" t="inlineStr"/>
      <c r="O178" s="6" t="inlineStr"/>
      <c r="P178" s="6" t="inlineStr"/>
      <c r="Q178" s="5" t="inlineStr">
        <is>
          <t>Odayı Okur</t>
        </is>
      </c>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c r="AI178" s="5" t="inlineStr"/>
      <c r="AJ178" s="5" t="inlineStr"/>
    </row>
    <row r="179">
      <c r="A179" s="5" t="inlineStr">
        <is>
          <t>karne-gunu</t>
        </is>
      </c>
      <c r="B179" s="5" t="n">
        <v>1</v>
      </c>
      <c r="C179" s="6" t="inlineStr">
        <is>
          <t>Karneyi gururla göster</t>
        </is>
      </c>
      <c r="D179" s="5" t="inlineStr">
        <is>
          <t>Pişkinlik</t>
        </is>
      </c>
      <c r="E179" s="5" t="inlineStr">
        <is>
          <t>Kolay</t>
        </is>
      </c>
      <c r="F179" s="5" t="inlineStr"/>
      <c r="G179" s="6" t="inlineStr"/>
      <c r="H179" s="6" t="inlineStr">
        <is>
          <t>Karneyi kapıda notlara değil jestine baktırarak çıkardın. Annen güldü, baban karneyi balkondan alt komşuya salladı: “Bizimki!”</t>
        </is>
      </c>
      <c r="I179" s="6" t="inlineStr">
        <is>
          <t>Karneyi kapıda açtın; yüzündeki özgüven notları gölgede bıraktı. Annen fotoğrafını çekip aile grubuna attı; on dakikada otuz kalp ve babaannenin bir sesli mesajı geldi: “Bu bizim taraftan.”</t>
        </is>
      </c>
      <c r="J179" s="6" t="inlineStr">
        <is>
          <t>Karneyi gösterdin; en çok göze batan not senden önce konuştu.</t>
        </is>
      </c>
      <c r="K179" s="6" t="inlineStr">
        <is>
          <t>Karneyi kapıda gururla açtın; rüzgâr kaptı, alt komşunun balkonuna attı. Komşu teyze notları annenden önce okudu. Merdivenden, yüksek sesle.</t>
        </is>
      </c>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c r="AI179" s="5" t="inlineStr"/>
      <c r="AJ179" s="5" t="inlineStr"/>
    </row>
    <row r="180">
      <c r="A180" s="5" t="inlineStr">
        <is>
          <t>karne-gunu</t>
        </is>
      </c>
      <c r="B180" s="5" t="n">
        <v>2</v>
      </c>
      <c r="C180" s="6" t="inlineStr">
        <is>
          <t>Önce iyi haberleri anlat</t>
        </is>
      </c>
      <c r="D180" s="5" t="inlineStr">
        <is>
          <t>Çene</t>
        </is>
      </c>
      <c r="E180" s="5" t="inlineStr">
        <is>
          <t>Orta</t>
        </is>
      </c>
      <c r="F180" s="5" t="inlineStr"/>
      <c r="G180" s="6" t="inlineStr"/>
      <c r="H180" s="6" t="inlineStr">
        <is>
          <t>İyi haberlerle başladın; gerisi gölgede kaldı.</t>
        </is>
      </c>
      <c r="I180" s="6" t="inlineStr">
        <is>
          <t>“Öğretmenim benim için ‘ışık saçıyor’ dedi” diye başladın. Babaannen ağladı, baban harçlık verdi. Karne ertesi gün imzalandı; kimse açmadan.</t>
        </is>
      </c>
      <c r="J180" s="6" t="inlineStr">
        <is>
          <t>İyi haberleri anlattın; karne yine de açıldı.</t>
        </is>
      </c>
      <c r="K180" s="6" t="inlineStr">
        <is>
          <t>İyi haberle başladın: “Beden eğitiminden pekiyi aldım.” Baban “Başka?” dedi. Başka yoktu. Akşam yemeğinde tuzluğu bile işaretle istediniz.</t>
        </is>
      </c>
      <c r="L180" s="6" t="inlineStr"/>
      <c r="M180" s="5" t="inlineStr"/>
      <c r="N180" s="5" t="inlineStr"/>
      <c r="O180" s="6" t="inlineStr"/>
      <c r="P180" s="6" t="inlineStr"/>
      <c r="Q180" s="5" t="inlineStr"/>
      <c r="R180" s="5" t="inlineStr"/>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c r="AI180" s="5" t="inlineStr"/>
      <c r="AJ180" s="5" t="inlineStr"/>
    </row>
    <row r="181">
      <c r="A181" s="5" t="inlineStr">
        <is>
          <t>karne-gunu</t>
        </is>
      </c>
      <c r="B181" s="5" t="n">
        <v>3</v>
      </c>
      <c r="C181" s="6" t="inlineStr">
        <is>
          <t>İmzayı yarına ertele</t>
        </is>
      </c>
      <c r="D181" s="5" t="inlineStr">
        <is>
          <t>Kurnazlık</t>
        </is>
      </c>
      <c r="E181" s="5" t="inlineStr">
        <is>
          <t>Zor</t>
        </is>
      </c>
      <c r="F181" s="5" t="inlineStr"/>
      <c r="G181" s="6" t="inlineStr"/>
      <c r="H181" s="6" t="inlineStr">
        <is>
          <t>İmzayı bir gün erteledin. O bir günde odanı topladın, bulaşığı kuruladın, babaannene üç kez çay taşıdın. Ertesi gün karne açılınca annen önce odana baktı.</t>
        </is>
      </c>
      <c r="I181" s="6" t="inlineStr">
        <is>
          <t>Karne tatil boyunca 'kayıp' kaldı ve ilk gün imzalı bulundu. Kimse nasıl olduğunu sormadı.</t>
        </is>
      </c>
      <c r="J181" s="6" t="inlineStr">
        <is>
          <t>Ertelemeye çalıştın; öğretmen aradı.</t>
        </is>
      </c>
      <c r="K181" s="6" t="inlineStr">
        <is>
          <t>Karneyi çantanın en dibine sakladın. Akşam halanlar misafir geldi; kuzenin çantanı karıştırdı, karneyi buldu ve salonun ortasında yüksek sesle okudu. Matematiğe gelince halan çayını bıraktı.</t>
        </is>
      </c>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c r="AI181" s="5" t="inlineStr"/>
      <c r="AJ181" s="5" t="inlineStr"/>
    </row>
    <row r="182">
      <c r="A182" s="5" t="inlineStr">
        <is>
          <t>karne-gunu</t>
        </is>
      </c>
      <c r="B182" s="5" t="n">
        <v>4</v>
      </c>
      <c r="C182" s="6" t="inlineStr">
        <is>
          <t>Olduğu gibi ver</t>
        </is>
      </c>
      <c r="D182" s="5" t="inlineStr"/>
      <c r="E182" s="5" t="inlineStr"/>
      <c r="F182" s="5" t="inlineStr">
        <is>
          <t>İtibar +1</t>
        </is>
      </c>
      <c r="G182" s="6" t="inlineStr">
        <is>
          <t>Karneyi olduğu gibi verdin. Baban gözlüğünü taktı, annen çayı demledi. Karne buzdolabına asıldı; ne yazıyorsa o.</t>
        </is>
      </c>
      <c r="H182" s="6" t="inlineStr"/>
      <c r="I182" s="6" t="inlineStr"/>
      <c r="J182" s="6" t="inlineStr"/>
      <c r="K182" s="6" t="inlineStr"/>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c r="AI182" s="5" t="inlineStr"/>
      <c r="AJ182" s="5" t="inlineStr"/>
    </row>
    <row r="183">
      <c r="A183" s="5" t="inlineStr">
        <is>
          <t>karne-gunu</t>
        </is>
      </c>
      <c r="B183" s="5" t="n">
        <v>5</v>
      </c>
      <c r="C183" s="6" t="inlineStr">
        <is>
          <t>Karne hediyesini pazarlıkla büyüt</t>
        </is>
      </c>
      <c r="D183" s="5" t="inlineStr">
        <is>
          <t>Çene</t>
        </is>
      </c>
      <c r="E183" s="5" t="inlineStr">
        <is>
          <t>Orta</t>
        </is>
      </c>
      <c r="F183" s="5" t="inlineStr"/>
      <c r="G183" s="6" t="inlineStr"/>
      <c r="H183" s="6" t="inlineStr">
        <is>
          <t>Hediye pazarlığına oturdun: iki pekiyiye bir oyuncak, bir takdire iki. Babanın hesap makinesi çıktı.</t>
        </is>
      </c>
      <c r="I183" s="6" t="inlineStr">
        <is>
          <t>Karneden önce babana bir kâğıt imzalatmıştın: “Her pekiyiye bir dondurma.” Baban gülerek imzalamıştı. Temmuz ortasında bakkal dondurma dolabını yalnızca senin için doldurmaya başladı.</t>
        </is>
      </c>
      <c r="J183" s="6" t="inlineStr">
        <is>
          <t>Pazarlığa başladın; annen karneye baktı ve pazarlığı kapattı.</t>
        </is>
      </c>
      <c r="K183" s="6" t="inlineStr">
        <is>
          <t>Karneyi pazarlık kozu yaptın ama içinden bir “geliştirilmeli” çıktı. Baban hesap makinesini kapattı: “Hediye yok. Yaz okulu var.”</t>
        </is>
      </c>
      <c r="L183" s="6" t="inlineStr"/>
      <c r="M183" s="5" t="inlineStr"/>
      <c r="N183" s="5" t="inlineStr"/>
      <c r="O183" s="6" t="inlineStr"/>
      <c r="P183" s="6" t="inlineStr"/>
      <c r="Q183" s="5" t="inlineStr"/>
      <c r="R183" s="5" t="inlineStr">
        <is>
          <t>teneffus-tuccari</t>
        </is>
      </c>
      <c r="S183" s="5" t="inlineStr"/>
      <c r="T183" s="5" t="inlineStr"/>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c r="AI183" s="5" t="inlineStr"/>
      <c r="AJ183" s="5" t="inlineStr"/>
    </row>
    <row r="184">
      <c r="A184" s="5" t="inlineStr">
        <is>
          <t>b4-ilk-telefon</t>
        </is>
      </c>
      <c r="B184" s="5" t="n">
        <v>1</v>
      </c>
      <c r="C184" s="6" t="inlineStr">
        <is>
          <t>Kurallara uy</t>
        </is>
      </c>
      <c r="D184" s="5" t="inlineStr"/>
      <c r="E184" s="5" t="inlineStr"/>
      <c r="F184" s="5" t="inlineStr">
        <is>
          <t>İtibar +1</t>
        </is>
      </c>
      <c r="G184" s="6" t="inlineStr">
        <is>
          <t>Kurallara uydun: günde bir saat, yatakta telefon yok. Saat dolunca telefonu kendin uzattın. Annen babana döndü: “Bu bizim çocuk mu?”</t>
        </is>
      </c>
      <c r="H184" s="6" t="inlineStr"/>
      <c r="I184" s="6" t="inlineStr"/>
      <c r="J184" s="6" t="inlineStr"/>
      <c r="K184" s="6" t="inlineStr"/>
      <c r="L184" s="6" t="inlineStr"/>
      <c r="M184" s="5" t="inlineStr"/>
      <c r="N184" s="5" t="inlineStr"/>
      <c r="O184" s="6" t="inlineStr"/>
      <c r="P184" s="6" t="inlineStr"/>
      <c r="Q184" s="5" t="inlineStr"/>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c r="AI184" s="5" t="inlineStr"/>
      <c r="AJ184" s="5" t="inlineStr"/>
    </row>
    <row r="185">
      <c r="A185" s="5" t="inlineStr">
        <is>
          <t>b4-ilk-telefon</t>
        </is>
      </c>
      <c r="B185" s="5" t="n">
        <v>2</v>
      </c>
      <c r="C185" s="6" t="inlineStr">
        <is>
          <t>Ekran süresini pazarlık et</t>
        </is>
      </c>
      <c r="D185" s="5" t="inlineStr">
        <is>
          <t>Çene</t>
        </is>
      </c>
      <c r="E185" s="5" t="inlineStr">
        <is>
          <t>Orta</t>
        </is>
      </c>
      <c r="F185" s="5" t="inlineStr"/>
      <c r="G185" s="6" t="inlineStr"/>
      <c r="H185" s="6" t="inlineStr">
        <is>
          <t>Günlük süre bir buçuk saate çıktı. Baban şartları bir kâğıda yazıp buzdolabına astı; altında iki imza var.</t>
        </is>
      </c>
      <c r="I185" s="6" t="inlineStr">
        <is>
          <t>Hafta içi iki saat, hafta sonu serbest, bayramda sınırsız. Babana öyle hızlı okudun ki “Tamam, tamam” dedi. Annen akşam kâğıdı okuyunca babana baktı; baban telefonuna baktı.</t>
        </is>
      </c>
      <c r="J185" s="6" t="inlineStr">
        <is>
          <t>'Hafta sonu bakarız' denildi. Hafta sonu bakılmadı.</t>
        </is>
      </c>
      <c r="K185" s="6" t="inlineStr">
        <is>
          <t>Pazarlık uzadı, sesler yükseldi. Annen telefonu alıp vitrine, kristal şekerliğin yanına koydu: “Bir hafta.” Bir hafta boyunca telefonuna camın arkasından baktın.</t>
        </is>
      </c>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c r="AI185" s="5" t="inlineStr"/>
      <c r="AJ185" s="5" t="inlineStr"/>
    </row>
    <row r="186">
      <c r="A186" s="5" t="inlineStr">
        <is>
          <t>b4-ilk-telefon</t>
        </is>
      </c>
      <c r="B186" s="5" t="n">
        <v>3</v>
      </c>
      <c r="C186" s="6" t="inlineStr">
        <is>
          <t>Denetim şifresini çöz</t>
        </is>
      </c>
      <c r="D186" s="5" t="inlineStr">
        <is>
          <t>Kurnazlık</t>
        </is>
      </c>
      <c r="E186" s="5" t="inlineStr">
        <is>
          <t>Zor</t>
        </is>
      </c>
      <c r="F186" s="5" t="inlineStr"/>
      <c r="G186" s="6" t="inlineStr"/>
      <c r="H186" s="6" t="inlineStr">
        <is>
          <t>Denetim uygulaması hâlâ çalışıyor. Sadece artık senin için çalışıyor.</t>
        </is>
      </c>
      <c r="I186" s="6" t="inlineStr">
        <is>
          <t>Ailene her akşam 'Bugün 3 saat kitap okundu' raporu gidiyor. Ailen seninle gurur duyuyor. Evde kitap yok.</t>
        </is>
      </c>
      <c r="J186" s="6" t="inlineStr">
        <is>
          <t>Üç yanlış deneme. Telefon “Bir büyüğünden izin iste” yazdı. Babaannene götürdün; ekrana baktı, telefona eğildi: “Verdim, verdim, aç hadi!” Telefon inanmadı.</t>
        </is>
      </c>
      <c r="K186" s="6" t="inlineStr">
        <is>
          <t>Yanlış şifreyi o kadar çok denedin ki bütün aile cihazlarına 'Çocuğunuz denetimi aşmaya çalışıyor' bildirimi gitti. Babaanneninkine de.</t>
        </is>
      </c>
      <c r="L186" s="6" t="inlineStr"/>
      <c r="M186" s="5" t="inlineStr"/>
      <c r="N186" s="5" t="inlineStr"/>
      <c r="O186" s="6" t="inlineStr"/>
      <c r="P186" s="6" t="inlineStr"/>
      <c r="Q186" s="5" t="inlineStr"/>
      <c r="R186" s="5" t="inlineStr"/>
      <c r="S186" s="5" t="inlineStr">
        <is>
          <t>Kurnazlık</t>
        </is>
      </c>
      <c r="T186" s="5" t="inlineStr">
        <is>
          <t>Ekran Yerlisi</t>
        </is>
      </c>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c r="AI186" s="5" t="inlineStr"/>
      <c r="AJ186" s="5" t="inlineStr"/>
    </row>
    <row r="187">
      <c r="A187" s="5" t="inlineStr">
        <is>
          <t>b4-ilk-telefon</t>
        </is>
      </c>
      <c r="B187" s="5" t="n">
        <v>4</v>
      </c>
      <c r="C187" s="6" t="inlineStr">
        <is>
          <t>Dedenin telefonunu da kur</t>
        </is>
      </c>
      <c r="D187" s="5" t="inlineStr">
        <is>
          <t>Akıl</t>
        </is>
      </c>
      <c r="E187" s="5" t="inlineStr">
        <is>
          <t>Kolay</t>
        </is>
      </c>
      <c r="F187" s="5" t="inlineStr"/>
      <c r="G187" s="6" t="inlineStr"/>
      <c r="H187" s="6" t="inlineStr">
        <is>
          <t>Dedenin telefonunu da kurdun. Dede herkese “Torunum yaptı” diye gösteriyor. Artık bütün akrabalar telefonu bozulunca seni arıyor.</t>
        </is>
      </c>
      <c r="I187" s="6" t="inlineStr">
        <is>
          <t>Dedeye yazıyı büyütmeyi öğrettin. Dedenin ilk mesajı sana geldi: “GÖRÜYORUM.” Ertesi gün kapıda elinde harçlıkla seni bekliyordu.</t>
        </is>
      </c>
      <c r="J187" s="6" t="inlineStr">
        <is>
          <t>Dedenin telefonunda her şeyi ayarladın. Dede ertesi sabah hepsini sildi.</t>
        </is>
      </c>
      <c r="K187" s="6" t="inlineStr">
        <is>
          <t>Yanlış bir yere bastın; dede artık her mesajı sesli gönderiyor. Her birini. Sabah altıda.</t>
        </is>
      </c>
      <c r="L187" s="6" t="inlineStr"/>
      <c r="M187" s="5" t="inlineStr"/>
      <c r="N187" s="5" t="inlineStr"/>
      <c r="O187" s="6" t="inlineStr"/>
      <c r="P187" s="6" t="inlineStr"/>
      <c r="Q187" s="5" t="inlineStr">
        <is>
          <t>Şifreyi Bilen</t>
        </is>
      </c>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c r="AI187" s="5" t="inlineStr"/>
      <c r="AJ187" s="5" t="inlineStr"/>
    </row>
    <row r="188">
      <c r="A188" s="5" t="inlineStr">
        <is>
          <t>b4-aile-grubu</t>
        </is>
      </c>
      <c r="B188" s="5" t="n">
        <v>1</v>
      </c>
      <c r="C188" s="6" t="inlineStr">
        <is>
          <t>Grubu sessize al</t>
        </is>
      </c>
      <c r="D188" s="5" t="inlineStr"/>
      <c r="E188" s="5" t="inlineStr"/>
      <c r="F188" s="5" t="inlineStr">
        <is>
          <t>Kurnazlık +1</t>
        </is>
      </c>
      <c r="G188" s="6" t="inlineStr">
        <is>
          <t>Grubu bir yıllığına sessize aldın. Grup bunu fark etmedi. Sen de grubun ne dediğini.</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c r="AI188" s="5" t="inlineStr"/>
      <c r="AJ188" s="5" t="inlineStr"/>
    </row>
    <row r="189">
      <c r="A189" s="5" t="inlineStr">
        <is>
          <t>b4-aile-grubu</t>
        </is>
      </c>
      <c r="B189" s="5" t="n">
        <v>2</v>
      </c>
      <c r="C189" s="6" t="inlineStr">
        <is>
          <t>Herkese günaydın yaz</t>
        </is>
      </c>
      <c r="D189" s="5" t="inlineStr">
        <is>
          <t>Çene</t>
        </is>
      </c>
      <c r="E189" s="5" t="inlineStr">
        <is>
          <t>Kolay</t>
        </is>
      </c>
      <c r="F189" s="5" t="inlineStr"/>
      <c r="G189" s="6" t="inlineStr"/>
      <c r="H189" s="6" t="inlineStr">
        <is>
          <t>Günaydın yazdın. Dokuz teyze kalp bıraktı, babaannen sesli mesaj attı: “Kuzum benim, gözlerinden öperim.” Ertesi sabah grup senden yine günaydın bekledi.</t>
        </is>
      </c>
      <c r="I189" s="6" t="inlineStr">
        <is>
          <t>Günaydını çiçekli görselle attın; babaanne onu alıp başka bir aile grubuna iletti. Artık iki grupta ünlüsün.</t>
        </is>
      </c>
      <c r="J189" s="6" t="inlineStr">
        <is>
          <t>Günaydın yazdın. Saat 11.40'tı. Dayın cevap yazdı: “Tünaydın.”</t>
        </is>
      </c>
      <c r="K189" s="6" t="inlineStr">
        <is>
          <t>Otomatik düzeltme 'Günaydın'ı 'Gün bitti' yaptı. Üç akraba seni ayrı ayrı aradı.</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c r="AI189" s="5" t="inlineStr"/>
      <c r="AJ189" s="5" t="inlineStr"/>
    </row>
    <row r="190">
      <c r="A190" s="5" t="inlineStr">
        <is>
          <t>b4-aile-grubu</t>
        </is>
      </c>
      <c r="B190" s="5" t="n">
        <v>3</v>
      </c>
      <c r="C190" s="6" t="inlineStr">
        <is>
          <t>Grubun adını değiştir</t>
        </is>
      </c>
      <c r="D190" s="5" t="inlineStr">
        <is>
          <t>Pişkinlik</t>
        </is>
      </c>
      <c r="E190" s="5" t="inlineStr">
        <is>
          <t>Orta</t>
        </is>
      </c>
      <c r="F190" s="5" t="inlineStr"/>
      <c r="G190" s="6" t="inlineStr"/>
      <c r="H190" s="6" t="inlineStr">
        <is>
          <t>Grubun adı artık 'Aile Meclisi'. Kimse geri değiştiremiyor, çünkü kimse nasıl yapıldığını bilmiyor.</t>
        </is>
      </c>
      <c r="I190" s="6" t="inlineStr">
        <is>
          <t>Adı değiştirdin, kendini de yönetici yaptın. Babaannen fark etmedi; halan fark etti ama nasıl geri alınacağını bilmiyor.</t>
        </is>
      </c>
      <c r="J190" s="6" t="inlineStr">
        <is>
          <t>Halan on dakika içinde eski adı geri getirdi ve 'Bu kimin işi?' yazdı.</t>
        </is>
      </c>
      <c r="K190" s="6" t="inlineStr">
        <is>
          <t>Adı değiştirecekken gruptan çıktın. “… ayrıldı” yazısını 34 kişi gördü. On dakika içinde babaannen annene telefon açtı: “Çocuk bize küsmüş.”</t>
        </is>
      </c>
      <c r="L190" s="6" t="inlineStr"/>
      <c r="M190" s="5" t="inlineStr"/>
      <c r="N190" s="5" t="inlineStr"/>
      <c r="O190" s="6" t="inlineStr"/>
      <c r="P190" s="6" t="inlineStr"/>
      <c r="Q190" s="5" t="inlineStr"/>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c r="AI190" s="5" t="inlineStr"/>
      <c r="AJ190" s="5" t="inlineStr"/>
    </row>
    <row r="191">
      <c r="A191" s="5" t="inlineStr">
        <is>
          <t>b4-oyun-faturasi</t>
        </is>
      </c>
      <c r="B191" s="5" t="n">
        <v>1</v>
      </c>
      <c r="C191" s="6" t="inlineStr">
        <is>
          <t>Kılıçsız devam et</t>
        </is>
      </c>
      <c r="D191" s="5" t="inlineStr"/>
      <c r="E191" s="5" t="inlineStr"/>
      <c r="F191" s="5" t="inlineStr">
        <is>
          <t>Dayanıklılık +1</t>
        </is>
      </c>
      <c r="G191" s="6" t="inlineStr">
        <is>
          <t>Kılıçsız savaştın. Ejderha seni on bir kez yedi; on ikincide onu tahta sopayla yendin. Kimse inanmadı ama sen oradaydın.</t>
        </is>
      </c>
      <c r="H191" s="6" t="inlineStr"/>
      <c r="I191" s="6" t="inlineStr"/>
      <c r="J191" s="6" t="inlineStr"/>
      <c r="K191" s="6" t="inlineStr"/>
      <c r="L191" s="6" t="inlineStr"/>
      <c r="M191" s="5" t="inlineStr"/>
      <c r="N191" s="5" t="inlineStr"/>
      <c r="O191" s="6" t="inlineStr"/>
      <c r="P191" s="6" t="inlineStr"/>
      <c r="Q191" s="5" t="inlineStr"/>
      <c r="R191" s="5" t="inlineStr"/>
      <c r="S191" s="5" t="inlineStr"/>
      <c r="T191" s="5" t="inlineStr"/>
      <c r="U191" s="5" t="inlineStr"/>
      <c r="V191" s="5" t="inlineStr"/>
      <c r="W191" s="5" t="inlineStr"/>
      <c r="X191" s="5" t="inlineStr"/>
      <c r="Y191" s="5" t="inlineStr"/>
      <c r="Z191" s="6" t="inlineStr"/>
      <c r="AA191" s="5" t="inlineStr"/>
      <c r="AB191" s="5" t="inlineStr"/>
      <c r="AC191" s="5" t="inlineStr"/>
      <c r="AD191" s="5" t="inlineStr"/>
      <c r="AE191" s="5" t="inlineStr"/>
      <c r="AF191" s="5" t="inlineStr"/>
      <c r="AG191" s="5" t="inlineStr"/>
      <c r="AH191" s="5" t="inlineStr"/>
      <c r="AI191" s="5" t="inlineStr"/>
      <c r="AJ191" s="5" t="inlineStr"/>
    </row>
    <row r="192">
      <c r="A192" s="5" t="inlineStr">
        <is>
          <t>b4-oyun-faturasi</t>
        </is>
      </c>
      <c r="B192" s="5" t="n">
        <v>2</v>
      </c>
      <c r="C192" s="6" t="inlineStr">
        <is>
          <t>Ailenden izin iste</t>
        </is>
      </c>
      <c r="D192" s="5" t="inlineStr">
        <is>
          <t>Çene</t>
        </is>
      </c>
      <c r="E192" s="5" t="inlineStr">
        <is>
          <t>Orta</t>
        </is>
      </c>
      <c r="F192" s="5" t="inlineStr"/>
      <c r="G192" s="6" t="inlineStr"/>
      <c r="H192" s="6" t="inlineStr">
        <is>
          <t>“Sadece bu seferlik, söz” dedin. Annen telefona baktı, sana baktı, parmağını bastı: “Bu son. Karnede görüşürüz.”</t>
        </is>
      </c>
      <c r="I192" s="6" t="inlineStr">
        <is>
          <t>Kılıcın 'eğitim amaçlı' olduğunu anlattın. Kılıçla birlikte bir kalkan da onaylandı.</t>
        </is>
      </c>
      <c r="J192" s="6" t="inlineStr">
        <is>
          <t>Annen “Gerçek kılıç mı bu?” diye sordu. On dakika anlattın. Annen “Babana sor” dedi, baban “Annene sor” dedi.</t>
        </is>
      </c>
      <c r="K192" s="6" t="inlineStr">
        <is>
          <t>İzin istedin; annen hesap dökümünü açtı ve önceki üç 'küçük' alımı buldu. Sen de şaşırdın.</t>
        </is>
      </c>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c r="AI192" s="5" t="inlineStr"/>
      <c r="AJ192" s="5" t="inlineStr"/>
    </row>
    <row r="193">
      <c r="A193" s="5" t="inlineStr">
        <is>
          <t>b4-oyun-faturasi</t>
        </is>
      </c>
      <c r="B193" s="5" t="n">
        <v>3</v>
      </c>
      <c r="C193" s="6" t="inlineStr">
        <is>
          <t>Harçlıktan öde</t>
        </is>
      </c>
      <c r="D193" s="5" t="inlineStr">
        <is>
          <t>Akıl</t>
        </is>
      </c>
      <c r="E193" s="5" t="inlineStr">
        <is>
          <t>Kolay</t>
        </is>
      </c>
      <c r="F193" s="5" t="inlineStr"/>
      <c r="G193" s="6" t="inlineStr"/>
      <c r="H193" s="6" t="inlineStr">
        <is>
          <t>Yastığın altındaki harçlıkla ödedin. Yastığın altı bomboş ama kılıç parlıyor.</t>
        </is>
      </c>
      <c r="I193" s="6" t="inlineStr">
        <is>
          <t>Kılıcı aldın, bir hafta sonra oyun içi pazarda iki katına sattın. Yastık altı dijitalleşti.</t>
        </is>
      </c>
      <c r="J193" s="6" t="inlineStr">
        <is>
          <t>Kılıcı aldın. Ertesi gün güncellemeyle kılıçlar bedava oldu.</t>
        </is>
      </c>
      <c r="K193" s="6" t="inlineStr">
        <is>
          <t>'Otomatik yenile'yi işaretlemişsin. Kılıç her ay yeniden satın alınıyor. Hâlâ.</t>
        </is>
      </c>
      <c r="L193" s="6" t="inlineStr"/>
      <c r="M193" s="5" t="inlineStr"/>
      <c r="N193" s="5" t="inlineStr"/>
      <c r="O193" s="6" t="inlineStr"/>
      <c r="P193" s="6" t="inlineStr"/>
      <c r="Q193" s="5" t="inlineStr">
        <is>
          <t>Yastık Altı Ekonomisti</t>
        </is>
      </c>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c r="AI193" s="5" t="inlineStr"/>
      <c r="AJ193" s="5" t="inlineStr"/>
    </row>
    <row r="194">
      <c r="A194" s="5" t="inlineStr">
        <is>
          <t>b4-oyun-faturasi</t>
        </is>
      </c>
      <c r="B194" s="5" t="n">
        <v>4</v>
      </c>
      <c r="C194" s="6" t="inlineStr">
        <is>
          <t>Annen uyurken parmağını kullan</t>
        </is>
      </c>
      <c r="D194" s="5" t="inlineStr">
        <is>
          <t>Kurnazlık</t>
        </is>
      </c>
      <c r="E194" s="5" t="inlineStr">
        <is>
          <t>Zor</t>
        </is>
      </c>
      <c r="F194" s="5" t="inlineStr"/>
      <c r="G194" s="6" t="inlineStr"/>
      <c r="H194" s="6" t="inlineStr">
        <is>
          <t>Ödeme onaylandı. Annen uykusunda gülümsedi. Kılıç parlıyor.</t>
        </is>
      </c>
      <c r="I194" s="6" t="inlineStr">
        <is>
          <t>Kılıç, kalkan ve bir ejderha. Annen hâlâ uyuyor. Ekstrenin gelmesine yirmi sekiz gün var.</t>
        </is>
      </c>
      <c r="J194" s="6" t="inlineStr">
        <is>
          <t>Annen uyandı. Parmağı da.</t>
        </is>
      </c>
      <c r="K194" s="6" t="inlineStr">
        <is>
          <t>Annenin parmağıyla bir değil, yedi kez bastın. Ay sonunda baban ekstreyi mutfakta sesli okudu: “Ejderha… Ejderha… Ejderha…” Annen o gece parmağını yorganın altında sakladı.</t>
        </is>
      </c>
      <c r="L194" s="6" t="inlineStr"/>
      <c r="M194" s="5" t="inlineStr"/>
      <c r="N194" s="5" t="inlineStr"/>
      <c r="O194" s="6" t="inlineStr"/>
      <c r="P194" s="6" t="inlineStr"/>
      <c r="Q194" s="5" t="inlineStr"/>
      <c r="R194" s="5" t="inlineStr"/>
      <c r="S194" s="5" t="inlineStr">
        <is>
          <t>Kurnazlık</t>
        </is>
      </c>
      <c r="T194" s="5" t="inlineStr"/>
      <c r="U194" s="5" t="inlineStr"/>
      <c r="V194" s="5" t="inlineStr"/>
      <c r="W194" s="5" t="inlineStr">
        <is>
          <t>oyun-faturasi</t>
        </is>
      </c>
      <c r="X194" s="5" t="inlineStr"/>
      <c r="Y194" s="5" t="inlineStr"/>
      <c r="Z194" s="6" t="inlineStr"/>
      <c r="AA194" s="5" t="inlineStr"/>
      <c r="AB194" s="5" t="inlineStr"/>
      <c r="AC194" s="5" t="inlineStr"/>
      <c r="AD194" s="5" t="inlineStr"/>
      <c r="AE194" s="5" t="inlineStr"/>
      <c r="AF194" s="5" t="inlineStr"/>
      <c r="AG194" s="5" t="inlineStr"/>
      <c r="AH194" s="5" t="inlineStr"/>
      <c r="AI194" s="5" t="inlineStr"/>
      <c r="AJ194" s="5" t="inlineStr"/>
    </row>
    <row r="195">
      <c r="A195" s="5" t="inlineStr">
        <is>
          <t>b4-flut</t>
        </is>
      </c>
      <c r="B195" s="5" t="n">
        <v>1</v>
      </c>
      <c r="C195" s="6" t="inlineStr">
        <is>
          <t>Yalnızca derste çal</t>
        </is>
      </c>
      <c r="D195" s="5" t="inlineStr"/>
      <c r="E195" s="5" t="inlineStr"/>
      <c r="F195" s="5" t="inlineStr">
        <is>
          <t>İtibar +1</t>
        </is>
      </c>
      <c r="G195" s="6" t="inlineStr">
        <is>
          <t>Flütü yalnızca derste çaldın. Evde kimse sesini hiç duymadı. Yıl sonunda baban sordu: “Senin bir flütün vardı, ne oldu?”</t>
        </is>
      </c>
      <c r="H195" s="6" t="inlineStr"/>
      <c r="I195" s="6" t="inlineStr"/>
      <c r="J195" s="6" t="inlineStr"/>
      <c r="K195" s="6" t="inlineStr"/>
      <c r="L195" s="6" t="inlineStr"/>
      <c r="M195" s="5" t="inlineStr"/>
      <c r="N195" s="5" t="inlineStr"/>
      <c r="O195" s="6" t="inlineStr"/>
      <c r="P195" s="6" t="inlineStr"/>
      <c r="Q195" s="5" t="inlineStr"/>
      <c r="R195" s="5" t="inlineStr"/>
      <c r="S195" s="5" t="inlineStr"/>
      <c r="T195" s="5" t="inlineStr"/>
      <c r="U195" s="5" t="inlineStr"/>
      <c r="V195" s="5" t="inlineStr"/>
      <c r="W195" s="5" t="inlineStr"/>
      <c r="X195" s="5" t="inlineStr"/>
      <c r="Y195" s="5" t="inlineStr"/>
      <c r="Z195" s="6" t="inlineStr"/>
      <c r="AA195" s="5" t="inlineStr"/>
      <c r="AB195" s="5" t="inlineStr"/>
      <c r="AC195" s="5" t="inlineStr"/>
      <c r="AD195" s="5" t="inlineStr"/>
      <c r="AE195" s="5" t="inlineStr"/>
      <c r="AF195" s="5" t="inlineStr"/>
      <c r="AG195" s="5" t="inlineStr"/>
      <c r="AH195" s="5" t="inlineStr"/>
      <c r="AI195" s="5" t="inlineStr"/>
      <c r="AJ195" s="5" t="inlineStr"/>
    </row>
    <row r="196">
      <c r="A196" s="5" t="inlineStr">
        <is>
          <t>b4-flut</t>
        </is>
      </c>
      <c r="B196" s="5" t="n">
        <v>2</v>
      </c>
      <c r="C196" s="6" t="inlineStr">
        <is>
          <t>Her akşam çalış</t>
        </is>
      </c>
      <c r="D196" s="5" t="inlineStr">
        <is>
          <t>Dayanıklılık</t>
        </is>
      </c>
      <c r="E196" s="5" t="inlineStr">
        <is>
          <t>Orta</t>
        </is>
      </c>
      <c r="F196" s="5" t="inlineStr"/>
      <c r="G196" s="6" t="inlineStr"/>
      <c r="H196" s="6" t="inlineStr">
        <is>
          <t>Üç ayın sonunda bir şarkıyı baştan sona çalabiliyorsun. Komşular da biliyor. Hepsi.</t>
        </is>
      </c>
      <c r="I196" s="6" t="inlineStr">
        <is>
          <t>Okul konserinde solo verdin. Annen ağladı. Sevinçten, büyük ihtimalle.</t>
        </is>
      </c>
      <c r="J196" s="6" t="inlineStr">
        <is>
          <t>Her akşam çaldın. Apartman grubuna bir mesaj düştü: “Akşamları bir düdük sesi geliyor, kimde var bu düdük?” Annen okudu ama cevap yazmadı.</t>
        </is>
      </c>
      <c r="K196" s="6" t="inlineStr">
        <is>
          <t>Her akşam çaldın. Kedi evi terk etmeyi düşündü. Komşu kapıya kulak tıkacı bıraktı. İmzasız.</t>
        </is>
      </c>
      <c r="L196" s="6" t="inlineStr">
        <is>
          <t>Şarkının yarısını çaldın; diğer yarısını alt kattaki teyze tahmin etti.</t>
        </is>
      </c>
      <c r="M196" s="5" t="inlineStr">
        <is>
          <t>simon</t>
        </is>
      </c>
      <c r="N196" s="5" t="inlineStr">
        <is>
          <t>Flüt Notaları</t>
        </is>
      </c>
      <c r="O196" s="6" t="inlineStr">
        <is>
          <t>Sırayı dinle, aynı sırayla tekrar et.</t>
        </is>
      </c>
      <c r="P196" s="6" t="inlineStr">
        <is>
          <t>{"items": ["🔴", "🟡", "🟢", "🔵"]}</t>
        </is>
      </c>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c r="AI196" s="5" t="inlineStr"/>
      <c r="AJ196" s="5" t="inlineStr"/>
    </row>
    <row r="197">
      <c r="A197" s="5" t="inlineStr">
        <is>
          <t>b4-flut</t>
        </is>
      </c>
      <c r="B197" s="5" t="n">
        <v>3</v>
      </c>
      <c r="C197" s="6" t="inlineStr">
        <is>
          <t>Flütü 'kaybet'</t>
        </is>
      </c>
      <c r="D197" s="5" t="inlineStr">
        <is>
          <t>Kurnazlık</t>
        </is>
      </c>
      <c r="E197" s="5" t="inlineStr">
        <is>
          <t>Orta</t>
        </is>
      </c>
      <c r="F197" s="5" t="inlineStr"/>
      <c r="G197" s="6" t="inlineStr"/>
      <c r="H197" s="6" t="inlineStr">
        <is>
          <t>Flüt kayboldu. Öğretmen sana ritim tahtası verdi. Daha kötü müydü, emin değilsin.</t>
        </is>
      </c>
      <c r="I197" s="6" t="inlineStr">
        <is>
          <t>Flüt kayboldu, yenisi alınamadı. Öğretmen sana nota yazdırdı; o yıl müzikten pekiyi aldın, ev de huzurdan.</t>
        </is>
      </c>
      <c r="J197" s="6" t="inlineStr">
        <is>
          <t>Flüt kayboldu. Babaanne yenisini aldı. İki flütün var.</t>
        </is>
      </c>
      <c r="K197" s="6" t="inlineStr">
        <is>
          <t>Flütü kaybettin; babaanne kanepenin altından buldu ve öğretmene 'Bunu mu arıyordunuz?' diye getirdi.</t>
        </is>
      </c>
      <c r="L197" s="6" t="inlineStr"/>
      <c r="M197" s="5" t="inlineStr"/>
      <c r="N197" s="5" t="inlineStr"/>
      <c r="O197" s="6" t="inlineStr"/>
      <c r="P197" s="6" t="inlineStr"/>
      <c r="Q197" s="5" t="inlineStr"/>
      <c r="R197" s="5" t="inlineStr"/>
      <c r="S197" s="5" t="inlineStr"/>
      <c r="T197" s="5" t="inlineStr"/>
      <c r="U197" s="5" t="inlineStr"/>
      <c r="V197" s="5" t="inlineStr"/>
      <c r="W197" s="5" t="inlineStr">
        <is>
          <t>yalanci</t>
        </is>
      </c>
      <c r="X197" s="5" t="inlineStr"/>
      <c r="Y197" s="5" t="inlineStr"/>
      <c r="Z197" s="6" t="inlineStr"/>
      <c r="AA197" s="5" t="inlineStr"/>
      <c r="AB197" s="5" t="inlineStr"/>
      <c r="AC197" s="5" t="inlineStr"/>
      <c r="AD197" s="5" t="inlineStr"/>
      <c r="AE197" s="5" t="inlineStr"/>
      <c r="AF197" s="5" t="inlineStr"/>
      <c r="AG197" s="5" t="inlineStr"/>
      <c r="AH197" s="5" t="inlineStr"/>
      <c r="AI197" s="5" t="inlineStr"/>
      <c r="AJ197" s="5" t="inlineStr"/>
    </row>
    <row r="198">
      <c r="A198" s="5" t="inlineStr">
        <is>
          <t>b4-flut</t>
        </is>
      </c>
      <c r="B198" s="5" t="n">
        <v>4</v>
      </c>
      <c r="C198" s="6" t="inlineStr">
        <is>
          <t>Okul gösterisinde solo iste</t>
        </is>
      </c>
      <c r="D198" s="5" t="inlineStr">
        <is>
          <t>Pişkinlik</t>
        </is>
      </c>
      <c r="E198" s="5" t="inlineStr">
        <is>
          <t>Zor</t>
        </is>
      </c>
      <c r="F198" s="5" t="inlineStr"/>
      <c r="G198" s="6" t="inlineStr"/>
      <c r="H198" s="6" t="inlineStr">
        <is>
          <t>Solo verildi. Sahnede üç nota çaldın; üçü de doğruydu. Babaannen üç kez alkışladı, her notaya bir.</t>
        </is>
      </c>
      <c r="I198" s="6" t="inlineStr">
        <is>
          <t>Solon o kadar iyi geçti ki okulun bütün törenleri artık seninle açılıyor.</t>
        </is>
      </c>
      <c r="J198" s="6" t="inlineStr">
        <is>
          <t>Solo istedin; öğretmen seni 'ikinci flüt' yaptı. İkinci flüt yok. Sensin.</t>
        </is>
      </c>
      <c r="K198" s="6" t="inlineStr">
        <is>
          <t>Solonun ortasında flütten nota değil hıçkırık çıktı. Salon güldü, sonra alkışladı. Okulda adın artık “Hıçkıran Flüt”.</t>
        </is>
      </c>
      <c r="L198" s="6" t="inlineStr"/>
      <c r="M198" s="5" t="inlineStr"/>
      <c r="N198" s="5" t="inlineStr"/>
      <c r="O198" s="6" t="inlineStr"/>
      <c r="P198" s="6" t="inlineStr"/>
      <c r="Q198" s="5" t="inlineStr">
        <is>
          <t>Sahne Sever</t>
        </is>
      </c>
      <c r="R198" s="5" t="inlineStr"/>
      <c r="S198" s="5" t="inlineStr"/>
      <c r="T198" s="5" t="inlineStr"/>
      <c r="U198" s="5" t="inlineStr"/>
      <c r="V198" s="5" t="inlineStr"/>
      <c r="W198" s="5" t="inlineStr">
        <is>
          <t>lakapli</t>
        </is>
      </c>
      <c r="X198" s="5" t="inlineStr"/>
      <c r="Y198" s="5" t="inlineStr"/>
      <c r="Z198" s="6" t="inlineStr"/>
      <c r="AA198" s="5" t="inlineStr"/>
      <c r="AB198" s="5" t="inlineStr"/>
      <c r="AC198" s="5" t="inlineStr"/>
      <c r="AD198" s="5" t="inlineStr"/>
      <c r="AE198" s="5" t="inlineStr"/>
      <c r="AF198" s="5" t="inlineStr"/>
      <c r="AG198" s="5" t="inlineStr"/>
      <c r="AH198" s="5" t="inlineStr"/>
      <c r="AI198" s="5" t="inlineStr">
        <is>
          <t>Hıçkıran Flüt</t>
        </is>
      </c>
      <c r="AJ198" s="5" t="inlineStr"/>
    </row>
    <row r="199">
      <c r="A199" s="5" t="inlineStr">
        <is>
          <t>b4-sinif-grubu</t>
        </is>
      </c>
      <c r="B199" s="5" t="n">
        <v>1</v>
      </c>
      <c r="C199" s="6" t="inlineStr">
        <is>
          <t>Hiçbir şey yazma</t>
        </is>
      </c>
      <c r="D199" s="5" t="inlineStr"/>
      <c r="E199" s="5" t="inlineStr"/>
      <c r="F199" s="5" t="inlineStr">
        <is>
          <t>Sosyal Radar +1</t>
        </is>
      </c>
      <c r="G199" s="6" t="inlineStr">
        <is>
          <t>Okudun, yazmadın. Ertesi gün üç kişi ayrı ayrı “Sen bir şey yazmadın, değil mi?” diye sordu. Bütün sırlar artık sende.</t>
        </is>
      </c>
      <c r="H199" s="6" t="inlineStr"/>
      <c r="I199" s="6" t="inlineStr"/>
      <c r="J199" s="6" t="inlineStr"/>
      <c r="K199" s="6" t="inlineStr"/>
      <c r="L199" s="6" t="inlineStr"/>
      <c r="M199" s="5" t="inlineStr"/>
      <c r="N199" s="5" t="inlineStr"/>
      <c r="O199" s="6" t="inlineStr"/>
      <c r="P199" s="6" t="inlineStr"/>
      <c r="Q199" s="5" t="inlineStr"/>
      <c r="R199" s="5" t="inlineStr"/>
      <c r="S199" s="5" t="inlineStr"/>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c r="AI199" s="5" t="inlineStr"/>
      <c r="AJ199" s="5" t="inlineStr"/>
    </row>
    <row r="200">
      <c r="A200" s="5" t="inlineStr">
        <is>
          <t>b4-sinif-grubu</t>
        </is>
      </c>
      <c r="B200" s="5" t="n">
        <v>2</v>
      </c>
      <c r="C200" s="6" t="inlineStr">
        <is>
          <t>Mesajları süz</t>
        </is>
      </c>
      <c r="D200" s="5" t="inlineStr">
        <is>
          <t>Sosyal Radar</t>
        </is>
      </c>
      <c r="E200" s="5" t="inlineStr">
        <is>
          <t>Zor</t>
        </is>
      </c>
      <c r="F200" s="5" t="inlineStr"/>
      <c r="G200" s="6" t="inlineStr"/>
      <c r="H200" s="6" t="inlineStr">
        <is>
          <t>Gönderdiğin her şey işe yaradı, sildiğin her şey silinmeyi hak etti. Grup seni yönetici sanıyor.</t>
        </is>
      </c>
      <c r="I200" s="6" t="inlineStr">
        <is>
          <t>Gece yarısı kaynayan grupta tek bir mesaj attın: “Yarın matematik kitabını getirmeyi unutmayın.” Ertesi sabah bütün sınıf kitapla geldi. Öğretmen şaşırdı: “Ne oldu size?”</t>
        </is>
      </c>
      <c r="J200" s="6" t="inlineStr">
        <is>
          <t>Doğru mesajları gönderdin, bir tane yanlışı da. Hangisi olduğunu herkes biliyor.</t>
        </is>
      </c>
      <c r="K200" s="6" t="inlineStr">
        <is>
          <t>Öğretmenin hırkası hakkındaki mesaj gitti. Ertesi gün öğretmen o hırkayla derse girdi ve sadece sana baktı.</t>
        </is>
      </c>
      <c r="L200" s="6" t="inlineStr">
        <is>
          <t>Çoğunu doğru ayırdın. Bir mesaj 'Bu mesaj silindi' olarak kaldı; en çok o konuşuldu.</t>
        </is>
      </c>
      <c r="M200" s="5" t="inlineStr">
        <is>
          <t>hidden</t>
        </is>
      </c>
      <c r="N200" s="5" t="inlineStr">
        <is>
          <t>Önemli Mesaj</t>
        </is>
      </c>
      <c r="O200" s="6" t="inlineStr">
        <is>
          <t>Yüzlerce mesajın içinde tek önemli olanı (❗) bul.</t>
        </is>
      </c>
      <c r="P200" s="6" t="inlineStr">
        <is>
          <t>{"target": "❗", "decoys": ["💬", "😂", "👍", "🎉", "📷"]}</t>
        </is>
      </c>
      <c r="Q200" s="5" t="inlineStr"/>
      <c r="R200" s="5" t="inlineStr"/>
      <c r="S200" s="5" t="inlineStr"/>
      <c r="T200" s="5" t="inlineStr">
        <is>
          <t>Grup Diplomatı</t>
        </is>
      </c>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c r="AI200" s="5" t="inlineStr"/>
      <c r="AJ200" s="5" t="inlineStr"/>
    </row>
    <row r="201">
      <c r="A201" s="5" t="inlineStr">
        <is>
          <t>b4-sinif-grubu</t>
        </is>
      </c>
      <c r="B201" s="5" t="n">
        <v>3</v>
      </c>
      <c r="C201" s="6" t="inlineStr">
        <is>
          <t>Dram başlat</t>
        </is>
      </c>
      <c r="D201" s="5" t="inlineStr">
        <is>
          <t>Pişkinlik</t>
        </is>
      </c>
      <c r="E201" s="5" t="inlineStr">
        <is>
          <t>Orta</t>
        </is>
      </c>
      <c r="F201" s="5" t="inlineStr"/>
      <c r="G201" s="6" t="inlineStr"/>
      <c r="H201" s="6" t="inlineStr">
        <is>
          <t>“Burada yazılanlar dışarı gidiyor, dikkat!” yazdın. Grup iki saat sustu. Sonra biri “Kim götürüyor?” diye sordu, herkes birbirinden şüphelendi. Sen uyudun.</t>
        </is>
      </c>
      <c r="I201" s="6" t="inlineStr">
        <is>
          <t>Taraflar oluştu, iki taraf da sana yazdı. Gece boyunca iki ayrı özel mesajda iki ayrı arkadaş oldun. Ertesi gün ikisi de yanına oturdu.</t>
        </is>
      </c>
      <c r="J201" s="6" t="inlineStr">
        <is>
          <t>Dram başlattın; kimse katılmadı. Mesajın okundu ve orada öylece kaldı.</t>
        </is>
      </c>
      <c r="K201" s="6" t="inlineStr">
        <is>
          <t>Bütün grup sana döndü. Ertesi gün 'Asıl Sınıf Grubu' diye yeni bir grup kuruldu. Sen yoksun.</t>
        </is>
      </c>
      <c r="L201" s="6" t="inlineStr"/>
      <c r="M201" s="5" t="inlineStr"/>
      <c r="N201" s="5" t="inlineStr"/>
      <c r="O201" s="6" t="inlineStr"/>
      <c r="P201" s="6" t="inlineStr"/>
      <c r="Q201" s="5" t="inlineStr"/>
      <c r="R201" s="5" t="inlineStr"/>
      <c r="S201" s="5" t="inlineStr"/>
      <c r="T201" s="5" t="inlineStr"/>
      <c r="U201" s="5" t="inlineStr"/>
      <c r="V201" s="5" t="inlineStr"/>
      <c r="W201" s="5" t="inlineStr"/>
      <c r="X201" s="5" t="inlineStr"/>
      <c r="Y201" s="5" t="inlineStr"/>
      <c r="Z201" s="6" t="inlineStr"/>
      <c r="AA201" s="5" t="inlineStr"/>
      <c r="AB201" s="5" t="inlineStr"/>
      <c r="AC201" s="5" t="inlineStr"/>
      <c r="AD201" s="5" t="inlineStr"/>
      <c r="AE201" s="5" t="inlineStr"/>
      <c r="AF201" s="5" t="inlineStr"/>
      <c r="AG201" s="5" t="inlineStr"/>
      <c r="AH201" s="5" t="inlineStr"/>
      <c r="AI201" s="5" t="inlineStr"/>
      <c r="AJ201" s="5" t="inlineStr"/>
    </row>
    <row r="202">
      <c r="A202" s="5" t="inlineStr">
        <is>
          <t>b4-sinif-grubu</t>
        </is>
      </c>
      <c r="B202" s="5" t="n">
        <v>4</v>
      </c>
      <c r="C202" s="6" t="inlineStr">
        <is>
          <t>Öğretmenin kızını özelden uyar</t>
        </is>
      </c>
      <c r="D202" s="5" t="inlineStr">
        <is>
          <t>Sosyal Radar</t>
        </is>
      </c>
      <c r="E202" s="5" t="inlineStr">
        <is>
          <t>Kolay</t>
        </is>
      </c>
      <c r="F202" s="5" t="inlineStr"/>
      <c r="G202" s="6" t="inlineStr"/>
      <c r="H202" s="6" t="inlineStr">
        <is>
          <t>Özelden 'Bu grubu annene gösterme lütfen' yazdın. Anlaşma sağlandı.</t>
        </is>
      </c>
      <c r="I202" s="6" t="inlineStr">
        <is>
          <t>Özelden yazdın. Ertesi gün teneffüste öğretmenin kızı sana bir gofret uzattı: “Annem gruptan haberdar. Ama senin adın geçmedi.”</t>
        </is>
      </c>
      <c r="J202" s="6" t="inlineStr">
        <is>
          <t>Uyardın; o da ekran görüntüsünü annesine 'Bak, uyardılar' diye attı.</t>
        </is>
      </c>
      <c r="K202" s="6" t="inlineStr">
        <is>
          <t>Özelden yazacaktın, gruba yazdın: 'Öğretmenin kızı bu grupta mı?' Otuz sekiz kişi okudu, bir kişi annesine iletti.</t>
        </is>
      </c>
      <c r="L202" s="6" t="inlineStr"/>
      <c r="M202" s="5" t="inlineStr"/>
      <c r="N202" s="5" t="inlineStr"/>
      <c r="O202" s="6" t="inlineStr"/>
      <c r="P202" s="6" t="inlineStr"/>
      <c r="Q202" s="5" t="inlineStr"/>
      <c r="R202" s="5" t="inlineStr"/>
      <c r="S202" s="5" t="inlineStr">
        <is>
          <t>Sosyal Radar</t>
        </is>
      </c>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c r="AI202" s="5" t="inlineStr"/>
      <c r="AJ202" s="5" t="inlineStr"/>
    </row>
    <row r="203">
      <c r="A203" s="5" t="inlineStr">
        <is>
          <t>b4-kisa-video</t>
        </is>
      </c>
      <c r="B203" s="5" t="n">
        <v>1</v>
      </c>
      <c r="C203" s="6" t="inlineStr">
        <is>
          <t>İzle, beğen, geç</t>
        </is>
      </c>
      <c r="D203" s="5" t="inlineStr"/>
      <c r="E203" s="5" t="inlineStr"/>
      <c r="F203" s="5" t="inlineStr">
        <is>
          <t>Akıl +1</t>
        </is>
      </c>
      <c r="G203" s="6" t="inlineStr">
        <is>
          <t>Üç saat dans videosu izledin, hiçbirini yapmadın. Sabah aynanın karşısında kollarını salladın; annen kapıdan baktı ve sessizce kapattı.</t>
        </is>
      </c>
      <c r="H203" s="6" t="inlineStr"/>
      <c r="I203" s="6" t="inlineStr"/>
      <c r="J203" s="6" t="inlineStr"/>
      <c r="K203" s="6" t="inlineStr"/>
      <c r="L203" s="6" t="inlineStr"/>
      <c r="M203" s="5" t="inlineStr"/>
      <c r="N203" s="5" t="inlineStr"/>
      <c r="O203" s="6" t="inlineStr"/>
      <c r="P203" s="6" t="inlineStr"/>
      <c r="Q203" s="5" t="inlineStr"/>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c r="AI203" s="5" t="inlineStr"/>
      <c r="AJ203" s="5" t="inlineStr"/>
    </row>
    <row r="204">
      <c r="A204" s="5" t="inlineStr">
        <is>
          <t>b4-kisa-video</t>
        </is>
      </c>
      <c r="B204" s="5" t="n">
        <v>2</v>
      </c>
      <c r="C204" s="6" t="inlineStr">
        <is>
          <t>Dansı çek</t>
        </is>
      </c>
      <c r="D204" s="5" t="inlineStr">
        <is>
          <t>Pişkinlik</t>
        </is>
      </c>
      <c r="E204" s="5" t="inlineStr">
        <is>
          <t>Orta</t>
        </is>
      </c>
      <c r="F204" s="5" t="inlineStr"/>
      <c r="G204" s="6" t="inlineStr"/>
      <c r="H204" s="6" t="inlineStr">
        <is>
          <t>Video 400 kez izlendi. 380'i annen.</t>
        </is>
      </c>
      <c r="I204" s="6" t="inlineStr">
        <is>
          <t>Videonu başka bir şehirde, hiç tanımadığın bir çocuk taklit etti ve altına seni etiketledi: “Asıl sahibi bu.” Babaannen herkese “Torunum ünlü” diyor; hangi video olduğunu soran olmadı.</t>
        </is>
      </c>
      <c r="J204" s="6" t="inlineStr">
        <is>
          <t>Dansın ortasında babaannen kadraja girdi, elinde çay. Video onun videosu oldu.</t>
        </is>
      </c>
      <c r="K204" s="6" t="inlineStr">
        <is>
          <t>“Yalnızca ben” diye paylaştığını sandın; “Herkes” diye paylaşmışsın. Ertesi gün okul dansı teneffüste sana geri yaptı. Yeni adın: “Yalnızca Ben”.</t>
        </is>
      </c>
      <c r="L204" s="6" t="inlineStr"/>
      <c r="M204" s="5" t="inlineStr"/>
      <c r="N204" s="5" t="inlineStr"/>
      <c r="O204" s="6" t="inlineStr"/>
      <c r="P204" s="6" t="inlineStr"/>
      <c r="Q204" s="5" t="inlineStr"/>
      <c r="R204" s="5" t="inlineStr"/>
      <c r="S204" s="5" t="inlineStr"/>
      <c r="T204" s="5" t="inlineStr"/>
      <c r="U204" s="5" t="inlineStr"/>
      <c r="V204" s="5" t="inlineStr"/>
      <c r="W204" s="5" t="inlineStr">
        <is>
          <t>lakapli</t>
        </is>
      </c>
      <c r="X204" s="5" t="inlineStr"/>
      <c r="Y204" s="5" t="inlineStr"/>
      <c r="Z204" s="6" t="inlineStr"/>
      <c r="AA204" s="5" t="inlineStr"/>
      <c r="AB204" s="5" t="inlineStr"/>
      <c r="AC204" s="5" t="inlineStr"/>
      <c r="AD204" s="5" t="inlineStr"/>
      <c r="AE204" s="5" t="inlineStr"/>
      <c r="AF204" s="5" t="inlineStr"/>
      <c r="AG204" s="5" t="inlineStr"/>
      <c r="AH204" s="5" t="inlineStr"/>
      <c r="AI204" s="5" t="inlineStr"/>
      <c r="AJ204" s="5" t="inlineStr"/>
    </row>
    <row r="205">
      <c r="A205" s="5" t="inlineStr">
        <is>
          <t>b4-kisa-video</t>
        </is>
      </c>
      <c r="B205" s="5" t="n">
        <v>3</v>
      </c>
      <c r="C205" s="6" t="inlineStr">
        <is>
          <t>Trendin parodisini çek</t>
        </is>
      </c>
      <c r="D205" s="5" t="inlineStr">
        <is>
          <t>Kurnazlık</t>
        </is>
      </c>
      <c r="E205" s="5" t="inlineStr">
        <is>
          <t>Orta</t>
        </is>
      </c>
      <c r="F205" s="5" t="inlineStr"/>
      <c r="G205" s="6" t="inlineStr"/>
      <c r="H205" s="6" t="inlineStr">
        <is>
          <t>Dansı babanın kravatıyla, ciddi ciddi yaptın. Yorumlar: “Bu çocuk büyüyünce müdür olur.” Baban kravatını bir hafta aradı.</t>
        </is>
      </c>
      <c r="I205" s="6" t="inlineStr">
        <is>
          <t>Parodin asıl trendden çok izlendi. Trendi başlatan çocuk sana özelden 'Neden?' yazdı.</t>
        </is>
      </c>
      <c r="J205" s="6" t="inlineStr">
        <is>
          <t>Parodi anlaşılmadı. Yorumlar: 'Dans güzel ama biraz sert.'</t>
        </is>
      </c>
      <c r="K205" s="6" t="inlineStr">
        <is>
          <t>Parodinin parodisi yapıldı, onun da parodisi. Zincirin en altında, en az izlenen sensin.</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c r="AI205" s="5" t="inlineStr"/>
      <c r="AJ205" s="5" t="inlineStr"/>
    </row>
    <row r="206">
      <c r="A206" s="5" t="inlineStr">
        <is>
          <t>b4-kisa-video</t>
        </is>
      </c>
      <c r="B206" s="5" t="n">
        <v>4</v>
      </c>
      <c r="C206" s="6" t="inlineStr">
        <is>
          <t>Babaanneyi de çek</t>
        </is>
      </c>
      <c r="D206" s="5" t="inlineStr">
        <is>
          <t>Çene</t>
        </is>
      </c>
      <c r="E206" s="5" t="inlineStr">
        <is>
          <t>Kolay</t>
        </is>
      </c>
      <c r="F206" s="5" t="inlineStr"/>
      <c r="G206" s="6" t="inlineStr"/>
      <c r="H206" s="6" t="inlineStr">
        <is>
          <t>Babaanneye dansı öğrettin. Video ondan çok izlendi; sen menajer oldun.</t>
        </is>
      </c>
      <c r="I206" s="6" t="inlineStr">
        <is>
          <t>Babaannenin videosu bütün aile gruplarında dolaştı. Babaannenin artık hayranları var, senin yüzde onun.</t>
        </is>
      </c>
      <c r="J206" s="6" t="inlineStr">
        <is>
          <t>Babaanne adımları öğrendi ama çekime girmedi. 'Ben bunu akşam dizisinde gördüm' dedi, konu kapandı.</t>
        </is>
      </c>
      <c r="K206" s="6" t="inlineStr">
        <is>
          <t>Babaanne dansı kusursuz yaptı, sen arkada yere düştün. Video o düşüşle ünlendi.</t>
        </is>
      </c>
      <c r="L206" s="6" t="inlineStr"/>
      <c r="M206" s="5" t="inlineStr"/>
      <c r="N206" s="5" t="inlineStr"/>
      <c r="O206" s="6" t="inlineStr"/>
      <c r="P206" s="6" t="inlineStr"/>
      <c r="Q206" s="5" t="inlineStr">
        <is>
          <t>Sahne Sever</t>
        </is>
      </c>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c r="AI206" s="5" t="inlineStr"/>
      <c r="AJ206" s="5" t="inlineStr"/>
    </row>
    <row r="207">
      <c r="A207" s="5" t="inlineStr">
        <is>
          <t>b4-kuzen-kiyaslama</t>
        </is>
      </c>
      <c r="B207" s="5" t="n">
        <v>1</v>
      </c>
      <c r="C207" s="6" t="inlineStr">
        <is>
          <t>Kuzenini tebrik et</t>
        </is>
      </c>
      <c r="D207" s="5" t="inlineStr"/>
      <c r="E207" s="5" t="inlineStr"/>
      <c r="F207" s="5" t="inlineStr">
        <is>
          <t>Gönül +1</t>
        </is>
      </c>
      <c r="G207" s="6" t="inlineStr">
        <is>
          <t>Kuzenini tebrik ettin. Kuzen şaşırdı; bunu ona ilk söyleyen aile üyesi sendin.</t>
        </is>
      </c>
      <c r="H207" s="6" t="inlineStr"/>
      <c r="I207" s="6" t="inlineStr"/>
      <c r="J207" s="6" t="inlineStr"/>
      <c r="K207" s="6" t="inlineStr"/>
      <c r="L207" s="6" t="inlineStr"/>
      <c r="M207" s="5" t="inlineStr"/>
      <c r="N207" s="5" t="inlineStr"/>
      <c r="O207" s="6" t="inlineStr"/>
      <c r="P207" s="6" t="inlineStr"/>
      <c r="Q207" s="5" t="inlineStr"/>
      <c r="R207" s="5" t="inlineStr"/>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c r="AI207" s="5" t="inlineStr"/>
      <c r="AJ207" s="5" t="inlineStr"/>
    </row>
    <row r="208">
      <c r="A208" s="5" t="inlineStr">
        <is>
          <t>b4-kuzen-kiyaslama</t>
        </is>
      </c>
      <c r="B208" s="5" t="n">
        <v>2</v>
      </c>
      <c r="C208" s="6" t="inlineStr">
        <is>
          <t>Karşı hamle yap</t>
        </is>
      </c>
      <c r="D208" s="5" t="inlineStr">
        <is>
          <t>Çene</t>
        </is>
      </c>
      <c r="E208" s="5" t="inlineStr">
        <is>
          <t>Orta</t>
        </is>
      </c>
      <c r="F208" s="5" t="inlineStr"/>
      <c r="G208" s="6" t="inlineStr"/>
      <c r="H208" s="6" t="inlineStr">
        <is>
          <t>“Ben de bilim fuarına hazırlanıyorum” dedin. Enişten çatalı bıraktı: “Neyle ilgili?” Yirmi dakika anlattın. Fuarın konusu daha belli bile değildi.</t>
        </is>
      </c>
      <c r="I208" s="6" t="inlineStr">
        <is>
          <t>Başarılarını öyle sundun ki teyzen konuyu değiştirdi ve 'Çay isteyen?' diye kalktı.</t>
        </is>
      </c>
      <c r="J208" s="6" t="inlineStr">
        <is>
          <t>Başarılarını saydın. Bitince teyzen 'Ha, bir de yüzmede ikinci oldu' dedi.</t>
        </is>
      </c>
      <c r="K208" s="6" t="inlineStr">
        <is>
          <t>“Ben de piyano çalıyorum” dedin. Teyzen salonun köşesindeki örtüyü kaldırdı; altından piyano çıktı. “Çal bakalım.” Tek parmakla doğum günü şarkısını çaldın. O gün kimsenin doğum günü değildi.</t>
        </is>
      </c>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c r="AI208" s="5" t="inlineStr"/>
      <c r="AJ208" s="5" t="inlineStr"/>
    </row>
    <row r="209">
      <c r="A209" s="5" t="inlineStr">
        <is>
          <t>b4-kuzen-kiyaslama</t>
        </is>
      </c>
      <c r="B209" s="5" t="n">
        <v>3</v>
      </c>
      <c r="C209" s="6" t="inlineStr">
        <is>
          <t>Kuzenle balkonda anlaş</t>
        </is>
      </c>
      <c r="D209" s="5" t="inlineStr">
        <is>
          <t>Sosyal Radar</t>
        </is>
      </c>
      <c r="E209" s="5" t="inlineStr">
        <is>
          <t>Zor</t>
        </is>
      </c>
      <c r="F209" s="5" t="inlineStr"/>
      <c r="G209" s="6" t="inlineStr"/>
      <c r="H209" s="6" t="inlineStr">
        <is>
          <t>Balkonda anlaştınız: kimse kimseyi geçmeyecek. Kuzenin elini uzattı, sıktın. İçeride anneler hâlâ notları sayıyordu.</t>
        </is>
      </c>
      <c r="I209" s="6" t="inlineStr">
        <is>
          <t>Balkonda anlaştınız, sofraya beraber döndünüz. Kuzenin ağzını açtı: “Biz ikimiz de ortalama olmak istiyoruz.” Anneler birbirine baktı. O bayram tatlı sessizce yendi.</t>
        </is>
      </c>
      <c r="J209" s="6" t="inlineStr">
        <is>
          <t>Anlaşma teklif ettin; kuzen bunu da annesine anlattı.</t>
        </is>
      </c>
      <c r="K209" s="6" t="inlineStr">
        <is>
          <t>Anlaştınız; ertesi yıl kuzen yine birinci oldu. Ortalamada yalnız kaldın.</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c r="AI209" s="5" t="inlineStr"/>
      <c r="AJ209" s="5" t="inlineStr"/>
    </row>
    <row r="210">
      <c r="A210" s="5" t="inlineStr">
        <is>
          <t>b4-kuzen-kiyaslama</t>
        </is>
      </c>
      <c r="B210" s="5" t="n">
        <v>4</v>
      </c>
      <c r="C210" s="6" t="inlineStr">
        <is>
          <t>Başkanlık dönemini hatırlat</t>
        </is>
      </c>
      <c r="D210" s="5" t="inlineStr">
        <is>
          <t>Pişkinlik</t>
        </is>
      </c>
      <c r="E210" s="5" t="inlineStr">
        <is>
          <t>Kolay</t>
        </is>
      </c>
      <c r="F210" s="5" t="inlineStr"/>
      <c r="G210" s="6" t="inlineStr"/>
      <c r="H210" s="6" t="inlineStr">
        <is>
          <t>“Ben seçilmiş başkandım” dedin. Deden çayını bıraktı: “Bak sen!” Kuzenin bir şey diyemedi; onların okulunda seçim yokmuş.</t>
        </is>
      </c>
      <c r="I210" s="6" t="inlineStr">
        <is>
          <t>Başkanlık icraatlarını madde madde saydın. Teyzen kuzenine 'Sen neden aday olmadın?' diye sordu. Taraf değiştirdin.</t>
        </is>
      </c>
      <c r="J210" s="6" t="inlineStr">
        <is>
          <t>Başkanlık dönemini anlattın. Teyzen 'Akvaryum geldi mi?' diye sordu. Gelmemişti.</t>
        </is>
      </c>
      <c r="K210" s="6" t="inlineStr">
        <is>
          <t>Başkanlığını anlatırken kuzenin araya girdi: “Ben o yıl aday olsaydım...” Aynı okulda bile değildiniz. Sofra yine de ona inandı.</t>
        </is>
      </c>
      <c r="L210" s="6" t="inlineStr"/>
      <c r="M210" s="5" t="inlineStr"/>
      <c r="N210" s="5" t="inlineStr"/>
      <c r="O210" s="6" t="inlineStr"/>
      <c r="P210" s="6" t="inlineStr"/>
      <c r="Q210" s="5" t="inlineStr"/>
      <c r="R210" s="5" t="inlineStr">
        <is>
          <t>baskan</t>
        </is>
      </c>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c r="AI210" s="5" t="inlineStr"/>
      <c r="AJ210" s="5" t="inlineStr"/>
    </row>
    <row r="211">
      <c r="A211" s="5" t="inlineStr">
        <is>
          <t>b4-ekran-suresi</t>
        </is>
      </c>
      <c r="B211" s="5" t="n">
        <v>1</v>
      </c>
      <c r="C211" s="6" t="inlineStr">
        <is>
          <t>İtiraf et</t>
        </is>
      </c>
      <c r="D211" s="5" t="inlineStr"/>
      <c r="E211" s="5" t="inlineStr"/>
      <c r="F211" s="5" t="inlineStr">
        <is>
          <t>İtibar +2</t>
        </is>
      </c>
      <c r="G211" s="6" t="inlineStr">
        <is>
          <t>Hesap makinesinin içinde gizli bir oyun olduğunu itiraf ettin. Baban etkilendi, annen korktu. Babaannen o günden beri hesap makinesine dokunmuyor.</t>
        </is>
      </c>
      <c r="H211" s="6" t="inlineStr"/>
      <c r="I211" s="6" t="inlineStr"/>
      <c r="J211" s="6" t="inlineStr"/>
      <c r="K211" s="6" t="inlineStr"/>
      <c r="L211" s="6" t="inlineStr"/>
      <c r="M211" s="5" t="inlineStr"/>
      <c r="N211" s="5" t="inlineStr"/>
      <c r="O211" s="6" t="inlineStr"/>
      <c r="P211" s="6" t="inlineStr"/>
      <c r="Q211" s="5" t="inlineStr"/>
      <c r="R211" s="5" t="inlineStr"/>
      <c r="S211" s="5" t="inlineStr"/>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c r="AI211" s="5" t="inlineStr"/>
      <c r="AJ211" s="5" t="inlineStr"/>
    </row>
    <row r="212">
      <c r="A212" s="5" t="inlineStr">
        <is>
          <t>b4-ekran-suresi</t>
        </is>
      </c>
      <c r="B212" s="5" t="n">
        <v>2</v>
      </c>
      <c r="C212" s="6" t="inlineStr">
        <is>
          <t>Matematik çalıştığını söyle</t>
        </is>
      </c>
      <c r="D212" s="5" t="inlineStr">
        <is>
          <t>Pişkinlik</t>
        </is>
      </c>
      <c r="E212" s="5" t="inlineStr">
        <is>
          <t>Zor</t>
        </is>
      </c>
      <c r="F212" s="5" t="inlineStr"/>
      <c r="G212" s="6" t="inlineStr"/>
      <c r="H212" s="6" t="inlineStr">
        <is>
          <t>'Çarpım tablosu' dedin. Ailen raporu gururla aile grubuna attı.</t>
        </is>
      </c>
      <c r="I212" s="6" t="inlineStr">
        <is>
          <t>“Çarpım tablosu çalışıyorum” dedin, yüzün kıpırdamadı. Annen duygulandı, ekran süreni yarım saat uzattı: “Hesap makinesi için.” Baban aynı akşam kendi telefonuna da hesap makinesi indirdi.</t>
        </is>
      </c>
      <c r="J212" s="6" t="inlineStr">
        <is>
          <t>Baban hesap makinesini açtı. Karşısına bir uzay gemisi çıktı.</t>
        </is>
      </c>
      <c r="K212" s="6" t="inlineStr">
        <is>
          <t>Baban hesap makinesinde iki artı iki yaptı. Ekranda 'Seviye 47' yazdı.</t>
        </is>
      </c>
      <c r="L212" s="6" t="inlineStr"/>
      <c r="M212" s="5" t="inlineStr"/>
      <c r="N212" s="5" t="inlineStr"/>
      <c r="O212" s="6" t="inlineStr"/>
      <c r="P212" s="6" t="inlineStr"/>
      <c r="Q212" s="5" t="inlineStr"/>
      <c r="R212" s="5" t="inlineStr"/>
      <c r="S212" s="5" t="inlineStr"/>
      <c r="T212" s="5" t="inlineStr"/>
      <c r="U212" s="5" t="inlineStr"/>
      <c r="V212" s="5" t="inlineStr"/>
      <c r="W212" s="5" t="inlineStr"/>
      <c r="X212" s="5" t="inlineStr"/>
      <c r="Y212" s="5" t="inlineStr"/>
      <c r="Z212" s="6" t="inlineStr"/>
      <c r="AA212" s="5" t="inlineStr"/>
      <c r="AB212" s="5" t="inlineStr"/>
      <c r="AC212" s="5" t="inlineStr"/>
      <c r="AD212" s="5" t="inlineStr"/>
      <c r="AE212" s="5" t="inlineStr"/>
      <c r="AF212" s="5" t="inlineStr"/>
      <c r="AG212" s="5" t="inlineStr"/>
      <c r="AH212" s="5" t="inlineStr"/>
      <c r="AI212" s="5" t="inlineStr"/>
      <c r="AJ212" s="5" t="inlineStr"/>
    </row>
    <row r="213">
      <c r="A213" s="5" t="inlineStr">
        <is>
          <t>b4-ekran-suresi</t>
        </is>
      </c>
      <c r="B213" s="5" t="n">
        <v>3</v>
      </c>
      <c r="C213" s="6" t="inlineStr">
        <is>
          <t>Raporu ayarlardan düzelt</t>
        </is>
      </c>
      <c r="D213" s="5" t="inlineStr">
        <is>
          <t>Kurnazlık</t>
        </is>
      </c>
      <c r="E213" s="5" t="inlineStr">
        <is>
          <t>Orta</t>
        </is>
      </c>
      <c r="F213" s="5" t="inlineStr"/>
      <c r="G213" s="6" t="inlineStr"/>
      <c r="H213" s="6" t="inlineStr">
        <is>
          <t>Rapor artık “Kitap: 4 saat” diyor. Evdeki tek kitaplar vitrindeki ansiklopedi takımı; naylonu hâlâ üstünde.</t>
        </is>
      </c>
      <c r="I213" s="6" t="inlineStr">
        <is>
          <t>Raporu düzelttin, babanın raporunu da açtın: günde on bir saat. Baban telefonunu yavaşça cebine koydu. O akşam ekran süresinden kimse bahsetmedi.</t>
        </is>
      </c>
      <c r="J213" s="6" t="inlineStr">
        <is>
          <t>Ayarları kurcaladın; telefonun dili değişti. Rapor artık kimsenin okuyamadığı bir alfabede. Babaannen “Bu çocuk yabancı dil öğrenmiş” diye herkese anlatıyor.</t>
        </is>
      </c>
      <c r="K213" s="6" t="inlineStr">
        <is>
          <t>Ayarları kurcalarken telefonu sıfırladın. Fotoğraflar, yazışmalar, üç yıllık oyun kaydı gitti. Annen en çok bayram fotoğraflarına üzüldü, sen Seviye 47'ye.</t>
        </is>
      </c>
      <c r="L213" s="6" t="inlineStr"/>
      <c r="M213" s="5" t="inlineStr"/>
      <c r="N213" s="5" t="inlineStr"/>
      <c r="O213" s="6" t="inlineStr"/>
      <c r="P213" s="6" t="inlineStr"/>
      <c r="Q213" s="5" t="inlineStr">
        <is>
          <t>Ekran Yerlisi</t>
        </is>
      </c>
      <c r="R213" s="5" t="inlineStr"/>
      <c r="S213" s="5" t="inlineStr"/>
      <c r="T213" s="5" t="inlineStr"/>
      <c r="U213" s="5" t="inlineStr"/>
      <c r="V213" s="5" t="inlineStr"/>
      <c r="W213" s="5" t="inlineStr"/>
      <c r="X213" s="5" t="inlineStr"/>
      <c r="Y213" s="5" t="inlineStr"/>
      <c r="Z213" s="6" t="inlineStr"/>
      <c r="AA213" s="5" t="inlineStr"/>
      <c r="AB213" s="5" t="inlineStr"/>
      <c r="AC213" s="5" t="inlineStr"/>
      <c r="AD213" s="5" t="inlineStr"/>
      <c r="AE213" s="5" t="inlineStr"/>
      <c r="AF213" s="5" t="inlineStr"/>
      <c r="AG213" s="5" t="inlineStr"/>
      <c r="AH213" s="5" t="inlineStr"/>
      <c r="AI213" s="5" t="inlineStr"/>
      <c r="AJ213" s="5" t="inlineStr"/>
    </row>
    <row r="214">
      <c r="A214" s="5" t="inlineStr">
        <is>
          <t>b4-ekran-suresi</t>
        </is>
      </c>
      <c r="B214" s="5" t="n">
        <v>4</v>
      </c>
      <c r="C214" s="6" t="inlineStr">
        <is>
          <t>Gizli oyunu babana da kur</t>
        </is>
      </c>
      <c r="D214" s="5" t="inlineStr">
        <is>
          <t>Çene</t>
        </is>
      </c>
      <c r="E214" s="5" t="inlineStr">
        <is>
          <t>Kolay</t>
        </is>
      </c>
      <c r="F214" s="5" t="inlineStr"/>
      <c r="G214" s="6" t="inlineStr"/>
      <c r="H214" s="6" t="inlineStr">
        <is>
          <t>Babana da kurdun. Artık ikiniz de 'matematik çalışıyorsunuz'. Ortak bir sır, ortak bir skor tablosu.</t>
        </is>
      </c>
      <c r="I214" s="6" t="inlineStr">
        <is>
          <t>Baban oyuna öyle daldı ki gece yarısı annen onun telefonuna ekran süresi koydu. Kural artık evde iki kişiye uygulanıyor; sana değil.</t>
        </is>
      </c>
      <c r="J214" s="6" t="inlineStr">
        <is>
          <t>Babana kurdun; baban 'Bu ne saçmalık' dedi ve üç saat oynadı. Kural yine sana uygulandı.</t>
        </is>
      </c>
      <c r="K214" s="6" t="inlineStr">
        <is>
          <t>Baban seviyeni geçti ve ekran görüntüsünü aile grubuna attı. Hesap makinesinin sırrı artık 34 kişide.</t>
        </is>
      </c>
      <c r="L214" s="6" t="inlineStr"/>
      <c r="M214" s="5" t="inlineStr"/>
      <c r="N214" s="5" t="inlineStr"/>
      <c r="O214" s="6" t="inlineStr"/>
      <c r="P214" s="6" t="inlineStr"/>
      <c r="Q214" s="5" t="inlineStr"/>
      <c r="R214" s="5" t="inlineStr"/>
      <c r="S214" s="5" t="inlineStr">
        <is>
          <t>Kurnazlık</t>
        </is>
      </c>
      <c r="T214" s="5" t="inlineStr"/>
      <c r="U214" s="5" t="inlineStr"/>
      <c r="V214" s="5" t="inlineStr"/>
      <c r="W214" s="5" t="inlineStr"/>
      <c r="X214" s="5" t="inlineStr"/>
      <c r="Y214" s="5" t="inlineStr"/>
      <c r="Z214" s="6" t="inlineStr"/>
      <c r="AA214" s="5" t="inlineStr"/>
      <c r="AB214" s="5" t="inlineStr"/>
      <c r="AC214" s="5" t="inlineStr"/>
      <c r="AD214" s="5" t="inlineStr"/>
      <c r="AE214" s="5" t="inlineStr"/>
      <c r="AF214" s="5" t="inlineStr"/>
      <c r="AG214" s="5" t="inlineStr"/>
      <c r="AH214" s="5" t="inlineStr"/>
      <c r="AI214" s="5" t="inlineStr"/>
      <c r="AJ214" s="5" t="inlineStr"/>
    </row>
    <row r="215">
      <c r="A215" s="5" t="inlineStr">
        <is>
          <t>b4-mahalle-haraccilari</t>
        </is>
      </c>
      <c r="B215" s="5" t="n">
        <v>1</v>
      </c>
      <c r="C215" s="6" t="inlineStr">
        <is>
          <t>Harçlığı ver, yanlarına otur</t>
        </is>
      </c>
      <c r="D215" s="5" t="inlineStr"/>
      <c r="E215" s="5" t="inlineStr"/>
      <c r="F215" s="5" t="inlineStr">
        <is>
          <t>Pişkinlik +1</t>
        </is>
      </c>
      <c r="G215" s="6" t="inlineStr">
        <is>
          <t>Harçlığı verdin ve yanlarına oturdun. Ortadaki “Sen akıllı çocuksun” dedi, avucuna çekirdek döktü. Akşama kadar onlarla oturdun; eve geldiğinde annen kapıda bekliyordu.</t>
        </is>
      </c>
      <c r="H215" s="6" t="inlineStr"/>
      <c r="I215" s="6" t="inlineStr"/>
      <c r="J215" s="6" t="inlineStr"/>
      <c r="K215" s="6" t="inlineStr"/>
      <c r="L215" s="6" t="inlineStr"/>
      <c r="M215" s="5" t="inlineStr"/>
      <c r="N215" s="5" t="inlineStr"/>
      <c r="O215" s="6" t="inlineStr"/>
      <c r="P215" s="6" t="inlineStr"/>
      <c r="Q215" s="5" t="inlineStr"/>
      <c r="R215" s="5" t="inlineStr"/>
      <c r="S215" s="5" t="inlineStr"/>
      <c r="T215" s="5" t="inlineStr"/>
      <c r="U215" s="5" t="inlineStr">
        <is>
          <t>mahalle-abileri</t>
        </is>
      </c>
      <c r="V215" s="5" t="inlineStr"/>
      <c r="W215" s="5" t="inlineStr"/>
      <c r="X215" s="5" t="inlineStr"/>
      <c r="Y215" s="5" t="inlineStr"/>
      <c r="Z215" s="6" t="inlineStr"/>
      <c r="AA215" s="5" t="inlineStr">
        <is>
          <t>hepsi -1</t>
        </is>
      </c>
      <c r="AB215" s="5" t="inlineStr"/>
      <c r="AC215" s="5" t="inlineStr"/>
      <c r="AD215" s="5" t="inlineStr"/>
      <c r="AE215" s="5" t="inlineStr"/>
      <c r="AF215" s="5" t="inlineStr"/>
      <c r="AG215" s="5" t="inlineStr"/>
      <c r="AH215" s="5" t="inlineStr"/>
      <c r="AI215" s="5" t="inlineStr"/>
      <c r="AJ215" s="5" t="inlineStr"/>
    </row>
    <row r="216">
      <c r="A216" s="5" t="inlineStr">
        <is>
          <t>b4-mahalle-haraccilari</t>
        </is>
      </c>
      <c r="B216" s="5" t="n">
        <v>2</v>
      </c>
      <c r="C216" s="6" t="inlineStr">
        <is>
          <t>Kaç</t>
        </is>
      </c>
      <c r="D216" s="5" t="inlineStr">
        <is>
          <t>Dayanıklılık</t>
        </is>
      </c>
      <c r="E216" s="5" t="inlineStr">
        <is>
          <t>Orta</t>
        </is>
      </c>
      <c r="F216" s="5" t="inlineStr"/>
      <c r="G216" s="6" t="inlineStr"/>
      <c r="H216" s="6" t="inlineStr">
        <is>
          <t>Kaçtın. Harçlık cepte, telefon elde. Ama o köşe artık sana kapalı.</t>
        </is>
      </c>
      <c r="I216" s="6" t="inlineStr">
        <is>
          <t>Öyle kaçtın ki arkandan alkışladılar. Mahallede adın 'Rüzgâr'. Köşe yine de kapalı.</t>
        </is>
      </c>
      <c r="J216" s="6" t="inlineStr">
        <is>
          <t>Kaçtın ama cebinden bozukluklar döküldü; köşeden eve kadar iz bıraktın. Arkandan gelen üçü teker teker topladı.</t>
        </is>
      </c>
      <c r="K216" s="6" t="inlineStr">
        <is>
          <t>Yanlış sokağa saptın; çıkmaz sokaktı. Üçü harçlığını aldı, giderken ayakkabı bağcıklarını birbirine bağladı. Eve sekerek döndün; bütün apartman balkondaydı.</t>
        </is>
      </c>
      <c r="L216" s="6" t="inlineStr">
        <is>
          <t>Yakalanmadın ama tam da kurtulmadın. Harçlığın yarısı ve saygınlığın çeyreği gitti.</t>
        </is>
      </c>
      <c r="M216" s="5" t="inlineStr">
        <is>
          <t>fight</t>
        </is>
      </c>
      <c r="N216" s="5" t="inlineStr">
        <is>
          <t>Köşeden Kaç</t>
        </is>
      </c>
      <c r="O216" s="6" t="inlineStr">
        <is>
          <t>Engelin olmadığı şeride geç.</t>
        </is>
      </c>
      <c r="P216" s="6" t="inlineStr">
        <is>
          <t>{"mode": "dodge", "obstacles": ["🛴", "🐕", "🗑️", "📦", "🛒"]}</t>
        </is>
      </c>
      <c r="Q216" s="5" t="inlineStr"/>
      <c r="R216" s="5" t="inlineStr"/>
      <c r="S216" s="5" t="inlineStr"/>
      <c r="T216" s="5" t="inlineStr"/>
      <c r="U216" s="5" t="inlineStr">
        <is>
          <t>haracci-dusmani</t>
        </is>
      </c>
      <c r="V216" s="5" t="inlineStr"/>
      <c r="W216" s="5" t="inlineStr">
        <is>
          <t>sokak-yasagi</t>
        </is>
      </c>
      <c r="X216" s="5" t="inlineStr"/>
      <c r="Y216" s="5" t="inlineStr"/>
      <c r="Z216" s="6" t="inlineStr"/>
      <c r="AA216" s="5" t="inlineStr"/>
      <c r="AB216" s="5" t="inlineStr"/>
      <c r="AC216" s="5" t="inlineStr"/>
      <c r="AD216" s="5" t="inlineStr"/>
      <c r="AE216" s="5" t="inlineStr"/>
      <c r="AF216" s="5" t="inlineStr"/>
      <c r="AG216" s="5" t="inlineStr"/>
      <c r="AH216" s="5" t="inlineStr"/>
      <c r="AI216" s="5" t="inlineStr"/>
      <c r="AJ216" s="5" t="inlineStr"/>
    </row>
    <row r="217">
      <c r="A217" s="5" t="inlineStr">
        <is>
          <t>b4-mahalle-haraccilari</t>
        </is>
      </c>
      <c r="B217" s="5" t="n">
        <v>3</v>
      </c>
      <c r="C217" s="6" t="inlineStr">
        <is>
          <t>Pazarlık et</t>
        </is>
      </c>
      <c r="D217" s="5" t="inlineStr">
        <is>
          <t>Cesaret</t>
        </is>
      </c>
      <c r="E217" s="5" t="inlineStr">
        <is>
          <t>Zor</t>
        </is>
      </c>
      <c r="F217" s="5" t="inlineStr"/>
      <c r="G217" s="6" t="inlineStr"/>
      <c r="H217" s="6" t="inlineStr">
        <is>
          <t>Harçlığın yarısında anlaştınız; telefon cebinde kaldı. Ortadaki “Haftaya yine konuşuruz” dedi. Artık haftalık müşterisin.</t>
        </is>
      </c>
      <c r="I217" s="6" t="inlineStr">
        <is>
          <t>Onlara ödev yapmayı teklif ettin. Artık para vermiyorsun, para alıyorsun.</t>
        </is>
      </c>
      <c r="J217" s="6" t="inlineStr">
        <is>
          <t>Pazarlık ettin. Ortadaki dinledi, düşündü: “Tamam, bugün yarısı. Yarın öbür yarısı.” Yarın da geldiler.</t>
        </is>
      </c>
      <c r="K217" s="6" t="inlineStr">
        <is>
          <t>Pazarlık uzadıkça fiyat arttı. Sonunda harçlığı, şarj aletini ve bir paket sakızı verdin. Ortadaki giderken elini sıktı: “Seninle iş yapmak güzel.”</t>
        </is>
      </c>
      <c r="L217" s="6" t="inlineStr"/>
      <c r="M217" s="5" t="inlineStr"/>
      <c r="N217" s="5" t="inlineStr"/>
      <c r="O217" s="6" t="inlineStr"/>
      <c r="P217" s="6" t="inlineStr"/>
      <c r="Q217" s="5" t="inlineStr"/>
      <c r="R217" s="5" t="inlineStr"/>
      <c r="S217" s="5" t="inlineStr"/>
      <c r="T217" s="5" t="inlineStr"/>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c r="AI217" s="5" t="inlineStr"/>
      <c r="AJ217" s="5" t="inlineStr"/>
    </row>
    <row r="218">
      <c r="A218" s="5" t="inlineStr">
        <is>
          <t>b4-mahalle-haraccilari</t>
        </is>
      </c>
      <c r="B218" s="5" t="n">
        <v>4</v>
      </c>
      <c r="C218" s="6" t="inlineStr">
        <is>
          <t>'Bakkal amca annemin sınıf arkadaşı' de</t>
        </is>
      </c>
      <c r="D218" s="5" t="inlineStr">
        <is>
          <t>Sosyal Radar</t>
        </is>
      </c>
      <c r="E218" s="5" t="inlineStr">
        <is>
          <t>Kolay</t>
        </is>
      </c>
      <c r="F218" s="5" t="inlineStr"/>
      <c r="G218" s="6" t="inlineStr"/>
      <c r="H218" s="6" t="inlineStr">
        <is>
          <t>Ortadaki çocuk sessizce geri çekildi. Ertesi gün bakkal sana fazladan bir sakız verdi: “Annene selam.”</t>
        </is>
      </c>
      <c r="I218" s="6" t="inlineStr">
        <is>
          <t>Ortadaki çocuk o akşam kapına bir çikolata bıraktı. Yanında el yazısı bir özür.</t>
        </is>
      </c>
      <c r="J218" s="6" t="inlineStr">
        <is>
          <t>“Bakkal bizi zaten sevmez” dediler ve gülüştüler. Harçlık gitti; bakkal da hiçbir şey görmedi.</t>
        </is>
      </c>
      <c r="K218" s="6" t="inlineStr">
        <is>
          <t>Tam o sırada bakkal dükkândan çıktı: “Ne oluyor?” Üçü birden seni gösterdi: “Bu bizi tehdit ediyor amca.” Akşam annen bakkaldan ekmeğin yanında bir de nasihat aldı.</t>
        </is>
      </c>
      <c r="L218" s="6" t="inlineStr"/>
      <c r="M218" s="5" t="inlineStr"/>
      <c r="N218" s="5" t="inlineStr"/>
      <c r="O218" s="6" t="inlineStr"/>
      <c r="P218" s="6" t="inlineStr"/>
      <c r="Q218" s="5" t="inlineStr"/>
      <c r="R218" s="5" t="inlineStr"/>
      <c r="S218" s="5" t="inlineStr">
        <is>
          <t>Sosyal Radar</t>
        </is>
      </c>
      <c r="T218" s="5" t="inlineStr"/>
      <c r="U218" s="5" t="inlineStr"/>
      <c r="V218" s="5" t="inlineStr"/>
      <c r="W218" s="5" t="inlineStr">
        <is>
          <t>haracci-dusmani</t>
        </is>
      </c>
      <c r="X218" s="5" t="inlineStr"/>
      <c r="Y218" s="5" t="inlineStr"/>
      <c r="Z218" s="6" t="inlineStr"/>
      <c r="AA218" s="5" t="inlineStr"/>
      <c r="AB218" s="5" t="inlineStr"/>
      <c r="AC218" s="5" t="inlineStr"/>
      <c r="AD218" s="5" t="inlineStr"/>
      <c r="AE218" s="5" t="inlineStr"/>
      <c r="AF218" s="5" t="inlineStr"/>
      <c r="AG218" s="5" t="inlineStr"/>
      <c r="AH218" s="5" t="inlineStr"/>
      <c r="AI218" s="5" t="inlineStr"/>
      <c r="AJ218" s="5" t="inlineStr"/>
    </row>
    <row r="219">
      <c r="A219" s="5" t="inlineStr">
        <is>
          <t>b4-mahalle-haraccilari</t>
        </is>
      </c>
      <c r="B219" s="5" t="n">
        <v>5</v>
      </c>
      <c r="C219" s="6" t="inlineStr">
        <is>
          <t>Ortadakine tek başına meydan oku</t>
        </is>
      </c>
      <c r="D219" s="5" t="inlineStr">
        <is>
          <t>Cesaret</t>
        </is>
      </c>
      <c r="E219" s="5" t="inlineStr">
        <is>
          <t>Zor</t>
        </is>
      </c>
      <c r="F219" s="5" t="inlineStr"/>
      <c r="G219" s="6" t="inlineStr"/>
      <c r="H219" s="6" t="inlineStr">
        <is>
          <t>'Yalnızken de böyle misin?' dedin. Değildi. Grup dağıldı.</t>
        </is>
      </c>
      <c r="I219" s="6" t="inlineStr">
        <is>
          <t>Meydan okudun; ortadaki çocuk ertesi gün başka mahalleye taşındıklarını söyledi. Tesadüf olabilir.</t>
        </is>
      </c>
      <c r="J219" s="6" t="inlineStr">
        <is>
          <t>Meydan okudun. Telefonunu aldılar; ertesi gün bakkala bıraktılar. Mesaj alındı.</t>
        </is>
      </c>
      <c r="K219" s="6" t="inlineStr">
        <is>
          <t>Meydan okudun. Ortadaki güldü, telefonunu aldı ve bakkalın tentesinin üstüne attı. Bakkal merdiven getirene kadar bütün mahalle seyretti. O günden beri adın “Kahraman”; kimse ciddi söylemiyor.</t>
        </is>
      </c>
      <c r="L219" s="6" t="inlineStr"/>
      <c r="M219" s="5" t="inlineStr"/>
      <c r="N219" s="5" t="inlineStr"/>
      <c r="O219" s="6" t="inlineStr"/>
      <c r="P219" s="6" t="inlineStr"/>
      <c r="Q219" s="5" t="inlineStr"/>
      <c r="R219" s="5" t="inlineStr">
        <is>
          <t>cesurPark</t>
        </is>
      </c>
      <c r="S219" s="5" t="inlineStr"/>
      <c r="T219" s="5" t="inlineStr"/>
      <c r="U219" s="5" t="inlineStr">
        <is>
          <t>haracci-dusmani</t>
        </is>
      </c>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c r="AI219" s="5" t="inlineStr"/>
      <c r="AJ219" s="5" t="inlineStr"/>
    </row>
    <row r="220">
      <c r="A220" s="5" t="inlineStr">
        <is>
          <t>b4-mahalle-haraccilari</t>
        </is>
      </c>
      <c r="B220" s="5" t="n">
        <v>6</v>
      </c>
      <c r="C220" s="6" t="inlineStr">
        <is>
          <t>Eve dön, kitaplara göm</t>
        </is>
      </c>
      <c r="D220" s="5" t="inlineStr">
        <is>
          <t>Akıl</t>
        </is>
      </c>
      <c r="E220" s="5" t="inlineStr">
        <is>
          <t>Orta</t>
        </is>
      </c>
      <c r="F220" s="5" t="inlineStr"/>
      <c r="G220" s="6" t="inlineStr"/>
      <c r="H220" s="6" t="inlineStr">
        <is>
          <t>Köşeyi dolaşmak yerine kütüphaneye giden yolu keşfettin. Yol daha uzun ama kimse harçlık sormuyor.</t>
        </is>
      </c>
      <c r="I220" s="6" t="inlineStr">
        <is>
          <t>O yıl kütüphanenin en sadık üyesiydin. Kütüphaneci teyze masasının yanına bir sandalye koydu: “Burası senin.” Köşeyi bir daha düşünmedin.</t>
        </is>
      </c>
      <c r="J220" s="6" t="inlineStr">
        <is>
          <t>Eve döndün ama kitap açılmadı; köşedekiler aklından çıkmadı.</t>
        </is>
      </c>
      <c r="K220" s="6" t="inlineStr">
        <is>
          <t>Kitaplara öyle gömüldün ki kütüphane kapandı, sen içeride kaldın. Kapıcı seni akşam dokuzda bir ansiklopedinin üstünde uyurken buldu. Bütün mahalle seni aramaya çıkmıştı.</t>
        </is>
      </c>
      <c r="L220" s="6" t="inlineStr"/>
      <c r="M220" s="5" t="inlineStr"/>
      <c r="N220" s="5" t="inlineStr"/>
      <c r="O220" s="6" t="inlineStr"/>
      <c r="P220" s="6" t="inlineStr"/>
      <c r="Q220" s="5" t="inlineStr"/>
      <c r="R220" s="5" t="inlineStr"/>
      <c r="S220" s="5" t="inlineStr"/>
      <c r="T220" s="5" t="inlineStr">
        <is>
          <t>Kitap Kurdu</t>
        </is>
      </c>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c r="AI220" s="5" t="inlineStr"/>
      <c r="AJ220" s="5" t="inlineStr"/>
    </row>
    <row r="221">
      <c r="A221" s="5" t="inlineStr">
        <is>
          <t>b4-sivilce</t>
        </is>
      </c>
      <c r="B221" s="5" t="n">
        <v>1</v>
      </c>
      <c r="C221" s="6" t="inlineStr">
        <is>
          <t>Olduğu gibi git</t>
        </is>
      </c>
      <c r="D221" s="5" t="inlineStr"/>
      <c r="E221" s="5" t="inlineStr"/>
      <c r="F221" s="5" t="inlineStr">
        <is>
          <t>Dayanıklılık +1</t>
        </is>
      </c>
      <c r="G221" s="6" t="inlineStr">
        <is>
          <t>Fotoğraf çekildi. Sivilce de. Yıllığa ikiniz birlikte girdiniz.</t>
        </is>
      </c>
      <c r="H221" s="6" t="inlineStr"/>
      <c r="I221" s="6" t="inlineStr"/>
      <c r="J221" s="6" t="inlineStr"/>
      <c r="K221" s="6" t="inlineStr"/>
      <c r="L221" s="6" t="inlineStr"/>
      <c r="M221" s="5" t="inlineStr"/>
      <c r="N221" s="5" t="inlineStr"/>
      <c r="O221" s="6" t="inlineStr"/>
      <c r="P221" s="6" t="inlineStr"/>
      <c r="Q221" s="5" t="inlineStr"/>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c r="AI221" s="5" t="inlineStr"/>
      <c r="AJ221" s="5" t="inlineStr"/>
    </row>
    <row r="222">
      <c r="A222" s="5" t="inlineStr">
        <is>
          <t>b4-sivilce</t>
        </is>
      </c>
      <c r="B222" s="5" t="n">
        <v>2</v>
      </c>
      <c r="C222" s="6" t="inlineStr">
        <is>
          <t>Annenin kapatıcısını kullan</t>
        </is>
      </c>
      <c r="D222" s="5" t="inlineStr">
        <is>
          <t>Kurnazlık</t>
        </is>
      </c>
      <c r="E222" s="5" t="inlineStr">
        <is>
          <t>Orta</t>
        </is>
      </c>
      <c r="F222" s="5" t="inlineStr"/>
      <c r="G222" s="6" t="inlineStr"/>
      <c r="H222" s="6" t="inlineStr">
        <is>
          <t>Sivilce görünmüyor. Sadece alnında hafif bir ton farkı var.</t>
        </is>
      </c>
      <c r="I222" s="6" t="inlineStr">
        <is>
          <t>Kusursuz uyguladın. Fotoğrafçı 'Ne güzel cilt' dedi. Annen kapatıcının azaldığını hâlâ bilmiyor.</t>
        </is>
      </c>
      <c r="J222" s="6" t="inlineStr">
        <is>
          <t>Yanlış tonu seçtin. Alnında bej bir ada oluştu.</t>
        </is>
      </c>
      <c r="K222" s="6" t="inlineStr">
        <is>
          <t>Kapatıcı sandığın şey annenin göz farıymış. Yıllıkta alnında parlak mor bir yıldız var. Sonsuza dek.</t>
        </is>
      </c>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c r="AI222" s="5" t="inlineStr"/>
      <c r="AJ222" s="5" t="inlineStr"/>
    </row>
    <row r="223">
      <c r="A223" s="5" t="inlineStr">
        <is>
          <t>b4-sivilce</t>
        </is>
      </c>
      <c r="B223" s="5" t="n">
        <v>3</v>
      </c>
      <c r="C223" s="6" t="inlineStr">
        <is>
          <t>Bere tak</t>
        </is>
      </c>
      <c r="D223" s="5" t="inlineStr">
        <is>
          <t>Kurnazlık</t>
        </is>
      </c>
      <c r="E223" s="5" t="inlineStr">
        <is>
          <t>Kolay</t>
        </is>
      </c>
      <c r="F223" s="5" t="inlineStr"/>
      <c r="G223" s="6" t="inlineStr"/>
      <c r="H223" s="6" t="inlineStr">
        <is>
          <t>Bereyle poz verdin. Fotoğrafçı “Çok havalı” dedi; sınıf öğretmeni “Okulda bere yasak” dedi ama fotoğraf çoktan çekilmişti.</t>
        </is>
      </c>
      <c r="I223" s="6" t="inlineStr">
        <is>
          <t>Ertesi hafta sınıfın yarısı bereyle geldi. Trendi bir sivilce başlattı.</t>
        </is>
      </c>
      <c r="J223" s="6" t="inlineStr">
        <is>
          <t>Fotoğrafçı bereni çıkarttı.</t>
        </is>
      </c>
      <c r="K223" s="6" t="inlineStr">
        <is>
          <t>Fotoğrafçı bereni çıkarttı; statik elektrikten saçların dikildi. Sivilce ikinci planda kaldı. Saçların birinci.</t>
        </is>
      </c>
      <c r="L223" s="6" t="inlineStr"/>
      <c r="M223" s="5" t="inlineStr"/>
      <c r="N223" s="5" t="inlineStr"/>
      <c r="O223" s="6" t="inlineStr"/>
      <c r="P223" s="6" t="inlineStr"/>
      <c r="Q223" s="5" t="inlineStr"/>
      <c r="R223" s="5" t="inlineStr"/>
      <c r="S223" s="5" t="inlineStr"/>
      <c r="T223" s="5" t="inlineStr"/>
      <c r="U223" s="5" t="inlineStr"/>
      <c r="V223" s="5" t="inlineStr"/>
      <c r="W223" s="5" t="inlineStr"/>
      <c r="X223" s="5" t="inlineStr"/>
      <c r="Y223" s="5" t="inlineStr"/>
      <c r="Z223" s="6" t="inlineStr"/>
      <c r="AA223" s="5" t="inlineStr"/>
      <c r="AB223" s="5" t="inlineStr"/>
      <c r="AC223" s="5" t="inlineStr"/>
      <c r="AD223" s="5" t="inlineStr"/>
      <c r="AE223" s="5" t="inlineStr"/>
      <c r="AF223" s="5" t="inlineStr"/>
      <c r="AG223" s="5" t="inlineStr"/>
      <c r="AH223" s="5" t="inlineStr"/>
      <c r="AI223" s="5" t="inlineStr"/>
      <c r="AJ223" s="5" t="inlineStr"/>
    </row>
    <row r="224">
      <c r="A224" s="5" t="inlineStr">
        <is>
          <t>b4-sivilce</t>
        </is>
      </c>
      <c r="B224" s="5" t="n">
        <v>4</v>
      </c>
      <c r="C224" s="6" t="inlineStr">
        <is>
          <t>Sivilceye isim ver</t>
        </is>
      </c>
      <c r="D224" s="5" t="inlineStr">
        <is>
          <t>Çene</t>
        </is>
      </c>
      <c r="E224" s="5" t="inlineStr">
        <is>
          <t>Kolay</t>
        </is>
      </c>
      <c r="F224" s="5" t="inlineStr"/>
      <c r="G224" s="6" t="inlineStr"/>
      <c r="H224" s="6" t="inlineStr">
        <is>
          <t>Sivilceye 'Müdür Bey' dedin. Sınıf gün boyu ona selam verdi. Kimse seninle dalga geçemedi, çünkü önce sen geçtin.</t>
        </is>
      </c>
      <c r="I224" s="6" t="inlineStr">
        <is>
          <t>Müdür Bey'in resmî bir veda töreni yapıldı. Sınıf alkışladı. Başka hiçbir sivilce bu kadar sevilmedi.</t>
        </is>
      </c>
      <c r="J224" s="6" t="inlineStr">
        <is>
          <t>İsmi koydun; ertesi gün Müdür Bey'in bir yardımcısı çıktı.</t>
        </is>
      </c>
      <c r="K224" s="6" t="inlineStr">
        <is>
          <t>Sivilce iki günde geçti, ad geçmedi. Sınıf artık sana “Müdür Bey” diyor. Gerçek müdür bunu duyunca seni odasına çağırdı; kim olduğunu görmek istemiş.</t>
        </is>
      </c>
      <c r="L224" s="6" t="inlineStr"/>
      <c r="M224" s="5" t="inlineStr"/>
      <c r="N224" s="5" t="inlineStr"/>
      <c r="O224" s="6" t="inlineStr"/>
      <c r="P224" s="6" t="inlineStr"/>
      <c r="Q224" s="5" t="inlineStr">
        <is>
          <t>Kendine Gülebilir</t>
        </is>
      </c>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c r="AI224" s="5" t="inlineStr">
        <is>
          <t>Müdür Bey</t>
        </is>
      </c>
      <c r="AJ224" s="5" t="inlineStr"/>
    </row>
    <row r="225">
      <c r="A225" s="5" t="inlineStr">
        <is>
          <t>b4-ses-catlamasi</t>
        </is>
      </c>
      <c r="B225" s="5" t="n">
        <v>1</v>
      </c>
      <c r="C225" s="6" t="inlineStr">
        <is>
          <t>Fısıltıyla oku</t>
        </is>
      </c>
      <c r="D225" s="5" t="inlineStr"/>
      <c r="E225" s="5" t="inlineStr"/>
      <c r="F225" s="5" t="inlineStr">
        <is>
          <t>Kurnazlık +1</t>
        </is>
      </c>
      <c r="G225" s="6" t="inlineStr">
        <is>
          <t>Fısıltıyla okudun. Öğretmen “Duyamıyoruz” dedi. Biraz yükselttin; sesin tam “Makarya” kelimesinde ikiye bölündü. Fısıltı daha iyiydi.</t>
        </is>
      </c>
      <c r="H225" s="6" t="inlineStr"/>
      <c r="I225" s="6" t="inlineStr"/>
      <c r="J225" s="6" t="inlineStr"/>
      <c r="K225" s="6" t="inlineStr"/>
      <c r="L225" s="6" t="inlineStr"/>
      <c r="M225" s="5" t="inlineStr"/>
      <c r="N225" s="5" t="inlineStr"/>
      <c r="O225" s="6" t="inlineStr"/>
      <c r="P225" s="6" t="inlineStr"/>
      <c r="Q225" s="5" t="inlineStr"/>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c r="AI225" s="5" t="inlineStr"/>
      <c r="AJ225" s="5" t="inlineStr"/>
    </row>
    <row r="226">
      <c r="A226" s="5" t="inlineStr">
        <is>
          <t>b4-ses-catlamasi</t>
        </is>
      </c>
      <c r="B226" s="5" t="n">
        <v>2</v>
      </c>
      <c r="C226" s="6" t="inlineStr">
        <is>
          <t>Normal oku</t>
        </is>
      </c>
      <c r="D226" s="5" t="inlineStr">
        <is>
          <t>Dayanıklılık</t>
        </is>
      </c>
      <c r="E226" s="5" t="inlineStr">
        <is>
          <t>Orta</t>
        </is>
      </c>
      <c r="F226" s="5" t="inlineStr"/>
      <c r="G226" s="6" t="inlineStr"/>
      <c r="H226" s="6" t="inlineStr">
        <is>
          <t>Ses çatlamadı. Paragraf bitti. Sınıf kayıtsız. Bu yaşta en büyük başarı.</t>
        </is>
      </c>
      <c r="I226" s="6" t="inlineStr">
        <is>
          <t>Paragrafı pürüzsüz okudun; öğretmen 'Ne güzel tok bir ses' dedi. Sınıf ilk kez seni dinledi.</t>
        </is>
      </c>
      <c r="J226" s="6" t="inlineStr">
        <is>
          <t>“Makarya'nın başlıca ürünleri…” derken sesin inceldi. Arka sıradan biri kıkırdadı; öğretmen bakınca sustu.</t>
        </is>
      </c>
      <c r="K226" s="6" t="inlineStr">
        <is>
          <t>Ses çatladı, sen durdun, sınıf durdu, öğretmen devam etmeni istedi. Lakabın o günden beri 'Kanarya'.</t>
        </is>
      </c>
      <c r="L226" s="6" t="inlineStr">
        <is>
          <t>Paragrafın çoğunu tok okudun; son kelimede ses bir an kaçtı. Sadece arka sıra duydu.</t>
        </is>
      </c>
      <c r="M226" s="5" t="inlineStr">
        <is>
          <t>timing</t>
        </is>
      </c>
      <c r="N226" s="5" t="inlineStr">
        <is>
          <t>Sesini Sabit Tut</t>
        </is>
      </c>
      <c r="O226" s="6" t="inlineStr">
        <is>
          <t>İbre yeşil alandayken DURDUR'a bas. Art arda tutturdukça kombo kazanırsın.</t>
        </is>
      </c>
      <c r="P226" s="6" t="n"/>
      <c r="Q226" s="5" t="inlineStr"/>
      <c r="R226" s="5" t="inlineStr"/>
      <c r="S226" s="5" t="inlineStr"/>
      <c r="T226" s="5" t="inlineStr"/>
      <c r="U226" s="5" t="inlineStr"/>
      <c r="V226" s="5" t="inlineStr"/>
      <c r="W226" s="5" t="inlineStr">
        <is>
          <t>lakapli</t>
        </is>
      </c>
      <c r="X226" s="5" t="inlineStr"/>
      <c r="Y226" s="5" t="inlineStr"/>
      <c r="Z226" s="6" t="inlineStr"/>
      <c r="AA226" s="5" t="inlineStr"/>
      <c r="AB226" s="5" t="inlineStr"/>
      <c r="AC226" s="5" t="inlineStr"/>
      <c r="AD226" s="5" t="inlineStr"/>
      <c r="AE226" s="5" t="inlineStr"/>
      <c r="AF226" s="5" t="inlineStr"/>
      <c r="AG226" s="5" t="inlineStr"/>
      <c r="AH226" s="5" t="inlineStr"/>
      <c r="AI226" s="5" t="inlineStr">
        <is>
          <t>Kanarya</t>
        </is>
      </c>
      <c r="AJ226" s="5" t="inlineStr"/>
    </row>
    <row r="227">
      <c r="A227" s="5" t="inlineStr">
        <is>
          <t>b4-ses-catlamasi</t>
        </is>
      </c>
      <c r="B227" s="5" t="n">
        <v>3</v>
      </c>
      <c r="C227" s="6" t="inlineStr">
        <is>
          <t>Bas sesle oku</t>
        </is>
      </c>
      <c r="D227" s="5" t="inlineStr">
        <is>
          <t>Pişkinlik</t>
        </is>
      </c>
      <c r="E227" s="5" t="inlineStr">
        <is>
          <t>Zor</t>
        </is>
      </c>
      <c r="F227" s="5" t="inlineStr"/>
      <c r="G227" s="6" t="inlineStr"/>
      <c r="H227" s="6" t="inlineStr">
        <is>
          <t>Haber spikeri tonunda okudun. Öğretmen seni tören sunucusu yaptı.</t>
        </is>
      </c>
      <c r="I227" s="6" t="inlineStr">
        <is>
          <t>O kadar tok okudun ki müdür yardımcısı sınıfa girip anonsu senin yapmanı istedi. Okulun resmî sesisin.</t>
        </is>
      </c>
      <c r="J227" s="6" t="inlineStr">
        <is>
          <t>Bas başladın, tiz bitirdin. Tek cümlede iki kişi konuştu.</t>
        </is>
      </c>
      <c r="K227" s="6" t="inlineStr">
        <is>
          <t>Bas başladın, öksürdün, soprano devam ettin. Müzik öğretmeni seni koroya yazdı. En ön sıraya.</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c r="AI227" s="5" t="inlineStr"/>
      <c r="AJ227" s="5" t="inlineStr"/>
    </row>
    <row r="228">
      <c r="A228" s="5" t="inlineStr">
        <is>
          <t>b4-ses-catlamasi</t>
        </is>
      </c>
      <c r="B228" s="5" t="n">
        <v>4</v>
      </c>
      <c r="C228" s="6" t="inlineStr">
        <is>
          <t>Çatlamayı şova çevir</t>
        </is>
      </c>
      <c r="D228" s="5" t="inlineStr">
        <is>
          <t>Pişkinlik</t>
        </is>
      </c>
      <c r="E228" s="5" t="inlineStr">
        <is>
          <t>Kolay</t>
        </is>
      </c>
      <c r="F228" s="5" t="inlineStr"/>
      <c r="G228" s="6" t="inlineStr"/>
      <c r="H228" s="6" t="inlineStr">
        <is>
          <t>Ses çatlayınca eğilip selam verdin. Sınıf alkışladı; öğretmen gülmemek için tahtaya döndü.</t>
        </is>
      </c>
      <c r="I228" s="6" t="inlineStr">
        <is>
          <t>Her çatlamada farklı bir karakterin sesini yaptın. Paragraf bir radyo tiyatrosuna döndü.</t>
        </is>
      </c>
      <c r="J228" s="6" t="inlineStr">
        <is>
          <t>Şova çevirdin; öğretmen 'Tekrar baştan' dedi. Gösteri iki kez oynandı, ikincisi daha kötü.</t>
        </is>
      </c>
      <c r="K228" s="6" t="inlineStr">
        <is>
          <t>Şova çevirdin, sınıf coştu. Tam o sırada müdür kapıdan başını uzattı. Gösteri müdürün odasında, tek seyirciyle devam etti.</t>
        </is>
      </c>
      <c r="L228" s="6" t="inlineStr"/>
      <c r="M228" s="5" t="inlineStr"/>
      <c r="N228" s="5" t="inlineStr"/>
      <c r="O228" s="6" t="inlineStr"/>
      <c r="P228" s="6" t="inlineStr"/>
      <c r="Q228" s="5" t="inlineStr">
        <is>
          <t>Sahne Sever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c r="AI228" s="5" t="inlineStr"/>
      <c r="AJ228" s="5" t="inlineStr"/>
    </row>
    <row r="229">
      <c r="A229" s="5" t="inlineStr">
        <is>
          <t>b4-ogretmenler-gunu</t>
        </is>
      </c>
      <c r="B229" s="5" t="n">
        <v>1</v>
      </c>
      <c r="C229" s="6" t="inlineStr">
        <is>
          <t>Elle kart yaz</t>
        </is>
      </c>
      <c r="D229" s="5" t="inlineStr"/>
      <c r="E229" s="5" t="inlineStr"/>
      <c r="F229" s="5" t="inlineStr">
        <is>
          <t>İtibar +1</t>
        </is>
      </c>
      <c r="G229" s="6" t="inlineStr">
        <is>
          <t>El yazısıyla bir kart verdin. Öğretmen çantasına koydu. Yıllar sonra da orada olacak.</t>
        </is>
      </c>
      <c r="H229" s="6" t="inlineStr"/>
      <c r="I229" s="6" t="inlineStr"/>
      <c r="J229" s="6" t="inlineStr"/>
      <c r="K229" s="6" t="inlineStr"/>
      <c r="L229" s="6" t="inlineStr"/>
      <c r="M229" s="5" t="inlineStr"/>
      <c r="N229" s="5" t="inlineStr"/>
      <c r="O229" s="6" t="inlineStr"/>
      <c r="P229" s="6" t="inlineStr"/>
      <c r="Q229" s="5" t="inlineStr"/>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c r="AI229" s="5" t="inlineStr"/>
      <c r="AJ229" s="5" t="inlineStr"/>
    </row>
    <row r="230">
      <c r="A230" s="5" t="inlineStr">
        <is>
          <t>b4-ogretmenler-gunu</t>
        </is>
      </c>
      <c r="B230" s="5" t="n">
        <v>2</v>
      </c>
      <c r="C230" s="6" t="inlineStr">
        <is>
          <t>Hediyeyi sen seç</t>
        </is>
      </c>
      <c r="D230" s="5" t="inlineStr">
        <is>
          <t>Sosyal Radar</t>
        </is>
      </c>
      <c r="E230" s="5" t="inlineStr">
        <is>
          <t>Orta</t>
        </is>
      </c>
      <c r="F230" s="5" t="inlineStr"/>
      <c r="G230" s="6" t="inlineStr"/>
      <c r="H230" s="6" t="inlineStr">
        <is>
          <t>Öğretmenin sevdiği çiçeği buldun. Masada tek canlı hediye sizinkiydi.</t>
        </is>
      </c>
      <c r="I230" s="6" t="inlineStr">
        <is>
          <t>Öğretmen hediyeyi açınca gözleri doldu ve 'Bunu nereden bildiniz?' dedi. Kimse sana sormadı ama herkes biliyor.</t>
        </is>
      </c>
      <c r="J230" s="6" t="inlineStr">
        <is>
          <t>Kupa aldınız. Öğretmenin masasında o yıl dokuz kupa vardı.</t>
        </is>
      </c>
      <c r="K230" s="6" t="inlineStr">
        <is>
          <t>Evdeki “yeni gibi” kupayı hediye diye paketledin. Öğretmen paketi sınıfta açtı ve kupayı tanıdı: geçen yıl annene kendisi vermişti.</t>
        </is>
      </c>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c r="AI230" s="5" t="inlineStr"/>
      <c r="AJ230" s="5" t="inlineStr"/>
    </row>
    <row r="231">
      <c r="A231" s="5" t="inlineStr">
        <is>
          <t>b4-ogretmenler-gunu</t>
        </is>
      </c>
      <c r="B231" s="5" t="n">
        <v>3</v>
      </c>
      <c r="C231" s="6" t="inlineStr">
        <is>
          <t>Para toplamayı üstlen</t>
        </is>
      </c>
      <c r="D231" s="5" t="inlineStr">
        <is>
          <t>İtibar</t>
        </is>
      </c>
      <c r="E231" s="5" t="inlineStr">
        <is>
          <t>Orta</t>
        </is>
      </c>
      <c r="F231" s="5" t="inlineStr"/>
      <c r="G231" s="6" t="inlineStr"/>
      <c r="H231" s="6" t="inlineStr">
        <is>
          <t>Paraları topladın, kuruşu kuruşuna deftere yazdın, para üstlerini geri verdin. Bir veli gruba yazdı: “Bu çocuğu site yönetimine alalım.”</t>
        </is>
      </c>
      <c r="I231" s="6" t="inlineStr">
        <is>
          <t>Toplamı hedefin üstüne çıkardın ve kalan parayla sınıfa pasta aldın. Veli grubu ilk kez hemfikir.</t>
        </is>
      </c>
      <c r="J231" s="6" t="inlineStr">
        <is>
          <t>Üç kişi 'Sonra veririm' dedi. Sonra gelmedi.</t>
        </is>
      </c>
      <c r="K231" s="6" t="inlineStr">
        <is>
          <t>Toplanan parayı pantolon cebinde unuttun. Annen pantolonu yıkadı ve paraları balkona tek tek mandalla astı. Bütün apartman öğretmen hediyesinin parasını balkondan izledi.</t>
        </is>
      </c>
      <c r="L231" s="6" t="inlineStr"/>
      <c r="M231" s="5" t="inlineStr"/>
      <c r="N231" s="5" t="inlineStr"/>
      <c r="O231" s="6" t="inlineStr"/>
      <c r="P231" s="6" t="inlineStr"/>
      <c r="Q231" s="5" t="inlineStr">
        <is>
          <t>Kuralı Koyan</t>
        </is>
      </c>
      <c r="R231" s="5" t="inlineStr"/>
      <c r="S231" s="5" t="inlineStr"/>
      <c r="T231" s="5" t="inlineStr"/>
      <c r="U231" s="5" t="inlineStr"/>
      <c r="V231" s="5" t="inlineStr"/>
      <c r="W231" s="5" t="inlineStr"/>
      <c r="X231" s="5" t="inlineStr"/>
      <c r="Y231" s="5" t="inlineStr"/>
      <c r="Z231" s="6" t="inlineStr"/>
      <c r="AA231" s="5" t="inlineStr"/>
      <c r="AB231" s="5" t="inlineStr"/>
      <c r="AC231" s="5" t="inlineStr"/>
      <c r="AD231" s="5" t="inlineStr"/>
      <c r="AE231" s="5" t="inlineStr"/>
      <c r="AF231" s="5" t="inlineStr"/>
      <c r="AG231" s="5" t="inlineStr"/>
      <c r="AH231" s="5" t="inlineStr"/>
      <c r="AI231" s="5" t="inlineStr"/>
      <c r="AJ231" s="5" t="inlineStr"/>
    </row>
    <row r="232">
      <c r="A232" s="5" t="inlineStr">
        <is>
          <t>b4-ogretmenler-gunu</t>
        </is>
      </c>
      <c r="B232" s="5" t="n">
        <v>4</v>
      </c>
      <c r="C232" s="6" t="inlineStr">
        <is>
          <t>Veli grubunu yatıştır</t>
        </is>
      </c>
      <c r="D232" s="5" t="inlineStr">
        <is>
          <t>İtibar</t>
        </is>
      </c>
      <c r="E232" s="5" t="inlineStr">
        <is>
          <t>Zor</t>
        </is>
      </c>
      <c r="F232" s="5" t="inlineStr"/>
      <c r="G232" s="6" t="inlineStr"/>
      <c r="H232" s="6" t="inlineStr">
        <is>
          <t>Annene 'Katılmak isteyen katılsın, isteyen kart yazsın' yazdırdın. Grup sakinleşti.</t>
        </is>
      </c>
      <c r="I232" s="6" t="inlineStr">
        <is>
          <t>Annene öyle bir mesaj yazdırdın ki küs iki anne aynı mesaja kalp bıraktı. Ertesi sabah okul kapısında yan yana durdular. Annen gururla “Ben yazdım” dedi.</t>
        </is>
      </c>
      <c r="J232" s="6" t="inlineStr">
        <is>
          <t>Annene yazdırdın; bir veli 'Çocuk mu yazıyor bunları?' diye sordu.</t>
        </is>
      </c>
      <c r="K232" s="6" t="inlineStr">
        <is>
          <t>Annen mesajı senin cümlelerinle gönderdi ama sonuna 'Böyle yaz dedi' diye ekledi.</t>
        </is>
      </c>
      <c r="L232" s="6" t="inlineStr"/>
      <c r="M232" s="5" t="inlineStr"/>
      <c r="N232" s="5" t="inlineStr"/>
      <c r="O232" s="6" t="inlineStr"/>
      <c r="P232" s="6" t="inlineStr"/>
      <c r="Q232" s="5" t="inlineStr">
        <is>
          <t>Grup Diplomatı</t>
        </is>
      </c>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c r="AI232" s="5" t="inlineStr"/>
      <c r="AJ232" s="5" t="inlineStr"/>
    </row>
    <row r="233">
      <c r="A233" s="5" t="inlineStr">
        <is>
          <t>b4-ilk-hoslanti</t>
        </is>
      </c>
      <c r="B233" s="5" t="n">
        <v>1</v>
      </c>
      <c r="C233" s="6" t="inlineStr">
        <is>
          <t>Hiçbir şey yapma</t>
        </is>
      </c>
      <c r="D233" s="5" t="inlineStr"/>
      <c r="E233" s="5" t="inlineStr"/>
      <c r="F233" s="5" t="inlineStr">
        <is>
          <t>Dayanıklılık +1</t>
        </is>
      </c>
      <c r="G233" s="6" t="inlineStr">
        <is>
          <t>Hiçbir şey yapmadın. Üç ay boyunca o beğeniyi düşündün, en yakın arkadaşına on dört kez anlattın. On beşincide arkadaşın “Yaz artık” dedi.</t>
        </is>
      </c>
      <c r="H233" s="6" t="inlineStr"/>
      <c r="I233" s="6" t="inlineStr"/>
      <c r="J233" s="6" t="inlineStr"/>
      <c r="K233" s="6" t="inlineStr"/>
      <c r="L233" s="6" t="inlineStr"/>
      <c r="M233" s="5" t="inlineStr"/>
      <c r="N233" s="5" t="inlineStr"/>
      <c r="O233" s="6" t="inlineStr"/>
      <c r="P233" s="6" t="inlineStr"/>
      <c r="Q233" s="5" t="inlineStr"/>
      <c r="R233" s="5" t="inlineStr"/>
      <c r="S233" s="5" t="inlineStr"/>
      <c r="T233" s="5" t="inlineStr"/>
      <c r="U233" s="5" t="inlineStr"/>
      <c r="V233" s="5" t="inlineStr"/>
      <c r="W233" s="5" t="inlineStr"/>
      <c r="X233" s="5" t="inlineStr"/>
      <c r="Y233" s="5" t="inlineStr"/>
      <c r="Z233" s="6" t="inlineStr"/>
      <c r="AA233" s="5" t="inlineStr"/>
      <c r="AB233" s="5" t="inlineStr"/>
      <c r="AC233" s="5" t="inlineStr"/>
      <c r="AD233" s="5" t="inlineStr"/>
      <c r="AE233" s="5" t="inlineStr"/>
      <c r="AF233" s="5" t="inlineStr"/>
      <c r="AG233" s="5" t="inlineStr"/>
      <c r="AH233" s="5" t="inlineStr"/>
      <c r="AI233" s="5" t="inlineStr"/>
      <c r="AJ233" s="5" t="inlineStr"/>
    </row>
    <row r="234">
      <c r="A234" s="5" t="inlineStr">
        <is>
          <t>b4-ilk-hoslanti</t>
        </is>
      </c>
      <c r="B234" s="5" t="n">
        <v>2</v>
      </c>
      <c r="C234" s="6" t="inlineStr">
        <is>
          <t>İlk mesajı at</t>
        </is>
      </c>
      <c r="D234" s="5" t="inlineStr">
        <is>
          <t>Gönül</t>
        </is>
      </c>
      <c r="E234" s="5" t="inlineStr">
        <is>
          <t>Zor</t>
        </is>
      </c>
      <c r="F234" s="5" t="inlineStr"/>
      <c r="G234" s="6" t="inlineStr"/>
      <c r="H234" s="6" t="inlineStr">
        <is>
          <t>“Selam” yazdın. Bir dakika sonra “Selam” geldi. Telefonu yatağa fırlattın, yüzünü yastığa gömüp bağırdın. Annen kapıyı açtı: “İyi misin?”</t>
        </is>
      </c>
      <c r="I234" s="6" t="inlineStr">
        <is>
          <t>Mesaj attın, cevap emojiyle geldi. Ertesi gün koridorda ilk kez yan yana yürüdünüz.</t>
        </is>
      </c>
      <c r="J234" s="6" t="inlineStr">
        <is>
          <t>'Selam' yazdın. Okundu. Üç gündür 'yazıyor...' görünüyor.</t>
        </is>
      </c>
      <c r="K234" s="6" t="inlineStr">
        <is>
          <t>Yazdın, sildin, yazdın. Silinen hâli gitti: 'Seni özlüyorum sanırım.' Hiç konuşmamıştınız.</t>
        </is>
      </c>
      <c r="L234" s="6" t="inlineStr"/>
      <c r="M234" s="5" t="inlineStr"/>
      <c r="N234" s="5" t="inlineStr"/>
      <c r="O234" s="6" t="inlineStr"/>
      <c r="P234" s="6" t="inlineStr"/>
      <c r="Q234" s="5" t="inlineStr"/>
      <c r="R234" s="5" t="inlineStr"/>
      <c r="S234" s="5" t="inlineStr"/>
      <c r="T234" s="5" t="inlineStr"/>
      <c r="U234" s="5" t="inlineStr"/>
      <c r="V234" s="5" t="inlineStr">
        <is>
          <t>ilk-mesaj</t>
        </is>
      </c>
      <c r="W234" s="5" t="inlineStr"/>
      <c r="X234" s="5" t="inlineStr"/>
      <c r="Y234" s="5" t="inlineStr"/>
      <c r="Z234" s="6" t="inlineStr"/>
      <c r="AA234" s="5" t="inlineStr"/>
      <c r="AB234" s="5" t="inlineStr"/>
      <c r="AC234" s="5" t="inlineStr"/>
      <c r="AD234" s="5" t="inlineStr"/>
      <c r="AE234" s="5" t="inlineStr"/>
      <c r="AF234" s="5" t="inlineStr"/>
      <c r="AG234" s="5" t="inlineStr"/>
      <c r="AH234" s="5" t="inlineStr"/>
      <c r="AI234" s="5" t="inlineStr"/>
      <c r="AJ234" s="5" t="inlineStr"/>
    </row>
    <row r="235">
      <c r="A235" s="5" t="inlineStr">
        <is>
          <t>b4-ilk-hoslanti</t>
        </is>
      </c>
      <c r="B235" s="5" t="n">
        <v>3</v>
      </c>
      <c r="C235" s="6" t="inlineStr">
        <is>
          <t>Hikâyesine emoji bırak</t>
        </is>
      </c>
      <c r="D235" s="5" t="inlineStr">
        <is>
          <t>Kurnazlık</t>
        </is>
      </c>
      <c r="E235" s="5" t="inlineStr">
        <is>
          <t>Kolay</t>
        </is>
      </c>
      <c r="F235" s="5" t="inlineStr"/>
      <c r="G235" s="6" t="inlineStr"/>
      <c r="H235" s="6" t="inlineStr">
        <is>
          <t>Ateş emojisi bıraktın. Karşılığında kalp geldi. Telefonu yastığın altına koydun; gece üç kez çıkarıp baktın.</t>
        </is>
      </c>
      <c r="I235" s="6" t="inlineStr">
        <is>
          <t>Emojine cevap olarak özel mesaj geldi: 'Sen de mi bu şarkıyı seviyorsun?' Sevmiyordun. Artık seviyorsun.</t>
        </is>
      </c>
      <c r="J235" s="6" t="inlineStr">
        <is>
          <t>Emoji bıraktın. O da herkese aynı emojiyi bırakıyormuş.</t>
        </is>
      </c>
      <c r="K235" s="6" t="inlineStr">
        <is>
          <t>Ateş bırakacaktın, itfaiye aracı gitti. Cevap geldi: “Yangın mı var?” “Evet” yazdın. Neden yazdığını hâlâ bilmiyorsun.</t>
        </is>
      </c>
      <c r="L235" s="6" t="inlineStr"/>
      <c r="M235" s="5" t="inlineStr"/>
      <c r="N235" s="5" t="inlineStr"/>
      <c r="O235" s="6" t="inlineStr"/>
      <c r="P235" s="6" t="inlineStr"/>
      <c r="Q235" s="5" t="inlineStr"/>
      <c r="R235" s="5" t="inlineStr"/>
      <c r="S235" s="5" t="inlineStr"/>
      <c r="T235" s="5" t="inlineStr"/>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c r="AI235" s="5" t="inlineStr"/>
      <c r="AJ235" s="5" t="inlineStr"/>
    </row>
    <row r="236">
      <c r="A236" s="5" t="inlineStr">
        <is>
          <t>b4-ilk-hoslanti</t>
        </is>
      </c>
      <c r="B236" s="5" t="n">
        <v>4</v>
      </c>
      <c r="C236" s="6" t="inlineStr">
        <is>
          <t>Ortak arkadaşa sor</t>
        </is>
      </c>
      <c r="D236" s="5" t="inlineStr">
        <is>
          <t>Sosyal Radar</t>
        </is>
      </c>
      <c r="E236" s="5" t="inlineStr">
        <is>
          <t>Kolay</t>
        </is>
      </c>
      <c r="F236" s="5" t="inlineStr"/>
      <c r="G236" s="6" t="inlineStr"/>
      <c r="H236" s="6" t="inlineStr">
        <is>
          <t>Ortak arkadaş haber getirdi: “O da senin hikâyeni ilk izleyenlerden.” O gece uyuyamadın.</t>
        </is>
      </c>
      <c r="I236" s="6" t="inlineStr">
        <is>
          <t>Ortak arkadaş ortamı öyle hazırladı ki teneffüste yanınıza iki kişilik boşluk bırakıldı.</t>
        </is>
      </c>
      <c r="J236" s="6" t="inlineStr">
        <is>
          <t>Ortak arkadaş 'Bilmiyorum, sorayım mı?' dedi. Sormamasını rica ettin. Sordu.</t>
        </is>
      </c>
      <c r="K236" s="6" t="inlineStr">
        <is>
          <t>Ortak arkadaş soruyu kendi bildiği gibi iletti: “Biri seni seviyormuş ama söylemememi istedi.” Cevap geldi: “Kim?” Ortak arkadaş senin adını yazdı.</t>
        </is>
      </c>
      <c r="L236" s="6" t="inlineStr"/>
      <c r="M236" s="5" t="inlineStr"/>
      <c r="N236" s="5" t="inlineStr"/>
      <c r="O236" s="6" t="inlineStr"/>
      <c r="P236" s="6" t="inlineStr"/>
      <c r="Q236" s="5" t="inlineStr"/>
      <c r="R236" s="5" t="inlineStr"/>
      <c r="S236" s="5" t="inlineStr">
        <is>
          <t>Sosyal Radar</t>
        </is>
      </c>
      <c r="T236" s="5" t="inlineStr"/>
      <c r="U236" s="5" t="inlineStr"/>
      <c r="V236" s="5" t="inlineStr">
        <is>
          <t>ilk-mesaj</t>
        </is>
      </c>
      <c r="W236" s="5" t="inlineStr"/>
      <c r="X236" s="5" t="inlineStr"/>
      <c r="Y236" s="5" t="inlineStr"/>
      <c r="Z236" s="6" t="inlineStr"/>
      <c r="AA236" s="5" t="inlineStr"/>
      <c r="AB236" s="5" t="inlineStr"/>
      <c r="AC236" s="5" t="inlineStr"/>
      <c r="AD236" s="5" t="inlineStr"/>
      <c r="AE236" s="5" t="inlineStr"/>
      <c r="AF236" s="5" t="inlineStr"/>
      <c r="AG236" s="5" t="inlineStr"/>
      <c r="AH236" s="5" t="inlineStr"/>
      <c r="AI236" s="5" t="inlineStr"/>
      <c r="AJ236" s="5" t="inlineStr"/>
    </row>
    <row r="237">
      <c r="A237" s="5" t="inlineStr">
        <is>
          <t>b4-grup-odevi</t>
        </is>
      </c>
      <c r="B237" s="5" t="n">
        <v>1</v>
      </c>
      <c r="C237" s="6" t="inlineStr">
        <is>
          <t>Hepsini sen yap</t>
        </is>
      </c>
      <c r="D237" s="5" t="inlineStr"/>
      <c r="E237" s="5" t="inlineStr"/>
      <c r="F237" s="5" t="inlineStr">
        <is>
          <t>Dayanıklılık +1</t>
        </is>
      </c>
      <c r="G237" s="6" t="inlineStr">
        <is>
          <t>Ödevi tek başına yaptın. Sunumda üç kişi “Biz yaptık” dedi. Annen o gece ışığı söndürürken “Seninki en güzeliydi” dedi; görmemişti bile.</t>
        </is>
      </c>
      <c r="H237" s="6" t="inlineStr"/>
      <c r="I237" s="6" t="inlineStr"/>
      <c r="J237" s="6" t="inlineStr"/>
      <c r="K237" s="6" t="inlineStr"/>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c r="AI237" s="5" t="inlineStr"/>
      <c r="AJ237" s="5" t="inlineStr"/>
    </row>
    <row r="238">
      <c r="A238" s="5" t="inlineStr">
        <is>
          <t>b4-grup-odevi</t>
        </is>
      </c>
      <c r="B238" s="5" t="n">
        <v>2</v>
      </c>
      <c r="C238" s="6" t="inlineStr">
        <is>
          <t>Görev dağıt</t>
        </is>
      </c>
      <c r="D238" s="5" t="inlineStr">
        <is>
          <t>Çene</t>
        </is>
      </c>
      <c r="E238" s="5" t="inlineStr">
        <is>
          <t>Zor</t>
        </is>
      </c>
      <c r="F238" s="5" t="inlineStr"/>
      <c r="G238" s="6" t="inlineStr"/>
      <c r="H238" s="6" t="inlineStr">
        <is>
          <t>Herkese bir slayt verdin. Üç slayt geldi, biri başka bir ödevdendi ama geldi.</t>
        </is>
      </c>
      <c r="I238" s="6" t="inlineStr">
        <is>
          <t>Görevleri öyle dağıttın ki herkes kendi fikriymiş gibi çalıştı. Ödev bir gün erken bitti; grup bunu sana borçlu olduğunu bilmiyor.</t>
        </is>
      </c>
      <c r="J238" s="6" t="inlineStr">
        <is>
          <t>Görev dağıttın; üç kişi 'Tamam' yazdı ve bir daha hiçbir şey yazmadı.</t>
        </is>
      </c>
      <c r="K238" s="6" t="inlineStr">
        <is>
          <t>Görev dağıttın; biri sana 'Sen de mi öğretmensin?' yazdı. Grup ondan yana çıktı. Ödev yine sende.</t>
        </is>
      </c>
      <c r="L238" s="6" t="inlineStr"/>
      <c r="M238" s="5" t="inlineStr"/>
      <c r="N238" s="5" t="inlineStr"/>
      <c r="O238" s="6" t="inlineStr"/>
      <c r="P238" s="6" t="inlineStr"/>
      <c r="Q238" s="5" t="inlineStr"/>
      <c r="R238" s="5" t="inlineStr"/>
      <c r="S238" s="5" t="inlineStr"/>
      <c r="T238" s="5" t="inlineStr">
        <is>
          <t>Grup Diplomatı</t>
        </is>
      </c>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c r="AI238" s="5" t="inlineStr"/>
      <c r="AJ238" s="5" t="inlineStr"/>
    </row>
    <row r="239">
      <c r="A239" s="5" t="inlineStr">
        <is>
          <t>b4-grup-odevi</t>
        </is>
      </c>
      <c r="B239" s="5" t="n">
        <v>3</v>
      </c>
      <c r="C239" s="6" t="inlineStr">
        <is>
          <t>En sessiz olana alan aç</t>
        </is>
      </c>
      <c r="D239" s="5" t="inlineStr">
        <is>
          <t>Sosyal Radar</t>
        </is>
      </c>
      <c r="E239" s="5" t="inlineStr">
        <is>
          <t>Kolay</t>
        </is>
      </c>
      <c r="F239" s="5" t="inlineStr"/>
      <c r="G239" s="6" t="inlineStr"/>
      <c r="H239" s="6" t="inlineStr">
        <is>
          <t>Sessiz arkadaşa 'Sen başlar mısın?' dedin. Ertesi sabah ödev bitmişti. Kusursuz.</t>
        </is>
      </c>
      <c r="I239" s="6" t="inlineStr">
        <is>
          <t>Sessiz arkadaş ödevi bitirdi, sunumu da yaptı. Öğretmen 'Grup çalışması böyle olur' dedi. Hiç yoktu.</t>
        </is>
      </c>
      <c r="J239" s="6" t="inlineStr">
        <is>
          <t>Alan açtın; o da sessizce alanda bekledi.</t>
        </is>
      </c>
      <c r="K239" s="6" t="inlineStr">
        <is>
          <t>Alan açtın, o da ödevi yaptı ve kapağa sadece kendi adını yazdı. Haklıydı da.</t>
        </is>
      </c>
      <c r="L239" s="6" t="inlineStr"/>
      <c r="M239" s="5" t="inlineStr"/>
      <c r="N239" s="5" t="inlineStr"/>
      <c r="O239" s="6" t="inlineStr"/>
      <c r="P239" s="6" t="inlineStr"/>
      <c r="Q239" s="5" t="inlineStr"/>
      <c r="R239" s="5" t="inlineStr"/>
      <c r="S239" s="5" t="inlineStr">
        <is>
          <t>Sosyal Radar</t>
        </is>
      </c>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c r="AI239" s="5" t="inlineStr"/>
      <c r="AJ239" s="5" t="inlineStr"/>
    </row>
    <row r="240">
      <c r="A240" s="5" t="inlineStr">
        <is>
          <t>b4-grup-odevi</t>
        </is>
      </c>
      <c r="B240" s="5" t="n">
        <v>4</v>
      </c>
      <c r="C240" s="6" t="inlineStr">
        <is>
          <t>Son gece ortaya çık</t>
        </is>
      </c>
      <c r="D240" s="5" t="inlineStr">
        <is>
          <t>Pişkinlik</t>
        </is>
      </c>
      <c r="E240" s="5" t="inlineStr">
        <is>
          <t>Orta</t>
        </is>
      </c>
      <c r="F240" s="5" t="inlineStr"/>
      <c r="G240" s="6" t="inlineStr"/>
      <c r="H240" s="6" t="inlineStr">
        <is>
          <t>Gece yarısı “Ben kapağı yaparım” yazdın. Kapak güzeldi; öğretmen ilk onu gördü ve “Emek var” dedi. Emek kapaktaydı.</t>
        </is>
      </c>
      <c r="I240" s="6" t="inlineStr">
        <is>
          <t>Kapağı öyle yaptın ki öğretmen sadece kapağa not verdi. En yüksek notu da sen aldın.</t>
        </is>
      </c>
      <c r="J240" s="6" t="inlineStr">
        <is>
          <t>Gece yarısı geldin; ödev çoktan bitmişti. Grup seni 'Kapak Sorumlusu' olarak kaydetti. Kapak da bitmişti.</t>
        </is>
      </c>
      <c r="K240" s="6" t="inlineStr">
        <is>
          <t>Gece yarısı geldin, yanlış klasörü yükledin. Öğretmen ödevi tahtaya yansıttı: babaannenin doğum günü videosu, sen pastanın başında “İyi ki doğdun”u detone söylüyorsun. Teneffüste bütün sınıf aynı detoneyle söyledi.</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c r="AI240" s="5" t="inlineStr"/>
      <c r="AJ240" s="5" t="inlineStr"/>
    </row>
    <row r="241">
      <c r="A241" s="5" t="inlineStr">
        <is>
          <t>b4-okul-gezisi</t>
        </is>
      </c>
      <c r="B241" s="5" t="n">
        <v>1</v>
      </c>
      <c r="C241" s="6" t="inlineStr">
        <is>
          <t>Öğretmenin yanına otur</t>
        </is>
      </c>
      <c r="D241" s="5" t="inlineStr"/>
      <c r="E241" s="5" t="inlineStr"/>
      <c r="F241" s="5" t="inlineStr">
        <is>
          <t>İtibar +1</t>
        </is>
      </c>
      <c r="G241" s="6" t="inlineStr">
        <is>
          <t>Öğretmenin yanında oturdun. Üç saat boyunca emeklilikte açacağı pansiyonu dinledin. Mola yerinde sana tost ısmarladı, ayranını da.</t>
        </is>
      </c>
      <c r="H241" s="6" t="inlineStr"/>
      <c r="I241" s="6" t="inlineStr"/>
      <c r="J241" s="6" t="inlineStr"/>
      <c r="K241" s="6" t="inlineStr"/>
      <c r="L241" s="6" t="inlineStr"/>
      <c r="M241" s="5" t="inlineStr"/>
      <c r="N241" s="5" t="inlineStr"/>
      <c r="O241" s="6" t="inlineStr"/>
      <c r="P241" s="6" t="inlineStr"/>
      <c r="Q241" s="5" t="inlineStr"/>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c r="AI241" s="5" t="inlineStr"/>
      <c r="AJ241" s="5" t="inlineStr"/>
    </row>
    <row r="242">
      <c r="A242" s="5" t="inlineStr">
        <is>
          <t>b4-okul-gezisi</t>
        </is>
      </c>
      <c r="B242" s="5" t="n">
        <v>2</v>
      </c>
      <c r="C242" s="6" t="inlineStr">
        <is>
          <t>Arka koltuğu kap</t>
        </is>
      </c>
      <c r="D242" s="5" t="inlineStr">
        <is>
          <t>Kurnazlık</t>
        </is>
      </c>
      <c r="E242" s="5" t="inlineStr">
        <is>
          <t>Orta</t>
        </is>
      </c>
      <c r="F242" s="5" t="inlineStr"/>
      <c r="G242" s="6" t="inlineStr"/>
      <c r="H242" s="6" t="inlineStr">
        <is>
          <t>Arka koltuğa vardın, tam ortaya kuruldun. Öğretmen en öndeydi; o yolculukta kimse sana “Otur yerine” diyemedi.</t>
        </is>
      </c>
      <c r="I242" s="6" t="inlineStr">
        <is>
          <t>Arka koltuğun ortasını kaptın. Şarkıları sen seçtin; şoför ikinci saatte “Başkanım, bir de ben seçsem?” dedi.</t>
        </is>
      </c>
      <c r="J242" s="6" t="inlineStr">
        <is>
          <t>Arka koltuğa vardığında son yer bir çantaya verilmişti. Çanta daha popülerdi.</t>
        </is>
      </c>
      <c r="K242" s="6" t="inlineStr">
        <is>
          <t>Arka koltuğu kaptın, yol virajlıydı. Gezi fotoğraflarının hepsinde yeşilsin.</t>
        </is>
      </c>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c r="AI242" s="5" t="inlineStr"/>
      <c r="AJ242" s="5" t="inlineStr"/>
    </row>
    <row r="243">
      <c r="A243" s="5" t="inlineStr">
        <is>
          <t>b4-okul-gezisi</t>
        </is>
      </c>
      <c r="B243" s="5" t="n">
        <v>3</v>
      </c>
      <c r="C243" s="6" t="inlineStr">
        <is>
          <t>Otobüste şarkı başlat</t>
        </is>
      </c>
      <c r="D243" s="5" t="inlineStr">
        <is>
          <t>Çene</t>
        </is>
      </c>
      <c r="E243" s="5" t="inlineStr">
        <is>
          <t>Orta</t>
        </is>
      </c>
      <c r="F243" s="5" t="inlineStr"/>
      <c r="G243" s="6" t="inlineStr"/>
      <c r="H243" s="6" t="inlineStr">
        <is>
          <t>Başlattığın şarkıyı otobüsün yarısı söyledi. Yarısı çoğunluk sayılır.</t>
        </is>
      </c>
      <c r="I243" s="6" t="inlineStr">
        <is>
          <t>Şarkı dönüş yolunda da söylendi. Şoför bile katıldı.</t>
        </is>
      </c>
      <c r="J243" s="6" t="inlineStr">
        <is>
          <t>Şarkıyı başlattın; iki kişi katıldı. İkisi de sözleri bilmiyordu.</t>
        </is>
      </c>
      <c r="K243" s="6" t="inlineStr">
        <is>
          <t>Şarkıyı başlattın; kimse katılmadı. Şoför sessizce radyonun sesini açtı. Yolun daha ilk dört dakikasıydı.</t>
        </is>
      </c>
      <c r="L243" s="6" t="inlineStr"/>
      <c r="M243" s="5" t="inlineStr"/>
      <c r="N243" s="5" t="inlineStr"/>
      <c r="O243" s="6" t="inlineStr"/>
      <c r="P243" s="6" t="inlineStr"/>
      <c r="Q243" s="5" t="inlineStr"/>
      <c r="R243" s="5" t="inlineStr"/>
      <c r="S243" s="5" t="inlineStr"/>
      <c r="T243" s="5" t="inlineStr"/>
      <c r="U243" s="5" t="inlineStr"/>
      <c r="V243" s="5" t="inlineStr"/>
      <c r="W243" s="5" t="inlineStr"/>
      <c r="X243" s="5" t="inlineStr"/>
      <c r="Y243" s="5" t="inlineStr"/>
      <c r="Z243" s="6" t="inlineStr"/>
      <c r="AA243" s="5" t="inlineStr"/>
      <c r="AB243" s="5" t="inlineStr"/>
      <c r="AC243" s="5" t="inlineStr"/>
      <c r="AD243" s="5" t="inlineStr"/>
      <c r="AE243" s="5" t="inlineStr"/>
      <c r="AF243" s="5" t="inlineStr"/>
      <c r="AG243" s="5" t="inlineStr"/>
      <c r="AH243" s="5" t="inlineStr"/>
      <c r="AI243" s="5" t="inlineStr"/>
      <c r="AJ243" s="5" t="inlineStr"/>
    </row>
    <row r="244">
      <c r="A244" s="5" t="inlineStr">
        <is>
          <t>b4-okul-gezisi</t>
        </is>
      </c>
      <c r="B244" s="5" t="n">
        <v>4</v>
      </c>
      <c r="C244" s="6" t="inlineStr">
        <is>
          <t>Sayımı sen yap</t>
        </is>
      </c>
      <c r="D244" s="5" t="inlineStr">
        <is>
          <t>Akıl</t>
        </is>
      </c>
      <c r="E244" s="5" t="inlineStr">
        <is>
          <t>Kolay</t>
        </is>
      </c>
      <c r="F244" s="5" t="inlineStr"/>
      <c r="G244" s="6" t="inlineStr"/>
      <c r="H244" s="6" t="inlineStr">
        <is>
          <t>Sayımı yaptın, bir kişi eksikti. Tuvalette bulundu. Öğretmen seni yardımcı ilan etti.</t>
        </is>
      </c>
      <c r="I244" s="6" t="inlineStr">
        <is>
          <t>Sayım yaparken iki kişinin başka okulun otobüsüne bindiğini fark ettin. Öğretmen koşup onları getirdi; dönünce sana sarıldı ve dönüş yolunda ön koltuğu sana verdi.</t>
        </is>
      </c>
      <c r="J244" s="6" t="inlineStr">
        <is>
          <t>Üç kez saydın, üç ayrı sonuç çıktı. Öğretmen en güzel olanı seçip deftere yazdı.</t>
        </is>
      </c>
      <c r="K244" s="6" t="inlineStr">
        <is>
          <t>Sayımı yaptın, bir kişi eksik çıktı. Kendini saymamıştın.</t>
        </is>
      </c>
      <c r="L244" s="6" t="inlineStr"/>
      <c r="M244" s="5" t="inlineStr"/>
      <c r="N244" s="5" t="inlineStr"/>
      <c r="O244" s="6" t="inlineStr"/>
      <c r="P244" s="6" t="inlineStr"/>
      <c r="Q244" s="5" t="inlineStr">
        <is>
          <t>Kuralı Koyan</t>
        </is>
      </c>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c r="AI244" s="5" t="inlineStr"/>
      <c r="AJ244" s="5" t="inlineStr"/>
    </row>
    <row r="245">
      <c r="A245" s="5" t="inlineStr">
        <is>
          <t>b4-ayna</t>
        </is>
      </c>
      <c r="B245" s="5" t="n">
        <v>1</v>
      </c>
      <c r="C245" s="6" t="inlineStr">
        <is>
          <t>Saçı bırak, çık</t>
        </is>
      </c>
      <c r="D245" s="5" t="inlineStr"/>
      <c r="E245" s="5" t="inlineStr"/>
      <c r="F245" s="5" t="inlineStr">
        <is>
          <t>Dayanıklılık +1</t>
        </is>
      </c>
      <c r="G245" s="6" t="inlineStr">
        <is>
          <t>Saçı olduğu gibi bırakıp çıktın. Kapıda bekleyen kuzenin sana tepeden tırnağa baktı: “Bu kadar zaman bunun için mi?”</t>
        </is>
      </c>
      <c r="H245" s="6" t="inlineStr"/>
      <c r="I245" s="6" t="inlineStr"/>
      <c r="J245" s="6" t="inlineStr"/>
      <c r="K245" s="6" t="inlineStr"/>
      <c r="L245" s="6" t="inlineStr"/>
      <c r="M245" s="5" t="inlineStr"/>
      <c r="N245" s="5" t="inlineStr"/>
      <c r="O245" s="6" t="inlineStr"/>
      <c r="P245" s="6" t="inlineStr"/>
      <c r="Q245" s="5" t="inlineStr"/>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c r="AI245" s="5" t="inlineStr"/>
      <c r="AJ245" s="5" t="inlineStr"/>
    </row>
    <row r="246">
      <c r="A246" s="5" t="inlineStr">
        <is>
          <t>b4-ayna</t>
        </is>
      </c>
      <c r="B246" s="5" t="n">
        <v>2</v>
      </c>
      <c r="C246" s="6" t="inlineStr">
        <is>
          <t>Babanın jölesini kullan</t>
        </is>
      </c>
      <c r="D246" s="5" t="inlineStr">
        <is>
          <t>Kurnazlık</t>
        </is>
      </c>
      <c r="E246" s="5" t="inlineStr">
        <is>
          <t>Orta</t>
        </is>
      </c>
      <c r="F246" s="5" t="inlineStr"/>
      <c r="G246" s="6" t="inlineStr"/>
      <c r="H246" s="6" t="inlineStr">
        <is>
          <t>Saç yerinde, akşama kadar. Rüzgâr bile izin istiyor.</t>
        </is>
      </c>
      <c r="I246" s="6" t="inlineStr">
        <is>
          <t>Saç öyle oturdu ki sınıfta biri 'Nereye yaptırdın?' diye sordu. Cevabın: 'Babama.'</t>
        </is>
      </c>
      <c r="J246" s="6" t="inlineStr">
        <is>
          <t>Jöleyi fazla koydun. Saçın öğle arasına kadar tek parça hâlinde durdu.</t>
        </is>
      </c>
      <c r="K246" s="6" t="inlineStr">
        <is>
          <t>Jöle sandığın şey tıraş köpüğüydü. Okula bulut gibi gittin. 'Bulut' lakabı üç yıl sürdü.</t>
        </is>
      </c>
      <c r="L246" s="6" t="inlineStr"/>
      <c r="M246" s="5" t="inlineStr"/>
      <c r="N246" s="5" t="inlineStr"/>
      <c r="O246" s="6" t="inlineStr"/>
      <c r="P246" s="6" t="inlineStr"/>
      <c r="Q246" s="5" t="inlineStr"/>
      <c r="R246" s="5" t="inlineStr"/>
      <c r="S246" s="5" t="inlineStr"/>
      <c r="T246" s="5" t="inlineStr"/>
      <c r="U246" s="5" t="inlineStr"/>
      <c r="V246" s="5" t="inlineStr"/>
      <c r="W246" s="5" t="inlineStr">
        <is>
          <t>lakapli</t>
        </is>
      </c>
      <c r="X246" s="5" t="inlineStr"/>
      <c r="Y246" s="5" t="inlineStr"/>
      <c r="Z246" s="6" t="inlineStr"/>
      <c r="AA246" s="5" t="inlineStr"/>
      <c r="AB246" s="5" t="inlineStr"/>
      <c r="AC246" s="5" t="inlineStr"/>
      <c r="AD246" s="5" t="inlineStr"/>
      <c r="AE246" s="5" t="inlineStr"/>
      <c r="AF246" s="5" t="inlineStr"/>
      <c r="AG246" s="5" t="inlineStr"/>
      <c r="AH246" s="5" t="inlineStr"/>
      <c r="AI246" s="5" t="inlineStr">
        <is>
          <t>Bulut</t>
        </is>
      </c>
      <c r="AJ246" s="5" t="inlineStr"/>
    </row>
    <row r="247">
      <c r="A247" s="5" t="inlineStr">
        <is>
          <t>b4-ayna</t>
        </is>
      </c>
      <c r="B247" s="5" t="n">
        <v>3</v>
      </c>
      <c r="C247" s="6" t="inlineStr">
        <is>
          <t>Kuaförde yeni tarz iste</t>
        </is>
      </c>
      <c r="D247" s="5" t="inlineStr">
        <is>
          <t>Cesaret</t>
        </is>
      </c>
      <c r="E247" s="5" t="inlineStr">
        <is>
          <t>Orta</t>
        </is>
      </c>
      <c r="F247" s="5" t="inlineStr"/>
      <c r="G247" s="6" t="inlineStr"/>
      <c r="H247" s="6" t="inlineStr">
        <is>
          <t>Kuaföre fotoğraf gösterdin. Sonuç fotoğrafa benziyor. Uzaktan.</t>
        </is>
      </c>
      <c r="I247" s="6" t="inlineStr">
        <is>
          <t>Kuaför fotoğraftakinden daha iyisini yaptı. Pazartesi okulun koridoru yavaşladı.</t>
        </is>
      </c>
      <c r="J247" s="6" t="inlineStr">
        <is>
          <t>Kuaför gösterdiğin fotoğrafı yorumladı. Yorumu serbestti.</t>
        </is>
      </c>
      <c r="K247" s="6" t="inlineStr">
        <is>
          <t>Kuaför 'Güven bana' dedi. Güvendin. Sonuç, annenin gençlik fotoğrafındaki saç modeli.</t>
        </is>
      </c>
      <c r="L247" s="6" t="inlineStr"/>
      <c r="M247" s="5" t="inlineStr"/>
      <c r="N247" s="5" t="inlineStr"/>
      <c r="O247" s="6" t="inlineStr"/>
      <c r="P247" s="6" t="inlineStr"/>
      <c r="Q247" s="5" t="inlineStr"/>
      <c r="R247" s="5" t="inlineStr"/>
      <c r="S247" s="5" t="inlineStr"/>
      <c r="T247" s="5" t="inlineStr"/>
      <c r="U247" s="5" t="inlineStr"/>
      <c r="V247" s="5" t="inlineStr"/>
      <c r="W247" s="5" t="inlineStr"/>
      <c r="X247" s="5" t="inlineStr"/>
      <c r="Y247" s="5" t="inlineStr"/>
      <c r="Z247" s="6" t="inlineStr"/>
      <c r="AA247" s="5" t="inlineStr"/>
      <c r="AB247" s="5" t="inlineStr"/>
      <c r="AC247" s="5" t="inlineStr"/>
      <c r="AD247" s="5" t="inlineStr"/>
      <c r="AE247" s="5" t="inlineStr"/>
      <c r="AF247" s="5" t="inlineStr"/>
      <c r="AG247" s="5" t="inlineStr"/>
      <c r="AH247" s="5" t="inlineStr"/>
      <c r="AI247" s="5" t="inlineStr"/>
      <c r="AJ247" s="5" t="inlineStr"/>
    </row>
    <row r="248">
      <c r="A248" s="5" t="inlineStr">
        <is>
          <t>b4-ayna</t>
        </is>
      </c>
      <c r="B248" s="5" t="n">
        <v>4</v>
      </c>
      <c r="C248" s="6" t="inlineStr">
        <is>
          <t>Kuzenden ayna süresi satın al</t>
        </is>
      </c>
      <c r="D248" s="5" t="inlineStr">
        <is>
          <t>Çene</t>
        </is>
      </c>
      <c r="E248" s="5" t="inlineStr">
        <is>
          <t>Kolay</t>
        </is>
      </c>
      <c r="F248" s="5" t="inlineStr"/>
      <c r="G248" s="6" t="inlineStr"/>
      <c r="H248" s="6" t="inlineStr">
        <is>
          <t>Sıradaki kuzenine beş dakika için bir çikolata verdin. Ertesi sabah banyo kapısında el yazısıyla bir fiyat listesi vardı.</t>
        </is>
      </c>
      <c r="I248" s="6" t="inlineStr">
        <is>
          <t>Banyo sırasını bütün aileye saatlik olarak kiraladın. Sabahları trafik düzeldi.</t>
        </is>
      </c>
      <c r="J248" s="6" t="inlineStr">
        <is>
          <t>Kuzenin teklifi kabul etti, çikolatayı yedi, sırayı vermedi.</t>
        </is>
      </c>
      <c r="K248" s="6" t="inlineStr">
        <is>
          <t>Kuzenin fiyatı artırdı. Bayram tatili bitene kadar harçlığının yarısı banyo sırasına gitti.</t>
        </is>
      </c>
      <c r="L248" s="6" t="inlineStr"/>
      <c r="M248" s="5" t="inlineStr"/>
      <c r="N248" s="5" t="inlineStr"/>
      <c r="O248" s="6" t="inlineStr"/>
      <c r="P248" s="6" t="inlineStr"/>
      <c r="Q248" s="5" t="inlineStr">
        <is>
          <t>Küçük Tüccar</t>
        </is>
      </c>
      <c r="R248" s="5" t="inlineStr"/>
      <c r="S248" s="5" t="inlineStr"/>
      <c r="T248" s="5" t="inlineStr"/>
      <c r="U248" s="5" t="inlineStr"/>
      <c r="V248" s="5" t="inlineStr"/>
      <c r="W248" s="5" t="inlineStr"/>
      <c r="X248" s="5" t="inlineStr"/>
      <c r="Y248" s="5" t="inlineStr"/>
      <c r="Z248" s="6" t="inlineStr"/>
      <c r="AA248" s="5" t="inlineStr"/>
      <c r="AB248" s="5" t="inlineStr"/>
      <c r="AC248" s="5" t="inlineStr"/>
      <c r="AD248" s="5" t="inlineStr"/>
      <c r="AE248" s="5" t="inlineStr"/>
      <c r="AF248" s="5" t="inlineStr"/>
      <c r="AG248" s="5" t="inlineStr"/>
      <c r="AH248" s="5" t="inlineStr"/>
      <c r="AI248" s="5" t="inlineStr"/>
      <c r="AJ248" s="5" t="inlineStr"/>
    </row>
    <row r="249">
      <c r="A249" s="5" t="inlineStr">
        <is>
          <t>b4-bilim-fuari</t>
        </is>
      </c>
      <c r="B249" s="5" t="n">
        <v>1</v>
      </c>
      <c r="C249" s="6" t="inlineStr">
        <is>
          <t>Yanardağ yap</t>
        </is>
      </c>
      <c r="D249" s="5" t="inlineStr"/>
      <c r="E249" s="5" t="inlineStr"/>
      <c r="F249" s="5" t="inlineStr">
        <is>
          <t>Akıl +1</t>
        </is>
      </c>
      <c r="G249" s="6" t="inlineStr">
        <is>
          <t>Karbonatlı yanardağı sundun. Jüri on dördüncü kez etkilendi.</t>
        </is>
      </c>
      <c r="H249" s="6" t="inlineStr"/>
      <c r="I249" s="6" t="inlineStr"/>
      <c r="J249" s="6" t="inlineStr"/>
      <c r="K249" s="6" t="inlineStr"/>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c r="AI249" s="5" t="inlineStr"/>
      <c r="AJ249" s="5" t="inlineStr"/>
    </row>
    <row r="250">
      <c r="A250" s="5" t="inlineStr">
        <is>
          <t>b4-bilim-fuari</t>
        </is>
      </c>
      <c r="B250" s="5" t="n">
        <v>2</v>
      </c>
      <c r="C250" s="6" t="inlineStr">
        <is>
          <t>Kendi projeni yap</t>
        </is>
      </c>
      <c r="D250" s="5" t="inlineStr">
        <is>
          <t>Akıl</t>
        </is>
      </c>
      <c r="E250" s="5" t="inlineStr">
        <is>
          <t>Zor</t>
        </is>
      </c>
      <c r="F250" s="5" t="inlineStr"/>
      <c r="G250" s="6" t="inlineStr"/>
      <c r="H250" s="6" t="inlineStr">
        <is>
          <t>Bitkilere bir ay müzik dinlettin. Sonuç: tepki yok. Fizik öğretmeni güldü: “Dürüst bilim bu.” Bitkileri eve götürdün; babaannen onlara türkü açtı, iki hafta sonra çiçek verdiler.</t>
        </is>
      </c>
      <c r="I250" s="6" t="inlineStr">
        <is>
          <t>Apartmanda kimin aidatı geç ödediğini grafiğe döktün. Birinci oldun. Ödül töreninde üçüncü kattaki komşu seni alkışlamadı.</t>
        </is>
      </c>
      <c r="J250" s="6" t="inlineStr">
        <is>
          <t>Proje yetişmedi. Masada yalnızca başlık vardı: 'Hipotez'.</t>
        </is>
      </c>
      <c r="K250" s="6" t="inlineStr">
        <is>
          <t>Posterin bant tutmadı, yan masadaki yanardağın içine düştü. Yanardağ patladı, poster de. Jüri ikisine de puan vermedi.</t>
        </is>
      </c>
      <c r="L250" s="6" t="inlineStr"/>
      <c r="M250" s="5" t="inlineStr"/>
      <c r="N250" s="5" t="inlineStr"/>
      <c r="O250" s="6" t="inlineStr"/>
      <c r="P250" s="6" t="inlineStr"/>
      <c r="Q250" s="5" t="inlineStr"/>
      <c r="R250" s="5" t="inlineStr"/>
      <c r="S250" s="5" t="inlineStr"/>
      <c r="T250" s="5" t="inlineStr"/>
      <c r="U250" s="5" t="inlineStr"/>
      <c r="V250" s="5" t="inlineStr">
        <is>
          <t>fuar-birincisi</t>
        </is>
      </c>
      <c r="W250" s="5" t="inlineStr"/>
      <c r="X250" s="5" t="inlineStr"/>
      <c r="Y250" s="5" t="inlineStr"/>
      <c r="Z250" s="6" t="inlineStr"/>
      <c r="AA250" s="5" t="inlineStr"/>
      <c r="AB250" s="5" t="inlineStr"/>
      <c r="AC250" s="5" t="inlineStr"/>
      <c r="AD250" s="5" t="inlineStr"/>
      <c r="AE250" s="5" t="inlineStr"/>
      <c r="AF250" s="5" t="inlineStr"/>
      <c r="AG250" s="5" t="inlineStr"/>
      <c r="AH250" s="5" t="inlineStr"/>
      <c r="AI250" s="5" t="inlineStr"/>
      <c r="AJ250" s="5" t="inlineStr"/>
    </row>
    <row r="251">
      <c r="A251" s="5" t="inlineStr">
        <is>
          <t>b4-bilim-fuari</t>
        </is>
      </c>
      <c r="B251" s="5" t="n">
        <v>3</v>
      </c>
      <c r="C251" s="6" t="inlineStr">
        <is>
          <t>Jüriye soru sor</t>
        </is>
      </c>
      <c r="D251" s="5" t="inlineStr">
        <is>
          <t>Çene</t>
        </is>
      </c>
      <c r="E251" s="5" t="inlineStr">
        <is>
          <t>Kolay</t>
        </is>
      </c>
      <c r="F251" s="5" t="inlineStr"/>
      <c r="G251" s="6" t="inlineStr"/>
      <c r="H251" s="6" t="inlineStr">
        <is>
          <t>'Sizce neden hep yanardağ yapılıyor?' diye sordun. Jüri üyesi yirmi dakika konuştu, sonra sana puan verdi.</t>
        </is>
      </c>
      <c r="I251" s="6" t="inlineStr">
        <is>
          <t>Soru o kadar yerindeydi ki jüri üyesi seni gelecek yılın jürisine yazdı. Sen de birinci oldun.</t>
        </is>
      </c>
      <c r="J251" s="6" t="inlineStr">
        <is>
          <t>Soru sordun; jüri 'Önce senin projeni görelim' dedi. Projen yanardağdı.</t>
        </is>
      </c>
      <c r="K251" s="6" t="inlineStr">
        <is>
          <t>“Sizce neden hep yanardağ yapılıyor?” diye sordun. Jüri üyesi kıpkırmızı oldu; kendi çocuğu da üç masa ötede yanardağ yapmıştı. Yanardağ birinci oldu.</t>
        </is>
      </c>
      <c r="L251" s="6" t="inlineStr"/>
      <c r="M251" s="5" t="inlineStr"/>
      <c r="N251" s="5" t="inlineStr"/>
      <c r="O251" s="6" t="inlineStr"/>
      <c r="P251" s="6" t="inlineStr"/>
      <c r="Q251" s="5" t="inlineStr"/>
      <c r="R251" s="5" t="inlineStr"/>
      <c r="S251" s="5" t="inlineStr">
        <is>
          <t>Akıl</t>
        </is>
      </c>
      <c r="T251" s="5" t="inlineStr"/>
      <c r="U251" s="5" t="inlineStr"/>
      <c r="V251" s="5" t="inlineStr">
        <is>
          <t>fuar-birincisi</t>
        </is>
      </c>
      <c r="W251" s="5" t="inlineStr"/>
      <c r="X251" s="5" t="inlineStr"/>
      <c r="Y251" s="5" t="inlineStr"/>
      <c r="Z251" s="6" t="inlineStr"/>
      <c r="AA251" s="5" t="inlineStr"/>
      <c r="AB251" s="5" t="inlineStr"/>
      <c r="AC251" s="5" t="inlineStr"/>
      <c r="AD251" s="5" t="inlineStr"/>
      <c r="AE251" s="5" t="inlineStr"/>
      <c r="AF251" s="5" t="inlineStr"/>
      <c r="AG251" s="5" t="inlineStr"/>
      <c r="AH251" s="5" t="inlineStr"/>
      <c r="AI251" s="5" t="inlineStr"/>
      <c r="AJ251" s="5" t="inlineStr"/>
    </row>
    <row r="252">
      <c r="A252" s="5" t="inlineStr">
        <is>
          <t>b4-bilim-fuari</t>
        </is>
      </c>
      <c r="B252" s="5" t="n">
        <v>4</v>
      </c>
      <c r="C252" s="6" t="inlineStr">
        <is>
          <t>Başkasının projesine ortak ol</t>
        </is>
      </c>
      <c r="D252" s="5" t="inlineStr">
        <is>
          <t>Sosyal Radar</t>
        </is>
      </c>
      <c r="E252" s="5" t="inlineStr">
        <is>
          <t>Orta</t>
        </is>
      </c>
      <c r="F252" s="5" t="inlineStr"/>
      <c r="G252" s="6" t="inlineStr"/>
      <c r="H252" s="6" t="inlineStr">
        <is>
          <t>Ortaklık kurdun. Posterde adın küçük puntoyla var.</t>
        </is>
      </c>
      <c r="I252" s="6" t="inlineStr">
        <is>
          <t>Ortaklaşa birinci oldunuz. Madalyayı sen taşıdın.</t>
        </is>
      </c>
      <c r="J252" s="6" t="inlineStr">
        <is>
          <t>Ortak olduğun proje de yanardağmış.</t>
        </is>
      </c>
      <c r="K252" s="6" t="inlineStr">
        <is>
          <t>Ortak olduğun projeyi velisi yapmış. Jüri velinin adını sordu. Sen söyledin.</t>
        </is>
      </c>
      <c r="L252" s="6" t="inlineStr"/>
      <c r="M252" s="5" t="inlineStr"/>
      <c r="N252" s="5" t="inlineStr"/>
      <c r="O252" s="6" t="inlineStr"/>
      <c r="P252" s="6" t="inlineStr"/>
      <c r="Q252" s="5" t="inlineStr"/>
      <c r="R252" s="5" t="inlineStr"/>
      <c r="S252" s="5" t="inlineStr"/>
      <c r="T252" s="5" t="inlineStr"/>
      <c r="U252" s="5" t="inlineStr"/>
      <c r="V252" s="5" t="inlineStr"/>
      <c r="W252" s="5" t="inlineStr"/>
      <c r="X252" s="5" t="inlineStr"/>
      <c r="Y252" s="5" t="inlineStr"/>
      <c r="Z252" s="6" t="inlineStr"/>
      <c r="AA252" s="5" t="inlineStr"/>
      <c r="AB252" s="5" t="inlineStr"/>
      <c r="AC252" s="5" t="inlineStr"/>
      <c r="AD252" s="5" t="inlineStr"/>
      <c r="AE252" s="5" t="inlineStr"/>
      <c r="AF252" s="5" t="inlineStr"/>
      <c r="AG252" s="5" t="inlineStr"/>
      <c r="AH252" s="5" t="inlineStr"/>
      <c r="AI252" s="5" t="inlineStr"/>
      <c r="AJ252" s="5" t="inlineStr"/>
    </row>
    <row r="253">
      <c r="A253" s="5" t="inlineStr">
        <is>
          <t>b4-kotu-not</t>
        </is>
      </c>
      <c r="B253" s="5" t="n">
        <v>1</v>
      </c>
      <c r="C253" s="6" t="inlineStr">
        <is>
          <t>Kâğıdı masaya koy</t>
        </is>
      </c>
      <c r="D253" s="5" t="inlineStr"/>
      <c r="E253" s="5" t="inlineStr"/>
      <c r="F253" s="5" t="inlineStr">
        <is>
          <t>İtibar +2</t>
        </is>
      </c>
      <c r="G253" s="6" t="inlineStr">
        <is>
          <t>Kâğıdı masaya koydun. Sessizlik oldu. Sonra baban kendi ortaokul notlarından bahsetti; annen “Daha kötüydü” diye ekledi.</t>
        </is>
      </c>
      <c r="H253" s="6" t="inlineStr"/>
      <c r="I253" s="6" t="inlineStr"/>
      <c r="J253" s="6" t="inlineStr"/>
      <c r="K253" s="6" t="inlineStr"/>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c r="AI253" s="5" t="inlineStr"/>
      <c r="AJ253" s="5" t="inlineStr"/>
    </row>
    <row r="254">
      <c r="A254" s="5" t="inlineStr">
        <is>
          <t>b4-kotu-not</t>
        </is>
      </c>
      <c r="B254" s="5" t="n">
        <v>2</v>
      </c>
      <c r="C254" s="6" t="inlineStr">
        <is>
          <t>Poker yüzünü tak</t>
        </is>
      </c>
      <c r="D254" s="5" t="inlineStr">
        <is>
          <t>Pişkinlik</t>
        </is>
      </c>
      <c r="E254" s="5" t="inlineStr">
        <is>
          <t>Zor</t>
        </is>
      </c>
      <c r="F254" s="5" t="inlineStr"/>
      <c r="G254" s="6" t="inlineStr"/>
      <c r="H254" s="6" t="inlineStr">
        <is>
          <t>Yemeğin sonuna kadar kıpırdamadın. Kâğıt çantada, sır güvende, pilav bitti.</t>
        </is>
      </c>
      <c r="I254" s="6" t="inlineStr">
        <is>
          <t>O kadar sakindin ki annen 'Bu çocuk bir şey başarmış' dedi ve tatlı çıkardı. Tatlı suçluluk tadındaydı.</t>
        </is>
      </c>
      <c r="J254" s="6" t="inlineStr">
        <is>
          <t>'Çantanda ne var?' sorusunda gözün kaydı. Çanta masaya getirildi.</t>
        </is>
      </c>
      <c r="K254" s="6" t="inlineStr">
        <is>
          <t>'Bana bak bakayım' dendiğinde 'Matematik değil!' dedin. Kimse matematik sormamıştı.</t>
        </is>
      </c>
      <c r="L254" s="6" t="inlineStr">
        <is>
          <t>Yemeği kazasız bitirdin ama annen kalkarken “Yarın konuşuruz” dedi. O gece uyuyamadın.</t>
        </is>
      </c>
      <c r="M254" s="5" t="inlineStr">
        <is>
          <t>lie</t>
        </is>
      </c>
      <c r="N254" s="5" t="inlineStr">
        <is>
          <t>Akşam Yemeği Sorgusu</t>
        </is>
      </c>
      <c r="O254" s="6" t="inlineStr">
        <is>
          <t>Söylediklerini aklında tut; sorulara çelişmeden cevap ver.</t>
        </is>
      </c>
      <c r="P254" s="6" t="inlineStr">
        <is>
          <t>{"who": "Baban", "facts": ["Matematik sınavı kolaydı.", "Kâğıdı öğretmen daha vermedi.", "Akşamları ders çalışıyorum."], "qs": [{"q": "Sınav nasıl geçti?", "o": ["Kolay geçti, bakalım not.", "Zordu.", "Hiç girmedim."]}, {"q": "Kâğıt nerede?", "o": ["Öğretmen daha vermedi.", "Çantamda.", "Kaybettim."]}, {"q": "Akşamları ne yapıyorsun?", "o": ["Ders çalışıyorum.", "Oyun oynuyorum.", "Uyuyorum."]}]}</t>
        </is>
      </c>
      <c r="Q254" s="5" t="inlineStr"/>
      <c r="R254" s="5" t="inlineStr"/>
      <c r="S254" s="5" t="inlineStr"/>
      <c r="T254" s="5" t="inlineStr"/>
      <c r="U254" s="5" t="inlineStr"/>
      <c r="V254" s="5" t="inlineStr"/>
      <c r="W254" s="5" t="inlineStr">
        <is>
          <t>yalanci</t>
        </is>
      </c>
      <c r="X254" s="5" t="inlineStr"/>
      <c r="Y254" s="5" t="inlineStr"/>
      <c r="Z254" s="6" t="inlineStr"/>
      <c r="AA254" s="5" t="inlineStr"/>
      <c r="AB254" s="5" t="inlineStr"/>
      <c r="AC254" s="5" t="inlineStr"/>
      <c r="AD254" s="5" t="inlineStr"/>
      <c r="AE254" s="5" t="inlineStr"/>
      <c r="AF254" s="5" t="inlineStr"/>
      <c r="AG254" s="5" t="inlineStr"/>
      <c r="AH254" s="5" t="inlineStr"/>
      <c r="AI254" s="5" t="inlineStr"/>
      <c r="AJ254" s="5" t="inlineStr"/>
    </row>
    <row r="255">
      <c r="A255" s="5" t="inlineStr">
        <is>
          <t>b4-kotu-not</t>
        </is>
      </c>
      <c r="B255" s="5" t="n">
        <v>3</v>
      </c>
      <c r="C255" s="6" t="inlineStr">
        <is>
          <t>İmzayı taklit et</t>
        </is>
      </c>
      <c r="D255" s="5" t="inlineStr">
        <is>
          <t>Kurnazlık</t>
        </is>
      </c>
      <c r="E255" s="5" t="inlineStr">
        <is>
          <t>Zor</t>
        </is>
      </c>
      <c r="F255" s="5" t="inlineStr"/>
      <c r="G255" s="6" t="inlineStr"/>
      <c r="H255" s="6" t="inlineStr">
        <is>
          <t>İmza kusursuz. Kâğıt teslim edildi. Kalbin biraz ağır.</t>
        </is>
      </c>
      <c r="I255" s="6" t="inlineStr">
        <is>
          <t>İmza o kadar iyiydi ki bir akşam annen bir okul formunu sana uzattı: “Şunu benim yerime imzala, elim hamurlu.”</t>
        </is>
      </c>
      <c r="J255" s="6" t="inlineStr">
        <is>
          <t>İmza fazla düzgündü. Öğretmen 'Annen hiç böyle imza atmaz' dedi.</t>
        </is>
      </c>
      <c r="K255" s="6" t="inlineStr">
        <is>
          <t>Annenin değil, yanlışlıkla öğretmenin imzasını taklit ettin. Öğretmen kendi imzasını tanıdı ama ikna olmadı.</t>
        </is>
      </c>
      <c r="L255" s="6" t="inlineStr"/>
      <c r="M255" s="5" t="inlineStr"/>
      <c r="N255" s="5" t="inlineStr"/>
      <c r="O255" s="6" t="inlineStr"/>
      <c r="P255" s="6" t="inlineStr"/>
      <c r="Q255" s="5" t="inlineStr">
        <is>
          <t>Açık Bulur</t>
        </is>
      </c>
      <c r="R255" s="5" t="inlineStr"/>
      <c r="S255" s="5" t="inlineStr"/>
      <c r="T255" s="5" t="inlineStr"/>
      <c r="U255" s="5" t="inlineStr"/>
      <c r="V255" s="5" t="inlineStr"/>
      <c r="W255" s="5" t="inlineStr">
        <is>
          <t>yalanci</t>
        </is>
      </c>
      <c r="X255" s="5" t="inlineStr"/>
      <c r="Y255" s="5" t="inlineStr"/>
      <c r="Z255" s="6" t="inlineStr"/>
      <c r="AA255" s="5" t="inlineStr"/>
      <c r="AB255" s="5" t="inlineStr"/>
      <c r="AC255" s="5" t="inlineStr"/>
      <c r="AD255" s="5" t="inlineStr"/>
      <c r="AE255" s="5" t="inlineStr"/>
      <c r="AF255" s="5" t="inlineStr"/>
      <c r="AG255" s="5" t="inlineStr"/>
      <c r="AH255" s="5" t="inlineStr"/>
      <c r="AI255" s="5" t="inlineStr"/>
      <c r="AJ255" s="5" t="inlineStr"/>
    </row>
    <row r="256">
      <c r="A256" s="5" t="inlineStr">
        <is>
          <t>b4-kotu-not</t>
        </is>
      </c>
      <c r="B256" s="5" t="n">
        <v>4</v>
      </c>
      <c r="C256" s="6" t="inlineStr">
        <is>
          <t>Önce babaanneye göster</t>
        </is>
      </c>
      <c r="D256" s="5" t="inlineStr">
        <is>
          <t>Sosyal Radar</t>
        </is>
      </c>
      <c r="E256" s="5" t="inlineStr">
        <is>
          <t>Orta</t>
        </is>
      </c>
      <c r="F256" s="5" t="inlineStr"/>
      <c r="G256" s="6" t="inlineStr"/>
      <c r="H256" s="6" t="inlineStr">
        <is>
          <t>Babaanne kâğıda baktı: 'Babanın notlarını bir bilsen.' Kalkanın hazır.</t>
        </is>
      </c>
      <c r="I256" s="6" t="inlineStr">
        <is>
          <t>Babaannen akşam yemeğinde çantasından babanın ortaokul karnesini çıkardı. Bütün akşam babanın matematiği konuşuldu. Senin kâğıt çantada uyudu.</t>
        </is>
      </c>
      <c r="J256" s="6" t="inlineStr">
        <is>
          <t>Babaanne kâğıdı gördü ve doğrudan annene götürdü. Kalkan değil, kurye çıktı.</t>
        </is>
      </c>
      <c r="K256" s="6" t="inlineStr">
        <is>
          <t>Babaannen kâğıdı görünce sevindi: “Yarısını bilmiş!” Fotoğrafını çekip aile grubuna attı. Halan fotoğrafı büyütüp okudu ve sordu: “Öbür yarısı?”</t>
        </is>
      </c>
      <c r="L256" s="6" t="inlineStr"/>
      <c r="M256" s="5" t="inlineStr"/>
      <c r="N256" s="5" t="inlineStr"/>
      <c r="O256" s="6" t="inlineStr"/>
      <c r="P256" s="6" t="inlineStr"/>
      <c r="Q256" s="5" t="inlineStr"/>
      <c r="R256" s="5" t="inlineStr"/>
      <c r="S256" s="5" t="inlineStr"/>
      <c r="T256" s="5" t="inlineStr"/>
      <c r="U256" s="5" t="inlineStr"/>
      <c r="V256" s="5" t="inlineStr"/>
      <c r="W256" s="5" t="inlineStr"/>
      <c r="X256" s="5" t="inlineStr"/>
      <c r="Y256" s="5" t="inlineStr"/>
      <c r="Z256" s="6" t="inlineStr"/>
      <c r="AA256" s="5" t="inlineStr"/>
      <c r="AB256" s="5" t="inlineStr"/>
      <c r="AC256" s="5" t="inlineStr"/>
      <c r="AD256" s="5" t="inlineStr"/>
      <c r="AE256" s="5" t="inlineStr"/>
      <c r="AF256" s="5" t="inlineStr"/>
      <c r="AG256" s="5" t="inlineStr"/>
      <c r="AH256" s="5" t="inlineStr"/>
      <c r="AI256" s="5" t="inlineStr"/>
      <c r="AJ256" s="5" t="inlineStr"/>
    </row>
    <row r="257">
      <c r="A257" s="5" t="inlineStr">
        <is>
          <t>b4-kedinin-hesabi</t>
        </is>
      </c>
      <c r="B257" s="5" t="n">
        <v>1</v>
      </c>
      <c r="C257" s="6" t="inlineStr">
        <is>
          <t>Kediyi rahat bırak</t>
        </is>
      </c>
      <c r="D257" s="5" t="inlineStr"/>
      <c r="E257" s="5" t="inlineStr"/>
      <c r="F257" s="5" t="inlineStr">
        <is>
          <t>Gönül +1</t>
        </is>
      </c>
      <c r="G257" s="6" t="inlineStr">
        <is>
          <t>Hesabı kapattın. Kedi kariyerini bıraktı ve yeniden kalorifer peteğine döndü. Mutlu görünüyor.</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c r="AI257" s="5" t="inlineStr"/>
      <c r="AJ257" s="5" t="inlineStr"/>
    </row>
    <row r="258">
      <c r="A258" s="5" t="inlineStr">
        <is>
          <t>b4-kedinin-hesabi</t>
        </is>
      </c>
      <c r="B258" s="5" t="n">
        <v>2</v>
      </c>
      <c r="C258" s="6" t="inlineStr">
        <is>
          <t>Kedinin menajeri ol</t>
        </is>
      </c>
      <c r="D258" s="5" t="inlineStr">
        <is>
          <t>Çene</t>
        </is>
      </c>
      <c r="E258" s="5" t="inlineStr">
        <is>
          <t>Orta</t>
        </is>
      </c>
      <c r="F258" s="5" t="inlineStr"/>
      <c r="G258" s="6" t="inlineStr"/>
      <c r="H258" s="6" t="inlineStr">
        <is>
          <t>Bir mama firması iki koli mama gönderdi. Menajer payın: bir koli. Yemedin.</t>
        </is>
      </c>
      <c r="I258" s="6" t="inlineStr">
        <is>
          <t>Kedinin takvimi doldu: sabah çekim, öğlen uyku, akşam kutuya girme. Babaannen her videonun altına yazıyor: “Bu kedi bizim torunun.” Kedi sana bakıp esniyor.</t>
        </is>
      </c>
      <c r="J258" s="6" t="inlineStr">
        <is>
          <t>Kedi çekimlere gelmedi. Menajer olarak ilk krizin, oyuncunun kanepenin altında olması.</t>
        </is>
      </c>
      <c r="K258" s="6" t="inlineStr">
        <is>
          <t>Kedi çekim sırasında kamerayı masadan itti, sonra kenardan aşağı baktı. Video en çok izlenen videon oldu. Sen onu çatlak ekranından izledin.</t>
        </is>
      </c>
      <c r="L258" s="6" t="inlineStr"/>
      <c r="M258" s="5" t="inlineStr"/>
      <c r="N258" s="5" t="inlineStr"/>
      <c r="O258" s="6" t="inlineStr"/>
      <c r="P258" s="6" t="inlineStr"/>
      <c r="Q258" s="5" t="inlineStr"/>
      <c r="R258" s="5" t="inlineStr"/>
      <c r="S258" s="5" t="inlineStr"/>
      <c r="T258" s="5" t="inlineStr"/>
      <c r="U258" s="5" t="inlineStr"/>
      <c r="V258" s="5" t="inlineStr">
        <is>
          <t>fenomen</t>
        </is>
      </c>
      <c r="W258" s="5" t="inlineStr"/>
      <c r="X258" s="5" t="inlineStr"/>
      <c r="Y258" s="5" t="inlineStr"/>
      <c r="Z258" s="6" t="inlineStr"/>
      <c r="AA258" s="5" t="inlineStr"/>
      <c r="AB258" s="5" t="inlineStr"/>
      <c r="AC258" s="5" t="inlineStr"/>
      <c r="AD258" s="5" t="inlineStr"/>
      <c r="AE258" s="5" t="inlineStr"/>
      <c r="AF258" s="5" t="inlineStr"/>
      <c r="AG258" s="5" t="inlineStr"/>
      <c r="AH258" s="5" t="inlineStr"/>
      <c r="AI258" s="5" t="inlineStr"/>
      <c r="AJ258" s="5" t="inlineStr"/>
    </row>
    <row r="259">
      <c r="A259" s="5" t="inlineStr">
        <is>
          <t>b4-kedinin-hesabi</t>
        </is>
      </c>
      <c r="B259" s="5" t="n">
        <v>3</v>
      </c>
      <c r="C259" s="6" t="inlineStr">
        <is>
          <t>Kendin de kadraja gir</t>
        </is>
      </c>
      <c r="D259" s="5" t="inlineStr">
        <is>
          <t>Pişkinlik</t>
        </is>
      </c>
      <c r="E259" s="5" t="inlineStr">
        <is>
          <t>Zor</t>
        </is>
      </c>
      <c r="F259" s="5" t="inlineStr"/>
      <c r="G259" s="6" t="inlineStr"/>
      <c r="H259" s="6" t="inlineStr">
        <is>
          <t>Kediyle ortak içerik üretiyorsunuz. Yorumların yarısı sana. Yarısı iyi.</t>
        </is>
      </c>
      <c r="I259" s="6" t="inlineStr">
        <is>
          <t>Kedi ve sen: resmî ikili. Takipçiler ikinize ayrı ayrı doğum günü mesajı atıyor.</t>
        </is>
      </c>
      <c r="J259" s="6" t="inlineStr">
        <is>
          <t>Kadraja girdin; izlenmeler yarıya düştü. Kedi videonun sonunda kalkıp gitti; en çok o kısım izlendi.</t>
        </is>
      </c>
      <c r="K259" s="6" t="inlineStr">
        <is>
          <t>Yorumlar: 'Kediyi göster, arkadaki çocuk çekilsin.' Arkadaki çocuk sensin.</t>
        </is>
      </c>
      <c r="L259" s="6" t="inlineStr"/>
      <c r="M259" s="5" t="inlineStr"/>
      <c r="N259" s="5" t="inlineStr"/>
      <c r="O259" s="6" t="inlineStr"/>
      <c r="P259" s="6" t="inlineStr"/>
      <c r="Q259" s="5" t="inlineStr"/>
      <c r="R259" s="5" t="inlineStr"/>
      <c r="S259" s="5" t="inlineStr"/>
      <c r="T259" s="5" t="inlineStr"/>
      <c r="U259" s="5" t="inlineStr"/>
      <c r="V259" s="5" t="inlineStr">
        <is>
          <t>fenomen</t>
        </is>
      </c>
      <c r="W259" s="5" t="inlineStr"/>
      <c r="X259" s="5" t="inlineStr"/>
      <c r="Y259" s="5" t="inlineStr"/>
      <c r="Z259" s="6" t="inlineStr"/>
      <c r="AA259" s="5" t="inlineStr"/>
      <c r="AB259" s="5" t="inlineStr"/>
      <c r="AC259" s="5" t="inlineStr"/>
      <c r="AD259" s="5" t="inlineStr"/>
      <c r="AE259" s="5" t="inlineStr"/>
      <c r="AF259" s="5" t="inlineStr"/>
      <c r="AG259" s="5" t="inlineStr"/>
      <c r="AH259" s="5" t="inlineStr"/>
      <c r="AI259" s="5" t="inlineStr"/>
      <c r="AJ259" s="5" t="inlineStr"/>
    </row>
    <row r="260">
      <c r="A260" s="5" t="inlineStr">
        <is>
          <t>b4-dershane</t>
        </is>
      </c>
      <c r="B260" s="5" t="n">
        <v>1</v>
      </c>
      <c r="C260" s="6" t="inlineStr">
        <is>
          <t>Kabul et</t>
        </is>
      </c>
      <c r="D260" s="5" t="inlineStr"/>
      <c r="E260" s="5" t="inlineStr"/>
      <c r="F260" s="5" t="inlineStr">
        <is>
          <t>Dayanıklılık +1</t>
        </is>
      </c>
      <c r="G260" s="6" t="inlineStr">
        <is>
          <t>Kayıt yapıldı. Cumartesi sabahları artık çizgi film yok, servis var. İlk gün annen çantana börek koydu.</t>
        </is>
      </c>
      <c r="H260" s="6" t="inlineStr"/>
      <c r="I260" s="6" t="inlineStr"/>
      <c r="J260" s="6" t="inlineStr"/>
      <c r="K260" s="6" t="inlineStr"/>
      <c r="L260" s="6" t="inlineStr"/>
      <c r="M260" s="5" t="inlineStr"/>
      <c r="N260" s="5" t="inlineStr"/>
      <c r="O260" s="6" t="inlineStr"/>
      <c r="P260" s="6" t="inlineStr"/>
      <c r="Q260" s="5" t="inlineStr"/>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c r="AI260" s="5" t="inlineStr"/>
      <c r="AJ260" s="5" t="inlineStr"/>
    </row>
    <row r="261">
      <c r="A261" s="5" t="inlineStr">
        <is>
          <t>b4-dershane</t>
        </is>
      </c>
      <c r="B261" s="5" t="n">
        <v>2</v>
      </c>
      <c r="C261" s="6" t="inlineStr">
        <is>
          <t>Özel öğretmen iste</t>
        </is>
      </c>
      <c r="D261" s="5" t="inlineStr">
        <is>
          <t>Çene</t>
        </is>
      </c>
      <c r="E261" s="5" t="inlineStr">
        <is>
          <t>Orta</t>
        </is>
      </c>
      <c r="F261" s="5" t="inlineStr"/>
      <c r="G261" s="6" t="inlineStr"/>
      <c r="H261" s="6" t="inlineStr">
        <is>
          <t>Özel öğretmen haftada iki gün geliyor ve her seferinde çayı övüyor.</t>
        </is>
      </c>
      <c r="I261" s="6" t="inlineStr">
        <is>
          <t>Özel öğretmen o kadar iyi çıktı ki teyzen duyup kuzenini de getirdi. Ders ikiye bölündü, para da. Annen telefonda teyzene üç kez “Bizim bulduğumuz hoca” dedi.</t>
        </is>
      </c>
      <c r="J261" s="6" t="inlineStr">
        <is>
          <t>Özel öğretmen geldi; senden çok babanla konuşuyor.</t>
        </is>
      </c>
      <c r="K261" s="6" t="inlineStr">
        <is>
          <t>Hem dershane hem özel ders geldi. Babanın akşam çayı o günden beri şekersiz. “Tasarruf” diyor, sana bakarak.</t>
        </is>
      </c>
      <c r="L261" s="6" t="inlineStr"/>
      <c r="M261" s="5" t="inlineStr"/>
      <c r="N261" s="5" t="inlineStr"/>
      <c r="O261" s="6" t="inlineStr"/>
      <c r="P261" s="6" t="inlineStr"/>
      <c r="Q261" s="5" t="inlineStr"/>
      <c r="R261" s="5" t="inlineStr"/>
      <c r="S261" s="5" t="inlineStr"/>
      <c r="T261" s="5" t="inlineStr"/>
      <c r="U261" s="5" t="inlineStr"/>
      <c r="V261" s="5" t="inlineStr"/>
      <c r="W261" s="5" t="inlineStr">
        <is>
          <t>dershaneli</t>
        </is>
      </c>
      <c r="X261" s="5" t="inlineStr"/>
      <c r="Y261" s="5" t="inlineStr"/>
      <c r="Z261" s="6" t="inlineStr"/>
      <c r="AA261" s="5" t="inlineStr"/>
      <c r="AB261" s="5" t="inlineStr"/>
      <c r="AC261" s="5" t="inlineStr"/>
      <c r="AD261" s="5" t="inlineStr"/>
      <c r="AE261" s="5" t="inlineStr"/>
      <c r="AF261" s="5" t="inlineStr"/>
      <c r="AG261" s="5" t="inlineStr"/>
      <c r="AH261" s="5" t="inlineStr"/>
      <c r="AI261" s="5" t="inlineStr"/>
      <c r="AJ261" s="5" t="inlineStr"/>
    </row>
    <row r="262">
      <c r="A262" s="5" t="inlineStr">
        <is>
          <t>b4-dershane</t>
        </is>
      </c>
      <c r="B262" s="5" t="n">
        <v>3</v>
      </c>
      <c r="C262" s="6" t="inlineStr">
        <is>
          <t>Kendi kendine çalışacağını söyle</t>
        </is>
      </c>
      <c r="D262" s="5" t="inlineStr">
        <is>
          <t>Pişkinlik</t>
        </is>
      </c>
      <c r="E262" s="5" t="inlineStr">
        <is>
          <t>Zor</t>
        </is>
      </c>
      <c r="F262" s="5" t="inlineStr"/>
      <c r="G262" s="6" t="inlineStr"/>
      <c r="H262" s="6" t="inlineStr">
        <is>
          <t>Ailen denemeye razı oldu. Üç ay süren var.</t>
        </is>
      </c>
      <c r="I262" s="6" t="inlineStr">
        <is>
          <t>Baban plana o kadar inandı ki dershane parasının bir kısmıyla sana bisiklet aldı: “Kütüphaneye gidip gelirsin.” Nereye gidip geldiğini kimse sormadı.</t>
        </is>
      </c>
      <c r="J262" s="6" t="inlineStr">
        <is>
          <t>Ailen seni takvime bağladı ve oda kapısına 'Açık Kalacak' kuralı getirdi.</t>
        </is>
      </c>
      <c r="K262" s="6" t="inlineStr">
        <is>
          <t>İlk deneme sonucunun ardından ailen dershaneye yıllık kayıt yaptırdı. Peşin.</t>
        </is>
      </c>
      <c r="L262" s="6" t="inlineStr"/>
      <c r="M262" s="5" t="inlineStr"/>
      <c r="N262" s="5" t="inlineStr"/>
      <c r="O262" s="6" t="inlineStr"/>
      <c r="P262" s="6" t="inlineStr"/>
      <c r="Q262" s="5" t="inlineStr"/>
      <c r="R262" s="5" t="inlineStr"/>
      <c r="S262" s="5" t="inlineStr"/>
      <c r="T262" s="5" t="inlineStr"/>
      <c r="U262" s="5" t="inlineStr"/>
      <c r="V262" s="5" t="inlineStr"/>
      <c r="W262" s="5" t="inlineStr">
        <is>
          <t>dershaneli</t>
        </is>
      </c>
      <c r="X262" s="5" t="inlineStr"/>
      <c r="Y262" s="5" t="inlineStr"/>
      <c r="Z262" s="6" t="inlineStr"/>
      <c r="AA262" s="5" t="inlineStr"/>
      <c r="AB262" s="5" t="inlineStr"/>
      <c r="AC262" s="5" t="inlineStr"/>
      <c r="AD262" s="5" t="inlineStr"/>
      <c r="AE262" s="5" t="inlineStr"/>
      <c r="AF262" s="5" t="inlineStr"/>
      <c r="AG262" s="5" t="inlineStr"/>
      <c r="AH262" s="5" t="inlineStr"/>
      <c r="AI262" s="5" t="inlineStr"/>
      <c r="AJ262" s="5" t="inlineStr"/>
    </row>
    <row r="263">
      <c r="A263" s="5" t="inlineStr">
        <is>
          <t>b4-dershane</t>
        </is>
      </c>
      <c r="B263" s="5" t="n">
        <v>4</v>
      </c>
      <c r="C263" s="6" t="inlineStr">
        <is>
          <t>Kuzen ve komşu indirimi araştır</t>
        </is>
      </c>
      <c r="D263" s="5" t="inlineStr">
        <is>
          <t>Akıl</t>
        </is>
      </c>
      <c r="E263" s="5" t="inlineStr">
        <is>
          <t>Kolay</t>
        </is>
      </c>
      <c r="F263" s="5" t="inlineStr"/>
      <c r="G263" s="6" t="inlineStr"/>
      <c r="H263" s="6" t="inlineStr">
        <is>
          <t>Kuzen, komşu çocuğu ve erken kayıt indirimini birleştirdin. Fiyat üçte bir düştü.</t>
        </is>
      </c>
      <c r="I263" s="6" t="inlineStr">
        <is>
          <t>İndirimleri öyle birleştirdin ki dershane müdürü babana “Bu çocuğu muhasebeye verelim” dedi. Fiyat yarıya indi.</t>
        </is>
      </c>
      <c r="J263" s="6" t="inlineStr">
        <is>
          <t>İndirimler birleşmiyormuş. Küçük puntoda yazıyordu.</t>
        </is>
      </c>
      <c r="K263" s="6" t="inlineStr">
        <is>
          <t>İndirim için kuzenini de kaydettirdin. Kuzen her denemede senden yüksek aldı.</t>
        </is>
      </c>
      <c r="L263" s="6" t="inlineStr"/>
      <c r="M263" s="5" t="inlineStr"/>
      <c r="N263" s="5" t="inlineStr"/>
      <c r="O263" s="6" t="inlineStr"/>
      <c r="P263" s="6" t="inlineStr"/>
      <c r="Q263" s="5" t="inlineStr">
        <is>
          <t>Kumbara Çocuğu</t>
        </is>
      </c>
      <c r="R263" s="5" t="inlineStr"/>
      <c r="S263" s="5" t="inlineStr"/>
      <c r="T263" s="5" t="inlineStr"/>
      <c r="U263" s="5" t="inlineStr">
        <is>
          <t>dershaneli</t>
        </is>
      </c>
      <c r="V263" s="5" t="inlineStr"/>
      <c r="W263" s="5" t="inlineStr"/>
      <c r="X263" s="5" t="inlineStr"/>
      <c r="Y263" s="5" t="inlineStr"/>
      <c r="Z263" s="6" t="inlineStr"/>
      <c r="AA263" s="5" t="inlineStr"/>
      <c r="AB263" s="5" t="inlineStr"/>
      <c r="AC263" s="5" t="inlineStr"/>
      <c r="AD263" s="5" t="inlineStr"/>
      <c r="AE263" s="5" t="inlineStr"/>
      <c r="AF263" s="5" t="inlineStr"/>
      <c r="AG263" s="5" t="inlineStr"/>
      <c r="AH263" s="5" t="inlineStr"/>
      <c r="AI263" s="5" t="inlineStr"/>
      <c r="AJ263" s="5" t="inlineStr"/>
    </row>
    <row r="264">
      <c r="A264" s="5" t="inlineStr">
        <is>
          <t>b4-yanlis-grup</t>
        </is>
      </c>
      <c r="B264" s="5" t="n">
        <v>1</v>
      </c>
      <c r="C264" s="6" t="inlineStr">
        <is>
          <t>Telefonu kapat, uyu</t>
        </is>
      </c>
      <c r="D264" s="5" t="inlineStr"/>
      <c r="E264" s="5" t="inlineStr"/>
      <c r="F264" s="5" t="inlineStr">
        <is>
          <t>Dayanıklılık +1</t>
        </is>
      </c>
      <c r="G264" s="6" t="inlineStr">
        <is>
          <t>Telefonu kapatıp uyudun. Sabah grup kararını vermişti: artık yemeği sen seçiyorsun. Her gün.</t>
        </is>
      </c>
      <c r="H264" s="6" t="inlineStr"/>
      <c r="I264" s="6" t="inlineStr"/>
      <c r="J264" s="6" t="inlineStr"/>
      <c r="K264" s="6" t="inlineStr"/>
      <c r="L264" s="6" t="inlineStr"/>
      <c r="M264" s="5" t="inlineStr"/>
      <c r="N264" s="5" t="inlineStr"/>
      <c r="O264" s="6" t="inlineStr"/>
      <c r="P264" s="6" t="inlineStr"/>
      <c r="Q264" s="5" t="inlineStr"/>
      <c r="R264" s="5" t="inlineStr"/>
      <c r="S264" s="5" t="inlineStr"/>
      <c r="T264" s="5" t="inlineStr"/>
      <c r="U264" s="5" t="inlineStr">
        <is>
          <t>yanlis-grup</t>
        </is>
      </c>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c r="AI264" s="5" t="inlineStr"/>
      <c r="AJ264" s="5" t="inlineStr"/>
    </row>
    <row r="265">
      <c r="A265" s="5" t="inlineStr">
        <is>
          <t>b4-yanlis-grup</t>
        </is>
      </c>
      <c r="B265" s="5" t="n">
        <v>2</v>
      </c>
      <c r="C265" s="6" t="inlineStr">
        <is>
          <t>Herkesten sil</t>
        </is>
      </c>
      <c r="D265" s="5" t="inlineStr">
        <is>
          <t>Kurnazlık</t>
        </is>
      </c>
      <c r="E265" s="5" t="inlineStr">
        <is>
          <t>Orta</t>
        </is>
      </c>
      <c r="F265" s="5" t="inlineStr"/>
      <c r="G265" s="6" t="inlineStr"/>
      <c r="H265" s="6" t="inlineStr">
        <is>
          <t>Grupta yalnızca 'Bu mesaj silindi' kaldı. Aile üç gün boyunca neyin silindiğini tahmin etti.</t>
        </is>
      </c>
      <c r="I265" s="6" t="inlineStr">
        <is>
          <t>Sildin; kimse görmemişti. Tek iz, halanın 'Ne sildin?' sorusu. O da cevapsız kaldı.</t>
        </is>
      </c>
      <c r="J265" s="6" t="inlineStr">
        <is>
          <t>Sildin ama dayın çoktan ekran görüntüsü alıp altına 'Hahaha' yazmıştı.</t>
        </is>
      </c>
      <c r="K265" s="6" t="inlineStr">
        <is>
          <t>'Herkesten sil' yerine 'Benden sil'e bastın. Mesaj grupta duruyor. Sen artık göremiyorsun.</t>
        </is>
      </c>
      <c r="L265" s="6" t="inlineStr"/>
      <c r="M265" s="5" t="inlineStr"/>
      <c r="N265" s="5" t="inlineStr"/>
      <c r="O265" s="6" t="inlineStr"/>
      <c r="P265" s="6" t="inlineStr"/>
      <c r="Q265" s="5" t="inlineStr"/>
      <c r="R265" s="5" t="inlineStr"/>
      <c r="S265" s="5" t="inlineStr"/>
      <c r="T265" s="5" t="inlineStr"/>
      <c r="U265" s="5" t="inlineStr"/>
      <c r="V265" s="5" t="inlineStr"/>
      <c r="W265" s="5" t="inlineStr">
        <is>
          <t>yanlis-grup</t>
        </is>
      </c>
      <c r="X265" s="5" t="inlineStr"/>
      <c r="Y265" s="5" t="inlineStr"/>
      <c r="Z265" s="6" t="inlineStr"/>
      <c r="AA265" s="5" t="inlineStr"/>
      <c r="AB265" s="5" t="inlineStr"/>
      <c r="AC265" s="5" t="inlineStr"/>
      <c r="AD265" s="5" t="inlineStr"/>
      <c r="AE265" s="5" t="inlineStr"/>
      <c r="AF265" s="5" t="inlineStr"/>
      <c r="AG265" s="5" t="inlineStr"/>
      <c r="AH265" s="5" t="inlineStr"/>
      <c r="AI265" s="5" t="inlineStr"/>
      <c r="AJ265" s="5" t="inlineStr"/>
    </row>
    <row r="266">
      <c r="A266" s="5" t="inlineStr">
        <is>
          <t>b4-yanlis-grup</t>
        </is>
      </c>
      <c r="B266" s="5" t="n">
        <v>3</v>
      </c>
      <c r="C266" s="6" t="inlineStr">
        <is>
          <t>Arkasını topla</t>
        </is>
      </c>
      <c r="D266" s="5" t="inlineStr">
        <is>
          <t>Çene</t>
        </is>
      </c>
      <c r="E266" s="5" t="inlineStr">
        <is>
          <t>Orta</t>
        </is>
      </c>
      <c r="F266" s="5" t="inlineStr"/>
      <c r="G266" s="6" t="inlineStr"/>
      <c r="H266" s="6" t="inlineStr">
        <is>
          <t>'…ve çok seviyorum!' diye ekledin. Annen kalp bıraktı. Yemek bir hafta daha tekrarlandı.</t>
        </is>
      </c>
      <c r="I266" s="6" t="inlineStr">
        <is>
          <t>Devamını öyle getirdin ki mesaj annene bir methiyeye döndü. Annen tarifi gruba yazdı, teyzen de aynı yemeği yaptı. Artık iki evde aynı yemek var.</t>
        </is>
      </c>
      <c r="J266" s="6" t="inlineStr">
        <is>
          <t>'Şaka şaka' yazdın. Kimse gülmedi. Annen 'Görüşürüz' yazdı.</t>
        </is>
      </c>
      <c r="K266" s="6" t="inlineStr">
        <is>
          <t>Toplamaya çalışırken ikinci mesajı da yanlış gruba attın: 'Bizimkiler hiçbir şey anlamaz.'</t>
        </is>
      </c>
      <c r="L266" s="6" t="inlineStr"/>
      <c r="M266" s="5" t="inlineStr"/>
      <c r="N266" s="5" t="inlineStr"/>
      <c r="O266" s="6" t="inlineStr"/>
      <c r="P266" s="6" t="inlineStr"/>
      <c r="Q266" s="5" t="inlineStr"/>
      <c r="R266" s="5" t="inlineStr"/>
      <c r="S266" s="5" t="inlineStr"/>
      <c r="T266" s="5" t="inlineStr"/>
      <c r="U266" s="5" t="inlineStr"/>
      <c r="V266" s="5" t="inlineStr"/>
      <c r="W266" s="5" t="inlineStr">
        <is>
          <t>yanlis-grup</t>
        </is>
      </c>
      <c r="X266" s="5" t="inlineStr"/>
      <c r="Y266" s="5" t="inlineStr"/>
      <c r="Z266" s="6" t="inlineStr"/>
      <c r="AA266" s="5" t="inlineStr"/>
      <c r="AB266" s="5" t="inlineStr"/>
      <c r="AC266" s="5" t="inlineStr"/>
      <c r="AD266" s="5" t="inlineStr"/>
      <c r="AE266" s="5" t="inlineStr"/>
      <c r="AF266" s="5" t="inlineStr"/>
      <c r="AG266" s="5" t="inlineStr"/>
      <c r="AH266" s="5" t="inlineStr"/>
      <c r="AI266" s="5" t="inlineStr"/>
      <c r="AJ266" s="5" t="inlineStr"/>
    </row>
    <row r="267">
      <c r="A267" s="5" t="inlineStr">
        <is>
          <t>b4-yanlis-grup</t>
        </is>
      </c>
      <c r="B267" s="5" t="n">
        <v>4</v>
      </c>
      <c r="C267" s="6" t="inlineStr">
        <is>
          <t>Annenin telefonundan da sil</t>
        </is>
      </c>
      <c r="D267" s="5" t="inlineStr">
        <is>
          <t>Kurnazlık</t>
        </is>
      </c>
      <c r="E267" s="5" t="inlineStr">
        <is>
          <t>Kolay</t>
        </is>
      </c>
      <c r="F267" s="5" t="inlineStr"/>
      <c r="G267" s="6" t="inlineStr"/>
      <c r="H267" s="6" t="inlineStr">
        <is>
          <t>Tezgâha süzüldün, telefonu çevirdin, mesajı sildin. Annen soğan doğramaya devam etti.</t>
        </is>
      </c>
      <c r="I267" s="6" t="inlineStr">
        <is>
          <t>Mesajı sildin, bir de annenin sabah attığı çiçekli günaydını beğendin. Annen akşam “Ne tatlı çocuğum var” dedi. Yemek yine aynıydı.</t>
        </is>
      </c>
      <c r="J267" s="6" t="inlineStr">
        <is>
          <t>Telefonu çevirdiğinde annen dönüp 'Ne arıyorsun?' dedi. 'Saat kaç?' dedin. Duvarda saat var.</t>
        </is>
      </c>
      <c r="K267" s="6" t="inlineStr">
        <is>
          <t>Telefonu çevirdin, sesli mesaj kaydı başladı. Annenin 'Ne yapıyorsun?' sorusu ve senin cevabın aile grubuna gitti.</t>
        </is>
      </c>
      <c r="L267" s="6" t="inlineStr"/>
      <c r="M267" s="5" t="inlineStr"/>
      <c r="N267" s="5" t="inlineStr"/>
      <c r="O267" s="6" t="inlineStr"/>
      <c r="P267" s="6" t="inlineStr"/>
      <c r="Q267" s="5" t="inlineStr"/>
      <c r="R267" s="5" t="inlineStr"/>
      <c r="S267" s="5" t="inlineStr">
        <is>
          <t>Kurnazlık</t>
        </is>
      </c>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c r="AI267" s="5" t="inlineStr"/>
      <c r="AJ267" s="5" t="inlineStr"/>
    </row>
    <row r="268">
      <c r="A268" s="5" t="inlineStr">
        <is>
          <t>b4-apartman-toplantisi</t>
        </is>
      </c>
      <c r="B268" s="5" t="n">
        <v>1</v>
      </c>
      <c r="C268" s="6" t="inlineStr">
        <is>
          <t>Zarfı ver, makbuzu al, çık</t>
        </is>
      </c>
      <c r="D268" s="5" t="inlineStr"/>
      <c r="E268" s="5" t="inlineStr"/>
      <c r="F268" s="5" t="inlineStr">
        <is>
          <t>İtibar +1</t>
        </is>
      </c>
      <c r="G268" s="6" t="inlineStr">
        <is>
          <t>Zarfı verdin, makbuzu aldın, çıktın. Kapı kapanırken salondan tek bir cümle duydun: “Çocuklar da artık bahçede top oynamasın.”</t>
        </is>
      </c>
      <c r="H268" s="6" t="inlineStr"/>
      <c r="I268" s="6" t="inlineStr"/>
      <c r="J268" s="6" t="inlineStr"/>
      <c r="K268" s="6" t="inlineStr"/>
      <c r="L268" s="6" t="inlineStr"/>
      <c r="M268" s="5" t="inlineStr"/>
      <c r="N268" s="5" t="inlineStr"/>
      <c r="O268" s="6" t="inlineStr"/>
      <c r="P268" s="6" t="inlineStr"/>
      <c r="Q268" s="5" t="inlineStr"/>
      <c r="R268" s="5" t="inlineStr"/>
      <c r="S268" s="5" t="inlineStr"/>
      <c r="T268" s="5" t="inlineStr"/>
      <c r="U268" s="5" t="inlineStr"/>
      <c r="V268" s="5" t="inlineStr"/>
      <c r="W268" s="5" t="inlineStr"/>
      <c r="X268" s="5" t="inlineStr"/>
      <c r="Y268" s="5" t="inlineStr"/>
      <c r="Z268" s="6" t="inlineStr"/>
      <c r="AA268" s="5" t="inlineStr"/>
      <c r="AB268" s="5" t="inlineStr"/>
      <c r="AC268" s="5" t="inlineStr"/>
      <c r="AD268" s="5" t="inlineStr"/>
      <c r="AE268" s="5" t="inlineStr"/>
      <c r="AF268" s="5" t="inlineStr"/>
      <c r="AG268" s="5" t="inlineStr"/>
      <c r="AH268" s="5" t="inlineStr"/>
      <c r="AI268" s="5" t="inlineStr"/>
      <c r="AJ268" s="5" t="inlineStr"/>
    </row>
    <row r="269">
      <c r="A269" s="5" t="inlineStr">
        <is>
          <t>b4-apartman-toplantisi</t>
        </is>
      </c>
      <c r="B269" s="5" t="n">
        <v>2</v>
      </c>
      <c r="C269" s="6" t="inlineStr">
        <is>
          <t>Kapıda kulak kabart</t>
        </is>
      </c>
      <c r="D269" s="5" t="inlineStr">
        <is>
          <t>Sosyal Radar</t>
        </is>
      </c>
      <c r="E269" s="5" t="inlineStr">
        <is>
          <t>Kolay</t>
        </is>
      </c>
      <c r="F269" s="5" t="inlineStr"/>
      <c r="G269" s="6" t="inlineStr"/>
      <c r="H269" s="6" t="inlineStr">
        <is>
          <t>Kapıda iki dakika durdun, apartmanın bütün siyasetini öğrendin: aidat artacak, asansör bozuk kalacak, suçlu çocuklar.</t>
        </is>
      </c>
      <c r="I269" s="6" t="inlineStr">
        <is>
          <t>Beş dakikada kimin kime kızgın, kimin kimin tarafında olduğunu çözdün. Akşam babana anlattın; baban çayını bıraktı: “Yirmi yıldır bu apartmandayım, bunları ben bilmiyordum.”</t>
        </is>
      </c>
      <c r="J269" s="6" t="inlineStr">
        <is>
          <t>Kulak verdin ama yönetici kapıyı suratına kapattı. Makbuzu almayı da unuttun.</t>
        </is>
      </c>
      <c r="K269" s="6" t="inlineStr">
        <is>
          <t>Dinlerken yakalandın. Yönetici kapıyı ardına kadar açtı: “Gel, sen de otur madem.” Gecenin sonunda adın karar defterine geçti: “Kapıdan dinleyen 4 numaranın çocuğu.”</t>
        </is>
      </c>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c r="AI269" s="5" t="inlineStr"/>
      <c r="AJ269" s="5" t="inlineStr"/>
    </row>
    <row r="270">
      <c r="A270" s="5" t="inlineStr">
        <is>
          <t>b4-apartman-toplantisi</t>
        </is>
      </c>
      <c r="B270" s="5" t="n">
        <v>3</v>
      </c>
      <c r="C270" s="6" t="inlineStr">
        <is>
          <t>Top meselesinde çocukları savun</t>
        </is>
      </c>
      <c r="D270" s="5" t="inlineStr">
        <is>
          <t>Pişkinlik</t>
        </is>
      </c>
      <c r="E270" s="5" t="inlineStr">
        <is>
          <t>Orta</t>
        </is>
      </c>
      <c r="F270" s="5" t="inlineStr"/>
      <c r="G270" s="6" t="inlineStr"/>
      <c r="H270" s="6" t="inlineStr">
        <is>
          <t>“Top oynamazsak nerede oynayalım?” dedin. Sekiz yetişkin cevap veremedi. Bahçeye saat sınırıyla izin çıktı.</t>
        </is>
      </c>
      <c r="I270" s="6" t="inlineStr">
        <is>
          <t>Savunman öyle iyiydi ki komşular bahçeye basket potası alınmasına el kaldırarak karar verdi. Üçüncü kattaki teyze bile kaldırdı.</t>
        </is>
      </c>
      <c r="J270" s="6" t="inlineStr">
        <is>
          <t>Savunmaya başladın; üçüncü kattaki teyze telefonundan kırık camın fotoğrafını açtı. Saklamış.</t>
        </is>
      </c>
      <c r="K270" s="6" t="inlineStr">
        <is>
          <t>Savunmanın ortasında aşağıdan top sesi geldi, ardından cam sesi. Sen değildin ama o gün sen oldun.</t>
        </is>
      </c>
      <c r="L270" s="6" t="inlineStr"/>
      <c r="M270" s="5" t="inlineStr"/>
      <c r="N270" s="5" t="inlineStr"/>
      <c r="O270" s="6" t="inlineStr"/>
      <c r="P270" s="6" t="inlineStr"/>
      <c r="Q270" s="5" t="inlineStr"/>
      <c r="R270" s="5" t="inlineStr"/>
      <c r="S270" s="5" t="inlineStr"/>
      <c r="T270" s="5" t="inlineStr"/>
      <c r="U270" s="5" t="inlineStr"/>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c r="AI270" s="5" t="inlineStr"/>
      <c r="AJ270" s="5" t="inlineStr"/>
    </row>
    <row r="271">
      <c r="A271" s="5" t="inlineStr">
        <is>
          <t>b4-apartman-toplantisi</t>
        </is>
      </c>
      <c r="B271" s="5" t="n">
        <v>4</v>
      </c>
      <c r="C271" s="6" t="inlineStr">
        <is>
          <t>Zarftan bir miktar kendine ayır</t>
        </is>
      </c>
      <c r="D271" s="5" t="inlineStr">
        <is>
          <t>Kurnazlık</t>
        </is>
      </c>
      <c r="E271" s="5" t="inlineStr">
        <is>
          <t>Zor</t>
        </is>
      </c>
      <c r="F271" s="5" t="inlineStr"/>
      <c r="G271" s="6" t="inlineStr"/>
      <c r="H271" s="6" t="inlineStr">
        <is>
          <t>Makbuzla zarf arasındaki farkı kimse fark etmedi. Aylık bir “kurye ücreti”n oldu.</t>
        </is>
      </c>
      <c r="I271" s="6" t="inlineStr">
        <is>
          <t>Zarftan bir kâğıt para ayırdın. Yönetici saymadan makbuzu kesti, annen makbuza bakmadan buzdolabına astı. Para kumbarada; vicdanın kumbaradan ağır.</t>
        </is>
      </c>
      <c r="J271" s="6" t="inlineStr">
        <is>
          <t>Zarftan ayırdın, yönetici parayı saydı. Makbuzda eksik yazıyor; annen okuyacak.</t>
        </is>
      </c>
      <c r="K271" s="6" t="inlineStr">
        <is>
          <t>Zarftan ayırdın. Yönetici, annenin iş arkadaşının kocası çıktı; annen ertesi sabah işe girer girmez öğrendi. Akşam mutfakta zarfı yeniden saydınız: sen saydın, annen izledi.</t>
        </is>
      </c>
      <c r="L271" s="6" t="inlineStr"/>
      <c r="M271" s="5" t="inlineStr"/>
      <c r="N271" s="5" t="inlineStr"/>
      <c r="O271" s="6" t="inlineStr"/>
      <c r="P271" s="6" t="inlineStr"/>
      <c r="Q271" s="5" t="inlineStr"/>
      <c r="R271" s="5" t="inlineStr"/>
      <c r="S271" s="5" t="inlineStr"/>
      <c r="T271" s="5" t="inlineStr"/>
      <c r="U271" s="5" t="inlineStr"/>
      <c r="V271" s="5" t="inlineStr"/>
      <c r="W271" s="5" t="inlineStr">
        <is>
          <t>yalanci</t>
        </is>
      </c>
      <c r="X271" s="5" t="inlineStr"/>
      <c r="Y271" s="5" t="inlineStr"/>
      <c r="Z271" s="6" t="inlineStr"/>
      <c r="AA271" s="5" t="inlineStr"/>
      <c r="AB271" s="5" t="inlineStr"/>
      <c r="AC271" s="5" t="inlineStr"/>
      <c r="AD271" s="5" t="inlineStr"/>
      <c r="AE271" s="5" t="inlineStr"/>
      <c r="AF271" s="5" t="inlineStr"/>
      <c r="AG271" s="5" t="inlineStr"/>
      <c r="AH271" s="5" t="inlineStr"/>
      <c r="AI271" s="5" t="inlineStr"/>
      <c r="AJ271" s="5" t="inlineStr"/>
    </row>
    <row r="272">
      <c r="A272" s="5" t="inlineStr">
        <is>
          <t>b4-yz-odev</t>
        </is>
      </c>
      <c r="B272" s="5" t="n">
        <v>1</v>
      </c>
      <c r="C272" s="6" t="inlineStr">
        <is>
          <t>Kendin yaz</t>
        </is>
      </c>
      <c r="D272" s="5" t="inlineStr"/>
      <c r="E272" s="5" t="inlineStr"/>
      <c r="F272" s="5" t="inlineStr">
        <is>
          <t>İtibar +1</t>
        </is>
      </c>
      <c r="G272" s="6" t="inlineStr">
        <is>
          <t>Kendin yazdın. İki imla hatası, bir dürüst cümle: 'Tatil kısaydı.' Öğretmen o cümlenin altını çizdi.</t>
        </is>
      </c>
      <c r="H272" s="6" t="inlineStr"/>
      <c r="I272" s="6" t="inlineStr"/>
      <c r="J272" s="6" t="inlineStr"/>
      <c r="K272" s="6" t="inlineStr"/>
      <c r="L272" s="6" t="inlineStr"/>
      <c r="M272" s="5" t="inlineStr"/>
      <c r="N272" s="5" t="inlineStr"/>
      <c r="O272" s="6" t="inlineStr"/>
      <c r="P272" s="6" t="inlineStr"/>
      <c r="Q272" s="5" t="inlineStr"/>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c r="AI272" s="5" t="inlineStr"/>
      <c r="AJ272" s="5" t="inlineStr"/>
    </row>
    <row r="273">
      <c r="A273" s="5" t="inlineStr">
        <is>
          <t>b4-yz-odev</t>
        </is>
      </c>
      <c r="B273" s="5" t="n">
        <v>2</v>
      </c>
      <c r="C273" s="6" t="inlineStr">
        <is>
          <t>Yapay zekâya yazdır</t>
        </is>
      </c>
      <c r="D273" s="5" t="inlineStr">
        <is>
          <t>Kurnazlık</t>
        </is>
      </c>
      <c r="E273" s="5" t="inlineStr">
        <is>
          <t>Orta</t>
        </is>
      </c>
      <c r="F273" s="5" t="inlineStr"/>
      <c r="G273" s="6" t="inlineStr"/>
      <c r="H273" s="6" t="inlineStr">
        <is>
          <t>Metin kusursuz. Öğretmen 'Çok gelişmişsin' dedi. İçinde bir şey sızladı, geçti.</t>
        </is>
      </c>
      <c r="I273" s="6" t="inlineStr">
        <is>
          <t>Yapay zekâya kendi imla hatalarını da ekletmeyi unutmadın. Öğretmen “İşte tam senin yazın” dedi. İçin sızladı; yazı senin değildi, hatalar senindi.</t>
        </is>
      </c>
      <c r="J273" s="6" t="inlineStr">
        <is>
          <t>Metne göre tatilini Öte Diyar'da, üç dil konuşarak geçirmişsin. Öğretmen aileni arayıp tatili tebrik etti. Annen “Hangi tatil?” dedi.</t>
        </is>
      </c>
      <c r="K273" s="6" t="inlineStr">
        <is>
          <t>Metnin son cümlesi: 'Başka bir konuda yardımcı olabilir miyim?' Öğretmen sınıfa sesli okudu.</t>
        </is>
      </c>
      <c r="L273" s="6" t="inlineStr"/>
      <c r="M273" s="5" t="inlineStr"/>
      <c r="N273" s="5" t="inlineStr"/>
      <c r="O273" s="6" t="inlineStr"/>
      <c r="P273" s="6" t="inlineStr"/>
      <c r="Q273" s="5" t="inlineStr"/>
      <c r="R273" s="5" t="inlineStr"/>
      <c r="S273" s="5" t="inlineStr"/>
      <c r="T273" s="5" t="inlineStr"/>
      <c r="U273" s="5" t="inlineStr">
        <is>
          <t>yz-odevci</t>
        </is>
      </c>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c r="AI273" s="5" t="inlineStr"/>
      <c r="AJ273" s="5" t="inlineStr"/>
    </row>
    <row r="274">
      <c r="A274" s="5" t="inlineStr">
        <is>
          <t>b4-yz-odev</t>
        </is>
      </c>
      <c r="B274" s="5" t="n">
        <v>3</v>
      </c>
      <c r="C274" s="6" t="inlineStr">
        <is>
          <t>Yazdır, sonra bozarak yeniden yaz</t>
        </is>
      </c>
      <c r="D274" s="5" t="inlineStr">
        <is>
          <t>Akıl</t>
        </is>
      </c>
      <c r="E274" s="5" t="inlineStr">
        <is>
          <t>Kolay</t>
        </is>
      </c>
      <c r="F274" s="5" t="inlineStr"/>
      <c r="G274" s="6" t="inlineStr"/>
      <c r="H274" s="6" t="inlineStr">
        <is>
          <t>“Ayrıca”ları sildin, iki hata ekledin, bir de şu cümleyi: “Tatilde babam mangalı yaktı ama ateş almadı.” Öğretmen o cümlenin yanına gülen bir surat çizdi.</t>
        </is>
      </c>
      <c r="I274" s="6" t="inlineStr">
        <is>
          <t>Makinenin metnini bozup kendi tatilini yazdın: dedenin bahçesi, kuzeninle kırdığınız salıncak. Öğretmen sınıfa sesli okudu; salıncak kısmında herkes güldü. Makine o salıncağı bilemezdi.</t>
        </is>
      </c>
      <c r="J274" s="6" t="inlineStr">
        <is>
          <t>Bozarken bozdun. Metin artık ne sen, ne makine.</t>
        </is>
      </c>
      <c r="K274" s="6" t="inlineStr">
        <is>
          <t>'Ayrıca'ları sildin ama 'Bir yapay zekâ olarak ben de tatile gittim' cümlesini unuttun.</t>
        </is>
      </c>
      <c r="L274" s="6" t="inlineStr"/>
      <c r="M274" s="5" t="inlineStr"/>
      <c r="N274" s="5" t="inlineStr"/>
      <c r="O274" s="6" t="inlineStr"/>
      <c r="P274" s="6" t="inlineStr"/>
      <c r="Q274" s="5" t="inlineStr"/>
      <c r="R274" s="5" t="inlineStr"/>
      <c r="S274" s="5" t="inlineStr">
        <is>
          <t>Akıl</t>
        </is>
      </c>
      <c r="T274" s="5" t="inlineStr"/>
      <c r="U274" s="5" t="inlineStr">
        <is>
          <t>yz-odevci</t>
        </is>
      </c>
      <c r="V274" s="5" t="inlineStr"/>
      <c r="W274" s="5" t="inlineStr"/>
      <c r="X274" s="5" t="inlineStr"/>
      <c r="Y274" s="5" t="inlineStr"/>
      <c r="Z274" s="6" t="inlineStr"/>
      <c r="AA274" s="5" t="inlineStr"/>
      <c r="AB274" s="5" t="inlineStr"/>
      <c r="AC274" s="5" t="inlineStr"/>
      <c r="AD274" s="5" t="inlineStr"/>
      <c r="AE274" s="5" t="inlineStr"/>
      <c r="AF274" s="5" t="inlineStr"/>
      <c r="AG274" s="5" t="inlineStr"/>
      <c r="AH274" s="5" t="inlineStr"/>
      <c r="AI274" s="5" t="inlineStr"/>
      <c r="AJ274" s="5" t="inlineStr"/>
    </row>
    <row r="275">
      <c r="A275" s="5" t="inlineStr">
        <is>
          <t>b4-yz-odev</t>
        </is>
      </c>
      <c r="B275" s="5" t="n">
        <v>4</v>
      </c>
      <c r="C275" s="6" t="inlineStr">
        <is>
          <t>Kaynak göstererek birlikte yaz</t>
        </is>
      </c>
      <c r="D275" s="5" t="inlineStr">
        <is>
          <t>Akıl</t>
        </is>
      </c>
      <c r="E275" s="5" t="inlineStr">
        <is>
          <t>Orta</t>
        </is>
      </c>
      <c r="F275" s="5" t="inlineStr"/>
      <c r="G275" s="6" t="inlineStr"/>
      <c r="H275" s="6" t="inlineStr">
        <is>
          <t>Altına 'Yapay zekâ ile birlikte hazırlanmıştır' yazdın. Öğretmen ne yapacağını bilemedi, tam not verdi.</t>
        </is>
      </c>
      <c r="I275" s="6" t="inlineStr">
        <is>
          <t>Öğretmen ödevini öğretmenler odasında okuttu. Ertesi gün iki öğretmen gelip “Bunu bana da kurar mısın?” dedi.</t>
        </is>
      </c>
      <c r="J275" s="6" t="inlineStr">
        <is>
          <t>Kaynak gösterdin; öğretmen kaynağı 'kopya' diye okudu.</t>
        </is>
      </c>
      <c r="K275" s="6" t="inlineStr">
        <is>
          <t>Kaynak gösterdin. Ertesi hafta okul panosuna yeni bir kural asıldı: “Yapay zekâ ile ödev yasaktır.” Altına örnek olarak senin ödevin asılmıştı, adın kocaman.</t>
        </is>
      </c>
      <c r="L275" s="6" t="inlineStr"/>
      <c r="M275" s="5" t="inlineStr"/>
      <c r="N275" s="5" t="inlineStr"/>
      <c r="O275" s="6" t="inlineStr"/>
      <c r="P275" s="6" t="inlineStr"/>
      <c r="Q275" s="5" t="inlineStr">
        <is>
          <t>Ekran Yerlisi</t>
        </is>
      </c>
      <c r="R275" s="5" t="inlineStr"/>
      <c r="S275" s="5" t="inlineStr"/>
      <c r="T275" s="5" t="inlineStr"/>
      <c r="U275" s="5" t="inlineStr"/>
      <c r="V275" s="5" t="inlineStr"/>
      <c r="W275" s="5" t="inlineStr"/>
      <c r="X275" s="5" t="inlineStr"/>
      <c r="Y275" s="5" t="inlineStr"/>
      <c r="Z275" s="6" t="inlineStr"/>
      <c r="AA275" s="5" t="inlineStr"/>
      <c r="AB275" s="5" t="inlineStr"/>
      <c r="AC275" s="5" t="inlineStr"/>
      <c r="AD275" s="5" t="inlineStr"/>
      <c r="AE275" s="5" t="inlineStr"/>
      <c r="AF275" s="5" t="inlineStr"/>
      <c r="AG275" s="5" t="inlineStr"/>
      <c r="AH275" s="5" t="inlineStr"/>
      <c r="AI275" s="5" t="inlineStr"/>
      <c r="AJ275" s="5" t="inlineStr"/>
    </row>
    <row r="276">
      <c r="A276" s="5" t="inlineStr">
        <is>
          <t>b4-kisisel-oda</t>
        </is>
      </c>
      <c r="B276" s="5" t="n">
        <v>1</v>
      </c>
      <c r="C276" s="6" t="inlineStr">
        <is>
          <t>Paylaşmaya razı ol</t>
        </is>
      </c>
      <c r="D276" s="5" t="inlineStr"/>
      <c r="E276" s="5" t="inlineStr"/>
      <c r="F276" s="5" t="inlineStr">
        <is>
          <t>İtibar +1</t>
        </is>
      </c>
      <c r="G276" s="6" t="inlineStr">
        <is>
          <t>Odayı koşu bandıyla paylaştın. Kıyafetlerin bantta, sen yataktasın. Bir gece saat üçte bant kendi kendine çalıştı.</t>
        </is>
      </c>
      <c r="H276" s="6" t="inlineStr"/>
      <c r="I276" s="6" t="inlineStr"/>
      <c r="J276" s="6" t="inlineStr"/>
      <c r="K276" s="6" t="inlineStr"/>
      <c r="L276" s="6" t="inlineStr"/>
      <c r="M276" s="5" t="inlineStr"/>
      <c r="N276" s="5" t="inlineStr"/>
      <c r="O276" s="6" t="inlineStr"/>
      <c r="P276" s="6" t="inlineStr"/>
      <c r="Q276" s="5" t="inlineStr"/>
      <c r="R276" s="5" t="inlineStr"/>
      <c r="S276" s="5" t="inlineStr"/>
      <c r="T276" s="5" t="inlineStr"/>
      <c r="U276" s="5" t="inlineStr"/>
      <c r="V276" s="5" t="inlineStr"/>
      <c r="W276" s="5" t="inlineStr"/>
      <c r="X276" s="5" t="inlineStr"/>
      <c r="Y276" s="5" t="inlineStr"/>
      <c r="Z276" s="6" t="inlineStr"/>
      <c r="AA276" s="5" t="inlineStr"/>
      <c r="AB276" s="5" t="inlineStr"/>
      <c r="AC276" s="5" t="inlineStr"/>
      <c r="AD276" s="5" t="inlineStr"/>
      <c r="AE276" s="5" t="inlineStr"/>
      <c r="AF276" s="5" t="inlineStr"/>
      <c r="AG276" s="5" t="inlineStr"/>
      <c r="AH276" s="5" t="inlineStr"/>
      <c r="AI276" s="5" t="inlineStr"/>
      <c r="AJ276" s="5" t="inlineStr"/>
    </row>
    <row r="277">
      <c r="A277" s="5" t="inlineStr">
        <is>
          <t>b4-kisisel-oda</t>
        </is>
      </c>
      <c r="B277" s="5" t="n">
        <v>2</v>
      </c>
      <c r="C277" s="6" t="inlineStr">
        <is>
          <t>Resmî başvuru yap</t>
        </is>
      </c>
      <c r="D277" s="5" t="inlineStr">
        <is>
          <t>Akıl</t>
        </is>
      </c>
      <c r="E277" s="5" t="inlineStr">
        <is>
          <t>Orta</t>
        </is>
      </c>
      <c r="F277" s="5" t="inlineStr"/>
      <c r="G277" s="6" t="inlineStr"/>
      <c r="H277" s="6" t="inlineStr">
        <is>
          <t>“Sayın Annem ve Babam” diye başlayan bir dilekçe yazıp altını imzaladın. Baban okurken gülmemek için dudağını ısırdı, annen kâğıdı saklamak için çekmeceye koydu. Oda senin.</t>
        </is>
      </c>
      <c r="I277" s="6" t="inlineStr">
        <is>
          <t>Dilekçene kat planı ekledin. Oda senin; kapıya kilit, sana anahtar verildi.</t>
        </is>
      </c>
      <c r="J277" s="6" t="inlineStr">
        <is>
          <t>Dilekçe değerlendirmeye alındı. Hâlâ değerlendiriliyor.</t>
        </is>
      </c>
      <c r="K277" s="6" t="inlineStr">
        <is>
          <t>Dilekçeyi koşu bandının üstüne bıraktın. Hâlâ orada; kimse bandı kullanmıyor.</t>
        </is>
      </c>
      <c r="L277" s="6" t="inlineStr"/>
      <c r="M277" s="5" t="inlineStr"/>
      <c r="N277" s="5" t="inlineStr"/>
      <c r="O277" s="6" t="inlineStr"/>
      <c r="P277" s="6" t="inlineStr"/>
      <c r="Q277" s="5" t="inlineStr"/>
      <c r="R277" s="5" t="inlineStr"/>
      <c r="S277" s="5" t="inlineStr"/>
      <c r="T277" s="5" t="inlineStr"/>
      <c r="U277" s="5" t="inlineStr"/>
      <c r="V277" s="5" t="inlineStr">
        <is>
          <t>kendi-odasi</t>
        </is>
      </c>
      <c r="W277" s="5" t="inlineStr"/>
      <c r="X277" s="5" t="inlineStr"/>
      <c r="Y277" s="5" t="inlineStr"/>
      <c r="Z277" s="6" t="inlineStr"/>
      <c r="AA277" s="5" t="inlineStr"/>
      <c r="AB277" s="5" t="inlineStr"/>
      <c r="AC277" s="5" t="inlineStr"/>
      <c r="AD277" s="5" t="inlineStr"/>
      <c r="AE277" s="5" t="inlineStr"/>
      <c r="AF277" s="5" t="inlineStr"/>
      <c r="AG277" s="5" t="inlineStr"/>
      <c r="AH277" s="5" t="inlineStr"/>
      <c r="AI277" s="5" t="inlineStr"/>
      <c r="AJ277" s="5" t="inlineStr"/>
    </row>
    <row r="278">
      <c r="A278" s="5" t="inlineStr">
        <is>
          <t>b4-kisisel-oda</t>
        </is>
      </c>
      <c r="B278" s="5" t="n">
        <v>3</v>
      </c>
      <c r="C278" s="6" t="inlineStr">
        <is>
          <t>Koşu bandını delil olarak sun</t>
        </is>
      </c>
      <c r="D278" s="5" t="inlineStr">
        <is>
          <t>Çene</t>
        </is>
      </c>
      <c r="E278" s="5" t="inlineStr">
        <is>
          <t>Kolay</t>
        </is>
      </c>
      <c r="F278" s="5" t="inlineStr"/>
      <c r="G278" s="6" t="inlineStr"/>
      <c r="H278" s="6" t="inlineStr">
        <is>
          <t>'Bant iki yıldır askılık' dedin. Baban itiraz edemedi. Bant balkona sürgün edildi.</t>
        </is>
      </c>
      <c r="I278" s="6" t="inlineStr">
        <is>
          <t>Bandın üstündeki kıyafetlerin fotoğrafını aile grubuna attın. Babaannen “Bu çocuğa oda lazım” yazdı; konu orada kapandı.</t>
        </is>
      </c>
      <c r="J278" s="6" t="inlineStr">
        <is>
          <t>Baban o akşam bantta yürüdü. Göstermelik ama yürüdü.</t>
        </is>
      </c>
      <c r="K278" s="6" t="inlineStr">
        <is>
          <t>Baban itiraz etti, sonra spora başladı. Oda artık ev spor salonu ve sen üye değilsin.</t>
        </is>
      </c>
      <c r="L278" s="6" t="inlineStr"/>
      <c r="M278" s="5" t="inlineStr"/>
      <c r="N278" s="5" t="inlineStr"/>
      <c r="O278" s="6" t="inlineStr"/>
      <c r="P278" s="6" t="inlineStr"/>
      <c r="Q278" s="5" t="inlineStr"/>
      <c r="R278" s="5" t="inlineStr"/>
      <c r="S278" s="5" t="inlineStr">
        <is>
          <t>Çene</t>
        </is>
      </c>
      <c r="T278" s="5" t="inlineStr"/>
      <c r="U278" s="5" t="inlineStr"/>
      <c r="V278" s="5" t="inlineStr">
        <is>
          <t>kendi-odasi</t>
        </is>
      </c>
      <c r="W278" s="5" t="inlineStr"/>
      <c r="X278" s="5" t="inlineStr"/>
      <c r="Y278" s="5" t="inlineStr"/>
      <c r="Z278" s="6" t="inlineStr"/>
      <c r="AA278" s="5" t="inlineStr"/>
      <c r="AB278" s="5" t="inlineStr"/>
      <c r="AC278" s="5" t="inlineStr"/>
      <c r="AD278" s="5" t="inlineStr"/>
      <c r="AE278" s="5" t="inlineStr"/>
      <c r="AF278" s="5" t="inlineStr"/>
      <c r="AG278" s="5" t="inlineStr"/>
      <c r="AH278" s="5" t="inlineStr"/>
      <c r="AI278" s="5" t="inlineStr"/>
      <c r="AJ278" s="5" t="inlineStr"/>
    </row>
    <row r="279">
      <c r="A279" s="5" t="inlineStr">
        <is>
          <t>b4-kisisel-oda</t>
        </is>
      </c>
      <c r="B279" s="5" t="n">
        <v>4</v>
      </c>
      <c r="C279" s="6" t="inlineStr">
        <is>
          <t>Kediyi odaya yerleştir</t>
        </is>
      </c>
      <c r="D279" s="5" t="inlineStr">
        <is>
          <t>Kurnazlık</t>
        </is>
      </c>
      <c r="E279" s="5" t="inlineStr">
        <is>
          <t>Orta</t>
        </is>
      </c>
      <c r="F279" s="5" t="inlineStr"/>
      <c r="G279" s="6" t="inlineStr"/>
      <c r="H279" s="6" t="inlineStr">
        <is>
          <t>Kedi odayı sahiplendi, sen de kediyi. Oda fiilen ikinizin.</t>
        </is>
      </c>
      <c r="I279" s="6" t="inlineStr">
        <is>
          <t>Kedi odadan çıkmayınca ailen odayı ikinize tapuladı. Kediye de bir yastık düştü.</t>
        </is>
      </c>
      <c r="J279" s="6" t="inlineStr">
        <is>
          <t>Kedi odayı beğenmedi, salona döndü. Seni de götürdü.</t>
        </is>
      </c>
      <c r="K279" s="6" t="inlineStr">
        <is>
          <t>Kedi odayı sahiplendi. Yalnızca kedi. Artık kapıyı ondan izin alarak açıyorsun.</t>
        </is>
      </c>
      <c r="L279" s="6" t="inlineStr"/>
      <c r="M279" s="5" t="inlineStr"/>
      <c r="N279" s="5" t="inlineStr"/>
      <c r="O279" s="6" t="inlineStr"/>
      <c r="P279" s="6" t="inlineStr"/>
      <c r="Q279" s="5" t="inlineStr"/>
      <c r="R279" s="5" t="inlineStr">
        <is>
          <t>kediGeldi</t>
        </is>
      </c>
      <c r="S279" s="5" t="inlineStr"/>
      <c r="T279" s="5" t="inlineStr"/>
      <c r="U279" s="5" t="inlineStr"/>
      <c r="V279" s="5" t="inlineStr">
        <is>
          <t>kendi-odasi</t>
        </is>
      </c>
      <c r="W279" s="5" t="inlineStr"/>
      <c r="X279" s="5" t="inlineStr"/>
      <c r="Y279" s="5" t="inlineStr"/>
      <c r="Z279" s="6" t="inlineStr"/>
      <c r="AA279" s="5" t="inlineStr"/>
      <c r="AB279" s="5" t="inlineStr"/>
      <c r="AC279" s="5" t="inlineStr"/>
      <c r="AD279" s="5" t="inlineStr"/>
      <c r="AE279" s="5" t="inlineStr"/>
      <c r="AF279" s="5" t="inlineStr"/>
      <c r="AG279" s="5" t="inlineStr"/>
      <c r="AH279" s="5" t="inlineStr"/>
      <c r="AI279" s="5" t="inlineStr"/>
      <c r="AJ279" s="5" t="inlineStr"/>
    </row>
    <row r="280">
      <c r="A280" s="5" t="inlineStr">
        <is>
          <t>b4-fenomen-denemesi</t>
        </is>
      </c>
      <c r="B280" s="5" t="n">
        <v>1</v>
      </c>
      <c r="C280" s="6" t="inlineStr">
        <is>
          <t>Hesabı gizliye al</t>
        </is>
      </c>
      <c r="D280" s="5" t="inlineStr"/>
      <c r="E280" s="5" t="inlineStr"/>
      <c r="F280" s="5" t="inlineStr">
        <is>
          <t>Kurnazlık +1</t>
        </is>
      </c>
      <c r="G280" s="6" t="inlineStr">
        <is>
          <t>Hesabı gizliye aldın. Ertesi gün kırk sekizinci kişi takip isteği gönderdi: babaannenin yeni telefonu. Kabul etmedin; babaannen akşam bunu bütün sofraya anlattı.</t>
        </is>
      </c>
      <c r="H280" s="6" t="inlineStr"/>
      <c r="I280" s="6" t="inlineStr"/>
      <c r="J280" s="6" t="inlineStr"/>
      <c r="K280" s="6" t="inlineStr"/>
      <c r="L280" s="6" t="inlineStr"/>
      <c r="M280" s="5" t="inlineStr"/>
      <c r="N280" s="5" t="inlineStr"/>
      <c r="O280" s="6" t="inlineStr"/>
      <c r="P280" s="6" t="inlineStr"/>
      <c r="Q280" s="5" t="inlineStr"/>
      <c r="R280" s="5" t="inlineStr"/>
      <c r="S280" s="5" t="inlineStr"/>
      <c r="T280" s="5" t="inlineStr"/>
      <c r="U280" s="5" t="inlineStr"/>
      <c r="V280" s="5" t="inlineStr"/>
      <c r="W280" s="5" t="inlineStr"/>
      <c r="X280" s="5" t="inlineStr"/>
      <c r="Y280" s="5" t="inlineStr"/>
      <c r="Z280" s="6" t="inlineStr"/>
      <c r="AA280" s="5" t="inlineStr"/>
      <c r="AB280" s="5" t="inlineStr"/>
      <c r="AC280" s="5" t="inlineStr"/>
      <c r="AD280" s="5" t="inlineStr"/>
      <c r="AE280" s="5" t="inlineStr"/>
      <c r="AF280" s="5" t="inlineStr"/>
      <c r="AG280" s="5" t="inlineStr"/>
      <c r="AH280" s="5" t="inlineStr"/>
      <c r="AI280" s="5" t="inlineStr"/>
      <c r="AJ280" s="5" t="inlineStr"/>
    </row>
    <row r="281">
      <c r="A281" s="5" t="inlineStr">
        <is>
          <t>b4-fenomen-denemesi</t>
        </is>
      </c>
      <c r="B281" s="5" t="n">
        <v>2</v>
      </c>
      <c r="C281" s="6" t="inlineStr">
        <is>
          <t>Her gün video çek</t>
        </is>
      </c>
      <c r="D281" s="5" t="inlineStr">
        <is>
          <t>Dayanıklılık</t>
        </is>
      </c>
      <c r="E281" s="5" t="inlineStr">
        <is>
          <t>Zor</t>
        </is>
      </c>
      <c r="F281" s="5" t="inlineStr"/>
      <c r="G281" s="6" t="inlineStr"/>
      <c r="H281" s="6" t="inlineStr">
        <is>
          <t>Yüz gün aralıksız paylaştın. Takipçi dört haneye çıktı. Okulda imza isteyen oldu.</t>
        </is>
      </c>
      <c r="I281" s="6" t="inlineStr">
        <is>
          <t>Bir videon patladı. Mahalle kafesi sana 'iş birliği' için bedava tost teklif etti. İlk sponsorluğun.</t>
        </is>
      </c>
      <c r="J281" s="6" t="inlineStr">
        <is>
          <t>Kırk gün paylaştın, kırk birinci gün şifreyi unuttun. İnternette şu an iki sen var.</t>
        </is>
      </c>
      <c r="K281" s="6" t="inlineStr">
        <is>
          <t>En çok izlenen videon, annenin arkadan 'Yemek soğudu!' diye bağırdığı video. Takipçiler annenin hesabını istiyor.</t>
        </is>
      </c>
      <c r="L281" s="6" t="inlineStr"/>
      <c r="M281" s="5" t="inlineStr"/>
      <c r="N281" s="5" t="inlineStr"/>
      <c r="O281" s="6" t="inlineStr"/>
      <c r="P281" s="6" t="inlineStr"/>
      <c r="Q281" s="5" t="inlineStr"/>
      <c r="R281" s="5" t="inlineStr"/>
      <c r="S281" s="5" t="inlineStr"/>
      <c r="T281" s="5" t="inlineStr"/>
      <c r="U281" s="5" t="inlineStr"/>
      <c r="V281" s="5" t="inlineStr">
        <is>
          <t>fenomen</t>
        </is>
      </c>
      <c r="W281" s="5" t="inlineStr"/>
      <c r="X281" s="5" t="inlineStr"/>
      <c r="Y281" s="5" t="inlineStr"/>
      <c r="Z281" s="6" t="inlineStr"/>
      <c r="AA281" s="5" t="inlineStr"/>
      <c r="AB281" s="5" t="inlineStr"/>
      <c r="AC281" s="5" t="inlineStr"/>
      <c r="AD281" s="5" t="inlineStr"/>
      <c r="AE281" s="5" t="inlineStr"/>
      <c r="AF281" s="5" t="inlineStr"/>
      <c r="AG281" s="5" t="inlineStr"/>
      <c r="AH281" s="5" t="inlineStr"/>
      <c r="AI281" s="5" t="inlineStr"/>
      <c r="AJ281" s="5" t="inlineStr"/>
    </row>
    <row r="282">
      <c r="A282" s="5" t="inlineStr">
        <is>
          <t>b4-fenomen-denemesi</t>
        </is>
      </c>
      <c r="B282" s="5" t="n">
        <v>3</v>
      </c>
      <c r="C282" s="6" t="inlineStr">
        <is>
          <t>Tartışmalı bir görüş paylaş</t>
        </is>
      </c>
      <c r="D282" s="5" t="inlineStr">
        <is>
          <t>Pişkinlik</t>
        </is>
      </c>
      <c r="E282" s="5" t="inlineStr">
        <is>
          <t>Orta</t>
        </is>
      </c>
      <c r="F282" s="5" t="inlineStr"/>
      <c r="G282" s="6" t="inlineStr"/>
      <c r="H282" s="6" t="inlineStr">
        <is>
          <t>'Pilav, makarnanın yanında olmaz' dedin. Yorumlar savaş alanı. Takipçi üç katına çıktı.</t>
        </is>
      </c>
      <c r="I282" s="6" t="inlineStr">
        <is>
          <t>Bir yemek sayfası seni alıntıladı. Artık bir 'duruşun' var.</t>
        </is>
      </c>
      <c r="J282" s="6" t="inlineStr">
        <is>
          <t>Görüşün kimseyi kızdırmadı. Herkes zaten aynı fikirdeymiş.</t>
        </is>
      </c>
      <c r="K282" s="6" t="inlineStr">
        <is>
          <t>Görüşün teyzeni kızdırdı. Aile grubunda üç gün pilav tartışıldı; adın hiç geçmeden.</t>
        </is>
      </c>
      <c r="L282" s="6" t="inlineStr"/>
      <c r="M282" s="5" t="inlineStr"/>
      <c r="N282" s="5" t="inlineStr"/>
      <c r="O282" s="6" t="inlineStr"/>
      <c r="P282" s="6" t="inlineStr"/>
      <c r="Q282" s="5" t="inlineStr"/>
      <c r="R282" s="5" t="inlineStr"/>
      <c r="S282" s="5" t="inlineStr"/>
      <c r="T282" s="5" t="inlineStr"/>
      <c r="U282" s="5" t="inlineStr"/>
      <c r="V282" s="5" t="inlineStr">
        <is>
          <t>fenomen</t>
        </is>
      </c>
      <c r="W282" s="5" t="inlineStr"/>
      <c r="X282" s="5" t="inlineStr"/>
      <c r="Y282" s="5" t="inlineStr"/>
      <c r="Z282" s="6" t="inlineStr"/>
      <c r="AA282" s="5" t="inlineStr"/>
      <c r="AB282" s="5" t="inlineStr"/>
      <c r="AC282" s="5" t="inlineStr"/>
      <c r="AD282" s="5" t="inlineStr"/>
      <c r="AE282" s="5" t="inlineStr"/>
      <c r="AF282" s="5" t="inlineStr"/>
      <c r="AG282" s="5" t="inlineStr"/>
      <c r="AH282" s="5" t="inlineStr"/>
      <c r="AI282" s="5" t="inlineStr"/>
      <c r="AJ282" s="5" t="inlineStr"/>
    </row>
    <row r="283">
      <c r="A283" s="5" t="inlineStr">
        <is>
          <t>b4-fenomen-denemesi</t>
        </is>
      </c>
      <c r="B283" s="5" t="n">
        <v>4</v>
      </c>
      <c r="C283" s="6" t="inlineStr">
        <is>
          <t>Canlı yayın aç</t>
        </is>
      </c>
      <c r="D283" s="5" t="inlineStr">
        <is>
          <t>Pişkinlik</t>
        </is>
      </c>
      <c r="E283" s="5" t="inlineStr">
        <is>
          <t>Kolay</t>
        </is>
      </c>
      <c r="F283" s="5" t="inlineStr"/>
      <c r="G283" s="6" t="inlineStr"/>
      <c r="H283" s="6" t="inlineStr">
        <is>
          <t>Canlı yayında 38 kişiyle soru-cevap yaptın. 37'si soru sordu. Bir tanesi babaannendi.</t>
        </is>
      </c>
      <c r="I283" s="6" t="inlineStr">
        <is>
          <t>Canlı yayın okul dışına taştı; sonunda 'Yarın aynı saatte' dedin ve gerçekten 400 kişi geldi.</t>
        </is>
      </c>
      <c r="J283" s="6" t="inlineStr">
        <is>
          <t>Yayın açtın, sinyal gitti. 38 kişi donmuş yüzüne baktı.</t>
        </is>
      </c>
      <c r="K283" s="6" t="inlineStr">
        <is>
          <t>Canlı yayında 'Şu an çok kişi var' dedin; baban içeri girip 'Kimle konuşuyorsun?' diye sordu. Kesit ayrıca yayıldı.</t>
        </is>
      </c>
      <c r="L283" s="6" t="inlineStr"/>
      <c r="M283" s="5" t="inlineStr"/>
      <c r="N283" s="5" t="inlineStr"/>
      <c r="O283" s="6" t="inlineStr"/>
      <c r="P283" s="6" t="inlineStr"/>
      <c r="Q283" s="5" t="inlineStr"/>
      <c r="R283" s="5" t="inlineStr"/>
      <c r="S283" s="5" t="inlineStr">
        <is>
          <t>Pişkinlik</t>
        </is>
      </c>
      <c r="T283" s="5" t="inlineStr"/>
      <c r="U283" s="5" t="inlineStr"/>
      <c r="V283" s="5" t="inlineStr">
        <is>
          <t>fenomen</t>
        </is>
      </c>
      <c r="W283" s="5" t="inlineStr"/>
      <c r="X283" s="5" t="inlineStr"/>
      <c r="Y283" s="5" t="inlineStr"/>
      <c r="Z283" s="6" t="inlineStr"/>
      <c r="AA283" s="5" t="inlineStr"/>
      <c r="AB283" s="5" t="inlineStr"/>
      <c r="AC283" s="5" t="inlineStr"/>
      <c r="AD283" s="5" t="inlineStr"/>
      <c r="AE283" s="5" t="inlineStr"/>
      <c r="AF283" s="5" t="inlineStr"/>
      <c r="AG283" s="5" t="inlineStr"/>
      <c r="AH283" s="5" t="inlineStr"/>
      <c r="AI283" s="5" t="inlineStr"/>
      <c r="AJ283" s="5" t="inlineStr"/>
    </row>
    <row r="284">
      <c r="A284" s="5" t="inlineStr">
        <is>
          <t>b4-haracci-rovans</t>
        </is>
      </c>
      <c r="B284" s="5" t="n">
        <v>1</v>
      </c>
      <c r="C284" s="6" t="inlineStr">
        <is>
          <t>Yolunu değiştir</t>
        </is>
      </c>
      <c r="D284" s="5" t="inlineStr"/>
      <c r="E284" s="5" t="inlineStr"/>
      <c r="F284" s="5" t="inlineStr">
        <is>
          <t>Dayanıklılık +1</t>
        </is>
      </c>
      <c r="G284" s="6" t="inlineStr">
        <is>
          <t>Başka sokaktan döndün. O sokak artık haritanda gri. Okul yolun ömür boyu dört dakika uzun.</t>
        </is>
      </c>
      <c r="H284" s="6" t="inlineStr"/>
      <c r="I284" s="6" t="inlineStr"/>
      <c r="J284" s="6" t="inlineStr"/>
      <c r="K284" s="6" t="inlineStr"/>
      <c r="L284" s="6" t="inlineStr"/>
      <c r="M284" s="5" t="inlineStr"/>
      <c r="N284" s="5" t="inlineStr"/>
      <c r="O284" s="6" t="inlineStr"/>
      <c r="P284" s="6" t="inlineStr"/>
      <c r="Q284" s="5" t="inlineStr"/>
      <c r="R284" s="5" t="inlineStr"/>
      <c r="S284" s="5" t="inlineStr"/>
      <c r="T284" s="5" t="inlineStr"/>
      <c r="U284" s="5" t="inlineStr">
        <is>
          <t>sokak-yasagi</t>
        </is>
      </c>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c r="AI284" s="5" t="inlineStr"/>
      <c r="AJ284" s="5" t="inlineStr"/>
    </row>
    <row r="285">
      <c r="A285" s="5" t="inlineStr">
        <is>
          <t>b4-haracci-rovans</t>
        </is>
      </c>
      <c r="B285" s="5" t="n">
        <v>2</v>
      </c>
      <c r="C285" s="6" t="inlineStr">
        <is>
          <t>Maç teklif et</t>
        </is>
      </c>
      <c r="D285" s="5" t="inlineStr">
        <is>
          <t>Cesaret</t>
        </is>
      </c>
      <c r="E285" s="5" t="inlineStr">
        <is>
          <t>Zor</t>
        </is>
      </c>
      <c r="F285" s="5" t="inlineStr"/>
      <c r="G285" s="6" t="inlineStr"/>
      <c r="H285" s="6" t="inlineStr">
        <is>
          <t>Kaybettin ama son golü sen attın. Ertesi gün köşeden geçerken ortadaki başıyla selam verdi. Annen görse inanmazdı.</t>
        </is>
      </c>
      <c r="I285" s="6" t="inlineStr">
        <is>
          <t>Maçı kazandın. Seni takıma aldılar. Artık o köşede sen de duruyorsun; sadece harçlık istemiyorsun.</t>
        </is>
      </c>
      <c r="J285" s="6" t="inlineStr">
        <is>
          <t>'Biz iddiasına oynarız' dediler. İddia bütçen yoktu.</t>
        </is>
      </c>
      <c r="K285" s="6" t="inlineStr">
        <is>
          <t>İlk vuruşta topu bakkalın camına gönderdin. Artık yalnızca haraççılar değil, bakkal da seni tanıyor.</t>
        </is>
      </c>
      <c r="L285" s="6" t="inlineStr"/>
      <c r="M285" s="5" t="inlineStr"/>
      <c r="N285" s="5" t="inlineStr"/>
      <c r="O285" s="6" t="inlineStr"/>
      <c r="P285" s="6" t="inlineStr"/>
      <c r="Q285" s="5" t="inlineStr"/>
      <c r="R285" s="5" t="inlineStr"/>
      <c r="S285" s="5" t="inlineStr"/>
      <c r="T285" s="5" t="inlineStr"/>
      <c r="U285" s="5" t="inlineStr"/>
      <c r="V285" s="5" t="inlineStr"/>
      <c r="W285" s="5" t="inlineStr">
        <is>
          <t>sokak-yasagi</t>
        </is>
      </c>
      <c r="X285" s="5" t="inlineStr"/>
      <c r="Y285" s="5" t="inlineStr"/>
      <c r="Z285" s="6" t="inlineStr"/>
      <c r="AA285" s="5" t="inlineStr"/>
      <c r="AB285" s="5" t="inlineStr"/>
      <c r="AC285" s="5" t="inlineStr"/>
      <c r="AD285" s="5" t="inlineStr"/>
      <c r="AE285" s="5" t="inlineStr"/>
      <c r="AF285" s="5" t="inlineStr"/>
      <c r="AG285" s="5" t="inlineStr"/>
      <c r="AH285" s="5" t="inlineStr"/>
      <c r="AI285" s="5" t="inlineStr"/>
      <c r="AJ285" s="5" t="inlineStr"/>
    </row>
    <row r="286">
      <c r="A286" s="5" t="inlineStr">
        <is>
          <t>b4-haracci-rovans</t>
        </is>
      </c>
      <c r="B286" s="5" t="n">
        <v>3</v>
      </c>
      <c r="C286" s="6" t="inlineStr">
        <is>
          <t>Karşılarında dik dur</t>
        </is>
      </c>
      <c r="D286" s="5" t="inlineStr">
        <is>
          <t>Cesaret</t>
        </is>
      </c>
      <c r="E286" s="5" t="inlineStr">
        <is>
          <t>Kolay</t>
        </is>
      </c>
      <c r="F286" s="5" t="inlineStr"/>
      <c r="G286" s="6" t="inlineStr"/>
      <c r="H286" s="6" t="inlineStr">
        <is>
          <t>Durdun, baktın. Onlar da baktı. Sonra ortadaki topu sana attı, sen de geri attın. Kimse bir şey demedi; geçtin.</t>
        </is>
      </c>
      <c r="I286" s="6" t="inlineStr">
        <is>
          <t>İçlerinden biri 'Bu bizim eski müşteri' dedi, gülüştüler, geçtin. Mezuniyet gibi bir şey.</t>
        </is>
      </c>
      <c r="J286" s="6" t="inlineStr">
        <is>
          <t>Dik durdun; biri 'Ne bakıyorsun?' dedi. Cevabın yoktu. Yürümeye devam ettin, biraz hızlı.</t>
        </is>
      </c>
      <c r="K286" s="6" t="inlineStr">
        <is>
          <t>Dik durdun ama sesin çatladı. O günden beri köşeden geçerken arkandan ıslık çalıyorlar.</t>
        </is>
      </c>
      <c r="L286" s="6" t="inlineStr"/>
      <c r="M286" s="5" t="inlineStr"/>
      <c r="N286" s="5" t="inlineStr"/>
      <c r="O286" s="6" t="inlineStr"/>
      <c r="P286" s="6" t="inlineStr"/>
      <c r="Q286" s="5" t="inlineStr"/>
      <c r="R286" s="5" t="inlineStr"/>
      <c r="S286" s="5" t="inlineStr">
        <is>
          <t>Cesaret</t>
        </is>
      </c>
      <c r="T286" s="5" t="inlineStr"/>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c r="AI286" s="5" t="inlineStr"/>
      <c r="AJ286" s="5" t="inlineStr"/>
    </row>
    <row r="287">
      <c r="A287" s="5" t="inlineStr">
        <is>
          <t>b4-haracci-rovans</t>
        </is>
      </c>
      <c r="B287" s="5" t="n">
        <v>4</v>
      </c>
      <c r="C287" s="6" t="inlineStr">
        <is>
          <t>Onlara iş teklif et</t>
        </is>
      </c>
      <c r="D287" s="5" t="inlineStr">
        <is>
          <t>Cesaret</t>
        </is>
      </c>
      <c r="E287" s="5" t="inlineStr">
        <is>
          <t>Orta</t>
        </is>
      </c>
      <c r="F287" s="5" t="inlineStr"/>
      <c r="G287" s="6" t="inlineStr"/>
      <c r="H287" s="6" t="inlineStr">
        <is>
          <t>Kantin sipariş servisine dağıtıcı olarak aldın. Haraç bitti, maaş başladı.</t>
        </is>
      </c>
      <c r="I287" s="6" t="inlineStr">
        <is>
          <t>Üçü de artık senin için kantin siparişi taşıyor. Ortadaki sana “Patron” diyor. Bakkal bunu duyunca annene telefon açtı.</t>
        </is>
      </c>
      <c r="J287" s="6" t="inlineStr">
        <is>
          <t>'Biz çalışmayız' dediler. Bu, haraç işinin temel prensibiymiş.</t>
        </is>
      </c>
      <c r="K287" s="6" t="inlineStr">
        <is>
          <t>Kabul ettiler. İlk gün on iki tostun parasını alıp köşeye döndüler. Ertesi gün kantin kuyruğunda on iki kişi sana bakıyordu.</t>
        </is>
      </c>
      <c r="L287" s="6" t="inlineStr"/>
      <c r="M287" s="5" t="inlineStr"/>
      <c r="N287" s="5" t="inlineStr"/>
      <c r="O287" s="6" t="inlineStr"/>
      <c r="P287" s="6" t="inlineStr"/>
      <c r="Q287" s="5" t="inlineStr">
        <is>
          <t>Kantin Ekonomisti</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c r="AI287" s="5" t="inlineStr"/>
      <c r="AJ287" s="5" t="inlineStr"/>
    </row>
    <row r="288">
      <c r="A288" s="5" t="inlineStr">
        <is>
          <t>b4-kantin-ekonomisi</t>
        </is>
      </c>
      <c r="B288" s="5" t="n">
        <v>1</v>
      </c>
      <c r="C288" s="6" t="inlineStr">
        <is>
          <t>Sandviçini evden hazırla</t>
        </is>
      </c>
      <c r="D288" s="5" t="inlineStr"/>
      <c r="E288" s="5" t="inlineStr"/>
      <c r="F288" s="5" t="inlineStr">
        <is>
          <t>Dayanıklılık +1</t>
        </is>
      </c>
      <c r="G288" s="6" t="inlineStr">
        <is>
          <t>Evden sandviç getirdin. Kâğıt havluya sarılı, kaşarı dağılmış ama bedava.</t>
        </is>
      </c>
      <c r="H288" s="6" t="inlineStr"/>
      <c r="I288" s="6" t="inlineStr"/>
      <c r="J288" s="6" t="inlineStr"/>
      <c r="K288" s="6" t="inlineStr"/>
      <c r="L288" s="6" t="inlineStr"/>
      <c r="M288" s="5" t="inlineStr"/>
      <c r="N288" s="5" t="inlineStr"/>
      <c r="O288" s="6" t="inlineStr"/>
      <c r="P288" s="6" t="inlineStr"/>
      <c r="Q288" s="5" t="inlineStr"/>
      <c r="R288" s="5" t="inlineStr"/>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c r="AI288" s="5" t="inlineStr"/>
      <c r="AJ288" s="5" t="inlineStr"/>
    </row>
    <row r="289">
      <c r="A289" s="5" t="inlineStr">
        <is>
          <t>b4-kantin-ekonomisi</t>
        </is>
      </c>
      <c r="B289" s="5" t="n">
        <v>2</v>
      </c>
      <c r="C289" s="6" t="inlineStr">
        <is>
          <t>Sipariş servisi kur</t>
        </is>
      </c>
      <c r="D289" s="5" t="inlineStr">
        <is>
          <t>Kurnazlık</t>
        </is>
      </c>
      <c r="E289" s="5" t="inlineStr">
        <is>
          <t>Zor</t>
        </is>
      </c>
      <c r="F289" s="5" t="inlineStr"/>
      <c r="G289" s="6" t="inlineStr"/>
      <c r="H289" s="6" t="inlineStr">
        <is>
          <t>Kuyruğun önündekine toplu sipariş verdin, arkadakilere tost başına bir bozuklukla dağıttın. Teneffüs bitmeden cebin şıngırdıyordu.</t>
        </is>
      </c>
      <c r="I289" s="6" t="inlineStr">
        <is>
          <t>Teneffüs başlamadan siparişler hazırdı. Kantinci tezgâhın ucunu sana ayırdı: “Burası senin köşen.” Müdür yardımcısı bile tostunu senden istedi.</t>
        </is>
      </c>
      <c r="J289" s="6" t="inlineStr">
        <is>
          <t>Tostlar karıştı: kaşarlı isteyen sucukluyu aldı, sucuklu isteyen ayranı. Ayranı isteyen hiç gelmedi. Teneffüs boyunca para iade ettin.</t>
        </is>
      </c>
      <c r="K289" s="6" t="inlineStr">
        <is>
          <t>Kantinci servisini fark etti. Tezgâha 'Aracı yasak' yazısı asıldı. Altında senin fotoğrafın.</t>
        </is>
      </c>
      <c r="L289" s="6" t="inlineStr"/>
      <c r="M289" s="5" t="inlineStr"/>
      <c r="N289" s="5" t="inlineStr"/>
      <c r="O289" s="6" t="inlineStr"/>
      <c r="P289" s="6" t="inlineStr"/>
      <c r="Q289" s="5" t="inlineStr"/>
      <c r="R289" s="5" t="inlineStr"/>
      <c r="S289" s="5" t="inlineStr"/>
      <c r="T289" s="5" t="inlineStr">
        <is>
          <t>Kantin Ekonomisti</t>
        </is>
      </c>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c r="AI289" s="5" t="inlineStr"/>
      <c r="AJ289" s="5" t="inlineStr"/>
    </row>
    <row r="290">
      <c r="A290" s="5" t="inlineStr">
        <is>
          <t>b4-kantin-ekonomisi</t>
        </is>
      </c>
      <c r="B290" s="5" t="n">
        <v>3</v>
      </c>
      <c r="C290" s="6" t="inlineStr">
        <is>
          <t>Kek yap, teneffüste sat</t>
        </is>
      </c>
      <c r="D290" s="5" t="inlineStr">
        <is>
          <t>Çene</t>
        </is>
      </c>
      <c r="E290" s="5" t="inlineStr">
        <is>
          <t>Orta</t>
        </is>
      </c>
      <c r="F290" s="5" t="inlineStr"/>
      <c r="G290" s="6" t="inlineStr"/>
      <c r="H290" s="6" t="inlineStr">
        <is>
          <t>Kekler ikinci teneffüste bitti. Akşam annen “Nasıl gitti?” diye sordu; “Senin tarifin” dedin. Ertesi sabah annen iki kalıp yapmıştı.</t>
        </is>
      </c>
      <c r="I290" s="6" t="inlineStr">
        <is>
          <t>Kekler ilk teneffüste bitti. Ertesi gün kantinci tost fiyatını indirdi ve sana “Annene selam söyle” dedi.</t>
        </is>
      </c>
      <c r="J290" s="6" t="inlineStr">
        <is>
          <t>Kekleri kimse almadı. Hepsini sen yedin. Kâr yok, kalori var.</t>
        </is>
      </c>
      <c r="K290" s="6" t="inlineStr">
        <is>
          <t>Müdür yardımcısı bir dilim aldı, beğendi, bir dilim daha aldı. Sonra ağzı doluyken sordu: “Bu satışa kim izin verdi?” Keklerin kalanı öğretmenler odasına gitti ve geri gelmedi.</t>
        </is>
      </c>
      <c r="L290" s="6" t="inlineStr"/>
      <c r="M290" s="5" t="inlineStr"/>
      <c r="N290" s="5" t="inlineStr"/>
      <c r="O290" s="6" t="inlineStr"/>
      <c r="P290" s="6" t="inlineStr"/>
      <c r="Q290" s="5" t="inlineStr">
        <is>
          <t>Küçük Tüccar</t>
        </is>
      </c>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c r="AI290" s="5" t="inlineStr"/>
      <c r="AJ290" s="5" t="inlineStr"/>
    </row>
    <row r="291">
      <c r="A291" s="5" t="inlineStr">
        <is>
          <t>b4-kantin-ekonomisi</t>
        </is>
      </c>
      <c r="B291" s="5" t="n">
        <v>4</v>
      </c>
      <c r="C291" s="6" t="inlineStr">
        <is>
          <t>Kuyrukta yer sat</t>
        </is>
      </c>
      <c r="D291" s="5" t="inlineStr">
        <is>
          <t>Kurnazlık</t>
        </is>
      </c>
      <c r="E291" s="5" t="inlineStr">
        <is>
          <t>Zor</t>
        </is>
      </c>
      <c r="F291" s="5" t="inlineStr"/>
      <c r="G291" s="6" t="inlineStr"/>
      <c r="H291" s="6" t="inlineStr">
        <is>
          <t>Yerini sattın, yeniden girdin, yine sattın. Üç teneffüste bir haftalık harçlık.</t>
        </is>
      </c>
      <c r="I291" s="6" t="inlineStr">
        <is>
          <t>Kuyrukta yer satmak için iki arkadaşını da işe aldın. Zil çalınca kuyruğun ilk üç yeri sizin.</t>
        </is>
      </c>
      <c r="J291" s="6" t="inlineStr">
        <is>
          <t>Yerini sattın; yeniden girdiğinde kantin kapanmıştı.</t>
        </is>
      </c>
      <c r="K291" s="6" t="inlineStr">
        <is>
          <t>Yer satarken zil çaldı; kuyrukta kimse tost alamadı. Nöbetçi öğretmen “Bu işi kim yapıyor?” diye sordu, on iki parmak seni gösterdi.</t>
        </is>
      </c>
      <c r="L291" s="6" t="inlineStr"/>
      <c r="M291" s="5" t="inlineStr"/>
      <c r="N291" s="5" t="inlineStr"/>
      <c r="O291" s="6" t="inlineStr"/>
      <c r="P291" s="6" t="inlineStr"/>
      <c r="Q291" s="5" t="inlineStr"/>
      <c r="R291" s="5" t="inlineStr">
        <is>
          <t>tepsiTekeli</t>
        </is>
      </c>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c r="AI291" s="5" t="inlineStr"/>
      <c r="AJ291" s="5" t="inlineStr"/>
    </row>
    <row r="292">
      <c r="A292" s="5" t="inlineStr">
        <is>
          <t>b4-kantin-ekonomisi</t>
        </is>
      </c>
      <c r="B292" s="5" t="n">
        <v>5</v>
      </c>
      <c r="C292" s="6" t="inlineStr">
        <is>
          <t>Kantinciyle kaynaş</t>
        </is>
      </c>
      <c r="D292" s="5" t="inlineStr">
        <is>
          <t>Sosyal Radar</t>
        </is>
      </c>
      <c r="E292" s="5" t="inlineStr">
        <is>
          <t>Kolay</t>
        </is>
      </c>
      <c r="F292" s="5" t="inlineStr"/>
      <c r="G292" s="6" t="inlineStr"/>
      <c r="H292" s="6" t="inlineStr">
        <is>
          <t>Kantinciye adıyla selam verdin. Tostun hep bir tık daha kaşarlı geliyor.</t>
        </is>
      </c>
      <c r="I292" s="6" t="inlineStr">
        <is>
          <t>Kantinci seni kuyruktan önce alıyor. Yalnız sen biliyorsun, herkes seziyor.</t>
        </is>
      </c>
      <c r="J292" s="6" t="inlineStr">
        <is>
          <t>Kantinci selamını aldı, fiyatı aynen aldı.</t>
        </is>
      </c>
      <c r="K292" s="6" t="inlineStr">
        <is>
          <t>Kaynaştın; artık her teneffüs dert anlatıyor. Tostu soğuk yiyorsun.</t>
        </is>
      </c>
      <c r="L292" s="6" t="inlineStr"/>
      <c r="M292" s="5" t="inlineStr"/>
      <c r="N292" s="5" t="inlineStr"/>
      <c r="O292" s="6" t="inlineStr"/>
      <c r="P292" s="6" t="inlineStr"/>
      <c r="Q292" s="5" t="inlineStr"/>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c r="AI292" s="5" t="inlineStr"/>
      <c r="AJ292" s="5" t="inlineStr"/>
    </row>
    <row r="293">
      <c r="A293" s="5" t="inlineStr">
        <is>
          <t>b4-bayram-yatirim</t>
        </is>
      </c>
      <c r="B293" s="5" t="n">
        <v>1</v>
      </c>
      <c r="C293" s="6" t="inlineStr">
        <is>
          <t>Ailene teslim et</t>
        </is>
      </c>
      <c r="D293" s="5" t="inlineStr"/>
      <c r="E293" s="5" t="inlineStr"/>
      <c r="F293" s="5" t="inlineStr">
        <is>
          <t>İtibar +1</t>
        </is>
      </c>
      <c r="G293" s="6" t="inlineStr">
        <is>
          <t>Para “senin adına” bir yere konuldu. Nereye olduğunu her sorduğunda cevap aynı: “Büyüyünce.”</t>
        </is>
      </c>
      <c r="H293" s="6" t="inlineStr"/>
      <c r="I293" s="6" t="inlineStr"/>
      <c r="J293" s="6" t="inlineStr"/>
      <c r="K293" s="6" t="inlineStr"/>
      <c r="L293" s="6" t="inlineStr"/>
      <c r="M293" s="5" t="inlineStr"/>
      <c r="N293" s="5" t="inlineStr"/>
      <c r="O293" s="6" t="inlineStr"/>
      <c r="P293" s="6" t="inlineStr"/>
      <c r="Q293" s="5" t="inlineStr"/>
      <c r="R293" s="5" t="inlineStr"/>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c r="AI293" s="5" t="inlineStr"/>
      <c r="AJ293" s="5" t="inlineStr"/>
    </row>
    <row r="294">
      <c r="A294" s="5" t="inlineStr">
        <is>
          <t>b4-bayram-yatirim</t>
        </is>
      </c>
      <c r="B294" s="5" t="n">
        <v>2</v>
      </c>
      <c r="C294" s="6" t="inlineStr">
        <is>
          <t>Dijital paraya yatır</t>
        </is>
      </c>
      <c r="D294" s="5" t="inlineStr">
        <is>
          <t>Kurnazlık</t>
        </is>
      </c>
      <c r="E294" s="5" t="inlineStr">
        <is>
          <t>Zor</t>
        </is>
      </c>
      <c r="F294" s="5" t="inlineStr"/>
      <c r="G294" s="6" t="inlineStr"/>
      <c r="H294" s="6" t="inlineStr">
        <is>
          <t>İki hafta sonra paran yüzde otuz artmıştı ve çıktın. Abi “Daha bekle” dedi; beklemedin. Babaannen duyunca “Bu çocuk bana çekmiş” dedi.</t>
        </is>
      </c>
      <c r="I294" s="6" t="inlineStr">
        <is>
          <t>Tepede sattın. Arkadaşının abisi sana tavsiye sormaya başladı.</t>
        </is>
      </c>
      <c r="J294" s="6" t="inlineStr">
        <is>
          <t>Değer düştü. Arkadaşının abisinden 'Uzun vadeli düşün' mesajı geldi.</t>
        </is>
      </c>
      <c r="K294" s="6" t="inlineStr">
        <is>
          <t>Dijital paranın adı 'Mahalle Coin'di. Kurucusu arkadaşının abisiydi. Abi yeni bir telefon kullanıyor.</t>
        </is>
      </c>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c r="AI294" s="5" t="inlineStr"/>
      <c r="AJ294" s="5" t="inlineStr"/>
    </row>
    <row r="295">
      <c r="A295" s="5" t="inlineStr">
        <is>
          <t>b4-bayram-yatirim</t>
        </is>
      </c>
      <c r="B295" s="5" t="n">
        <v>3</v>
      </c>
      <c r="C295" s="6" t="inlineStr">
        <is>
          <t>Kumbarada tut</t>
        </is>
      </c>
      <c r="D295" s="5" t="inlineStr">
        <is>
          <t>Akıl</t>
        </is>
      </c>
      <c r="E295" s="5" t="inlineStr">
        <is>
          <t>Kolay</t>
        </is>
      </c>
      <c r="F295" s="5" t="inlineStr"/>
      <c r="G295" s="6" t="inlineStr"/>
      <c r="H295" s="6" t="inlineStr">
        <is>
          <t>Kumbara ağırlaştı. Getiri yok ama kayıp da yok. Klasik yastık altı.</t>
        </is>
      </c>
      <c r="I295" s="6" t="inlineStr">
        <is>
          <t>Babaannen seni kuyumcuya götürdü, harçlığa bir çeyrek altın aldınız. Babaannen kuyumcuyla senden iyi pazarlık etti.</t>
        </is>
      </c>
      <c r="J295" s="6" t="inlineStr">
        <is>
          <t>Kumbarada tuttun. Bir yıl sonra aynı para bir tost daha az ediyordu.</t>
        </is>
      </c>
      <c r="K295" s="6" t="inlineStr">
        <is>
          <t>Kumbarayı bu kez dolabın üstüne, kışlık yorganların arasına sakladın. Kuzenin yine buldu. Bu sefer kimseye söylemedi; sen bayramdan sonra kumbarayı kaldırınca anladın.</t>
        </is>
      </c>
      <c r="L295" s="6" t="inlineStr"/>
      <c r="M295" s="5" t="inlineStr"/>
      <c r="N295" s="5" t="inlineStr"/>
      <c r="O295" s="6" t="inlineStr"/>
      <c r="P295" s="6" t="inlineStr"/>
      <c r="Q295" s="5" t="inlineStr">
        <is>
          <t>Yastık Altı Ekonomisti</t>
        </is>
      </c>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c r="AI295" s="5" t="inlineStr"/>
      <c r="AJ295" s="5" t="inlineStr"/>
    </row>
    <row r="296">
      <c r="A296" s="5" t="inlineStr">
        <is>
          <t>b4-bayram-yatirim</t>
        </is>
      </c>
      <c r="B296" s="5" t="n">
        <v>4</v>
      </c>
      <c r="C296" s="6" t="inlineStr">
        <is>
          <t>Ailene faizle borç ver</t>
        </is>
      </c>
      <c r="D296" s="5" t="inlineStr">
        <is>
          <t>Çene</t>
        </is>
      </c>
      <c r="E296" s="5" t="inlineStr">
        <is>
          <t>Orta</t>
        </is>
      </c>
      <c r="F296" s="5" t="inlineStr"/>
      <c r="G296" s="6" t="inlineStr"/>
      <c r="H296" s="6" t="inlineStr">
        <is>
          <t>Baban senet imzaladı, gülerek. Senet dolapta. Sen ciddisin.</t>
        </is>
      </c>
      <c r="I296" s="6" t="inlineStr">
        <is>
          <t>Babana borç verdin, faizini pazarlıkla belirledin. Baban her ay sonu kapını çalıp taksidini ödüyor; annen mutfaktan her seferinde sesleniyor: “Rezalet!”</t>
        </is>
      </c>
      <c r="J296" s="6" t="inlineStr">
        <is>
          <t>Geri ödeme 'ileride' olarak planlandı. İleridenin ne zaman olduğu belirtilmedi.</t>
        </is>
      </c>
      <c r="K296" s="6" t="inlineStr">
        <is>
          <t>Babana borç verdin. Ay sonunda baban dershane makbuzunu getirdi: “Paranı buraya yatırdık, eğitimine.” Faizini de sınav sonucundan alacakmışsın.</t>
        </is>
      </c>
      <c r="L296" s="6" t="inlineStr"/>
      <c r="M296" s="5" t="inlineStr"/>
      <c r="N296" s="5" t="inlineStr"/>
      <c r="O296" s="6" t="inlineStr"/>
      <c r="P296" s="6" t="inlineStr"/>
      <c r="Q296" s="5" t="inlineStr"/>
      <c r="R296" s="5" t="inlineStr">
        <is>
          <t>ilkKelimePara</t>
        </is>
      </c>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c r="AI296" s="5" t="inlineStr"/>
      <c r="AJ296" s="5" t="inlineStr"/>
    </row>
    <row r="297">
      <c r="A297" s="5" t="inlineStr">
        <is>
          <t>b4-ilk-bulusma</t>
        </is>
      </c>
      <c r="B297" s="5" t="n">
        <v>1</v>
      </c>
      <c r="C297" s="6" t="inlineStr">
        <is>
          <t>Grupla git</t>
        </is>
      </c>
      <c r="D297" s="5" t="inlineStr"/>
      <c r="E297" s="5" t="inlineStr"/>
      <c r="F297" s="5" t="inlineStr">
        <is>
          <t>Sosyal Radar +1</t>
        </is>
      </c>
      <c r="G297" s="6" t="inlineStr">
        <is>
          <t>Sekiz kişi gittiniz. Yan yana oturmayı başardınız. Sohbet diğer altı kişi arasında geçti.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is>
          <t>ilk-bulusma-oldu</t>
        </is>
      </c>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c r="AI297" s="5" t="inlineStr"/>
      <c r="AJ297" s="5" t="inlineStr"/>
    </row>
    <row r="298">
      <c r="A298" s="5" t="inlineStr">
        <is>
          <t>b4-ilk-bulusma</t>
        </is>
      </c>
      <c r="B298" s="5" t="n">
        <v>2</v>
      </c>
      <c r="C298" s="6" t="inlineStr">
        <is>
          <t>Baş başa buluş</t>
        </is>
      </c>
      <c r="D298" s="5" t="inlineStr">
        <is>
          <t>Gönül</t>
        </is>
      </c>
      <c r="E298" s="5" t="inlineStr">
        <is>
          <t>Zor</t>
        </is>
      </c>
      <c r="F298" s="5" t="inlineStr"/>
      <c r="G298" s="6" t="inlineStr"/>
      <c r="H298" s="6" t="inlineStr">
        <is>
          <t>Çarşıda dondurma yediniz: kırk dakika, üç sessizlik, bir gülüş. Dondurmanın çubuğunu atmadın; hâlâ çekmecende.</t>
        </is>
      </c>
      <c r="I298" s="6" t="inlineStr">
        <is>
          <t>El ele tutuştunuz. Üç saniye. Sonra ikiniz de ellerinizi cebe soktunuz ve bu konu bir daha hiç konuşulmadı.</t>
        </is>
      </c>
      <c r="J298" s="6" t="inlineStr">
        <is>
          <t>Buluştunuz. Annen tesadüfen aynı çarşıda alışveriş yapıyordu. Tesadüfen.</t>
        </is>
      </c>
      <c r="K298" s="6" t="inlineStr">
        <is>
          <t>Annen seni arabayla bıraktı, camı indirdi ve buluştuğun kişiye 'Merhaba canım, ne yiyeceksiniz?' diye sordu.</t>
        </is>
      </c>
      <c r="L298" s="6" t="inlineStr"/>
      <c r="M298" s="5" t="inlineStr"/>
      <c r="N298" s="5" t="inlineStr"/>
      <c r="O298" s="6" t="inlineStr"/>
      <c r="P298" s="6" t="inlineStr"/>
      <c r="Q298" s="5" t="inlineStr"/>
      <c r="R298" s="5" t="inlineStr"/>
      <c r="S298" s="5" t="inlineStr"/>
      <c r="T298" s="5" t="inlineStr"/>
      <c r="U298" s="5" t="inlineStr">
        <is>
          <t>ilk-bulusma-oldu</t>
        </is>
      </c>
      <c r="V298" s="5" t="inlineStr"/>
      <c r="W298" s="5" t="inlineStr"/>
      <c r="X298" s="5" t="inlineStr"/>
      <c r="Y298" s="5" t="inlineStr"/>
      <c r="Z298" s="6" t="inlineStr"/>
      <c r="AA298" s="5" t="inlineStr"/>
      <c r="AB298" s="5" t="inlineStr"/>
      <c r="AC298" s="5" t="inlineStr"/>
      <c r="AD298" s="5" t="inlineStr"/>
      <c r="AE298" s="5" t="inlineStr"/>
      <c r="AF298" s="5" t="inlineStr"/>
      <c r="AG298" s="5" t="inlineStr"/>
      <c r="AH298" s="5" t="inlineStr"/>
      <c r="AI298" s="5" t="inlineStr"/>
      <c r="AJ298" s="5" t="inlineStr"/>
    </row>
    <row r="299">
      <c r="A299" s="5" t="inlineStr">
        <is>
          <t>b4-ilk-bulusma</t>
        </is>
      </c>
      <c r="B299" s="5" t="n">
        <v>3</v>
      </c>
      <c r="C299" s="6" t="inlineStr">
        <is>
          <t>Mazeret uydur, ertele</t>
        </is>
      </c>
      <c r="D299" s="5" t="inlineStr">
        <is>
          <t>Kurnazlık</t>
        </is>
      </c>
      <c r="E299" s="5" t="inlineStr">
        <is>
          <t>Kolay</t>
        </is>
      </c>
      <c r="F299" s="5" t="inlineStr"/>
      <c r="G299" s="6" t="inlineStr"/>
      <c r="H299" s="6" t="inlineStr">
        <is>
          <t>'Dershane var' dedin. 'Olsun, sonra' dedi. Randevu korunuyor.</t>
        </is>
      </c>
      <c r="I299" s="6" t="inlineStr">
        <is>
          <t>“Bu hafta olmaz, ama gelecek hafta sinemaya gidelim mi?” yazdın. Cevap üç saniyede geldi: “Olur!” Erteledin ve büyüttün.</t>
        </is>
      </c>
      <c r="J299" s="6" t="inlineStr">
        <is>
          <t>'Dershane var' dedin. O da aynı dershaneye gidiyormuş.</t>
        </is>
      </c>
      <c r="K299" s="6" t="inlineStr">
        <is>
          <t>Mazeret uydurdun; o saatte kısa video uygulamasında canlı yayındaydın. İzleyicilerden biri oydu.</t>
        </is>
      </c>
      <c r="L299" s="6" t="inlineStr"/>
      <c r="M299" s="5" t="inlineStr"/>
      <c r="N299" s="5" t="inlineStr"/>
      <c r="O299" s="6" t="inlineStr"/>
      <c r="P299" s="6" t="inlineStr"/>
      <c r="Q299" s="5" t="inlineStr"/>
      <c r="R299" s="5" t="inlineStr"/>
      <c r="S299" s="5" t="inlineStr"/>
      <c r="T299" s="5" t="inlineStr"/>
      <c r="U299" s="5" t="inlineStr">
        <is>
          <t>ilk-bulusma-oldu</t>
        </is>
      </c>
      <c r="V299" s="5" t="inlineStr"/>
      <c r="W299" s="5" t="inlineStr"/>
      <c r="X299" s="5" t="inlineStr"/>
      <c r="Y299" s="5" t="inlineStr"/>
      <c r="Z299" s="6" t="inlineStr"/>
      <c r="AA299" s="5" t="inlineStr"/>
      <c r="AB299" s="5" t="inlineStr"/>
      <c r="AC299" s="5" t="inlineStr"/>
      <c r="AD299" s="5" t="inlineStr"/>
      <c r="AE299" s="5" t="inlineStr"/>
      <c r="AF299" s="5" t="inlineStr"/>
      <c r="AG299" s="5" t="inlineStr"/>
      <c r="AH299" s="5" t="inlineStr"/>
      <c r="AI299" s="5" t="inlineStr"/>
      <c r="AJ299" s="5" t="inlineStr"/>
    </row>
    <row r="300">
      <c r="A300" s="5" t="inlineStr">
        <is>
          <t>b4-spor-secmeleri</t>
        </is>
      </c>
      <c r="B300" s="5" t="n">
        <v>1</v>
      </c>
      <c r="C300" s="6" t="inlineStr">
        <is>
          <t>Tribünden izle</t>
        </is>
      </c>
      <c r="D300" s="5" t="inlineStr"/>
      <c r="E300" s="5" t="inlineStr"/>
      <c r="F300" s="5" t="inlineStr">
        <is>
          <t>Sosyal Radar +1</t>
        </is>
      </c>
      <c r="G300" s="6" t="inlineStr">
        <is>
          <t>Kimin seçildiğini, kimin ağladığını, kimin annesinin öğretmenle konuştuğunu gördün. Akşam annene anlatınca annen “Kimin annesi?” diye üç kez sordu.</t>
        </is>
      </c>
      <c r="H300" s="6" t="inlineStr"/>
      <c r="I300" s="6" t="inlineStr"/>
      <c r="J300" s="6" t="inlineStr"/>
      <c r="K300" s="6" t="inlineStr"/>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c r="AI300" s="5" t="inlineStr"/>
      <c r="AJ300" s="5" t="inlineStr"/>
    </row>
    <row r="301">
      <c r="A301" s="5" t="inlineStr">
        <is>
          <t>b4-spor-secmeleri</t>
        </is>
      </c>
      <c r="B301" s="5" t="n">
        <v>2</v>
      </c>
      <c r="C301" s="6" t="inlineStr">
        <is>
          <t>Seçmelere katıl</t>
        </is>
      </c>
      <c r="D301" s="5" t="inlineStr">
        <is>
          <t>Dayanıklılık</t>
        </is>
      </c>
      <c r="E301" s="5" t="inlineStr">
        <is>
          <t>Zor</t>
        </is>
      </c>
      <c r="F301" s="5" t="inlineStr"/>
      <c r="G301" s="6" t="inlineStr"/>
      <c r="H301" s="6" t="inlineStr">
        <is>
          <t>Seçmeleri geçtin. Forma büyük geldi; annen akşam kollarını kısalttı, iç yakasına adını işledi.</t>
        </is>
      </c>
      <c r="I301" s="6" t="inlineStr">
        <is>
          <t>İlk on bire seçildin. Öğretmenin yeğeni yedeğe düştü. Ailede kriz çıktı; senin ailende değil.</t>
        </is>
      </c>
      <c r="J301" s="6" t="inlineStr">
        <is>
          <t>Koştun, terledin, listeye giremedin. Öğretmen 'Karakterin iyi' dedi. Karakter takıma alınmıyor.</t>
        </is>
      </c>
      <c r="K301" s="6" t="inlineStr">
        <is>
          <t>Top kafana geldi, sen yere, düdük öğretmenin ağzından. Takıma değil, okulun yıl sonu videosuna seçildin.</t>
        </is>
      </c>
      <c r="L301" s="6" t="inlineStr"/>
      <c r="M301" s="5" t="inlineStr"/>
      <c r="N301" s="5" t="inlineStr"/>
      <c r="O301" s="6" t="inlineStr"/>
      <c r="P301" s="6" t="inlineStr"/>
      <c r="Q301" s="5" t="inlineStr"/>
      <c r="R301" s="5" t="inlineStr"/>
      <c r="S301" s="5" t="inlineStr"/>
      <c r="T301" s="5" t="inlineStr"/>
      <c r="U301" s="5" t="inlineStr"/>
      <c r="V301" s="5" t="inlineStr">
        <is>
          <t>takim-oyuncusu</t>
        </is>
      </c>
      <c r="W301" s="5" t="inlineStr"/>
      <c r="X301" s="5" t="inlineStr"/>
      <c r="Y301" s="5" t="inlineStr"/>
      <c r="Z301" s="6" t="inlineStr"/>
      <c r="AA301" s="5" t="inlineStr"/>
      <c r="AB301" s="5" t="inlineStr"/>
      <c r="AC301" s="5" t="inlineStr"/>
      <c r="AD301" s="5" t="inlineStr"/>
      <c r="AE301" s="5" t="inlineStr"/>
      <c r="AF301" s="5" t="inlineStr"/>
      <c r="AG301" s="5" t="inlineStr"/>
      <c r="AH301" s="5" t="inlineStr"/>
      <c r="AI301" s="5" t="inlineStr"/>
      <c r="AJ301" s="5" t="inlineStr"/>
    </row>
    <row r="302">
      <c r="A302" s="5" t="inlineStr">
        <is>
          <t>b4-spor-secmeleri</t>
        </is>
      </c>
      <c r="B302" s="5" t="n">
        <v>3</v>
      </c>
      <c r="C302" s="6" t="inlineStr">
        <is>
          <t>Pas yeteneğini göster</t>
        </is>
      </c>
      <c r="D302" s="5" t="inlineStr">
        <is>
          <t>Sosyal Radar</t>
        </is>
      </c>
      <c r="E302" s="5" t="inlineStr">
        <is>
          <t>Orta</t>
        </is>
      </c>
      <c r="F302" s="5" t="inlineStr"/>
      <c r="G302" s="6" t="inlineStr"/>
      <c r="H302" s="6" t="inlineStr">
        <is>
          <t>Her pasın gol oldu. Öğretmen yeğenine 'Bak, böyle' dedi. Takımdasın.</t>
        </is>
      </c>
      <c r="I302" s="6" t="inlineStr">
        <is>
          <t>Yeğene üç asist yaptın. Öğretmen ikinizi de aldı, seni kaptan yardımcısı yaptı. Yeğen o günden beri topu önce sana atıyor.</t>
        </is>
      </c>
      <c r="J302" s="6" t="inlineStr">
        <is>
          <t>Pasların güzeldi ama topu verdiğin herkes ayağının altından kaçırdı. Öğretmen düdüğü ağzından çıkardı: “Pas güzel. Ama kime?”</t>
        </is>
      </c>
      <c r="K302" s="6" t="inlineStr">
        <is>
          <t>Asist yaptığın top kaleciye değil, kenarda çay içen öğretmenin bardağına gitti. İnce belli bardak gitti, öğretmenin keyfi de.</t>
        </is>
      </c>
      <c r="L302" s="6" t="inlineStr"/>
      <c r="M302" s="5" t="inlineStr"/>
      <c r="N302" s="5" t="inlineStr"/>
      <c r="O302" s="6" t="inlineStr"/>
      <c r="P302" s="6" t="inlineStr"/>
      <c r="Q302" s="5" t="inlineStr">
        <is>
          <t>Asist Ustası</t>
        </is>
      </c>
      <c r="R302" s="5" t="inlineStr"/>
      <c r="S302" s="5" t="inlineStr"/>
      <c r="T302" s="5" t="inlineStr"/>
      <c r="U302" s="5" t="inlineStr"/>
      <c r="V302" s="5" t="inlineStr">
        <is>
          <t>takim-oyuncusu</t>
        </is>
      </c>
      <c r="W302" s="5" t="inlineStr"/>
      <c r="X302" s="5" t="inlineStr"/>
      <c r="Y302" s="5" t="inlineStr"/>
      <c r="Z302" s="6" t="inlineStr"/>
      <c r="AA302" s="5" t="inlineStr"/>
      <c r="AB302" s="5" t="inlineStr"/>
      <c r="AC302" s="5" t="inlineStr"/>
      <c r="AD302" s="5" t="inlineStr"/>
      <c r="AE302" s="5" t="inlineStr"/>
      <c r="AF302" s="5" t="inlineStr"/>
      <c r="AG302" s="5" t="inlineStr"/>
      <c r="AH302" s="5" t="inlineStr"/>
      <c r="AI302" s="5" t="inlineStr"/>
      <c r="AJ302" s="5" t="inlineStr"/>
    </row>
    <row r="303">
      <c r="A303" s="5" t="inlineStr">
        <is>
          <t>b4-spor-secmeleri</t>
        </is>
      </c>
      <c r="B303" s="5" t="n">
        <v>4</v>
      </c>
      <c r="C303" s="6" t="inlineStr">
        <is>
          <t>Takım menajeri ol</t>
        </is>
      </c>
      <c r="D303" s="5" t="inlineStr">
        <is>
          <t>Çene</t>
        </is>
      </c>
      <c r="E303" s="5" t="inlineStr">
        <is>
          <t>Kolay</t>
        </is>
      </c>
      <c r="F303" s="5" t="inlineStr"/>
      <c r="G303" s="6" t="inlineStr"/>
      <c r="H303" s="6" t="inlineStr">
        <is>
          <t>Oynamıyorsun ama formaları sen dağıtıyorsun. Öğretmenin yeğeni bile en büyük formayı sana sormadan alamıyor.</t>
        </is>
      </c>
      <c r="I303" s="6" t="inlineStr">
        <is>
          <t>Menajerliğin öyle iyi gitti ki öğretmen kadroyu sana danışıyor. Yeğen senin onayından geçti.</t>
        </is>
      </c>
      <c r="J303" s="6" t="inlineStr">
        <is>
          <t>Menajer oldun; kimse ne iş yaptığını bilmiyor. Sen de.</t>
        </is>
      </c>
      <c r="K303" s="6" t="inlineStr">
        <is>
          <t>Menajer oldun. İlk görevin su şişelerini taşımak. Son görevin de.</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c r="AI303" s="5" t="inlineStr"/>
      <c r="AJ303" s="5" t="inlineStr"/>
    </row>
    <row r="304">
      <c r="A304" s="5" t="inlineStr">
        <is>
          <t>b4-eski-telefon</t>
        </is>
      </c>
      <c r="B304" s="5" t="n">
        <v>1</v>
      </c>
      <c r="C304" s="6" t="inlineStr">
        <is>
          <t>Kuzenine hediye et</t>
        </is>
      </c>
      <c r="D304" s="5" t="inlineStr"/>
      <c r="E304" s="5" t="inlineStr"/>
      <c r="F304" s="5" t="inlineStr">
        <is>
          <t>Gönül +1</t>
        </is>
      </c>
      <c r="G304" s="6" t="inlineStr">
        <is>
          <t>Eski telefonu kuzenine verdin. Kuzen onu senden daha iyi kullanıyor. Bunu kimse söylemedi ama herkes biliyor.</t>
        </is>
      </c>
      <c r="H304" s="6" t="inlineStr"/>
      <c r="I304" s="6" t="inlineStr"/>
      <c r="J304" s="6" t="inlineStr"/>
      <c r="K304" s="6" t="inlineStr"/>
      <c r="L304" s="6" t="inlineStr"/>
      <c r="M304" s="5" t="inlineStr"/>
      <c r="N304" s="5" t="inlineStr"/>
      <c r="O304" s="6" t="inlineStr"/>
      <c r="P304" s="6" t="inlineStr"/>
      <c r="Q304" s="5" t="inlineStr"/>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c r="AI304" s="5" t="inlineStr"/>
      <c r="AJ304" s="5" t="inlineStr"/>
    </row>
    <row r="305">
      <c r="A305" s="5" t="inlineStr">
        <is>
          <t>b4-eski-telefon</t>
        </is>
      </c>
      <c r="B305" s="5" t="n">
        <v>2</v>
      </c>
      <c r="C305" s="6" t="inlineStr">
        <is>
          <t>Pazarlığa gir</t>
        </is>
      </c>
      <c r="D305" s="5" t="inlineStr">
        <is>
          <t>Çene</t>
        </is>
      </c>
      <c r="E305" s="5" t="inlineStr">
        <is>
          <t>Orta</t>
        </is>
      </c>
      <c r="F305" s="5" t="inlineStr"/>
      <c r="G305" s="6" t="inlineStr"/>
      <c r="H305" s="6" t="inlineStr">
        <is>
          <t>İlan fiyatının biraz altında sattın. Alıcı memnun, sen memnun. Annen yine de “Ucuza verdin” dedi; her zamanki gibi.</t>
        </is>
      </c>
      <c r="I305" s="6" t="inlineStr">
        <is>
          <t>Üç alıcıyı birbirine karşı oynattın. Telefon ilan fiyatının üstünde satıldı.</t>
        </is>
      </c>
      <c r="J305" s="6" t="inlineStr">
        <is>
          <t>'Son fiyat' dedin. Alıcı 'Tamam, düşüneyim' dedi. Hâlâ düşünüyor.</t>
        </is>
      </c>
      <c r="K305" s="6" t="inlineStr">
        <is>
          <t>Alıcı telefonu aldı, ertesi gün aynı telefonu iki katına ilana koydu. Fotoğraflar seninkiler.</t>
        </is>
      </c>
      <c r="L305" s="6" t="inlineStr">
        <is>
          <t>Telefonu sattın ama alıcı son anda kılıfı da istedi, şarj aletini de. Kutu bile gitti.</t>
        </is>
      </c>
      <c r="M305" s="5" t="inlineStr">
        <is>
          <t>duel</t>
        </is>
      </c>
      <c r="N305" s="5" t="inlineStr">
        <is>
          <t>Son Fiyat?</t>
        </is>
      </c>
      <c r="O305" s="6" t="inlineStr">
        <is>
          <t>Karşındakinin sabrı bitmeden en iyi cevabı seç.</t>
        </is>
      </c>
      <c r="P305" s="6" t="inlineStr">
        <is>
          <t>{"who": "Alıcı", "item": "eski telefon", "mode": "sell"}</t>
        </is>
      </c>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c r="AI305" s="5" t="inlineStr"/>
      <c r="AJ305" s="5" t="inlineStr"/>
    </row>
    <row r="306">
      <c r="A306" s="5" t="inlineStr">
        <is>
          <t>b4-eski-telefon</t>
        </is>
      </c>
      <c r="B306" s="5" t="n">
        <v>3</v>
      </c>
      <c r="C306" s="6" t="inlineStr">
        <is>
          <t>Ekran çiziğini dürüstçe yaz</t>
        </is>
      </c>
      <c r="D306" s="5" t="inlineStr">
        <is>
          <t>İtibar</t>
        </is>
      </c>
      <c r="E306" s="5" t="inlineStr">
        <is>
          <t>Kolay</t>
        </is>
      </c>
      <c r="F306" s="5" t="inlineStr"/>
      <c r="G306" s="6" t="inlineStr"/>
      <c r="H306" s="6" t="inlineStr">
        <is>
          <t>İlana 'Ekranda çizik var' yazdın. Alıcı teşekkür etti ve fiyatı kırmadı.</t>
        </is>
      </c>
      <c r="I306" s="6" t="inlineStr">
        <is>
          <t>Dürüstlüğün alıcıyı öyle etkiledi ki sana kılıf hediye etti. Satıcı puanın tavan.</t>
        </is>
      </c>
      <c r="J306" s="6" t="inlineStr">
        <is>
          <t>Dürüst yazdın; herkes çiziğin fotoğrafını istedi. Kimse telefonun fotoğrafını istemedi.</t>
        </is>
      </c>
      <c r="K306" s="6" t="inlineStr">
        <is>
          <t>Çiziği yazdın. Alıcı 'Başka çizik var mı?' diye sordu. Saydın. Yedi tane çıktı.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c r="AI306" s="5" t="inlineStr"/>
      <c r="AJ306" s="5" t="inlineStr"/>
    </row>
    <row r="307">
      <c r="A307" s="5" t="inlineStr">
        <is>
          <t>b4-eski-telefon</t>
        </is>
      </c>
      <c r="B307" s="5" t="n">
        <v>4</v>
      </c>
      <c r="C307" s="6" t="inlineStr">
        <is>
          <t>Takas zinciri başlat</t>
        </is>
      </c>
      <c r="D307" s="5" t="inlineStr">
        <is>
          <t>Kurnazlık</t>
        </is>
      </c>
      <c r="E307" s="5" t="inlineStr">
        <is>
          <t>Zor</t>
        </is>
      </c>
      <c r="F307" s="5" t="inlineStr"/>
      <c r="G307" s="6" t="inlineStr"/>
      <c r="H307" s="6" t="inlineStr">
        <is>
          <t>Telefonu bisiklete, bisikleti kaykaya çevirdin. Kaykay güzel.</t>
        </is>
      </c>
      <c r="I307" s="6" t="inlineStr">
        <is>
          <t>Telefon bisiklete, bisiklet kaykaya, kaykay daha iyi bir telefona döndü. Baban telefonu evirip çevirdi: “Bunu nereden buldun?” “Takasla” dedin. Baban kendi telefonunu da sana uzattı.</t>
        </is>
      </c>
      <c r="J307" s="6" t="inlineStr">
        <is>
          <t>Telefonu bisiklete çevirdin. Bisikletin zinciri yok.</t>
        </is>
      </c>
      <c r="K307" s="6" t="inlineStr">
        <is>
          <t>Takas zinciri tersine işledi: telefon bisiklete, bisiklet bir pul albümüne, albüm bir kutu eski kartpostala döndü. Babaannen kutuyu açtı, içinden kendi gençlik kartpostalını çıkardı ve ağladı. Telefon yok ama babaannen çok mutlu.</t>
        </is>
      </c>
      <c r="L307" s="6" t="inlineStr"/>
      <c r="M307" s="5" t="inlineStr"/>
      <c r="N307" s="5" t="inlineStr"/>
      <c r="O307" s="6" t="inlineStr"/>
      <c r="P307" s="6" t="inlineStr"/>
      <c r="Q307" s="5" t="inlineStr">
        <is>
          <t>Kantin Ekonomisti</t>
        </is>
      </c>
      <c r="R307" s="5" t="inlineStr"/>
      <c r="S307" s="5" t="inlineStr"/>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c r="AI307" s="5" t="inlineStr"/>
      <c r="AJ307" s="5" t="inlineStr"/>
    </row>
    <row r="308">
      <c r="A308" s="5" t="inlineStr">
        <is>
          <t>b4-yaz-tatili</t>
        </is>
      </c>
      <c r="B308" s="5" t="n">
        <v>1</v>
      </c>
      <c r="C308" s="6" t="inlineStr">
        <is>
          <t>İnternetsiz yaşa</t>
        </is>
      </c>
      <c r="D308" s="5" t="inlineStr"/>
      <c r="E308" s="5" t="inlineStr"/>
      <c r="F308" s="5" t="inlineStr">
        <is>
          <t>Dayanıklılık +1</t>
        </is>
      </c>
      <c r="G308" s="6" t="inlineStr">
        <is>
          <t>On beş gün internetsiz kaldın. Denizi, kumu ve babanın dört farklı mangal tekniğini keşfettin.</t>
        </is>
      </c>
      <c r="H308" s="6" t="inlineStr"/>
      <c r="I308" s="6" t="inlineStr"/>
      <c r="J308" s="6" t="inlineStr"/>
      <c r="K308" s="6" t="inlineStr"/>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c r="AI308" s="5" t="inlineStr"/>
      <c r="AJ308" s="5" t="inlineStr"/>
    </row>
    <row r="309">
      <c r="A309" s="5" t="inlineStr">
        <is>
          <t>b4-yaz-tatili</t>
        </is>
      </c>
      <c r="B309" s="5" t="n">
        <v>2</v>
      </c>
      <c r="C309" s="6" t="inlineStr">
        <is>
          <t>Sinyal noktasını bul</t>
        </is>
      </c>
      <c r="D309" s="5" t="inlineStr">
        <is>
          <t>Kurnazlık</t>
        </is>
      </c>
      <c r="E309" s="5" t="inlineStr">
        <is>
          <t>Orta</t>
        </is>
      </c>
      <c r="F309" s="5" t="inlineStr"/>
      <c r="G309" s="6" t="inlineStr"/>
      <c r="H309" s="6" t="inlineStr">
        <is>
          <t>Merdiven sahanlığının tam ortasında iki çizgi buldun. Tatilin geri kalanı sahanlıkta geçti.</t>
        </is>
      </c>
      <c r="I309" s="6" t="inlineStr">
        <is>
          <t>Sitenin sinyal haritasını çıkardın. Komşu çocuklara nokta başı ücretle kiralıyorsun.</t>
        </is>
      </c>
      <c r="J309" s="6" t="inlineStr">
        <is>
          <t>Sinyali buldun: tek çizgi. Mesajın gittiğinde tatil bitmişti.</t>
        </is>
      </c>
      <c r="K309" s="6" t="inlineStr">
        <is>
          <t>Tam sinyali komşunun modemine yaslanınca buldun. Komşu şifreyi 'SinyalHirsizi' yaptı ve kapıya astı.</t>
        </is>
      </c>
      <c r="L309" s="6" t="inlineStr">
        <is>
          <t>İki çizgiyi yakaladın, mesaj yarım gitti: “Burada internet y”</t>
        </is>
      </c>
      <c r="M309" s="5" t="inlineStr">
        <is>
          <t>hidden</t>
        </is>
      </c>
      <c r="N309" s="5" t="inlineStr">
        <is>
          <t>Sinyal Avı</t>
        </is>
      </c>
      <c r="O309" s="6" t="inlineStr">
        <is>
          <t>Sinyal çubuğunu (📶) kumsalda bul.</t>
        </is>
      </c>
      <c r="P309" s="6" t="inlineStr">
        <is>
          <t>{"target": "📶", "decoys": ["🌴", "🏖️", "🐚", "☀️", "⛱️"]}</t>
        </is>
      </c>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c r="AI309" s="5" t="inlineStr"/>
      <c r="AJ309" s="5" t="inlineStr"/>
    </row>
    <row r="310">
      <c r="A310" s="5" t="inlineStr">
        <is>
          <t>b4-yaz-tatili</t>
        </is>
      </c>
      <c r="B310" s="5" t="n">
        <v>3</v>
      </c>
      <c r="C310" s="6" t="inlineStr">
        <is>
          <t>Yan yazlıktakilerle tanış</t>
        </is>
      </c>
      <c r="D310" s="5" t="inlineStr">
        <is>
          <t>Sosyal Radar</t>
        </is>
      </c>
      <c r="E310" s="5" t="inlineStr">
        <is>
          <t>Kolay</t>
        </is>
      </c>
      <c r="F310" s="5" t="inlineStr"/>
      <c r="G310" s="6" t="inlineStr"/>
      <c r="H310" s="6" t="inlineStr">
        <is>
          <t>Tek ayak üstünde bir yaz arkadaşlığı kurdun. Eylülde “Kesin yazarız” diye ayrıldınız. Ertesi yaz yine balkonda, yine tek ayak üstünde karşılaştınız.</t>
        </is>
      </c>
      <c r="I310" s="6" t="inlineStr">
        <is>
          <t>Yan yazlıktakilerle ortak bir sinyal kulesi kurdunuz: balkonlar arası çamaşır ipi ve bir teneke kutu. İşe yaramadı ama efsaneydi.</t>
        </is>
      </c>
      <c r="J310" s="6" t="inlineStr">
        <is>
          <t>Göz göze geldiniz, el salladınız, sinyal gitti. İkiniz de telefona döndünüz.</t>
        </is>
      </c>
      <c r="K310" s="6" t="inlineStr">
        <is>
          <t>Tanıştınız; onların ailesi sizinkini akşam yemeğine çağırdı. Tatilin geri kalanı aileler arası sohbetle geçti.</t>
        </is>
      </c>
      <c r="L310" s="6" t="inlineStr"/>
      <c r="M310" s="5" t="inlineStr"/>
      <c r="N310" s="5" t="inlineStr"/>
      <c r="O310" s="6" t="inlineStr"/>
      <c r="P310" s="6" t="inlineStr"/>
      <c r="Q310" s="5" t="inlineStr"/>
      <c r="R310" s="5" t="inlineStr"/>
      <c r="S310" s="5" t="inlineStr">
        <is>
          <t>Sosyal Radar</t>
        </is>
      </c>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c r="AI310" s="5" t="inlineStr"/>
      <c r="AJ310" s="5" t="inlineStr"/>
    </row>
    <row r="311">
      <c r="A311" s="5" t="inlineStr">
        <is>
          <t>b4-yaz-tatili</t>
        </is>
      </c>
      <c r="B311" s="5" t="n">
        <v>4</v>
      </c>
      <c r="C311" s="6" t="inlineStr">
        <is>
          <t>Ailenden kafe internet parası iste</t>
        </is>
      </c>
      <c r="D311" s="5" t="inlineStr">
        <is>
          <t>Çene</t>
        </is>
      </c>
      <c r="E311" s="5" t="inlineStr">
        <is>
          <t>Orta</t>
        </is>
      </c>
      <c r="F311" s="5" t="inlineStr"/>
      <c r="G311" s="6" t="inlineStr"/>
      <c r="H311" s="6" t="inlineStr">
        <is>
          <t>Sahildeki kafenin internetine erişim onaylandı. Günde bir saat, bir gazoz karşılığında.</t>
        </is>
      </c>
      <c r="I311" s="6" t="inlineStr">
        <is>
          <t>Ailen kafeyi o kadar sevdi ki tatilin geri kalanını orada geçirdiniz. Aile yeniden bağlandı. İnternete.</t>
        </is>
      </c>
      <c r="J311" s="6" t="inlineStr">
        <is>
          <t>'Deniz var, kum var' denildi. İkisinde de sinyal yok.</t>
        </is>
      </c>
      <c r="K311" s="6" t="inlineStr">
        <is>
          <t>Kafeye gittin; kafenin şifresi yalnızca aile boyu menü alanlara veriliyordu. Baban menüyü aldı, şifreyi o kullandı.</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c r="AI311" s="5" t="inlineStr"/>
      <c r="AJ311" s="5" t="inlineStr"/>
    </row>
    <row r="312">
      <c r="A312" s="5" t="inlineStr">
        <is>
          <t>b4-dershane-denemesi</t>
        </is>
      </c>
      <c r="B312" s="5" t="n">
        <v>1</v>
      </c>
      <c r="C312" s="6" t="inlineStr">
        <is>
          <t>Sıranı kabul et</t>
        </is>
      </c>
      <c r="D312" s="5" t="inlineStr"/>
      <c r="E312" s="5" t="inlineStr"/>
      <c r="F312" s="5" t="inlineStr">
        <is>
          <t>Dayanıklılık +1</t>
        </is>
      </c>
      <c r="G312" s="6" t="inlineStr">
        <is>
          <t>Sırana baktın, not aldın. Eve gelince annen sordu, söyledin. Annen “Tamam, bir dahakine” dedi ve önüne bir tabak meyve koydu. Bir dahaki bir hafta sonra.</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c r="V312" s="5" t="inlineStr"/>
      <c r="W312" s="5" t="inlineStr"/>
      <c r="X312" s="5" t="inlineStr"/>
      <c r="Y312" s="5" t="inlineStr"/>
      <c r="Z312" s="6" t="inlineStr"/>
      <c r="AA312" s="5" t="inlineStr"/>
      <c r="AB312" s="5" t="inlineStr"/>
      <c r="AC312" s="5" t="inlineStr"/>
      <c r="AD312" s="5" t="inlineStr"/>
      <c r="AE312" s="5" t="inlineStr"/>
      <c r="AF312" s="5" t="inlineStr"/>
      <c r="AG312" s="5" t="inlineStr"/>
      <c r="AH312" s="5" t="inlineStr"/>
      <c r="AI312" s="5" t="inlineStr"/>
      <c r="AJ312" s="5" t="inlineStr"/>
    </row>
    <row r="313">
      <c r="A313" s="5" t="inlineStr">
        <is>
          <t>b4-dershane-denemesi</t>
        </is>
      </c>
      <c r="B313" s="5" t="n">
        <v>2</v>
      </c>
      <c r="C313" s="6" t="inlineStr">
        <is>
          <t>Listeyi fotoğrafla, kırp, ailene at</t>
        </is>
      </c>
      <c r="D313" s="5" t="inlineStr">
        <is>
          <t>Kurnazlık</t>
        </is>
      </c>
      <c r="E313" s="5" t="inlineStr">
        <is>
          <t>Orta</t>
        </is>
      </c>
      <c r="F313" s="5" t="inlineStr"/>
      <c r="G313" s="6" t="inlineStr"/>
      <c r="H313" s="6" t="inlineStr">
        <is>
          <t>Fotoğrafı kırptın; üstündeki yirmi kişi kadraj dışında kaldı. Ailen seni ilk sırada sandı.</t>
        </is>
      </c>
      <c r="I313" s="6" t="inlineStr">
        <is>
          <t>Kırptığın fotoğraf aile grubunda dolaştı. Teyzen 'Bizimki de o dershaneye gitsin' dedi. Kuzen artık rakibin.</t>
        </is>
      </c>
      <c r="J313" s="6" t="inlineStr">
        <is>
          <t>Kırptın; üstteki satırdan yarım bir isim göründü. Ailen 'Bu kim?' diye sordu.</t>
        </is>
      </c>
      <c r="K313" s="6" t="inlineStr">
        <is>
          <t>Fazla kırptın. Fotoğrafta yalnızca adın ve altında 'Telafi Programı' yazısı kaldı.</t>
        </is>
      </c>
      <c r="L313" s="6" t="inlineStr"/>
      <c r="M313" s="5" t="inlineStr"/>
      <c r="N313" s="5" t="inlineStr"/>
      <c r="O313" s="6" t="inlineStr"/>
      <c r="P313" s="6" t="inlineStr"/>
      <c r="Q313" s="5" t="inlineStr"/>
      <c r="R313" s="5" t="inlineStr"/>
      <c r="S313" s="5" t="inlineStr"/>
      <c r="T313" s="5" t="inlineStr"/>
      <c r="U313" s="5" t="inlineStr"/>
      <c r="V313" s="5" t="inlineStr"/>
      <c r="W313" s="5" t="inlineStr"/>
      <c r="X313" s="5" t="inlineStr"/>
      <c r="Y313" s="5" t="inlineStr"/>
      <c r="Z313" s="6" t="inlineStr"/>
      <c r="AA313" s="5" t="inlineStr"/>
      <c r="AB313" s="5" t="inlineStr"/>
      <c r="AC313" s="5" t="inlineStr"/>
      <c r="AD313" s="5" t="inlineStr"/>
      <c r="AE313" s="5" t="inlineStr"/>
      <c r="AF313" s="5" t="inlineStr"/>
      <c r="AG313" s="5" t="inlineStr"/>
      <c r="AH313" s="5" t="inlineStr"/>
      <c r="AI313" s="5" t="inlineStr"/>
      <c r="AJ313" s="5" t="inlineStr"/>
    </row>
    <row r="314">
      <c r="A314" s="5" t="inlineStr">
        <is>
          <t>b4-dershane-denemesi</t>
        </is>
      </c>
      <c r="B314" s="5" t="n">
        <v>3</v>
      </c>
      <c r="C314" s="6" t="inlineStr">
        <is>
          <t>Rehber öğretmenle konuş</t>
        </is>
      </c>
      <c r="D314" s="5" t="inlineStr">
        <is>
          <t>Çene</t>
        </is>
      </c>
      <c r="E314" s="5" t="inlineStr">
        <is>
          <t>Kolay</t>
        </is>
      </c>
      <c r="F314" s="5" t="inlineStr"/>
      <c r="G314" s="6" t="inlineStr"/>
      <c r="H314" s="6" t="inlineStr">
        <is>
          <t>Rehber öğretmen eksiklerini listeledi. Liste uzundu ama çizilebilir.</t>
        </is>
      </c>
      <c r="I314" s="6" t="inlineStr">
        <is>
          <t>Rehber öğretmen sana bir çalışma planı yaptı ve ailene 'Potansiyeli var' dedi. Potansiyel, her ailenin sevdiği kelime.</t>
        </is>
      </c>
      <c r="J314" s="6" t="inlineStr">
        <is>
          <t>Rehber öğretmen 'Daha çok çalışmalısın' dedi. Bu, ücretli bir bilgiydi.</t>
        </is>
      </c>
      <c r="K314" s="6" t="inlineStr">
        <is>
          <t>Rehber öğretmen konuşurken “Sen yeni mi geldin?” diye sordu. On beş aydır her cumartesi en ön sıradasın.</t>
        </is>
      </c>
      <c r="L314" s="6" t="inlineStr"/>
      <c r="M314" s="5" t="inlineStr"/>
      <c r="N314" s="5" t="inlineStr"/>
      <c r="O314" s="6" t="inlineStr"/>
      <c r="P314" s="6" t="inlineStr"/>
      <c r="Q314" s="5" t="inlineStr"/>
      <c r="R314" s="5" t="inlineStr"/>
      <c r="S314" s="5" t="inlineStr"/>
      <c r="T314" s="5" t="inlineStr"/>
      <c r="U314" s="5" t="inlineStr"/>
      <c r="V314" s="5" t="inlineStr"/>
      <c r="W314" s="5" t="inlineStr"/>
      <c r="X314" s="5" t="inlineStr"/>
      <c r="Y314" s="5" t="inlineStr"/>
      <c r="Z314" s="6" t="inlineStr"/>
      <c r="AA314" s="5" t="inlineStr"/>
      <c r="AB314" s="5" t="inlineStr"/>
      <c r="AC314" s="5" t="inlineStr"/>
      <c r="AD314" s="5" t="inlineStr"/>
      <c r="AE314" s="5" t="inlineStr"/>
      <c r="AF314" s="5" t="inlineStr"/>
      <c r="AG314" s="5" t="inlineStr"/>
      <c r="AH314" s="5" t="inlineStr"/>
      <c r="AI314" s="5" t="inlineStr"/>
      <c r="AJ314" s="5" t="inlineStr"/>
    </row>
    <row r="315">
      <c r="A315" s="5" t="inlineStr">
        <is>
          <t>b4-lise-sinavi</t>
        </is>
      </c>
      <c r="B315" s="5" t="n">
        <v>1</v>
      </c>
      <c r="C315" s="6" t="inlineStr">
        <is>
          <t>Meslek lisesini yaz</t>
        </is>
      </c>
      <c r="D315" s="5" t="inlineStr"/>
      <c r="E315" s="5" t="inlineStr"/>
      <c r="F315" s="5" t="inlineStr">
        <is>
          <t>Kurnazlık +1</t>
        </is>
      </c>
      <c r="G315" s="6" t="inlineStr">
        <is>
          <t>Sınav formuna meslek lisesini yazdın. On beşinde priz takabilen, on altısında dükkân açabilen tek kişi olacaksın. Kuzenin “Yazık” dedi; kuzen hâlâ priz takamıyor.</t>
        </is>
      </c>
      <c r="H315" s="6" t="inlineStr"/>
      <c r="I315" s="6" t="inlineStr"/>
      <c r="J315" s="6" t="inlineStr"/>
      <c r="K315" s="6" t="inlineStr"/>
      <c r="L315" s="6" t="inlineStr"/>
      <c r="M315" s="5" t="inlineStr"/>
      <c r="N315" s="5" t="inlineStr"/>
      <c r="O315" s="6" t="inlineStr"/>
      <c r="P315" s="6" t="inlineStr"/>
      <c r="Q315" s="5" t="inlineStr"/>
      <c r="R315" s="5" t="inlineStr"/>
      <c r="S315" s="5" t="inlineStr"/>
      <c r="T315" s="5" t="inlineStr"/>
      <c r="U315" s="5" t="inlineStr">
        <is>
          <t>meslek-lisesi</t>
        </is>
      </c>
      <c r="V315" s="5" t="inlineStr"/>
      <c r="W315" s="5" t="inlineStr"/>
      <c r="X315" s="5" t="inlineStr"/>
      <c r="Y315" s="5" t="inlineStr"/>
      <c r="Z315" s="6" t="inlineStr"/>
      <c r="AA315" s="5" t="inlineStr">
        <is>
          <t>Keskin +1, Yalçın +1, Tan -1, Erdem -1, Varlı -1</t>
        </is>
      </c>
      <c r="AB315" s="5" t="inlineStr"/>
      <c r="AC315" s="5" t="inlineStr"/>
      <c r="AD315" s="5" t="inlineStr"/>
      <c r="AE315" s="5" t="inlineStr"/>
      <c r="AF315" s="5" t="inlineStr"/>
      <c r="AG315" s="5" t="inlineStr"/>
      <c r="AH315" s="5" t="inlineStr"/>
      <c r="AI315" s="5" t="inlineStr"/>
      <c r="AJ315" s="5" t="inlineStr"/>
    </row>
    <row r="316">
      <c r="A316" s="5" t="inlineStr">
        <is>
          <t>b4-lise-sinavi</t>
        </is>
      </c>
      <c r="B316" s="5" t="n">
        <v>2</v>
      </c>
      <c r="C316" s="6" t="inlineStr">
        <is>
          <t>Hepsini çözmeye çalış</t>
        </is>
      </c>
      <c r="D316" s="5" t="inlineStr">
        <is>
          <t>Akıl</t>
        </is>
      </c>
      <c r="E316" s="5" t="inlineStr">
        <is>
          <t>Zor</t>
        </is>
      </c>
      <c r="F316" s="5" t="inlineStr"/>
      <c r="G316" s="6" t="inlineStr"/>
      <c r="H316" s="6" t="inlineStr">
        <is>
          <t>Sonuç geldi: iyi bir lise. Ailen sonucu, karne fotoğrafından bile hızlı aile grubuna attı.</t>
        </is>
      </c>
      <c r="I316" s="6" t="inlineStr">
        <is>
          <t>Derece yaptın. Okulun girişine pankartın asıldı; fotoğraf okul fotoğrafı gününden, saçın o gün hiç iyi değildi. Babaannen pankartın fotoğrafını çekip çerçeveletti.</t>
        </is>
      </c>
      <c r="J316" s="6" t="inlineStr">
        <is>
          <t>Son on soruda süre bitti. Mahalle lisesi seni kucakladı. En azından yakın.</t>
        </is>
      </c>
      <c r="K316" s="6" t="inlineStr">
        <is>
          <t>Optik formu bir satır kaydırarak doldurdun. Bütün cevaplar bir aşağıda. Annen sonucu aile grubuna atmadı; bu, her şeyi anlattı.</t>
        </is>
      </c>
      <c r="L316" s="6" t="inlineStr"/>
      <c r="M316" s="5" t="inlineStr"/>
      <c r="N316" s="5" t="inlineStr"/>
      <c r="O316" s="6" t="inlineStr"/>
      <c r="P316" s="6" t="inlineStr"/>
      <c r="Q316" s="5" t="inlineStr"/>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c r="AI316" s="5" t="inlineStr"/>
      <c r="AJ316" s="5" t="inlineStr"/>
    </row>
    <row r="317">
      <c r="A317" s="5" t="inlineStr">
        <is>
          <t>b4-lise-sinavi</t>
        </is>
      </c>
      <c r="B317" s="5" t="n">
        <v>3</v>
      </c>
      <c r="C317" s="6" t="inlineStr">
        <is>
          <t>Zorları atla, kolayları topla</t>
        </is>
      </c>
      <c r="D317" s="5" t="inlineStr">
        <is>
          <t>Kurnazlık</t>
        </is>
      </c>
      <c r="E317" s="5" t="inlineStr">
        <is>
          <t>Orta</t>
        </is>
      </c>
      <c r="F317" s="5" t="inlineStr"/>
      <c r="G317" s="6" t="inlineStr"/>
      <c r="H317" s="6" t="inlineStr">
        <is>
          <t>Zorları atladın, kolayları topladın. İyi bir lise geldi. Baban “Akıllıca” dedi, annen “Şanslı”; ikisi de haklı.</t>
        </is>
      </c>
      <c r="I317" s="6" t="inlineStr">
        <is>
          <t>Atladığın sorulara dönmeye vaktin kaldı ve hepsini yaptın. Çıkışta annen termosu açtı; çay hâlâ sıcaktı. Sonuç da öyle geldi: derece.</t>
        </is>
      </c>
      <c r="J317" s="6" t="inlineStr">
        <is>
          <t>Atladığın sorulara dönemedin. Atladıkların kolaymış.</t>
        </is>
      </c>
      <c r="K317" s="6" t="inlineStr">
        <is>
          <t>Kolayların hepsi aynı şık çıkınca şüphelendin ve değiştirdin. Hepsi gerçekten aynı şıktı.</t>
        </is>
      </c>
      <c r="L317" s="6" t="inlineStr"/>
      <c r="M317" s="5" t="inlineStr"/>
      <c r="N317" s="5" t="inlineStr"/>
      <c r="O317" s="6" t="inlineStr"/>
      <c r="P317" s="6" t="inlineStr"/>
      <c r="Q317" s="5" t="inlineStr"/>
      <c r="R317" s="5" t="inlineStr"/>
      <c r="S317" s="5" t="inlineStr"/>
      <c r="T317" s="5" t="inlineStr"/>
      <c r="U317" s="5" t="inlineStr"/>
      <c r="V317" s="5" t="inlineStr">
        <is>
          <t>iyi-lise</t>
        </is>
      </c>
      <c r="W317" s="5" t="inlineStr"/>
      <c r="X317" s="5" t="inlineStr"/>
      <c r="Y317" s="5" t="inlineStr"/>
      <c r="Z317" s="6" t="inlineStr"/>
      <c r="AA317" s="5" t="inlineStr"/>
      <c r="AB317" s="5" t="inlineStr">
        <is>
          <t>duz-lise</t>
        </is>
      </c>
      <c r="AC317" s="5" t="inlineStr"/>
      <c r="AD317" s="5" t="inlineStr"/>
      <c r="AE317" s="5" t="inlineStr"/>
      <c r="AF317" s="5" t="inlineStr"/>
      <c r="AG317" s="5" t="inlineStr"/>
      <c r="AH317" s="5" t="inlineStr"/>
      <c r="AI317" s="5" t="inlineStr"/>
      <c r="AJ317" s="5" t="inlineStr"/>
    </row>
    <row r="318">
      <c r="A318" s="5" t="inlineStr">
        <is>
          <t>b4-lise-sinavi</t>
        </is>
      </c>
      <c r="B318" s="5" t="n">
        <v>4</v>
      </c>
      <c r="C318" s="6" t="inlineStr">
        <is>
          <t>Dershane taktiklerini uygula</t>
        </is>
      </c>
      <c r="D318" s="5" t="inlineStr">
        <is>
          <t>Akıl</t>
        </is>
      </c>
      <c r="E318" s="5" t="inlineStr">
        <is>
          <t>Orta</t>
        </is>
      </c>
      <c r="F318" s="5" t="inlineStr"/>
      <c r="G318" s="6" t="inlineStr"/>
      <c r="H318" s="6" t="inlineStr">
        <is>
          <t>Soru tiplerini tanıdın. Dershanenin cumartesileri karşılığını verdi. İyi bir lise.</t>
        </is>
      </c>
      <c r="I318" s="6" t="inlineStr">
        <is>
          <t>Soruların yarısı dershanede çözdüğün sorulara ikiz çıktı. Derece yaptın; dershane seni broşüre koydu. Küçük puntolu değil.</t>
        </is>
      </c>
      <c r="J318" s="6" t="inlineStr">
        <is>
          <t>Taktikler işledi ama süre yetmedi. Çıkışta telefonuna dershaneden mesaj düştü: “Yaz kampımız başlıyor, erken kayda indirim!”</t>
        </is>
      </c>
      <c r="K318" s="6" t="inlineStr">
        <is>
          <t>Dershanenin 'Bu tip hiç çıkmaz' dediği soru tipi, sınavın yarısıydı.</t>
        </is>
      </c>
      <c r="L318" s="6" t="inlineStr"/>
      <c r="M318" s="5" t="inlineStr"/>
      <c r="N318" s="5" t="inlineStr"/>
      <c r="O318" s="6" t="inlineStr"/>
      <c r="P318" s="6" t="inlineStr"/>
      <c r="Q318" s="5" t="inlineStr"/>
      <c r="R318" s="5" t="inlineStr">
        <is>
          <t>dershaneli</t>
        </is>
      </c>
      <c r="S318" s="5" t="inlineStr"/>
      <c r="T318" s="5" t="inlineStr"/>
      <c r="U318" s="5" t="inlineStr"/>
      <c r="V318" s="5" t="inlineStr">
        <is>
          <t>iyi-lise</t>
        </is>
      </c>
      <c r="W318" s="5" t="inlineStr"/>
      <c r="X318" s="5" t="inlineStr"/>
      <c r="Y318" s="5" t="inlineStr"/>
      <c r="Z318" s="6" t="inlineStr"/>
      <c r="AA318" s="5" t="inlineStr"/>
      <c r="AB318" s="5" t="inlineStr">
        <is>
          <t>duz-lise</t>
        </is>
      </c>
      <c r="AC318" s="5" t="inlineStr"/>
      <c r="AD318" s="5" t="inlineStr"/>
      <c r="AE318" s="5" t="inlineStr"/>
      <c r="AF318" s="5" t="inlineStr"/>
      <c r="AG318" s="5" t="inlineStr"/>
      <c r="AH318" s="5" t="inlineStr"/>
      <c r="AI318" s="5" t="inlineStr"/>
      <c r="AJ318" s="5" t="inlineStr"/>
    </row>
    <row r="319">
      <c r="A319" s="5" t="inlineStr">
        <is>
          <t>b4-lise-sinavi</t>
        </is>
      </c>
      <c r="B319" s="5" t="n">
        <v>5</v>
      </c>
      <c r="C319" s="6" t="inlineStr">
        <is>
          <t>Nefes al, sırayla ilerle</t>
        </is>
      </c>
      <c r="D319" s="5" t="inlineStr">
        <is>
          <t>Dayanıklılık</t>
        </is>
      </c>
      <c r="E319" s="5" t="inlineStr">
        <is>
          <t>Orta</t>
        </is>
      </c>
      <c r="F319" s="5" t="inlineStr"/>
      <c r="G319" s="6" t="inlineStr"/>
      <c r="H319" s="6" t="inlineStr">
        <is>
          <t>Paniklemedin, soru soru ilerledin. Çıkışta annen “Nasıldı?” diye sordu; “Normal” dedin. Annen o “normal”i bir ay boyunca herkese anlattı. Sonuç geldi: iyi bir lise.</t>
        </is>
      </c>
      <c r="I319" s="6" t="inlineStr">
        <is>
          <t>Salondaki herkes terlerken sen sakindin. Gözetmen bile sana bakıp rahatladı. Derece geldi.</t>
        </is>
      </c>
      <c r="J319" s="6" t="inlineStr">
        <is>
          <t>Sakindin, ama biraz fazla. Son sayfayı çevirmeye vakit kalmadı.</t>
        </is>
      </c>
      <c r="K319" s="6" t="inlineStr">
        <is>
          <t>Öyle sakindin ki bir ara uyuyakaldın. Gözetmen seni 'Süre bitti' anonsuyla uyandırdı.</t>
        </is>
      </c>
      <c r="L319" s="6" t="inlineStr"/>
      <c r="M319" s="5" t="inlineStr"/>
      <c r="N319" s="5" t="inlineStr"/>
      <c r="O319" s="6" t="inlineStr"/>
      <c r="P319" s="6" t="inlineStr"/>
      <c r="Q319" s="5" t="inlineStr">
        <is>
          <t>Kolay Dağılmaz</t>
        </is>
      </c>
      <c r="R319" s="5" t="inlineStr"/>
      <c r="S319" s="5" t="inlineStr"/>
      <c r="T319" s="5" t="inlineStr"/>
      <c r="U319" s="5" t="inlineStr"/>
      <c r="V319" s="5" t="inlineStr">
        <is>
          <t>iyi-lise</t>
        </is>
      </c>
      <c r="W319" s="5" t="inlineStr"/>
      <c r="X319" s="5" t="inlineStr"/>
      <c r="Y319" s="5" t="inlineStr"/>
      <c r="Z319" s="6" t="inlineStr"/>
      <c r="AA319" s="5" t="inlineStr"/>
      <c r="AB319" s="5" t="inlineStr">
        <is>
          <t>duz-lise</t>
        </is>
      </c>
      <c r="AC319" s="5" t="inlineStr"/>
      <c r="AD319" s="5" t="inlineStr"/>
      <c r="AE319" s="5" t="inlineStr"/>
      <c r="AF319" s="5" t="inlineStr"/>
      <c r="AG319" s="5" t="inlineStr"/>
      <c r="AH319" s="5" t="inlineStr"/>
      <c r="AI319" s="5" t="inlineStr"/>
      <c r="AJ319" s="5" t="inlineStr"/>
    </row>
    <row r="320">
      <c r="A320" s="5" t="inlineStr">
        <is>
          <t>b4-lise-sinavi</t>
        </is>
      </c>
      <c r="B320" s="5" t="n">
        <v>6</v>
      </c>
      <c r="C320" s="6" t="inlineStr">
        <is>
          <t>Sınava girme, okulu bırak</t>
        </is>
      </c>
      <c r="D320" s="5" t="inlineStr"/>
      <c r="E320" s="5" t="inlineStr"/>
      <c r="F320" s="5" t="inlineStr">
        <is>
          <t>Cesaret +1</t>
        </is>
      </c>
      <c r="G320" s="6" t="inlineStr">
        <is>
          <t>Sınav sabahı köşedeki çay ocağına gittin. Abiler “Asıl okul burası” dedi, önüne çay koydu. Akşam annen sofrayı kurdu, senin tabağını da koydu ve hiç konuşmadı. Baban da.</t>
        </is>
      </c>
      <c r="H320" s="6" t="inlineStr"/>
      <c r="I320" s="6" t="inlineStr"/>
      <c r="J320" s="6" t="inlineStr"/>
      <c r="K320" s="6" t="inlineStr"/>
      <c r="L320" s="6" t="inlineStr"/>
      <c r="M320" s="5" t="inlineStr"/>
      <c r="N320" s="5" t="inlineStr"/>
      <c r="O320" s="6" t="inlineStr"/>
      <c r="P320" s="6" t="inlineStr"/>
      <c r="Q320" s="5" t="inlineStr"/>
      <c r="R320" s="5" t="inlineStr">
        <is>
          <t>mahalle-abileri</t>
        </is>
      </c>
      <c r="S320" s="5" t="inlineStr"/>
      <c r="T320" s="5" t="inlineStr"/>
      <c r="U320" s="5" t="inlineStr">
        <is>
          <t>okulu-birakti</t>
        </is>
      </c>
      <c r="V320" s="5" t="inlineStr"/>
      <c r="W320" s="5" t="inlineStr"/>
      <c r="X320" s="5" t="inlineStr"/>
      <c r="Y320" s="5" t="inlineStr"/>
      <c r="Z320" s="6" t="inlineStr"/>
      <c r="AA320" s="5" t="inlineStr">
        <is>
          <t>hepsi -1</t>
        </is>
      </c>
      <c r="AB320" s="5" t="inlineStr"/>
      <c r="AC320" s="5" t="inlineStr"/>
      <c r="AD320" s="5" t="inlineStr"/>
      <c r="AE320" s="5" t="inlineStr"/>
      <c r="AF320" s="5" t="inlineStr"/>
      <c r="AG320" s="5" t="inlineStr"/>
      <c r="AH320" s="5" t="inlineStr"/>
      <c r="AI320" s="5" t="inlineStr"/>
      <c r="AJ320" s="5" t="inlineStr"/>
    </row>
    <row r="321">
      <c r="A321" s="5" t="inlineStr">
        <is>
          <t>b5-lise-ilk-gun</t>
        </is>
      </c>
      <c r="B321" s="5" t="n">
        <v>1</v>
      </c>
      <c r="C321" s="6" t="inlineStr">
        <is>
          <t>Arka sıraya otur</t>
        </is>
      </c>
      <c r="D321" s="5" t="inlineStr"/>
      <c r="E321" s="5" t="inlineStr"/>
      <c r="F321" s="5" t="inlineStr">
        <is>
          <t>Pişkinlik +1</t>
        </is>
      </c>
      <c r="G321" s="6" t="inlineStr">
        <is>
          <t>Arka sıraya yerleştin. Pencere kenarı, kalorifer dibi. Öğretmen adını ancak ikinci dönem öğrendi.</t>
        </is>
      </c>
      <c r="H321" s="6" t="inlineStr"/>
      <c r="I321" s="6" t="inlineStr"/>
      <c r="J321" s="6" t="inlineStr"/>
      <c r="K321" s="6" t="inlineStr"/>
      <c r="L321" s="6" t="inlineStr"/>
      <c r="M321" s="5" t="inlineStr"/>
      <c r="N321" s="5" t="inlineStr"/>
      <c r="O321" s="6" t="inlineStr"/>
      <c r="P321" s="6" t="inlineStr"/>
      <c r="Q321" s="5" t="inlineStr"/>
      <c r="R321" s="5" t="inlineStr"/>
      <c r="S321" s="5" t="inlineStr"/>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c r="AI321" s="5" t="inlineStr"/>
      <c r="AJ321" s="5" t="inlineStr"/>
    </row>
    <row r="322">
      <c r="A322" s="5" t="inlineStr">
        <is>
          <t>b5-lise-ilk-gun</t>
        </is>
      </c>
      <c r="B322" s="5" t="n">
        <v>2</v>
      </c>
      <c r="C322" s="6" t="inlineStr">
        <is>
          <t>Ön sıraya otur</t>
        </is>
      </c>
      <c r="D322" s="5" t="inlineStr"/>
      <c r="E322" s="5" t="inlineStr"/>
      <c r="F322" s="5" t="inlineStr">
        <is>
          <t>Akıl +1</t>
        </is>
      </c>
      <c r="G322" s="6" t="inlineStr">
        <is>
          <t>Ön sıraya oturdun. Tahtayı net görüyorsun. Öğretmen heyecanlanınca defterine de yağmur yağıyor.</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c r="AI322" s="5" t="inlineStr"/>
      <c r="AJ322" s="5" t="inlineStr"/>
    </row>
    <row r="323">
      <c r="A323" s="5" t="inlineStr">
        <is>
          <t>b5-lise-ilk-gun</t>
        </is>
      </c>
      <c r="B323" s="5" t="n">
        <v>3</v>
      </c>
      <c r="C323" s="6" t="inlineStr">
        <is>
          <t>İlk teneffüste kendini tanıt</t>
        </is>
      </c>
      <c r="D323" s="5" t="inlineStr">
        <is>
          <t>Çene</t>
        </is>
      </c>
      <c r="E323" s="5" t="inlineStr">
        <is>
          <t>Orta</t>
        </is>
      </c>
      <c r="F323" s="5" t="inlineStr"/>
      <c r="G323" s="6" t="inlineStr"/>
      <c r="H323" s="6" t="inlineStr">
        <is>
          <t>Kendini tanıttın. Öğle arasında üç kişinin adını, iki kişinin sırrını biliyordun.</t>
        </is>
      </c>
      <c r="I323" s="6" t="inlineStr">
        <is>
          <t>İlk teneffüste kendini tanıttın, ikincisinde başkalarını birbirine tanıtıyordun. Hafta bitmeden kantinci tostunu sormadan hazırlıyordu.</t>
        </is>
      </c>
      <c r="J323" s="6" t="inlineStr">
        <is>
          <t>Kendini tanıttın. Karşındakiler seni rehbere 'şu çok konuşan' diye kaydetti.</t>
        </is>
      </c>
      <c r="K323" s="6" t="inlineStr">
        <is>
          <t>Heyecanla herkese el salladın. Karşılık veren tek kişi müdür yardımcısıydı; seni yanına çağırdı, adını sordu, bir deftere yazdı. Neden yazdığını dört yıl boyunca öğrenemedin.</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c r="AI323" s="5" t="inlineStr"/>
      <c r="AJ323" s="5" t="inlineStr"/>
    </row>
    <row r="324">
      <c r="A324" s="5" t="inlineStr">
        <is>
          <t>b5-lise-ilk-gun</t>
        </is>
      </c>
      <c r="B324" s="5" t="n">
        <v>4</v>
      </c>
      <c r="C324" s="6" t="inlineStr">
        <is>
          <t>Doğru sıra arkadaşını seç</t>
        </is>
      </c>
      <c r="D324" s="5" t="inlineStr">
        <is>
          <t>Sosyal Radar</t>
        </is>
      </c>
      <c r="E324" s="5" t="inlineStr">
        <is>
          <t>Kolay</t>
        </is>
      </c>
      <c r="F324" s="5" t="inlineStr"/>
      <c r="G324" s="6" t="inlineStr"/>
      <c r="H324" s="6" t="inlineStr">
        <is>
          <t>Doğru kişinin yanına oturdun. Silgi, ödev ve dedikodu artık ortak.</t>
        </is>
      </c>
      <c r="I324" s="6" t="inlineStr">
        <is>
          <t>Sıra arkadaşın ilk teneffüste simidini seninle böldü, ikinci gün ödevini. Hafta bitmeden teneffüsler sizin sıranın etrafında geçiyordu.</t>
        </is>
      </c>
      <c r="J324" s="6" t="inlineStr">
        <is>
          <t>Doğru kişinin yanına oturdun. Ertesi sabah öğretmen herkesi boy sırasına dizdi; arkadaşın öne, sen en arkaya.</t>
        </is>
      </c>
      <c r="K324" s="6" t="inlineStr">
        <is>
          <t>En havalı görünen sırayı seçtin. Yanındaki müdürün oğlu çıktı. Sınıf o gün senin yanında da fısıldamayı bıraktı; dört yıl boyunca dedikodunun en son ulaştığı sıra sizinkiydi.</t>
        </is>
      </c>
      <c r="L324" s="6" t="inlineStr"/>
      <c r="M324" s="5" t="inlineStr"/>
      <c r="N324" s="5" t="inlineStr"/>
      <c r="O324" s="6" t="inlineStr"/>
      <c r="P324" s="6" t="inlineStr"/>
      <c r="Q324" s="5" t="inlineStr"/>
      <c r="R324" s="5" t="inlineStr"/>
      <c r="S324" s="5" t="inlineStr">
        <is>
          <t>Sosyal Radar</t>
        </is>
      </c>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c r="AI324" s="5" t="inlineStr"/>
      <c r="AJ324" s="5" t="inlineStr"/>
    </row>
    <row r="325">
      <c r="A325" s="5" t="inlineStr">
        <is>
          <t>b5-sac-devrimi</t>
        </is>
      </c>
      <c r="B325" s="5" t="n">
        <v>1</v>
      </c>
      <c r="C325" s="6" t="inlineStr">
        <is>
          <t>Her zamanki gibi kestir</t>
        </is>
      </c>
      <c r="D325" s="5" t="inlineStr"/>
      <c r="E325" s="5" t="inlineStr"/>
      <c r="F325" s="5" t="inlineStr">
        <is>
          <t>Dayanıklılık +1</t>
        </is>
      </c>
      <c r="G325" s="6" t="inlineStr">
        <is>
          <t>Berber “Her zamanki gibi mi?” dedi, başını salladın; fotoğraf cebinde kaldı. Akşam annen “Ne güzel olmuş, tertemiz” dedi. On beş yaşında duyulabilecek en kötü iltifat buydu.</t>
        </is>
      </c>
      <c r="H325" s="6" t="inlineStr"/>
      <c r="I325" s="6" t="inlineStr"/>
      <c r="J325" s="6" t="inlineStr"/>
      <c r="K325" s="6" t="inlineStr"/>
      <c r="L325" s="6" t="inlineStr"/>
      <c r="M325" s="5" t="inlineStr"/>
      <c r="N325" s="5" t="inlineStr"/>
      <c r="O325" s="6" t="inlineStr"/>
      <c r="P325" s="6" t="inlineStr"/>
      <c r="Q325" s="5" t="inlineStr"/>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c r="AI325" s="5" t="inlineStr"/>
      <c r="AJ325" s="5" t="inlineStr"/>
    </row>
    <row r="326">
      <c r="A326" s="5" t="inlineStr">
        <is>
          <t>b5-sac-devrimi</t>
        </is>
      </c>
      <c r="B326" s="5" t="n">
        <v>2</v>
      </c>
      <c r="C326" s="6" t="inlineStr">
        <is>
          <t>Fotoğraftakini iste</t>
        </is>
      </c>
      <c r="D326" s="5" t="inlineStr">
        <is>
          <t>Pişkinlik</t>
        </is>
      </c>
      <c r="E326" s="5" t="inlineStr">
        <is>
          <t>Zor</t>
        </is>
      </c>
      <c r="F326" s="5" t="inlineStr"/>
      <c r="G326" s="6" t="inlineStr"/>
      <c r="H326" s="6" t="inlineStr">
        <is>
          <t>Fotoğraftaki olmadı ama yakıştı. Annen “Kim kesti bunu?” diye sordu; ilk kez kızgın değil, meraklıydı.</t>
        </is>
      </c>
      <c r="I326" s="6" t="inlineStr">
        <is>
          <t>Saçın koridorda akım başlattı. Berbere artık 'o öğrencinin saçı' diye sipariş geliyor.</t>
        </is>
      </c>
      <c r="J326" s="6" t="inlineStr">
        <is>
          <t>Sonuç fotoğrafa benzemedi; babanın gençlik fotoğrafına benzedi. Baban albümü çıkarıp herkese gösterdi, çok mutluydu. Bir tek o.</t>
        </is>
      </c>
      <c r="K326" s="6" t="inlineStr">
        <is>
          <t>Berber “Biraz alalım” dedi ve makineyi açtı. Biraz, sıfır numaraymış. Akşam babaannen kapıyı açtı, gözlüğünü taktı, bir daha baktı: “Bu çocuğu kim bu hâle getirdi?”</t>
        </is>
      </c>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c r="AI326" s="5" t="inlineStr"/>
      <c r="AJ326" s="5" t="inlineStr"/>
    </row>
    <row r="327">
      <c r="A327" s="5" t="inlineStr">
        <is>
          <t>b5-sac-devrimi</t>
        </is>
      </c>
      <c r="B327" s="5" t="n">
        <v>3</v>
      </c>
      <c r="C327" s="6" t="inlineStr">
        <is>
          <t>Evde kendin kes</t>
        </is>
      </c>
      <c r="D327" s="5" t="inlineStr">
        <is>
          <t>Cesaret</t>
        </is>
      </c>
      <c r="E327" s="5" t="inlineStr">
        <is>
          <t>Orta</t>
        </is>
      </c>
      <c r="F327" s="5" t="inlineStr"/>
      <c r="G327" s="6" t="inlineStr"/>
      <c r="H327" s="6" t="inlineStr">
        <is>
          <t>Kendin kestin. Sonuç cesur ve simetrik değil. Ama cesur.</t>
        </is>
      </c>
      <c r="I327" s="6" t="inlineStr">
        <is>
          <t>Kimse berbere gitmediğini anlamadı. Berber bile sordu: “Nerede kestirdin, kim bu usta?”</t>
        </is>
      </c>
      <c r="J327" s="6" t="inlineStr">
        <is>
          <t>Kendin kestin. Sağ taraf, sol taraftan bir hafta ileride.</t>
        </is>
      </c>
      <c r="K327" s="6" t="inlineStr">
        <is>
          <t>Arka tarafı aynasız kestin; ensen merdivene döndü. Annen sabah ilk iş seni berbere götürdü. Berber uzun uzun sustu, sonra makineyi en kısaya aldı.</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c r="AI327" s="5" t="inlineStr"/>
      <c r="AJ327" s="5" t="inlineStr"/>
    </row>
    <row r="328">
      <c r="A328" s="5" t="inlineStr">
        <is>
          <t>b5-sac-devrimi</t>
        </is>
      </c>
      <c r="B328" s="5" t="n">
        <v>4</v>
      </c>
      <c r="C328" s="6" t="inlineStr">
        <is>
          <t>Sonucu 'bilerek yaptım' diye sahiplen</t>
        </is>
      </c>
      <c r="D328" s="5" t="inlineStr">
        <is>
          <t>Pişkinlik</t>
        </is>
      </c>
      <c r="E328" s="5" t="inlineStr">
        <is>
          <t>Kolay</t>
        </is>
      </c>
      <c r="F328" s="5" t="inlineStr"/>
      <c r="G328" s="6" t="inlineStr"/>
      <c r="H328" s="6" t="inlineStr">
        <is>
          <t>Saç kötü oldu, sen 'bilerek yaptım' dedin. Herkes inandı.</t>
        </is>
      </c>
      <c r="I328" s="6" t="inlineStr">
        <is>
          <t>“Bu bir tarz” dedin. İkinci hafta sınıfta üç kişi aynı yamuk kesimle geldi; berber hâlâ ne istediklerini anlamıyor.</t>
        </is>
      </c>
      <c r="J328" s="6" t="inlineStr">
        <is>
          <t>'Bilerek yaptım' dedin. Kimse sormamıştı.</t>
        </is>
      </c>
      <c r="K328" s="6" t="inlineStr">
        <is>
          <t>'Bilerek yaptım' dedin. Berber yan koltuktan 'Hayır' dedi.</t>
        </is>
      </c>
      <c r="L328" s="6" t="inlineStr"/>
      <c r="M328" s="5" t="inlineStr"/>
      <c r="N328" s="5" t="inlineStr"/>
      <c r="O328" s="6" t="inlineStr"/>
      <c r="P328" s="6" t="inlineStr"/>
      <c r="Q328" s="5" t="inlineStr">
        <is>
          <t>Kendine Gülebilir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c r="AI328" s="5" t="inlineStr"/>
      <c r="AJ328" s="5" t="inlineStr"/>
    </row>
    <row r="329">
      <c r="A329" s="5" t="inlineStr">
        <is>
          <t>b5-kulup-secimi</t>
        </is>
      </c>
      <c r="B329" s="5" t="n">
        <v>1</v>
      </c>
      <c r="C329" s="6" t="inlineStr">
        <is>
          <t>Formu vermeyi unut</t>
        </is>
      </c>
      <c r="D329" s="5" t="inlineStr"/>
      <c r="E329" s="5" t="inlineStr"/>
      <c r="F329" s="5" t="inlineStr">
        <is>
          <t>Dayanıklılık +1</t>
        </is>
      </c>
      <c r="G329" s="6" t="inlineStr">
        <is>
          <t>Formu vermeyi unuttun. Rehber öğretmen boşta kalanları Çevre ve Geri Dönüşüm Kulübü'ne yazdı. Dört yıl teneffüslerde kâğıt topladın; annen evdeki eski gazeteleri artık sana saklıyor.</t>
        </is>
      </c>
      <c r="H329" s="6" t="inlineStr"/>
      <c r="I329" s="6" t="inlineStr"/>
      <c r="J329" s="6" t="inlineStr"/>
      <c r="K329" s="6" t="inlineStr"/>
      <c r="L329" s="6" t="inlineStr"/>
      <c r="M329" s="5" t="inlineStr"/>
      <c r="N329" s="5" t="inlineStr"/>
      <c r="O329" s="6" t="inlineStr"/>
      <c r="P329" s="6" t="inlineStr"/>
      <c r="Q329" s="5" t="inlineStr"/>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c r="AI329" s="5" t="inlineStr"/>
      <c r="AJ329" s="5" t="inlineStr"/>
    </row>
    <row r="330">
      <c r="A330" s="5" t="inlineStr">
        <is>
          <t>b5-kulup-secimi</t>
        </is>
      </c>
      <c r="B330" s="5" t="n">
        <v>2</v>
      </c>
      <c r="C330" s="6" t="inlineStr">
        <is>
          <t>Münazaraya yazıl</t>
        </is>
      </c>
      <c r="D330" s="5" t="inlineStr">
        <is>
          <t>Çene</t>
        </is>
      </c>
      <c r="E330" s="5" t="inlineStr">
        <is>
          <t>Orta</t>
        </is>
      </c>
      <c r="F330" s="5" t="inlineStr"/>
      <c r="G330" s="6" t="inlineStr"/>
      <c r="H330" s="6" t="inlineStr">
        <is>
          <t>İlk münazarada rakibini ikna ettin. Rakibin hâlâ neye ikna olduğunu bilmiyor.</t>
        </is>
      </c>
      <c r="I330" s="6" t="inlineStr">
        <is>
          <t>Taraflar kurayla değişti, yine kazandın. Akşam bulaşık sırası tartışmasında annen durup babana döndü: “Bunu o kulübe kim yazdırdı?”</t>
        </is>
      </c>
      <c r="J330" s="6" t="inlineStr">
        <is>
          <t>İlk münazarada rakibin tek kelime söyledi: 'Kaynak?' Kaynağın yoktu.</t>
        </is>
      </c>
      <c r="K330" s="6" t="inlineStr">
        <is>
          <t>Münazarada heyecandan rakip takımın tezini savundun. Çok ikna ediciydin.</t>
        </is>
      </c>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c r="AI330" s="5" t="inlineStr"/>
      <c r="AJ330" s="5" t="inlineStr"/>
    </row>
    <row r="331">
      <c r="A331" s="5" t="inlineStr">
        <is>
          <t>b5-kulup-secimi</t>
        </is>
      </c>
      <c r="B331" s="5" t="n">
        <v>3</v>
      </c>
      <c r="C331" s="6" t="inlineStr">
        <is>
          <t>Tiyatro kulübüne gir</t>
        </is>
      </c>
      <c r="D331" s="5" t="inlineStr">
        <is>
          <t>Pişkinlik</t>
        </is>
      </c>
      <c r="E331" s="5" t="inlineStr">
        <is>
          <t>Kolay</t>
        </is>
      </c>
      <c r="F331" s="5" t="inlineStr"/>
      <c r="G331" s="6" t="inlineStr"/>
      <c r="H331" s="6" t="inlineStr">
        <is>
          <t>Başrolü aldın. Gösteri günü veliler ayağa kalktı; biri sadece çıkmak için.</t>
        </is>
      </c>
      <c r="I331" s="6" t="inlineStr">
        <is>
          <t>Gösteriden sonra bir öğretmen annene “Bu çocuk ileride bir şey olur” dedi. Annen “Ne olur?” diye sordu. Öğretmen biraz düşündü: “Bir şey işte.”</t>
        </is>
      </c>
      <c r="J331" s="6" t="inlineStr">
        <is>
          <t>Rolün 'Ağaç 2'. Repliğin yok ama iyi bir ağaçtın.</t>
        </is>
      </c>
      <c r="K331" s="6" t="inlineStr">
        <is>
          <t>Rolün 'Ağaç 2'. Gösterinin en duygusal anında ağaç olarak hapşırdın. Başrol repliğini unuttu, ön sıradaki bir dede “Çok yaşa!” dedi. Salon hâlâ hatırlıyor.</t>
        </is>
      </c>
      <c r="L331" s="6" t="inlineStr"/>
      <c r="M331" s="5" t="inlineStr"/>
      <c r="N331" s="5" t="inlineStr"/>
      <c r="O331" s="6" t="inlineStr"/>
      <c r="P331" s="6" t="inlineStr"/>
      <c r="Q331" s="5" t="inlineStr">
        <is>
          <t>Sahne Sever</t>
        </is>
      </c>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c r="AI331" s="5" t="inlineStr">
        <is>
          <t>Hapşıran Ağaç</t>
        </is>
      </c>
      <c r="AJ331" s="5" t="inlineStr"/>
    </row>
    <row r="332">
      <c r="A332" s="5" t="inlineStr">
        <is>
          <t>b5-kulup-secimi</t>
        </is>
      </c>
      <c r="B332" s="5" t="n">
        <v>4</v>
      </c>
      <c r="C332" s="6" t="inlineStr">
        <is>
          <t>Kendi kulübünü kur</t>
        </is>
      </c>
      <c r="D332" s="5" t="inlineStr">
        <is>
          <t>Çene</t>
        </is>
      </c>
      <c r="E332" s="5" t="inlineStr">
        <is>
          <t>Orta</t>
        </is>
      </c>
      <c r="F332" s="5" t="inlineStr"/>
      <c r="G332" s="6" t="inlineStr"/>
      <c r="H332" s="6" t="inlineStr">
        <is>
          <t>Kantin Ekonomisi Kulübü'nü kurdun. Üç üye, bir başkan, sınırsız tost.</t>
        </is>
      </c>
      <c r="I332" s="6" t="inlineStr">
        <is>
          <t>Kulübün ikinci dönem okulun en kalabalık kulübü oldu. Satranç kulübünün iki üyesi sana geçti. Satranç kulübünün iki üyesi vardı.</t>
        </is>
      </c>
      <c r="J332" s="6" t="inlineStr">
        <is>
          <t>Kulübü kurdun. Tek üye sensin. Toplantılar hep oy birliğiyle bitiyor.</t>
        </is>
      </c>
      <c r="K332" s="6" t="inlineStr">
        <is>
          <t>Kulübü kurdun; ilk buluşmada kantinin tost makinesini yaktın. Kantin bir hafta kapalı kaldı. Bütün okul aç ve hepsi seni tanıyor.</t>
        </is>
      </c>
      <c r="L332" s="6" t="inlineStr"/>
      <c r="M332" s="5" t="inlineStr"/>
      <c r="N332" s="5" t="inlineStr"/>
      <c r="O332" s="6" t="inlineStr"/>
      <c r="P332" s="6" t="inlineStr"/>
      <c r="Q332" s="5" t="inlineStr">
        <is>
          <t>Kuralı Koyan</t>
        </is>
      </c>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c r="AI332" s="5" t="inlineStr"/>
      <c r="AJ332" s="5" t="inlineStr"/>
    </row>
    <row r="333">
      <c r="A333" s="5" t="inlineStr">
        <is>
          <t>b5-dershane-kaydi</t>
        </is>
      </c>
      <c r="B333" s="5" t="n">
        <v>1</v>
      </c>
      <c r="C333" s="6" t="inlineStr">
        <is>
          <t>Önerilen paketi imzala</t>
        </is>
      </c>
      <c r="D333" s="5" t="inlineStr"/>
      <c r="E333" s="5" t="inlineStr"/>
      <c r="F333" s="5" t="inlineStr">
        <is>
          <t>Akıl +1</t>
        </is>
      </c>
      <c r="G333" s="6" t="inlineStr">
        <is>
          <t>En kapsamlı paket imzalandı: denemeler, ek dersler, hafta sonu etütleri. Baban imzayı atarken iki kez yutkundu. Hediye kalemi sana verdiler; yazmıyordu.</t>
        </is>
      </c>
      <c r="H333" s="6" t="inlineStr"/>
      <c r="I333" s="6" t="inlineStr"/>
      <c r="J333" s="6" t="inlineStr"/>
      <c r="K333" s="6" t="inlineStr"/>
      <c r="L333" s="6" t="inlineStr"/>
      <c r="M333" s="5" t="inlineStr"/>
      <c r="N333" s="5" t="inlineStr"/>
      <c r="O333" s="6" t="inlineStr"/>
      <c r="P333" s="6" t="inlineStr"/>
      <c r="Q333" s="5" t="inlineStr"/>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c r="AI333" s="5" t="inlineStr"/>
      <c r="AJ333" s="5" t="inlineStr"/>
    </row>
    <row r="334">
      <c r="A334" s="5" t="inlineStr">
        <is>
          <t>b5-dershane-kaydi</t>
        </is>
      </c>
      <c r="B334" s="5" t="n">
        <v>2</v>
      </c>
      <c r="C334" s="6" t="inlineStr">
        <is>
          <t>İndirim koparmaya çalış</t>
        </is>
      </c>
      <c r="D334" s="5" t="inlineStr">
        <is>
          <t>Çene</t>
        </is>
      </c>
      <c r="E334" s="5" t="inlineStr">
        <is>
          <t>Orta</t>
        </is>
      </c>
      <c r="F334" s="5" t="inlineStr"/>
      <c r="G334" s="6" t="inlineStr"/>
      <c r="H334" s="6" t="inlineStr">
        <is>
          <t>İndirimi aldın. Danışman müdürü aradı, müdür 'bir kereliğine' dedi. Her kayıtta bir kereliğine diyor.</t>
        </is>
      </c>
      <c r="I334" s="6" t="inlineStr">
        <is>
          <t>Kardeş indirimi, erken kayıt indirimi ve komşu tavsiyesi indirimini birleştirdin. Kardeşin yok.</t>
        </is>
      </c>
      <c r="J334" s="6" t="inlineStr">
        <is>
          <t>İndirim istedin. Danışman 'Kalemi hediye edebiliriz' dedi.</t>
        </is>
      </c>
      <c r="K334" s="6" t="inlineStr">
        <is>
          <t>Pazarlık uzadı. Danışman “Madem bu kadar istekli, hafta sonu grubuna da yazalım” dedi; baban imzaladı. Cumartesilerin gitti.</t>
        </is>
      </c>
      <c r="L334" s="6" t="inlineStr">
        <is>
          <t>Küçük bir indirim kopardın. Karşılığında hediye kalemden vazgeçtin.</t>
        </is>
      </c>
      <c r="M334" s="5" t="inlineStr">
        <is>
          <t>duel</t>
        </is>
      </c>
      <c r="N334" s="5" t="inlineStr">
        <is>
          <t>Kayıt Masası Pazarlığı</t>
        </is>
      </c>
      <c r="O334" s="6" t="inlineStr">
        <is>
          <t>Karşındakinin sabrı bitmeden en iyi cevabı seç.</t>
        </is>
      </c>
      <c r="P334" s="6" t="inlineStr">
        <is>
          <t>{"who": "Danışman", "item": "dershane kaydı", "mode": "buy"}</t>
        </is>
      </c>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c r="AI334" s="5" t="inlineStr"/>
      <c r="AJ334" s="5" t="inlineStr"/>
    </row>
    <row r="335">
      <c r="A335" s="5" t="inlineStr">
        <is>
          <t>b5-dershane-kaydi</t>
        </is>
      </c>
      <c r="B335" s="5" t="n">
        <v>3</v>
      </c>
      <c r="C335" s="6" t="inlineStr">
        <is>
          <t>'Ben evde çalışırım' de</t>
        </is>
      </c>
      <c r="D335" s="5" t="inlineStr">
        <is>
          <t>Pişkinlik</t>
        </is>
      </c>
      <c r="E335" s="5" t="inlineStr">
        <is>
          <t>Zor</t>
        </is>
      </c>
      <c r="F335" s="5" t="inlineStr"/>
      <c r="G335" s="6" t="inlineStr"/>
      <c r="H335" s="6" t="inlineStr">
        <is>
          <t>Aileni ikna ettin. Artık her akşam yemekten sonra baban kapını aralıyor: “Çalışıyor musun?” Çalışıyorsun. Genelde.</t>
        </is>
      </c>
      <c r="I335" s="6" t="inlineStr">
        <is>
          <t>Aileni ikna ettin. Evin en sessiz odası sana verildi, misafir yatağı salona taşındı. Annen yine de iki saatte bir meyve tabağıyla giriyor.</t>
        </is>
      </c>
      <c r="J335" s="6" t="inlineStr">
        <is>
          <t>“Evde çalışırım” dedin. Annen babana baktı, baban annene. İkisi aynı anda güldü.</t>
        </is>
      </c>
      <c r="K335" s="6" t="inlineStr">
        <is>
          <t>“Evde çalışırım” dedin. Baban bunu meydan okuma saydı ve seni hem dershaneye hem akşam etüdüne yazdırdı: “Evde de çalışırsın.”</t>
        </is>
      </c>
      <c r="L335" s="6" t="inlineStr"/>
      <c r="M335" s="5" t="inlineStr"/>
      <c r="N335" s="5" t="inlineStr"/>
      <c r="O335" s="6" t="inlineStr"/>
      <c r="P335" s="6" t="inlineStr"/>
      <c r="Q335" s="5" t="inlineStr"/>
      <c r="R335" s="5" t="inlineStr"/>
      <c r="S335" s="5" t="inlineStr"/>
      <c r="T335" s="5" t="inlineStr"/>
      <c r="U335" s="5" t="inlineStr"/>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c r="AI335" s="5" t="inlineStr"/>
      <c r="AJ335" s="5" t="inlineStr"/>
    </row>
    <row r="336">
      <c r="A336" s="5" t="inlineStr">
        <is>
          <t>b5-dershane-kaydi</t>
        </is>
      </c>
      <c r="B336" s="5" t="n">
        <v>4</v>
      </c>
      <c r="C336" s="6" t="inlineStr">
        <is>
          <t>Maliyet-fayda tablosu sun</t>
        </is>
      </c>
      <c r="D336" s="5" t="inlineStr">
        <is>
          <t>Akıl</t>
        </is>
      </c>
      <c r="E336" s="5" t="inlineStr">
        <is>
          <t>Kolay</t>
        </is>
      </c>
      <c r="F336" s="5" t="inlineStr"/>
      <c r="G336" s="6" t="inlineStr"/>
      <c r="H336" s="6" t="inlineStr">
        <is>
          <t>Baban tablonu gözlüğünü takıp iki kez okudu: “Aferin, mantıklı.” Yine de yazdırıldın, ama taksitle. Taksit planını senin tablonla yaptı.</t>
        </is>
      </c>
      <c r="I336" s="6" t="inlineStr">
        <is>
          <t>Tablon sayesinde çevrim içi kursa geçildi. Artan para senin adına ayrıldı. Hesap annende.</t>
        </is>
      </c>
      <c r="J336" s="6" t="inlineStr">
        <is>
          <t>Tabloyu sofrada açtın. Baban gözlüğünü taktı, okudu, katladı: “Bunları dershanede öğrenirsin.”</t>
        </is>
      </c>
      <c r="K336" s="6" t="inlineStr">
        <is>
          <t>Tablonun son satırında dershane kârlı çıktı. Baban tabloyu buzdolabına astı, altına “Kendi hesabı” yazdı. Kayıt ertesi sabah yapıldı.</t>
        </is>
      </c>
      <c r="L336" s="6" t="inlineStr"/>
      <c r="M336" s="5" t="inlineStr"/>
      <c r="N336" s="5" t="inlineStr"/>
      <c r="O336" s="6" t="inlineStr"/>
      <c r="P336" s="6" t="inlineStr"/>
      <c r="Q336" s="5" t="inlineStr">
        <is>
          <t>Kumbara Çocuğu</t>
        </is>
      </c>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c r="AI336" s="5" t="inlineStr"/>
      <c r="AJ336" s="5" t="inlineStr"/>
    </row>
    <row r="337">
      <c r="A337" s="5" t="inlineStr">
        <is>
          <t>b5-sigara-teklifi</t>
        </is>
      </c>
      <c r="B337" s="5" t="n">
        <v>1</v>
      </c>
      <c r="C337" s="6" t="inlineStr">
        <is>
          <t>'Yok' de, yürü</t>
        </is>
      </c>
      <c r="D337" s="5" t="inlineStr"/>
      <c r="E337" s="5" t="inlineStr"/>
      <c r="F337" s="5" t="inlineStr">
        <is>
          <t>Cesaret +1</t>
        </is>
      </c>
      <c r="G337" s="6" t="inlineStr">
        <is>
          <t>“Yok” dedin ve yürüdün. Arkandan biri “Ana kuzusu!” diye seslendi; dönmedin. Merdivende o çocuk seni öksürmekten geçemedi.</t>
        </is>
      </c>
      <c r="H337" s="6" t="inlineStr"/>
      <c r="I337" s="6" t="inlineStr"/>
      <c r="J337" s="6" t="inlineStr"/>
      <c r="K337" s="6" t="inlineStr"/>
      <c r="L337" s="6" t="inlineStr"/>
      <c r="M337" s="5" t="inlineStr"/>
      <c r="N337" s="5" t="inlineStr"/>
      <c r="O337" s="6" t="inlineStr"/>
      <c r="P337" s="6" t="inlineStr"/>
      <c r="Q337" s="5" t="inlineStr"/>
      <c r="R337" s="5" t="inlineStr"/>
      <c r="S337" s="5" t="inlineStr"/>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c r="AI337" s="5" t="inlineStr"/>
      <c r="AJ337" s="5" t="inlineStr"/>
    </row>
    <row r="338">
      <c r="A338" s="5" t="inlineStr">
        <is>
          <t>b5-sigara-teklifi</t>
        </is>
      </c>
      <c r="B338" s="5" t="n">
        <v>2</v>
      </c>
      <c r="C338" s="6" t="inlineStr">
        <is>
          <t>Al</t>
        </is>
      </c>
      <c r="D338" s="5" t="inlineStr"/>
      <c r="E338" s="5" t="inlineStr"/>
      <c r="F338" s="5" t="inlineStr">
        <is>
          <t>Pişkinlik +1</t>
        </is>
      </c>
      <c r="G338" s="6" t="inlineStr">
        <is>
          <t>Aldın ve öksürdün. Herkes görmemiş gibi yaptı. Akşam annen montunu kokladı ve hiçbir şey demedi; o sessizlik öksürükten uzun sürdü.</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is>
          <t>sigara</t>
        </is>
      </c>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c r="AI338" s="5" t="inlineStr"/>
      <c r="AJ338" s="5" t="inlineStr"/>
    </row>
    <row r="339">
      <c r="A339" s="5" t="inlineStr">
        <is>
          <t>b5-sigara-teklifi</t>
        </is>
      </c>
      <c r="B339" s="5" t="n">
        <v>3</v>
      </c>
      <c r="C339" s="6" t="inlineStr">
        <is>
          <t>Esprili bir bahane bul</t>
        </is>
      </c>
      <c r="D339" s="5" t="inlineStr">
        <is>
          <t>Çene</t>
        </is>
      </c>
      <c r="E339" s="5" t="inlineStr">
        <is>
          <t>Orta</t>
        </is>
      </c>
      <c r="F339" s="5" t="inlineStr"/>
      <c r="G339" s="6" t="inlineStr"/>
      <c r="H339" s="6" t="inlineStr">
        <is>
          <t>'Nefesimi sınava saklıyorum' dedin. Güldüler, paket cebe geri girdi.</t>
        </is>
      </c>
      <c r="I339" s="6" t="inlineStr">
        <is>
          <t>Bahanen o kadar iyiydi ki gruptan ikisi de bıraktı. Duvarın dibi yarı yarıya boşaldı.</t>
        </is>
      </c>
      <c r="J339" s="6" t="inlineStr">
        <is>
          <t>Bahaneni söyledin; kimse dinlemedi. Paket elden ele dolaştı, sana gelmeden zil çaldı.</t>
        </is>
      </c>
      <c r="K339" s="6" t="inlineStr">
        <is>
          <t>“Annem kokuyu alır” dedin. Kimse gülmedi; biri cümleyi gruba yazdı. Ertesi sabah koridorda herkes seni bu cümleyle selamladı.</t>
        </is>
      </c>
      <c r="L339" s="6" t="inlineStr"/>
      <c r="M339" s="5" t="inlineStr"/>
      <c r="N339" s="5" t="inlineStr"/>
      <c r="O339" s="6" t="inlineStr"/>
      <c r="P339" s="6" t="inlineStr"/>
      <c r="Q339" s="5" t="inlineStr"/>
      <c r="R339" s="5" t="inlineStr"/>
      <c r="S339" s="5" t="inlineStr"/>
      <c r="T339" s="5" t="inlineStr"/>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c r="AI339" s="5" t="inlineStr">
        <is>
          <t>Annem Kokuyu Alır</t>
        </is>
      </c>
      <c r="AJ339" s="5" t="inlineStr"/>
    </row>
    <row r="340">
      <c r="A340" s="5" t="inlineStr">
        <is>
          <t>b5-sigara-teklifi</t>
        </is>
      </c>
      <c r="B340" s="5" t="n">
        <v>4</v>
      </c>
      <c r="C340" s="6" t="inlineStr">
        <is>
          <t>Konuyu değiştir</t>
        </is>
      </c>
      <c r="D340" s="5" t="inlineStr">
        <is>
          <t>Sosyal Radar</t>
        </is>
      </c>
      <c r="E340" s="5" t="inlineStr">
        <is>
          <t>Kolay</t>
        </is>
      </c>
      <c r="F340" s="5" t="inlineStr"/>
      <c r="G340" s="6" t="inlineStr"/>
      <c r="H340" s="6" t="inlineStr">
        <is>
          <t>'Dünkü maç kaç kaç bitti?' diye sordun. On dakika tartışıldı, paket unutuldu.</t>
        </is>
      </c>
      <c r="I340" s="6" t="inlineStr">
        <is>
          <t>Konuyu değiştirdin; grup duvar dibinden kantine taşındı. Tost daha iyi bir alışkanlıktı.</t>
        </is>
      </c>
      <c r="J340" s="6" t="inlineStr">
        <is>
          <t>Konuyu değiştirdin. Paket yine sana uzatıldı. Konu değişmedi.</t>
        </is>
      </c>
      <c r="K340" s="6" t="inlineStr">
        <is>
          <t>Konuyu değiştirmek için “Müdür yardımcısı geliyor!” dedin. Geldi. Ertesi sabah bütün velilerin önünde seni övdü: “Bu çocuk içmiyordu, haber veriyordu.” Duvarın dibi seninle bir daha konuşmadı.</t>
        </is>
      </c>
      <c r="L340" s="6" t="inlineStr"/>
      <c r="M340" s="5" t="inlineStr"/>
      <c r="N340" s="5" t="inlineStr"/>
      <c r="O340" s="6" t="inlineStr"/>
      <c r="P340" s="6" t="inlineStr"/>
      <c r="Q340" s="5" t="inlineStr"/>
      <c r="R340" s="5" t="inlineStr"/>
      <c r="S340" s="5" t="inlineStr">
        <is>
          <t>Sosyal Radar</t>
        </is>
      </c>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c r="AI340" s="5" t="inlineStr"/>
      <c r="AJ340" s="5" t="inlineStr"/>
    </row>
    <row r="341">
      <c r="A341" s="5" t="inlineStr">
        <is>
          <t>b5-mesaj-grubu</t>
        </is>
      </c>
      <c r="B341" s="5" t="n">
        <v>1</v>
      </c>
      <c r="C341" s="6" t="inlineStr">
        <is>
          <t>Hiçbir şey olmamış gibi davran</t>
        </is>
      </c>
      <c r="D341" s="5" t="inlineStr"/>
      <c r="E341" s="5" t="inlineStr"/>
      <c r="F341" s="5" t="inlineStr">
        <is>
          <t>Dayanıklılık +1</t>
        </is>
      </c>
      <c r="G341" s="6" t="inlineStr">
        <is>
          <t>Hiçbir şey demedin. Bir ay sonra seni asıl gruba eklediler. Aynı gün grubu sen sessize aldın.</t>
        </is>
      </c>
      <c r="H341" s="6" t="inlineStr"/>
      <c r="I341" s="6" t="inlineStr"/>
      <c r="J341" s="6" t="inlineStr"/>
      <c r="K341" s="6" t="inlineStr"/>
      <c r="L341" s="6" t="inlineStr"/>
      <c r="M341" s="5" t="inlineStr"/>
      <c r="N341" s="5" t="inlineStr"/>
      <c r="O341" s="6" t="inlineStr"/>
      <c r="P341" s="6" t="inlineStr"/>
      <c r="Q341" s="5" t="inlineStr"/>
      <c r="R341" s="5" t="inlineStr"/>
      <c r="S341" s="5" t="inlineStr"/>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c r="AI341" s="5" t="inlineStr"/>
      <c r="AJ341" s="5" t="inlineStr"/>
    </row>
    <row r="342">
      <c r="A342" s="5" t="inlineStr">
        <is>
          <t>b5-mesaj-grubu</t>
        </is>
      </c>
      <c r="B342" s="5" t="n">
        <v>2</v>
      </c>
      <c r="C342" s="6" t="inlineStr">
        <is>
          <t>Kendi grubunu kur</t>
        </is>
      </c>
      <c r="D342" s="5" t="inlineStr">
        <is>
          <t>Sosyal Radar</t>
        </is>
      </c>
      <c r="E342" s="5" t="inlineStr">
        <is>
          <t>Zor</t>
        </is>
      </c>
      <c r="F342" s="5" t="inlineStr"/>
      <c r="G342" s="6" t="inlineStr"/>
      <c r="H342" s="6" t="inlineStr">
        <is>
          <t>Kendi grubunu kurdun. Asıl grubun yarısı sana geçti.</t>
        </is>
      </c>
      <c r="I342" s="6" t="inlineStr">
        <is>
          <t>Grubun sınıfın yeni asıl grubu oldu. Bir hafta sonra eski asıl grubun kurucusu sana yazdı: “Beni de ekler misin?”</t>
        </is>
      </c>
      <c r="J342" s="6" t="inlineStr">
        <is>
          <t>Grubu kurdun. İki kişi katıldı, biri yanlışlıkla.</t>
        </is>
      </c>
      <c r="K342" s="6" t="inlineStr">
        <is>
          <t>Yeni grubun ilk mesajı asıl gruptaki biri hakkındaydı. Grubu kurarken onu da eklemiştin. Mesajın altında tek bir cevap belirdi: “Ben de buradayım.”</t>
        </is>
      </c>
      <c r="L342" s="6" t="inlineStr"/>
      <c r="M342" s="5" t="inlineStr"/>
      <c r="N342" s="5" t="inlineStr"/>
      <c r="O342" s="6" t="inlineStr"/>
      <c r="P342" s="6" t="inlineStr"/>
      <c r="Q342" s="5" t="inlineStr"/>
      <c r="R342" s="5" t="inlineStr"/>
      <c r="S342" s="5" t="inlineStr"/>
      <c r="T342" s="5" t="inlineStr">
        <is>
          <t>Grup Yöneticisi</t>
        </is>
      </c>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c r="AI342" s="5" t="inlineStr"/>
      <c r="AJ342" s="5" t="inlineStr"/>
    </row>
    <row r="343">
      <c r="A343" s="5" t="inlineStr">
        <is>
          <t>b5-mesaj-grubu</t>
        </is>
      </c>
      <c r="B343" s="5" t="n">
        <v>3</v>
      </c>
      <c r="C343" s="6" t="inlineStr">
        <is>
          <t>Birinden ekran görüntüsü iste</t>
        </is>
      </c>
      <c r="D343" s="5" t="inlineStr">
        <is>
          <t>Kurnazlık</t>
        </is>
      </c>
      <c r="E343" s="5" t="inlineStr">
        <is>
          <t>Orta</t>
        </is>
      </c>
      <c r="F343" s="5" t="inlineStr"/>
      <c r="G343" s="6" t="inlineStr"/>
      <c r="H343" s="6" t="inlineStr">
        <is>
          <t>Görüntüleri aldın. Asıl grupta iki haftadır konuşulan tek şey: “Ödev ne?” Kimse bilmiyordu. Sen biliyordun ama içeride değildin.</t>
        </is>
      </c>
      <c r="I343" s="6" t="inlineStr">
        <is>
          <t>Asıl gruptan biri her akşam sana ekran görüntüsü atıyor; karşılığında matematik ödevini istiyor. Asıl gruptakilerden önce sen haberdar oluyorsun.</t>
        </is>
      </c>
      <c r="J343" s="6" t="inlineStr">
        <is>
          <t>Görüntü istediğin kişi 'Hangi grup?' dedi. O da yokmuş.</t>
        </is>
      </c>
      <c r="K343" s="6" t="inlineStr">
        <is>
          <t>Ekran görüntüsü talebini yanlışlıkla asıl grubun kendisine gönderdin. Artık orada konuşuluyorsun.</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c r="AI343" s="5" t="inlineStr"/>
      <c r="AJ343" s="5" t="inlineStr"/>
    </row>
    <row r="344">
      <c r="A344" s="5" t="inlineStr">
        <is>
          <t>b5-mesaj-grubu</t>
        </is>
      </c>
      <c r="B344" s="5" t="n">
        <v>4</v>
      </c>
      <c r="C344" s="6" t="inlineStr">
        <is>
          <t>'Beni de ekleyin' yaz</t>
        </is>
      </c>
      <c r="D344" s="5" t="inlineStr">
        <is>
          <t>Pişkinlik</t>
        </is>
      </c>
      <c r="E344" s="5" t="inlineStr">
        <is>
          <t>Kolay</t>
        </is>
      </c>
      <c r="F344" s="5" t="inlineStr"/>
      <c r="G344" s="6" t="inlineStr"/>
      <c r="H344" s="6" t="inlineStr">
        <is>
          <t>Açıkça istedin, eklediler. Kimse zaten neden eklemediğini hatırlamıyordu.</t>
        </is>
      </c>
      <c r="I344" s="6" t="inlineStr">
        <is>
          <t>Eklendin. Bir hafta sonra yönetici sensin; seni eklemeyenleri şimdi sen ekliyorsun.</t>
        </is>
      </c>
      <c r="J344" s="6" t="inlineStr">
        <is>
          <t>Eklediler. Ertesi gün grubun adı 'Asıl Asıl Grup' oldu.</t>
        </is>
      </c>
      <c r="K344" s="6" t="inlineStr">
        <is>
          <t>'Beni de ekleyin' yazdın. Genel gruba. Bütün sınıf bir asıl grup olduğunu öğrendi.</t>
        </is>
      </c>
      <c r="L344" s="6" t="inlineStr"/>
      <c r="M344" s="5" t="inlineStr"/>
      <c r="N344" s="5" t="inlineStr"/>
      <c r="O344" s="6" t="inlineStr"/>
      <c r="P344" s="6" t="inlineStr"/>
      <c r="Q344" s="5" t="inlineStr"/>
      <c r="R344" s="5" t="inlineStr"/>
      <c r="S344" s="5" t="inlineStr">
        <is>
          <t>Pişkinlik</t>
        </is>
      </c>
      <c r="T344" s="5" t="inlineStr"/>
      <c r="U344" s="5" t="inlineStr"/>
      <c r="V344" s="5" t="inlineStr"/>
      <c r="W344" s="5" t="inlineStr"/>
      <c r="X344" s="5" t="inlineStr"/>
      <c r="Y344" s="5" t="inlineStr"/>
      <c r="Z344" s="6" t="inlineStr"/>
      <c r="AA344" s="5" t="inlineStr"/>
      <c r="AB344" s="5" t="inlineStr"/>
      <c r="AC344" s="5" t="inlineStr"/>
      <c r="AD344" s="5" t="inlineStr"/>
      <c r="AE344" s="5" t="inlineStr"/>
      <c r="AF344" s="5" t="inlineStr"/>
      <c r="AG344" s="5" t="inlineStr"/>
      <c r="AH344" s="5" t="inlineStr"/>
      <c r="AI344" s="5" t="inlineStr"/>
      <c r="AJ344" s="5" t="inlineStr"/>
    </row>
    <row r="345">
      <c r="A345" s="5" t="inlineStr">
        <is>
          <t>b5-kantin-vergisi</t>
        </is>
      </c>
      <c r="B345" s="5" t="n">
        <v>1</v>
      </c>
      <c r="C345" s="6" t="inlineStr">
        <is>
          <t>Öde</t>
        </is>
      </c>
      <c r="D345" s="5" t="inlineStr"/>
      <c r="E345" s="5" t="inlineStr"/>
      <c r="F345" s="5" t="inlineStr">
        <is>
          <t>Dayanıklılık +1</t>
        </is>
      </c>
      <c r="G345" s="6" t="inlineStr">
        <is>
          <t>Ödedin. Her pazartesi tost paran kapıda kalıyor. Kantinci “Zayıflamışsın” diyor; doğru.</t>
        </is>
      </c>
      <c r="H345" s="6" t="inlineStr"/>
      <c r="I345" s="6" t="inlineStr"/>
      <c r="J345" s="6" t="inlineStr"/>
      <c r="K345" s="6" t="inlineStr"/>
      <c r="L345" s="6" t="inlineStr"/>
      <c r="M345" s="5" t="inlineStr"/>
      <c r="N345" s="5" t="inlineStr"/>
      <c r="O345" s="6" t="inlineStr"/>
      <c r="P345" s="6" t="inlineStr"/>
      <c r="Q345" s="5" t="inlineStr"/>
      <c r="R345" s="5" t="inlineStr"/>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c r="AI345" s="5" t="inlineStr"/>
      <c r="AJ345" s="5" t="inlineStr"/>
    </row>
    <row r="346">
      <c r="A346" s="5" t="inlineStr">
        <is>
          <t>b5-kantin-vergisi</t>
        </is>
      </c>
      <c r="B346" s="5" t="n">
        <v>2</v>
      </c>
      <c r="C346" s="6" t="inlineStr">
        <is>
          <t>Arka kapıyı kullan</t>
        </is>
      </c>
      <c r="D346" s="5" t="inlineStr">
        <is>
          <t>Kurnazlık</t>
        </is>
      </c>
      <c r="E346" s="5" t="inlineStr">
        <is>
          <t>Kolay</t>
        </is>
      </c>
      <c r="F346" s="5" t="inlineStr"/>
      <c r="G346" s="6" t="inlineStr"/>
      <c r="H346" s="6" t="inlineStr">
        <is>
          <t>Arka kapıyı keşfettin. Yol iki dakika uzadı, tost bütçen korundu.</t>
        </is>
      </c>
      <c r="I346" s="6" t="inlineStr">
        <is>
          <t>Arka kapıyı buldun, sınıfa da gösterdin. Bir hafta sonra ön kapıda üç tahsildar ve tek bir müşteri kaldı: simitçi.</t>
        </is>
      </c>
      <c r="J346" s="6" t="inlineStr">
        <is>
          <t>Arka kapıyı buldun. Onlar da buldu. Arka kapı tarifesi ön kapıdan pahalı.</t>
        </is>
      </c>
      <c r="K346" s="6" t="inlineStr">
        <is>
          <t>Arka kapı kilitliydi. Ön kapıya döndüğünde tarifeye 'geç kalma bedeli' eklenmişti.</t>
        </is>
      </c>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c r="AI346" s="5" t="inlineStr"/>
      <c r="AJ346" s="5" t="inlineStr"/>
    </row>
    <row r="347">
      <c r="A347" s="5" t="inlineStr">
        <is>
          <t>b5-kantin-vergisi</t>
        </is>
      </c>
      <c r="B347" s="5" t="n">
        <v>3</v>
      </c>
      <c r="C347" s="6" t="inlineStr">
        <is>
          <t>Açıkça reddet</t>
        </is>
      </c>
      <c r="D347" s="5" t="inlineStr">
        <is>
          <t>Cesaret</t>
        </is>
      </c>
      <c r="E347" s="5" t="inlineStr">
        <is>
          <t>Zor</t>
        </is>
      </c>
      <c r="F347" s="5" t="inlineStr"/>
      <c r="G347" s="6" t="inlineStr"/>
      <c r="H347" s="6" t="inlineStr">
        <is>
          <t>Reddettin. Üçü birbirine baktı; en kısası “Bu hafta pas” dedi. Ertesi pazartesi seni görünce üçü birden başka tarafa baktı.</t>
        </is>
      </c>
      <c r="I347" s="6" t="inlineStr">
        <is>
          <t>Sen reddettin, arkandaki beş kişi de reddetti. Üçü altı kişiye baktı ve dağıldı. Ertesi hafta kapıda yalnızca simitçi vardı.</t>
        </is>
      </c>
      <c r="J347" s="6" t="inlineStr">
        <is>
          <t>Reddettin. Hiçbir şey olmadı. Sadece adın bir deftere yazıldı.</t>
        </is>
      </c>
      <c r="K347" s="6" t="inlineStr">
        <is>
          <t>Reddettin. Ertesi sabah bisikletinin selesi yoktu. Bir ay okula ayakta pedal çevirerek geldin; bütün mahalle seni böyle tanıdı.</t>
        </is>
      </c>
      <c r="L347" s="6" t="inlineStr"/>
      <c r="M347" s="5" t="inlineStr"/>
      <c r="N347" s="5" t="inlineStr"/>
      <c r="O347" s="6" t="inlineStr"/>
      <c r="P347" s="6" t="inlineStr"/>
      <c r="Q347" s="5" t="inlineStr"/>
      <c r="R347" s="5" t="inlineStr"/>
      <c r="S347" s="5" t="inlineStr"/>
      <c r="T347" s="5" t="inlineStr"/>
      <c r="U347" s="5" t="inlineStr"/>
      <c r="V347" s="5" t="inlineStr"/>
      <c r="W347" s="5" t="inlineStr">
        <is>
          <t>haracci-dusmani</t>
        </is>
      </c>
      <c r="X347" s="5" t="inlineStr"/>
      <c r="Y347" s="5" t="inlineStr"/>
      <c r="Z347" s="6" t="inlineStr"/>
      <c r="AA347" s="5" t="inlineStr"/>
      <c r="AB347" s="5" t="inlineStr"/>
      <c r="AC347" s="5" t="inlineStr"/>
      <c r="AD347" s="5" t="inlineStr"/>
      <c r="AE347" s="5" t="inlineStr"/>
      <c r="AF347" s="5" t="inlineStr"/>
      <c r="AG347" s="5" t="inlineStr"/>
      <c r="AH347" s="5" t="inlineStr"/>
      <c r="AI347" s="5" t="inlineStr"/>
      <c r="AJ347" s="5" t="inlineStr"/>
    </row>
    <row r="348">
      <c r="A348" s="5" t="inlineStr">
        <is>
          <t>b5-kantin-vergisi</t>
        </is>
      </c>
      <c r="B348" s="5" t="n">
        <v>4</v>
      </c>
      <c r="C348" s="6" t="inlineStr">
        <is>
          <t>'Abinizle ben görüşürüm' de</t>
        </is>
      </c>
      <c r="D348" s="5" t="inlineStr">
        <is>
          <t>Pişkinlik</t>
        </is>
      </c>
      <c r="E348" s="5" t="inlineStr">
        <is>
          <t>Orta</t>
        </is>
      </c>
      <c r="F348" s="5" t="inlineStr"/>
      <c r="G348" s="6" t="inlineStr"/>
      <c r="H348" s="6" t="inlineStr">
        <is>
          <t>Abiyi aramak için telefonu çıkardın. Üçü birbirine baktı: “Tamam tamam, geç.” Abinin numarası sende bile yoktu.</t>
        </is>
      </c>
      <c r="I348" s="6" t="inlineStr">
        <is>
          <t>Abiyle görüştün. Abi üçüne tek cümle söyledi: “O bizim mahallenin çocuğu.” O günden beri kapıdan selamla geçiyorsun.</t>
        </is>
      </c>
      <c r="J348" s="6" t="inlineStr">
        <is>
          <t>Abiyi aradın. Abi 'Tarifede indirim yok' dedi.</t>
        </is>
      </c>
      <c r="K348" s="6" t="inlineStr">
        <is>
          <t>Abiyi aradın. Abi seni hatırladı; geçen seferki kafa tutmanı da. Geçiş ücretin iki tost oldu, bir de ayran.</t>
        </is>
      </c>
      <c r="L348" s="6" t="inlineStr"/>
      <c r="M348" s="5" t="inlineStr"/>
      <c r="N348" s="5" t="inlineStr"/>
      <c r="O348" s="6" t="inlineStr"/>
      <c r="P348" s="6" t="inlineStr"/>
      <c r="Q348" s="5" t="inlineStr"/>
      <c r="R348" s="5" t="inlineStr">
        <is>
          <t>haracci-dusmani</t>
        </is>
      </c>
      <c r="S348" s="5" t="inlineStr"/>
      <c r="T348" s="5" t="inlineStr"/>
      <c r="U348" s="5" t="inlineStr"/>
      <c r="V348" s="5" t="inlineStr"/>
      <c r="W348" s="5" t="inlineStr"/>
      <c r="X348" s="5" t="inlineStr"/>
      <c r="Y348" s="5" t="inlineStr"/>
      <c r="Z348" s="6" t="inlineStr"/>
      <c r="AA348" s="5" t="inlineStr"/>
      <c r="AB348" s="5" t="inlineStr"/>
      <c r="AC348" s="5" t="inlineStr"/>
      <c r="AD348" s="5" t="inlineStr"/>
      <c r="AE348" s="5" t="inlineStr"/>
      <c r="AF348" s="5" t="inlineStr"/>
      <c r="AG348" s="5" t="inlineStr"/>
      <c r="AH348" s="5" t="inlineStr"/>
      <c r="AI348" s="5" t="inlineStr"/>
      <c r="AJ348" s="5" t="inlineStr"/>
    </row>
    <row r="349">
      <c r="A349" s="5" t="inlineStr">
        <is>
          <t>b5-ilk-sevgili</t>
        </is>
      </c>
      <c r="B349" s="5" t="n">
        <v>1</v>
      </c>
      <c r="C349" s="6" t="inlineStr">
        <is>
          <t>Hava durumundan konuş</t>
        </is>
      </c>
      <c r="D349" s="5" t="inlineStr"/>
      <c r="E349" s="5" t="inlineStr"/>
      <c r="F349" s="5" t="inlineStr">
        <is>
          <t>Çene +1</t>
        </is>
      </c>
      <c r="G349" s="6" t="inlineStr">
        <is>
          <t>Bir saat boyunca hava durumunu konuştunuz. İkiniz de yarın yağmur yağacağını artık çok iyi biliyorsunuz.</t>
        </is>
      </c>
      <c r="H349" s="6" t="inlineStr"/>
      <c r="I349" s="6" t="inlineStr"/>
      <c r="J349" s="6" t="inlineStr"/>
      <c r="K349" s="6" t="inlineStr"/>
      <c r="L349" s="6" t="inlineStr"/>
      <c r="M349" s="5" t="inlineStr"/>
      <c r="N349" s="5" t="inlineStr"/>
      <c r="O349" s="6" t="inlineStr"/>
      <c r="P349" s="6" t="inlineStr"/>
      <c r="Q349" s="5" t="inlineStr"/>
      <c r="R349" s="5" t="inlineStr"/>
      <c r="S349" s="5" t="inlineStr"/>
      <c r="T349" s="5" t="inlineStr"/>
      <c r="U349" s="5" t="inlineStr"/>
      <c r="V349" s="5" t="inlineStr"/>
      <c r="W349" s="5" t="inlineStr"/>
      <c r="X349" s="5" t="inlineStr"/>
      <c r="Y349" s="5" t="inlineStr"/>
      <c r="Z349" s="6" t="inlineStr"/>
      <c r="AA349" s="5" t="inlineStr"/>
      <c r="AB349" s="5" t="inlineStr"/>
      <c r="AC349" s="5" t="inlineStr"/>
      <c r="AD349" s="5" t="inlineStr"/>
      <c r="AE349" s="5" t="inlineStr"/>
      <c r="AF349" s="5" t="inlineStr"/>
      <c r="AG349" s="5" t="inlineStr"/>
      <c r="AH349" s="5" t="inlineStr"/>
      <c r="AI349" s="5" t="inlineStr"/>
      <c r="AJ349" s="5" t="inlineStr"/>
    </row>
    <row r="350">
      <c r="A350" s="5" t="inlineStr">
        <is>
          <t>b5-ilk-sevgili</t>
        </is>
      </c>
      <c r="B350" s="5" t="n">
        <v>2</v>
      </c>
      <c r="C350" s="6" t="inlineStr">
        <is>
          <t>Elini tut</t>
        </is>
      </c>
      <c r="D350" s="5" t="inlineStr">
        <is>
          <t>Gönül</t>
        </is>
      </c>
      <c r="E350" s="5" t="inlineStr">
        <is>
          <t>Zor</t>
        </is>
      </c>
      <c r="F350" s="5" t="inlineStr"/>
      <c r="G350" s="6" t="inlineStr"/>
      <c r="H350" s="6" t="inlineStr">
        <is>
          <t>Elini tuttun. İki avuç da terliydi; ikiniz de bırakmadınız. Eve vardığında annen her şeyi biliyordu: karşı apartmandaki teyze görmüş.</t>
        </is>
      </c>
      <c r="I350" s="6" t="inlineStr">
        <is>
          <t>Elini tuttun ve eve kadar bırakmadınız. Kapının önünde ikiniz de “Önce sen bırak” dediniz. Balkondan annen seslendi: “Hadi artık, çay soğudu!”</t>
        </is>
      </c>
      <c r="J350" s="6" t="inlineStr">
        <is>
          <t>Tam uzanacakken karşındaki “Dondurma alalım mı?” diye kalktı. Elin havada kaldı; enseni kaşıyormuş gibi yaptın.</t>
        </is>
      </c>
      <c r="K350" s="6" t="inlineStr">
        <is>
          <t>Elini tuttuğunu sandın. Tuttuğun, banktaki poşetmiş. Poşet yandaki teyzeninmiş; teyze “Hırsız var!” diye bağırdı, bütün park döndü baktı.</t>
        </is>
      </c>
      <c r="L350" s="6" t="inlineStr"/>
      <c r="M350" s="5" t="inlineStr"/>
      <c r="N350" s="5" t="inlineStr"/>
      <c r="O350" s="6" t="inlineStr"/>
      <c r="P350" s="6" t="inlineStr"/>
      <c r="Q350" s="5" t="inlineStr"/>
      <c r="R350" s="5" t="inlineStr"/>
      <c r="S350" s="5" t="inlineStr"/>
      <c r="T350" s="5" t="inlineStr"/>
      <c r="U350" s="5" t="inlineStr"/>
      <c r="V350" s="5" t="inlineStr">
        <is>
          <t>ilk-sevgili</t>
        </is>
      </c>
      <c r="W350" s="5" t="inlineStr"/>
      <c r="X350" s="5" t="inlineStr"/>
      <c r="Y350" s="5" t="inlineStr"/>
      <c r="Z350" s="6" t="inlineStr"/>
      <c r="AA350" s="5" t="inlineStr"/>
      <c r="AB350" s="5" t="inlineStr">
        <is>
          <t>utangac</t>
        </is>
      </c>
      <c r="AC350" s="5" t="inlineStr"/>
      <c r="AD350" s="5" t="inlineStr"/>
      <c r="AE350" s="5" t="inlineStr"/>
      <c r="AF350" s="5" t="inlineStr"/>
      <c r="AG350" s="5" t="inlineStr"/>
      <c r="AH350" s="5" t="inlineStr"/>
      <c r="AI350" s="5" t="inlineStr">
        <is>
          <t>Poşet Hırsızı</t>
        </is>
      </c>
      <c r="AJ350" s="5" t="inlineStr"/>
    </row>
    <row r="351">
      <c r="A351" s="5" t="inlineStr">
        <is>
          <t>b5-ilk-sevgili</t>
        </is>
      </c>
      <c r="B351" s="5" t="n">
        <v>3</v>
      </c>
      <c r="C351" s="6" t="inlineStr">
        <is>
          <t>'Ben de heyecanlıyım' de</t>
        </is>
      </c>
      <c r="D351" s="5" t="inlineStr">
        <is>
          <t>Gönül</t>
        </is>
      </c>
      <c r="E351" s="5" t="inlineStr">
        <is>
          <t>Kolay</t>
        </is>
      </c>
      <c r="F351" s="5" t="inlineStr"/>
      <c r="G351" s="6" t="inlineStr"/>
      <c r="H351" s="6" t="inlineStr">
        <is>
          <t>“Ben de heyecanlıyım” dedin. Güldü: “Ben de üç kere üstümü değiştirdim.” Aradaki bir karış o an kapandı.</t>
        </is>
      </c>
      <c r="I351" s="6" t="inlineStr">
        <is>
          <t>İkiniz aynı anda “Ben de” dediniz. Tam o an yan banktaki amcanın telefonu çaldı; zil sesi eski bir aşk şarkısıydı. Amca açmadı, size bıraktı.</t>
        </is>
      </c>
      <c r="J351" s="6" t="inlineStr">
        <is>
          <t>'Ben de heyecanlıyım' dedin. 'Neden?' diye sordu. Anlatamadın.</t>
        </is>
      </c>
      <c r="K351" s="6" t="inlineStr">
        <is>
          <t>“Ben de heyecanlıyım” derken sesin çatallandı, horoz gibi öttü. Yan bankta simit yiyen amca güldü. Sonra karşındaki de güldü; seninle değil.</t>
        </is>
      </c>
      <c r="L351" s="6" t="inlineStr"/>
      <c r="M351" s="5" t="inlineStr"/>
      <c r="N351" s="5" t="inlineStr"/>
      <c r="O351" s="6" t="inlineStr"/>
      <c r="P351" s="6" t="inlineStr"/>
      <c r="Q351" s="5" t="inlineStr"/>
      <c r="R351" s="5" t="inlineStr"/>
      <c r="S351" s="5" t="inlineStr">
        <is>
          <t>Sosyal Radar</t>
        </is>
      </c>
      <c r="T351" s="5" t="inlineStr"/>
      <c r="U351" s="5" t="inlineStr"/>
      <c r="V351" s="5" t="inlineStr">
        <is>
          <t>ilk-sevgili</t>
        </is>
      </c>
      <c r="W351" s="5" t="inlineStr"/>
      <c r="X351" s="5" t="inlineStr"/>
      <c r="Y351" s="5" t="inlineStr"/>
      <c r="Z351" s="6" t="inlineStr"/>
      <c r="AA351" s="5" t="inlineStr"/>
      <c r="AB351" s="5" t="inlineStr">
        <is>
          <t>utangac</t>
        </is>
      </c>
      <c r="AC351" s="5" t="inlineStr"/>
      <c r="AD351" s="5" t="inlineStr"/>
      <c r="AE351" s="5" t="inlineStr"/>
      <c r="AF351" s="5" t="inlineStr"/>
      <c r="AG351" s="5" t="inlineStr"/>
      <c r="AH351" s="5" t="inlineStr"/>
      <c r="AI351" s="5" t="inlineStr"/>
      <c r="AJ351" s="5" t="inlineStr"/>
    </row>
    <row r="352">
      <c r="A352" s="5" t="inlineStr">
        <is>
          <t>b5-ilk-sevgili</t>
        </is>
      </c>
      <c r="B352" s="5" t="n">
        <v>4</v>
      </c>
      <c r="C352" s="6" t="inlineStr">
        <is>
          <t>Önceden hazırladığın espriyi yap</t>
        </is>
      </c>
      <c r="D352" s="5" t="inlineStr">
        <is>
          <t>Pişkinlik</t>
        </is>
      </c>
      <c r="E352" s="5" t="inlineStr">
        <is>
          <t>Orta</t>
        </is>
      </c>
      <c r="F352" s="5" t="inlineStr"/>
      <c r="G352" s="6" t="inlineStr"/>
      <c r="H352" s="6" t="inlineStr">
        <is>
          <t>Espri tuttu. Gülerken omzuna yaslandı. Aynanın karşısında üç gün prova ettiğini hiçbir zaman öğrenmeyecek.</t>
        </is>
      </c>
      <c r="I352" s="6" t="inlineStr">
        <is>
          <t>Espri tuttu, bir tane daha istedi. Üçüncüsünde el ele eve yürüyordunuz.</t>
        </is>
      </c>
      <c r="J352" s="6" t="inlineStr">
        <is>
          <t>Espriyi yaptın; nazikçe güldü. Sonra yine hava durumunu konuştunuz.</t>
        </is>
      </c>
      <c r="K352" s="6" t="inlineStr">
        <is>
          <t>Espriyi yaptın; anlamadı. Açıkladın; yine anlamadı. Üçüncü açıklamada sen de anlamadın. Dondurmalar elinizde eridi.</t>
        </is>
      </c>
      <c r="L352" s="6" t="inlineStr"/>
      <c r="M352" s="5" t="inlineStr"/>
      <c r="N352" s="5" t="inlineStr"/>
      <c r="O352" s="6" t="inlineStr"/>
      <c r="P352" s="6" t="inlineStr"/>
      <c r="Q352" s="5" t="inlineStr"/>
      <c r="R352" s="5" t="inlineStr"/>
      <c r="S352" s="5" t="inlineStr"/>
      <c r="T352" s="5" t="inlineStr"/>
      <c r="U352" s="5" t="inlineStr"/>
      <c r="V352" s="5" t="inlineStr">
        <is>
          <t>ilk-sevgili</t>
        </is>
      </c>
      <c r="W352" s="5" t="inlineStr"/>
      <c r="X352" s="5" t="inlineStr"/>
      <c r="Y352" s="5" t="inlineStr"/>
      <c r="Z352" s="6" t="inlineStr"/>
      <c r="AA352" s="5" t="inlineStr"/>
      <c r="AB352" s="5" t="inlineStr">
        <is>
          <t>utangac</t>
        </is>
      </c>
      <c r="AC352" s="5" t="inlineStr"/>
      <c r="AD352" s="5" t="inlineStr"/>
      <c r="AE352" s="5" t="inlineStr"/>
      <c r="AF352" s="5" t="inlineStr"/>
      <c r="AG352" s="5" t="inlineStr"/>
      <c r="AH352" s="5" t="inlineStr"/>
      <c r="AI352" s="5" t="inlineStr"/>
      <c r="AJ352" s="5" t="inlineStr"/>
    </row>
    <row r="353">
      <c r="A353" s="5" t="inlineStr">
        <is>
          <t>b5-veli-bilgilendirme</t>
        </is>
      </c>
      <c r="B353" s="5" t="n">
        <v>1</v>
      </c>
      <c r="C353" s="6" t="inlineStr">
        <is>
          <t>Bildirimden önce eve yetiş</t>
        </is>
      </c>
      <c r="D353" s="5" t="inlineStr">
        <is>
          <t>Dayanıklılık</t>
        </is>
      </c>
      <c r="E353" s="5" t="inlineStr">
        <is>
          <t>Orta</t>
        </is>
      </c>
      <c r="F353" s="5" t="inlineStr"/>
      <c r="G353" s="6" t="inlineStr"/>
      <c r="H353" s="6" t="inlineStr">
        <is>
          <t>Eve koştun, haberi kendin verdin. Telefon üç saniye sonra titredi. Annen bildirime baktı, sana baktı: “Bari koşmasaydın, terlemişsin.”</t>
        </is>
      </c>
      <c r="I353" s="6" t="inlineStr">
        <is>
          <t>Eve koştun, haberi kendin verdin, üstüne bir de çay demledin. Bildirim düştüğünde annen telefona bakmadı bile: “Biliyorum, anlattı.”</t>
        </is>
      </c>
      <c r="J353" s="6" t="inlineStr">
        <is>
          <t>Eve vardın. Annen kapıda, telefon elinde bekliyordu.</t>
        </is>
      </c>
      <c r="K353" s="6" t="inlineStr">
        <is>
          <t>Sen yoldayken ikinci not da girildi. Kapıyı baban açtı; elinde telefon, arkasında babaannen. Akşam yemeği tek kelime konuşulmadan yendi.</t>
        </is>
      </c>
      <c r="L353" s="6" t="inlineStr">
        <is>
          <t>Kapıya bildirimle aynı anda vardın. Annen telefona mı, sana mı bakacağını bilemedi.</t>
        </is>
      </c>
      <c r="M353" s="5" t="inlineStr">
        <is>
          <t>timing</t>
        </is>
      </c>
      <c r="N353" s="5" t="inlineStr">
        <is>
          <t>Bildirimden Önce</t>
        </is>
      </c>
      <c r="O353" s="6" t="inlineStr">
        <is>
          <t>İbre yeşil alandayken DURDUR'a bas. Art arda tutturdukça kombo kazanırsın.</t>
        </is>
      </c>
      <c r="P353" s="6" t="n"/>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c r="AI353" s="5" t="inlineStr"/>
      <c r="AJ353" s="5" t="inlineStr"/>
    </row>
    <row r="354">
      <c r="A354" s="5" t="inlineStr">
        <is>
          <t>b5-veli-bilgilendirme</t>
        </is>
      </c>
      <c r="B354" s="5" t="n">
        <v>2</v>
      </c>
      <c r="C354" s="6" t="inlineStr">
        <is>
          <t>Bildirimlere razı ol</t>
        </is>
      </c>
      <c r="D354" s="5" t="inlineStr"/>
      <c r="E354" s="5" t="inlineStr"/>
      <c r="F354" s="5" t="inlineStr">
        <is>
          <t>İtibar +1</t>
        </is>
      </c>
      <c r="G354" s="6" t="inlineStr">
        <is>
          <t>Bildirimlere razı oldun. Annen artık her notu aile grubuna atıyor, altına tek bir soru işareti bırakıyor. Teyzen her seferinde “Ne oldu?” yazıyor.</t>
        </is>
      </c>
      <c r="H354" s="6" t="inlineStr"/>
      <c r="I354" s="6" t="inlineStr"/>
      <c r="J354" s="6" t="inlineStr"/>
      <c r="K354" s="6" t="inlineStr"/>
      <c r="L354" s="6" t="inlineStr"/>
      <c r="M354" s="5" t="inlineStr"/>
      <c r="N354" s="5" t="inlineStr"/>
      <c r="O354" s="6" t="inlineStr"/>
      <c r="P354" s="6" t="inlineStr"/>
      <c r="Q354" s="5" t="inlineStr"/>
      <c r="R354" s="5" t="inlineStr"/>
      <c r="S354" s="5" t="inlineStr"/>
      <c r="T354" s="5" t="inlineStr"/>
      <c r="U354" s="5" t="inlineStr"/>
      <c r="V354" s="5" t="inlineStr"/>
      <c r="W354" s="5" t="inlineStr"/>
      <c r="X354" s="5" t="inlineStr"/>
      <c r="Y354" s="5" t="inlineStr"/>
      <c r="Z354" s="6" t="inlineStr"/>
      <c r="AA354" s="5" t="inlineStr"/>
      <c r="AB354" s="5" t="inlineStr"/>
      <c r="AC354" s="5" t="inlineStr"/>
      <c r="AD354" s="5" t="inlineStr"/>
      <c r="AE354" s="5" t="inlineStr"/>
      <c r="AF354" s="5" t="inlineStr"/>
      <c r="AG354" s="5" t="inlineStr"/>
      <c r="AH354" s="5" t="inlineStr"/>
      <c r="AI354" s="5" t="inlineStr"/>
      <c r="AJ354" s="5" t="inlineStr"/>
    </row>
    <row r="355">
      <c r="A355" s="5" t="inlineStr">
        <is>
          <t>b5-veli-bilgilendirme</t>
        </is>
      </c>
      <c r="B355" s="5" t="n">
        <v>3</v>
      </c>
      <c r="C355" s="6" t="inlineStr">
        <is>
          <t>Formdaki numarayı 'güncelle'</t>
        </is>
      </c>
      <c r="D355" s="5" t="inlineStr">
        <is>
          <t>Kurnazlık</t>
        </is>
      </c>
      <c r="E355" s="5" t="inlineStr">
        <is>
          <t>Orta</t>
        </is>
      </c>
      <c r="F355" s="5" t="inlineStr"/>
      <c r="G355" s="6" t="inlineStr"/>
      <c r="H355" s="6" t="inlineStr">
        <is>
          <t>Numara güncellendi. Notlar artık önce sana geliyor. Kötü haberleri annene tatlıdan sonra veriyorsun.</t>
        </is>
      </c>
      <c r="I355" s="6" t="inlineStr">
        <is>
          <t>Numara artık senin. Annenin telefonuna her cuma tek bir mesaj düşüyor: “Bu hafta her şey yolunda.” Annen komşulara gösteriyor: “Bak, okul ne güzel yazıyor.”</t>
        </is>
      </c>
      <c r="J355" s="6" t="inlineStr">
        <is>
          <t>Numarayı değiştirdin. Uygulama notu ikinci veliye de gönderiyormuş. Babana.</t>
        </is>
      </c>
      <c r="K355" s="6" t="inlineStr">
        <is>
          <t>Kendi numaranı yazdın ama bir rakamı yanlış. Notların artık bir yabancıya gidiyor. O da seninle gurur duyuyor.</t>
        </is>
      </c>
      <c r="L355" s="6" t="inlineStr"/>
      <c r="M355" s="5" t="inlineStr"/>
      <c r="N355" s="5" t="inlineStr"/>
      <c r="O355" s="6" t="inlineStr"/>
      <c r="P355" s="6" t="inlineStr"/>
      <c r="Q355" s="5" t="inlineStr"/>
      <c r="R355" s="5" t="inlineStr"/>
      <c r="S355" s="5" t="inlineStr">
        <is>
          <t>Kurnazlık</t>
        </is>
      </c>
      <c r="T355" s="5" t="inlineStr"/>
      <c r="U355" s="5" t="inlineStr"/>
      <c r="V355" s="5" t="inlineStr"/>
      <c r="W355" s="5" t="inlineStr"/>
      <c r="X355" s="5" t="inlineStr"/>
      <c r="Y355" s="5" t="inlineStr"/>
      <c r="Z355" s="6" t="inlineStr"/>
      <c r="AA355" s="5" t="inlineStr"/>
      <c r="AB355" s="5" t="inlineStr"/>
      <c r="AC355" s="5" t="inlineStr"/>
      <c r="AD355" s="5" t="inlineStr"/>
      <c r="AE355" s="5" t="inlineStr"/>
      <c r="AF355" s="5" t="inlineStr"/>
      <c r="AG355" s="5" t="inlineStr"/>
      <c r="AH355" s="5" t="inlineStr"/>
      <c r="AI355" s="5" t="inlineStr"/>
      <c r="AJ355" s="5" t="inlineStr"/>
    </row>
    <row r="356">
      <c r="A356" s="5" t="inlineStr">
        <is>
          <t>b5-okul-temsilcisi</t>
        </is>
      </c>
      <c r="B356" s="5" t="n">
        <v>1</v>
      </c>
      <c r="C356" s="6" t="inlineStr">
        <is>
          <t>Oy ver, geç</t>
        </is>
      </c>
      <c r="D356" s="5" t="inlineStr"/>
      <c r="E356" s="5" t="inlineStr"/>
      <c r="F356" s="5" t="inlineStr">
        <is>
          <t>İtibar +1</t>
        </is>
      </c>
      <c r="G356" s="6" t="inlineStr">
        <is>
          <t>Oyunu kullandın. Kazanan aday ilk icraat olarak ikinci tost makinesi için bir komisyon kurdu.</t>
        </is>
      </c>
      <c r="H356" s="6" t="inlineStr"/>
      <c r="I356" s="6" t="inlineStr"/>
      <c r="J356" s="6" t="inlineStr"/>
      <c r="K356" s="6" t="inlineStr"/>
      <c r="L356" s="6" t="inlineStr"/>
      <c r="M356" s="5" t="inlineStr"/>
      <c r="N356" s="5" t="inlineStr"/>
      <c r="O356" s="6" t="inlineStr"/>
      <c r="P356" s="6" t="inlineStr"/>
      <c r="Q356" s="5" t="inlineStr"/>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c r="AI356" s="5" t="inlineStr"/>
      <c r="AJ356" s="5" t="inlineStr"/>
    </row>
    <row r="357">
      <c r="A357" s="5" t="inlineStr">
        <is>
          <t>b5-okul-temsilcisi</t>
        </is>
      </c>
      <c r="B357" s="5" t="n">
        <v>2</v>
      </c>
      <c r="C357" s="6" t="inlineStr">
        <is>
          <t>Aday ol</t>
        </is>
      </c>
      <c r="D357" s="5" t="inlineStr">
        <is>
          <t>İtibar</t>
        </is>
      </c>
      <c r="E357" s="5" t="inlineStr">
        <is>
          <t>Zor</t>
        </is>
      </c>
      <c r="F357" s="5" t="inlineStr"/>
      <c r="G357" s="6" t="inlineStr"/>
      <c r="H357" s="6" t="inlineStr">
        <is>
          <t>Seçildin. İlk hafta müdürün odasında çay içtin. İkinci hafta müdür seni koridorda görünce telefonla konuşuyormuş gibi yaptı.</t>
        </is>
      </c>
      <c r="I357" s="6" t="inlineStr">
        <is>
          <t>Açık farkla seçildin; ikinci tost makinesi dönem bitmeden geldi. Adın kantin duvarında.</t>
        </is>
      </c>
      <c r="J357" s="6" t="inlineStr">
        <is>
          <t>Kaybettin. Rakibin tek vaadi “Derse az girelim”di. Öğretmenlerden bile oy aldı.</t>
        </is>
      </c>
      <c r="K357" s="6" t="inlineStr">
        <is>
          <t>Konuşmanda “Teneffüsleri uzatacağım” dedin; okul ayağa kalktı. Müdür yardımcısı mikrofonu aldı ve o günün teneffüsünü beş dakika kısalttı. Seni kimse affetmedi.</t>
        </is>
      </c>
      <c r="L357" s="6" t="inlineStr"/>
      <c r="M357" s="5" t="inlineStr"/>
      <c r="N357" s="5" t="inlineStr"/>
      <c r="O357" s="6" t="inlineStr"/>
      <c r="P357" s="6" t="inlineStr"/>
      <c r="Q357" s="5" t="inlineStr"/>
      <c r="R357" s="5" t="inlineStr"/>
      <c r="S357" s="5" t="inlineStr"/>
      <c r="T357" s="5" t="inlineStr"/>
      <c r="U357" s="5" t="inlineStr"/>
      <c r="V357" s="5" t="inlineStr">
        <is>
          <t>okul-temsilcisi</t>
        </is>
      </c>
      <c r="W357" s="5" t="inlineStr"/>
      <c r="X357" s="5" t="inlineStr"/>
      <c r="Y357" s="5" t="inlineStr"/>
      <c r="Z357" s="6" t="inlineStr"/>
      <c r="AA357" s="5" t="inlineStr"/>
      <c r="AB357" s="5" t="inlineStr"/>
      <c r="AC357" s="5" t="inlineStr"/>
      <c r="AD357" s="5" t="inlineStr"/>
      <c r="AE357" s="5" t="inlineStr"/>
      <c r="AF357" s="5" t="inlineStr"/>
      <c r="AG357" s="5" t="inlineStr"/>
      <c r="AH357" s="5" t="inlineStr"/>
      <c r="AI357" s="5" t="inlineStr"/>
      <c r="AJ357" s="5" t="inlineStr"/>
    </row>
    <row r="358">
      <c r="A358" s="5" t="inlineStr">
        <is>
          <t>b5-okul-temsilcisi</t>
        </is>
      </c>
      <c r="B358" s="5" t="n">
        <v>3</v>
      </c>
      <c r="C358" s="6" t="inlineStr">
        <is>
          <t>Deneyimini öne çıkar</t>
        </is>
      </c>
      <c r="D358" s="5" t="inlineStr">
        <is>
          <t>Pişkinlik</t>
        </is>
      </c>
      <c r="E358" s="5" t="inlineStr">
        <is>
          <t>Kolay</t>
        </is>
      </c>
      <c r="F358" s="5" t="inlineStr"/>
      <c r="G358" s="6" t="inlineStr"/>
      <c r="H358" s="6" t="inlineStr">
        <is>
          <t>'Daha önce de yönettim' dedin. Kimse neyi yönettiğini sormadı. Seçildin.</t>
        </is>
      </c>
      <c r="I358" s="6" t="inlineStr">
        <is>
          <t>İlkokul başkanlığını öyle anlattın ki dinleyenler sınıfı değil ülkeyi yönettiğini sandı. Seçildin. Afişin altına çizilen balığa sen de bir akvaryum çizdin.</t>
        </is>
      </c>
      <c r="J358" s="6" t="inlineStr">
        <is>
          <t>Deneyimini anlattın. Biri 'Akvaryum ne oldu?' diye sordu. Kampanya orada bitti.</t>
        </is>
      </c>
      <c r="K358" s="6" t="inlineStr">
        <is>
          <t>İlkokuldan sınıf arkadaşın söz aldı ve akvaryum vaadini ayrıntılarıyla anlattı. Ertesi sabah sıranın üstünde bir kavanoz su ve içinde kâğıttan bir balık vardı. Mezuniyete kadar her seçimde biri o kavanozu getirdi.</t>
        </is>
      </c>
      <c r="L358" s="6" t="inlineStr"/>
      <c r="M358" s="5" t="inlineStr"/>
      <c r="N358" s="5" t="inlineStr"/>
      <c r="O358" s="6" t="inlineStr"/>
      <c r="P358" s="6" t="inlineStr"/>
      <c r="Q358" s="5" t="inlineStr"/>
      <c r="R358" s="5" t="inlineStr">
        <is>
          <t>baskan</t>
        </is>
      </c>
      <c r="S358" s="5" t="inlineStr"/>
      <c r="T358" s="5" t="inlineStr"/>
      <c r="U358" s="5" t="inlineStr"/>
      <c r="V358" s="5" t="inlineStr">
        <is>
          <t>okul-temsilcisi</t>
        </is>
      </c>
      <c r="W358" s="5" t="inlineStr"/>
      <c r="X358" s="5" t="inlineStr"/>
      <c r="Y358" s="5" t="inlineStr"/>
      <c r="Z358" s="6" t="inlineStr"/>
      <c r="AA358" s="5" t="inlineStr"/>
      <c r="AB358" s="5" t="inlineStr"/>
      <c r="AC358" s="5" t="inlineStr"/>
      <c r="AD358" s="5" t="inlineStr"/>
      <c r="AE358" s="5" t="inlineStr"/>
      <c r="AF358" s="5" t="inlineStr"/>
      <c r="AG358" s="5" t="inlineStr"/>
      <c r="AH358" s="5" t="inlineStr"/>
      <c r="AI358" s="5" t="inlineStr"/>
      <c r="AJ358" s="5" t="inlineStr"/>
    </row>
    <row r="359">
      <c r="A359" s="5" t="inlineStr">
        <is>
          <t>b5-okul-temsilcisi</t>
        </is>
      </c>
      <c r="B359" s="5" t="n">
        <v>4</v>
      </c>
      <c r="C359" s="6" t="inlineStr">
        <is>
          <t>Arkadaşının kampanyasını yönet</t>
        </is>
      </c>
      <c r="D359" s="5" t="inlineStr">
        <is>
          <t>Sosyal Radar</t>
        </is>
      </c>
      <c r="E359" s="5" t="inlineStr">
        <is>
          <t>Orta</t>
        </is>
      </c>
      <c r="F359" s="5" t="inlineStr"/>
      <c r="G359" s="6" t="inlineStr"/>
      <c r="H359" s="6" t="inlineStr">
        <is>
          <t>Adayın kazandı. Gölge temsilci olarak bir dönemin daha var.</t>
        </is>
      </c>
      <c r="I359" s="6" t="inlineStr">
        <is>
          <t>Adayın kazandı. İlk icraatı ikinci tost makinesi oldu. Kantinci makinenin üstüne bir kâğıt yapıştırdı; üstünde adayın değil, senin adın yazıyor.</t>
        </is>
      </c>
      <c r="J359" s="6" t="inlineStr">
        <is>
          <t>Kampanya iyiydi. Adayın 'Geçen yıl ne yaptın?' sorusunu cevaplayamadı.</t>
        </is>
      </c>
      <c r="K359" s="6" t="inlineStr">
        <is>
          <t>Afişleri köşedeki fotokopiciye bastırdın: yüz afiş, hepsinde adayın adı bir harf eksik. Adayın afişin önünde uzun uzun durdu: “Dört yıldır sıra arkadaşıyız.” Seçim boyunca bütün okul ona afişteki adla seslendi; yıllığa da öyle geçti.</t>
        </is>
      </c>
      <c r="L359" s="6" t="inlineStr"/>
      <c r="M359" s="5" t="inlineStr"/>
      <c r="N359" s="5" t="inlineStr"/>
      <c r="O359" s="6" t="inlineStr"/>
      <c r="P359" s="6" t="inlineStr"/>
      <c r="Q359" s="5" t="inlineStr">
        <is>
          <t>Teneffüs Başkanı</t>
        </is>
      </c>
      <c r="R359" s="5" t="inlineStr"/>
      <c r="S359" s="5" t="inlineStr"/>
      <c r="T359" s="5" t="inlineStr"/>
      <c r="U359" s="5" t="inlineStr"/>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c r="AI359" s="5" t="inlineStr"/>
      <c r="AJ359" s="5" t="inlineStr"/>
    </row>
    <row r="360">
      <c r="A360" s="5" t="inlineStr">
        <is>
          <t>b5-yapay-zeka-odev</t>
        </is>
      </c>
      <c r="B360" s="5" t="n">
        <v>1</v>
      </c>
      <c r="C360" s="6" t="inlineStr">
        <is>
          <t>Kendin yaz</t>
        </is>
      </c>
      <c r="D360" s="5" t="inlineStr"/>
      <c r="E360" s="5" t="inlineStr"/>
      <c r="F360" s="5" t="inlineStr">
        <is>
          <t>Akıl +1, İtibar +1</t>
        </is>
      </c>
      <c r="G360" s="6" t="inlineStr">
        <is>
          <t>Kendin yazdın ve ortalama bir not aldın. Sınıfın geri kalanı da aynı notu aynı cümlelerle almıştı.</t>
        </is>
      </c>
      <c r="H360" s="6" t="inlineStr"/>
      <c r="I360" s="6" t="inlineStr"/>
      <c r="J360" s="6" t="inlineStr"/>
      <c r="K360" s="6" t="inlineStr"/>
      <c r="L360" s="6" t="inlineStr"/>
      <c r="M360" s="5" t="inlineStr"/>
      <c r="N360" s="5" t="inlineStr"/>
      <c r="O360" s="6" t="inlineStr"/>
      <c r="P360" s="6" t="inlineStr"/>
      <c r="Q360" s="5" t="inlineStr"/>
      <c r="R360" s="5" t="inlineStr"/>
      <c r="S360" s="5" t="inlineStr"/>
      <c r="T360" s="5" t="inlineStr"/>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c r="AI360" s="5" t="inlineStr"/>
      <c r="AJ360" s="5" t="inlineStr"/>
    </row>
    <row r="361">
      <c r="A361" s="5" t="inlineStr">
        <is>
          <t>b5-yapay-zeka-odev</t>
        </is>
      </c>
      <c r="B361" s="5" t="n">
        <v>2</v>
      </c>
      <c r="C361" s="6" t="inlineStr">
        <is>
          <t>Asistana yazdır, biraz boz</t>
        </is>
      </c>
      <c r="D361" s="5" t="inlineStr">
        <is>
          <t>Kurnazlık</t>
        </is>
      </c>
      <c r="E361" s="5" t="inlineStr">
        <is>
          <t>Orta</t>
        </is>
      </c>
      <c r="F361" s="5" t="inlineStr"/>
      <c r="G361" s="6" t="inlineStr"/>
      <c r="H361" s="6" t="inlineStr">
        <is>
          <t>Asistana yazdırdın, üç yazım hatası ekledin. Öğretmen 'Daha özenli ol' dedi. İnsan olduğuna ikna oldu.</t>
        </is>
      </c>
      <c r="I361" s="6" t="inlineStr">
        <is>
          <t>Ödev o kadar insanca bozuldu ki öğretmen örnek ödev olarak sınıfa okudu.</t>
        </is>
      </c>
      <c r="J361" s="6" t="inlineStr">
        <is>
          <t>Öğretmen 'Bu paragrafı bir yerden hatırlıyorum' dedi. Kendi ödevinden.</t>
        </is>
      </c>
      <c r="K361" s="6" t="inlineStr">
        <is>
          <t>Ödevin son cümlesini silmeyi unuttun: “Başka bir konuda yardımcı olabilir miyim?” Öğretmen kâğıdı sınıfa yüksek sesle okudu, altına kırmızı kalemle yazdı: “Evet. Ödevini kendin yaz.”</t>
        </is>
      </c>
      <c r="L361" s="6" t="inlineStr"/>
      <c r="M361" s="5" t="inlineStr"/>
      <c r="N361" s="5" t="inlineStr"/>
      <c r="O361" s="6" t="inlineStr"/>
      <c r="P361" s="6" t="inlineStr"/>
      <c r="Q361" s="5" t="inlineStr"/>
      <c r="R361" s="5" t="inlineStr"/>
      <c r="S361" s="5" t="inlineStr"/>
      <c r="T361" s="5" t="inlineStr"/>
      <c r="U361" s="5" t="inlineStr">
        <is>
          <t>ai-kopyaci</t>
        </is>
      </c>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c r="AI361" s="5" t="inlineStr">
        <is>
          <t>Yardımcı Olabilir miyim</t>
        </is>
      </c>
      <c r="AJ361" s="5" t="inlineStr"/>
    </row>
    <row r="362">
      <c r="A362" s="5" t="inlineStr">
        <is>
          <t>b5-yapay-zeka-odev</t>
        </is>
      </c>
      <c r="B362" s="5" t="n">
        <v>3</v>
      </c>
      <c r="C362" s="6" t="inlineStr">
        <is>
          <t>Yazdır, sözlü savunma hazırla</t>
        </is>
      </c>
      <c r="D362" s="5" t="inlineStr">
        <is>
          <t>Pişkinlik</t>
        </is>
      </c>
      <c r="E362" s="5" t="inlineStr">
        <is>
          <t>Kolay</t>
        </is>
      </c>
      <c r="F362" s="5" t="inlineStr"/>
      <c r="G362" s="6" t="inlineStr"/>
      <c r="H362" s="6" t="inlineStr">
        <is>
          <t>Öğretmen sorguya çekti. Savunman ödevden daha özgündü. Tam not.</t>
        </is>
      </c>
      <c r="I362" s="6" t="inlineStr">
        <is>
          <t>Yirmi dakikalık bir sözlü savunma yaptın. Ödev değil, savunma sınıfa örnek gösterildi.</t>
        </is>
      </c>
      <c r="J362" s="6" t="inlineStr">
        <is>
          <t>Savunman hazırdı. Öğretmen hiçbir şey sormadı. Sadece sıfır verdi.</t>
        </is>
      </c>
      <c r="K362" s="6" t="inlineStr">
        <is>
          <t>Savunmanın ortasında 'Bu harika bir soru!' dedin. Asistanın cümlesiydi. Öğretmen anladı.</t>
        </is>
      </c>
      <c r="L362" s="6" t="inlineStr"/>
      <c r="M362" s="5" t="inlineStr"/>
      <c r="N362" s="5" t="inlineStr"/>
      <c r="O362" s="6" t="inlineStr"/>
      <c r="P362" s="6" t="inlineStr"/>
      <c r="Q362" s="5" t="inlineStr"/>
      <c r="R362" s="5" t="inlineStr">
        <is>
          <t>yalanci</t>
        </is>
      </c>
      <c r="S362" s="5" t="inlineStr"/>
      <c r="T362" s="5" t="inlineStr"/>
      <c r="U362" s="5" t="inlineStr">
        <is>
          <t>ai-kopyaci</t>
        </is>
      </c>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c r="AI362" s="5" t="inlineStr"/>
      <c r="AJ362" s="5" t="inlineStr"/>
    </row>
    <row r="363">
      <c r="A363" s="5" t="inlineStr">
        <is>
          <t>b5-yapay-zeka-odev</t>
        </is>
      </c>
      <c r="B363" s="5" t="n">
        <v>4</v>
      </c>
      <c r="C363" s="6" t="inlineStr">
        <is>
          <t>Asistanla tartışarak birlikte yaz</t>
        </is>
      </c>
      <c r="D363" s="5" t="inlineStr">
        <is>
          <t>Akıl</t>
        </is>
      </c>
      <c r="E363" s="5" t="inlineStr">
        <is>
          <t>Zor</t>
        </is>
      </c>
      <c r="F363" s="5" t="inlineStr"/>
      <c r="G363" s="6" t="inlineStr"/>
      <c r="H363" s="6" t="inlineStr">
        <is>
          <t>Kaynakları tek tek kontrol ettin. Ödev iyi oldu; asistan da senden bir şey öğrendi.</t>
        </is>
      </c>
      <c r="I363" s="6" t="inlineStr">
        <is>
          <t>Asistanın iki yanlış bilgisini yakaladın. Öğretmen ödevini değil, düzeltmelerini puanladı.</t>
        </is>
      </c>
      <c r="J363" s="6" t="inlineStr">
        <is>
          <t>Asistanla tartışırken saat üç oldu. Ödev yok ama asistanla aranız çok iyi.</t>
        </is>
      </c>
      <c r="K363" s="6" t="inlineStr">
        <is>
          <t>Asistanla tartıştın ve ikna oldun. Ödevi yanlış yüzyıl hakkında yazdın.</t>
        </is>
      </c>
      <c r="L363" s="6" t="inlineStr"/>
      <c r="M363" s="5" t="inlineStr"/>
      <c r="N363" s="5" t="inlineStr"/>
      <c r="O363" s="6" t="inlineStr"/>
      <c r="P363" s="6" t="inlineStr"/>
      <c r="Q363" s="5" t="inlineStr"/>
      <c r="R363" s="5" t="inlineStr"/>
      <c r="S363" s="5" t="inlineStr"/>
      <c r="T363" s="5" t="inlineStr">
        <is>
          <t>Şifreyi Bilen</t>
        </is>
      </c>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c r="AI363" s="5" t="inlineStr"/>
      <c r="AJ363" s="5" t="inlineStr"/>
    </row>
    <row r="364">
      <c r="A364" s="5" t="inlineStr">
        <is>
          <t>b5-akraba-sorgusu</t>
        </is>
      </c>
      <c r="B364" s="5" t="n">
        <v>1</v>
      </c>
      <c r="C364" s="6" t="inlineStr">
        <is>
          <t>'Doktor' de</t>
        </is>
      </c>
      <c r="D364" s="5" t="inlineStr"/>
      <c r="E364" s="5" t="inlineStr"/>
      <c r="F364" s="5" t="inlineStr">
        <is>
          <t>Pişkinlik +1</t>
        </is>
      </c>
      <c r="G364" s="6" t="inlineStr">
        <is>
          <t>'Doktor' dedin. Salon rahatladı. Kimse biyoloji notunu sormadı.</t>
        </is>
      </c>
      <c r="H364" s="6" t="inlineStr"/>
      <c r="I364" s="6" t="inlineStr"/>
      <c r="J364" s="6" t="inlineStr"/>
      <c r="K364" s="6" t="inlineStr"/>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c r="AI364" s="5" t="inlineStr"/>
      <c r="AJ364" s="5" t="inlineStr"/>
    </row>
    <row r="365">
      <c r="A365" s="5" t="inlineStr">
        <is>
          <t>b5-akraba-sorgusu</t>
        </is>
      </c>
      <c r="B365" s="5" t="n">
        <v>2</v>
      </c>
      <c r="C365" s="6" t="inlineStr">
        <is>
          <t>Gerçek hayalini anlat</t>
        </is>
      </c>
      <c r="D365" s="5" t="inlineStr">
        <is>
          <t>Cesaret</t>
        </is>
      </c>
      <c r="E365" s="5" t="inlineStr">
        <is>
          <t>Orta</t>
        </is>
      </c>
      <c r="F365" s="5" t="inlineStr"/>
      <c r="G365" s="6" t="inlineStr"/>
      <c r="H365" s="6" t="inlineStr">
        <is>
          <t>“Oyun tasarımcısı olacağım” dedin. Deden kaşlarını kaldırdı: “Biz oyunu sokakta bedavaya oynardık.” Bir kuzen alkışladı, iki teyze “Ne dedi?” diye birbirine sordu.</t>
        </is>
      </c>
      <c r="I365" s="6" t="inlineStr">
        <is>
          <t>Hayalini öyle anlattın ki en küçük kuzenin “Ben de onu olacağım” dedi. Teyzen sana ters ters baktı. İlk hayranın dokuz yaşında.</t>
        </is>
      </c>
      <c r="J365" s="6" t="inlineStr">
        <is>
          <t>Hayalini anlattın. Büyük halan çayını karıştırdı: “O iş değil ki yavrum.” Sonra lafı teyzenin kızının tıp kazanmasına getirdi.</t>
        </is>
      </c>
      <c r="K365" s="6" t="inlineStr">
        <is>
          <t>Hayalini anlattın. Artık her ziyarette bir akraba 'Nasıl gidiyor o iş?' diye soruyor. İş yok.</t>
        </is>
      </c>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c r="AI365" s="5" t="inlineStr"/>
      <c r="AJ365" s="5" t="inlineStr"/>
    </row>
    <row r="366">
      <c r="A366" s="5" t="inlineStr">
        <is>
          <t>b5-akraba-sorgusu</t>
        </is>
      </c>
      <c r="B366" s="5" t="n">
        <v>3</v>
      </c>
      <c r="C366" s="6" t="inlineStr">
        <is>
          <t>'Siz ne olmamı istersiniz?' de</t>
        </is>
      </c>
      <c r="D366" s="5" t="inlineStr">
        <is>
          <t>Çene</t>
        </is>
      </c>
      <c r="E366" s="5" t="inlineStr">
        <is>
          <t>Kolay</t>
        </is>
      </c>
      <c r="F366" s="5" t="inlineStr"/>
      <c r="G366" s="6" t="inlineStr"/>
      <c r="H366" s="6" t="inlineStr">
        <is>
          <t>Soruyu geri attın. On bir akraba kırk dakika tartıştı. Sen kuruyemişi bitirdin.</t>
        </is>
      </c>
      <c r="I366" s="6" t="inlineStr">
        <is>
          <t>Salon tıp ve mühendislik diye ikiye bölündü. Sen oylamayı beklemeden kapıdan çıktın.</t>
        </is>
      </c>
      <c r="J366" s="6" t="inlineStr">
        <is>
          <t>Soruyu geri attın. Büyük hala 'Ben sordum' dedi.</t>
        </is>
      </c>
      <c r="K366" s="6" t="inlineStr">
        <is>
          <t>Soruyu geri attın. On bir akraba aynı anda 'Doktor' dedi. Oy birliği sağlandı.</t>
        </is>
      </c>
      <c r="L366" s="6" t="inlineStr"/>
      <c r="M366" s="5" t="inlineStr"/>
      <c r="N366" s="5" t="inlineStr"/>
      <c r="O366" s="6" t="inlineStr"/>
      <c r="P366" s="6" t="inlineStr"/>
      <c r="Q366" s="5" t="inlineStr"/>
      <c r="R366" s="5" t="inlineStr"/>
      <c r="S366" s="5" t="inlineStr">
        <is>
          <t>Çene</t>
        </is>
      </c>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c r="AI366" s="5" t="inlineStr"/>
      <c r="AJ366" s="5" t="inlineStr"/>
    </row>
    <row r="367">
      <c r="A367" s="5" t="inlineStr">
        <is>
          <t>b5-akraba-sorgusu</t>
        </is>
      </c>
      <c r="B367" s="5" t="n">
        <v>4</v>
      </c>
      <c r="C367" s="6" t="inlineStr">
        <is>
          <t>Ağzını hep dolu tut</t>
        </is>
      </c>
      <c r="D367" s="5" t="inlineStr">
        <is>
          <t>Dayanıklılık</t>
        </is>
      </c>
      <c r="E367" s="5" t="inlineStr">
        <is>
          <t>Kolay</t>
        </is>
      </c>
      <c r="F367" s="5" t="inlineStr"/>
      <c r="G367" s="6" t="inlineStr"/>
      <c r="H367" s="6" t="inlineStr">
        <is>
          <t>Ağzın bir saat boyunca doluydu. Soru sonunda başka bir kuzene geçti.</t>
        </is>
      </c>
      <c r="I367" s="6" t="inlineStr">
        <is>
          <t>Tabağın dibini gördün; tabak yenilendi, soru hiç sana dönmedi.</t>
        </is>
      </c>
      <c r="J367" s="6" t="inlineStr">
        <is>
          <t>Ağzın doluyken sordular. Beklediler. Sen yuttun. Hâlâ bekliyorlardı.</t>
        </is>
      </c>
      <c r="K367" s="6" t="inlineStr">
        <is>
          <t>Fıstık yanlış yere kaçtı. Biri su getirdi. Soru bu kez 'Doktor olsan bunu bilirdin' diye geldi.</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c r="AI367" s="5" t="inlineStr"/>
      <c r="AJ367" s="5" t="inlineStr"/>
    </row>
    <row r="368">
      <c r="A368" s="5" t="inlineStr">
        <is>
          <t>b5-okul-gezisi</t>
        </is>
      </c>
      <c r="B368" s="5" t="n">
        <v>1</v>
      </c>
      <c r="C368" s="6" t="inlineStr">
        <is>
          <t>Öğretmenin yanına otur</t>
        </is>
      </c>
      <c r="D368" s="5" t="inlineStr"/>
      <c r="E368" s="5" t="inlineStr"/>
      <c r="F368" s="5" t="inlineStr">
        <is>
          <t>Akıl +1</t>
        </is>
      </c>
      <c r="G368" s="6" t="inlineStr">
        <is>
          <t>Dört saat öğretmenin yanında oturdun. Öğretmen önce yöre tarihini, sonra kayınvalidesini anlattı. Müzeye vardığınızda ikisini de ezbere biliyordun.</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c r="AI368" s="5" t="inlineStr"/>
      <c r="AJ368" s="5" t="inlineStr"/>
    </row>
    <row r="369">
      <c r="A369" s="5" t="inlineStr">
        <is>
          <t>b5-okul-gezisi</t>
        </is>
      </c>
      <c r="B369" s="5" t="n">
        <v>2</v>
      </c>
      <c r="C369" s="6" t="inlineStr">
        <is>
          <t>Arka koltuğa sız</t>
        </is>
      </c>
      <c r="D369" s="5" t="inlineStr">
        <is>
          <t>Pişkinlik</t>
        </is>
      </c>
      <c r="E369" s="5" t="inlineStr">
        <is>
          <t>Zor</t>
        </is>
      </c>
      <c r="F369" s="5" t="inlineStr"/>
      <c r="G369" s="6" t="inlineStr"/>
      <c r="H369" s="6" t="inlineStr">
        <is>
          <t>Arka koltuğa oturdun ve kimse bir şey demedi. Tapuya şerh düşüldü.</t>
        </is>
      </c>
      <c r="I369" s="6" t="inlineStr">
        <is>
          <t>Dönüş yolunda müzik seçimi sana geçti. Ön koltuktaki öğretmen bile ayağıyla tempo tutuyordu.</t>
        </is>
      </c>
      <c r="J369" s="6" t="inlineStr">
        <is>
          <t>Arka koltuğa oturdun. Sahibi geldi, bir şey demedi, sadece durdu. Sen kalktın.</t>
        </is>
      </c>
      <c r="K369" s="6" t="inlineStr">
        <is>
          <t>İlk virajda koltuktan kayıp ön tarafa kadar geldin. Dönüşte öğretmenin yanı sana ayrıldı.</t>
        </is>
      </c>
      <c r="L369" s="6" t="inlineStr"/>
      <c r="M369" s="5" t="inlineStr"/>
      <c r="N369" s="5" t="inlineStr"/>
      <c r="O369" s="6" t="inlineStr"/>
      <c r="P369" s="6" t="inlineStr"/>
      <c r="Q369" s="5" t="inlineStr"/>
      <c r="R369" s="5" t="inlineStr"/>
      <c r="S369" s="5" t="inlineStr"/>
      <c r="T369" s="5" t="inlineStr"/>
      <c r="U369" s="5" t="inlineStr"/>
      <c r="V369" s="5" t="inlineStr"/>
      <c r="W369" s="5" t="inlineStr"/>
      <c r="X369" s="5" t="inlineStr"/>
      <c r="Y369" s="5" t="inlineStr"/>
      <c r="Z369" s="6" t="inlineStr"/>
      <c r="AA369" s="5" t="inlineStr"/>
      <c r="AB369" s="5" t="inlineStr"/>
      <c r="AC369" s="5" t="inlineStr"/>
      <c r="AD369" s="5" t="inlineStr"/>
      <c r="AE369" s="5" t="inlineStr"/>
      <c r="AF369" s="5" t="inlineStr"/>
      <c r="AG369" s="5" t="inlineStr"/>
      <c r="AH369" s="5" t="inlineStr"/>
      <c r="AI369" s="5" t="inlineStr"/>
      <c r="AJ369" s="5" t="inlineStr"/>
    </row>
    <row r="370">
      <c r="A370" s="5" t="inlineStr">
        <is>
          <t>b5-okul-gezisi</t>
        </is>
      </c>
      <c r="B370" s="5" t="n">
        <v>3</v>
      </c>
      <c r="C370" s="6" t="inlineStr">
        <is>
          <t>Yolculuk listesi hazırla</t>
        </is>
      </c>
      <c r="D370" s="5" t="inlineStr">
        <is>
          <t>Sosyal Radar</t>
        </is>
      </c>
      <c r="E370" s="5" t="inlineStr">
        <is>
          <t>Orta</t>
        </is>
      </c>
      <c r="F370" s="5" t="inlineStr"/>
      <c r="G370" s="6" t="inlineStr"/>
      <c r="H370" s="6" t="inlineStr">
        <is>
          <t>Listen tuttu. Arka koltuk ilk kez ön koltukla aynı şarkıyı söyledi.</t>
        </is>
      </c>
      <c r="I370" s="6" t="inlineStr">
        <is>
          <t>Gezinin asıl anısı listen oldu. Müzeyi kimse hatırlamıyor.</t>
        </is>
      </c>
      <c r="J370" s="6" t="inlineStr">
        <is>
          <t>Listeyi açtın. Şoför kendi radyosunu açtı.</t>
        </is>
      </c>
      <c r="K370" s="6" t="inlineStr">
        <is>
          <t>Listenin ortasına annenin şarkıları karışmış. Bütün otobüs hep bir ağızdan söyledi; sana gülerek.</t>
        </is>
      </c>
      <c r="L370" s="6" t="inlineStr"/>
      <c r="M370" s="5" t="inlineStr"/>
      <c r="N370" s="5" t="inlineStr"/>
      <c r="O370" s="6" t="inlineStr"/>
      <c r="P370" s="6" t="inlineStr"/>
      <c r="Q370" s="5" t="inlineStr"/>
      <c r="R370" s="5" t="inlineStr"/>
      <c r="S370" s="5" t="inlineStr"/>
      <c r="T370" s="5" t="inlineStr"/>
      <c r="U370" s="5" t="inlineStr"/>
      <c r="V370" s="5" t="inlineStr"/>
      <c r="W370" s="5" t="inlineStr"/>
      <c r="X370" s="5" t="inlineStr"/>
      <c r="Y370" s="5" t="inlineStr"/>
      <c r="Z370" s="6" t="inlineStr"/>
      <c r="AA370" s="5" t="inlineStr"/>
      <c r="AB370" s="5" t="inlineStr"/>
      <c r="AC370" s="5" t="inlineStr"/>
      <c r="AD370" s="5" t="inlineStr"/>
      <c r="AE370" s="5" t="inlineStr"/>
      <c r="AF370" s="5" t="inlineStr"/>
      <c r="AG370" s="5" t="inlineStr"/>
      <c r="AH370" s="5" t="inlineStr"/>
      <c r="AI370" s="5" t="inlineStr"/>
      <c r="AJ370" s="5" t="inlineStr"/>
    </row>
    <row r="371">
      <c r="A371" s="5" t="inlineStr">
        <is>
          <t>b5-fenomen-video</t>
        </is>
      </c>
      <c r="B371" s="5" t="n">
        <v>1</v>
      </c>
      <c r="C371" s="6" t="inlineStr">
        <is>
          <t>Telefonu kapat</t>
        </is>
      </c>
      <c r="D371" s="5" t="inlineStr"/>
      <c r="E371" s="5" t="inlineStr"/>
      <c r="F371" s="5" t="inlineStr">
        <is>
          <t>Dayanıklılık +1</t>
        </is>
      </c>
      <c r="G371" s="6" t="inlineStr">
        <is>
          <t>Telefonu kapattın. Ertesi sabah sayı durmuştu; internet başka birine geçmişti. Teyzen yine de videoyu aile grubuna attı.</t>
        </is>
      </c>
      <c r="H371" s="6" t="inlineStr"/>
      <c r="I371" s="6" t="inlineStr"/>
      <c r="J371" s="6" t="inlineStr"/>
      <c r="K371" s="6" t="inlineStr"/>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c r="AI371" s="5" t="inlineStr"/>
      <c r="AJ371" s="5" t="inlineStr"/>
    </row>
    <row r="372">
      <c r="A372" s="5" t="inlineStr">
        <is>
          <t>b5-fenomen-video</t>
        </is>
      </c>
      <c r="B372" s="5" t="n">
        <v>2</v>
      </c>
      <c r="C372" s="6" t="inlineStr">
        <is>
          <t>Hemen ikinci videoyu çek</t>
        </is>
      </c>
      <c r="D372" s="5" t="inlineStr">
        <is>
          <t>Pişkinlik</t>
        </is>
      </c>
      <c r="E372" s="5" t="inlineStr">
        <is>
          <t>Zor</t>
        </is>
      </c>
      <c r="F372" s="5" t="inlineStr"/>
      <c r="G372" s="6" t="inlineStr"/>
      <c r="H372" s="6" t="inlineStr">
        <is>
          <t>İkinci video da tuttu. Mahallede sana artık “o video” diye sesleniyorlar; bakkal bile.</t>
        </is>
      </c>
      <c r="I372" s="6" t="inlineStr">
        <is>
          <t>Üçüncü video mahalle dönercisinden sponsorluk getirdi. Ömür boyu yarım porsiyon bedava.</t>
        </is>
      </c>
      <c r="J372" s="6" t="inlineStr">
        <is>
          <t>İkinci video kırk izlenme aldı. Otuz dokuzu sensin.</t>
        </is>
      </c>
      <c r="K372" s="6" t="inlineStr">
        <is>
          <t>İkinci videoda annen arkadan geçti; bornozla. İlkinden çok izlendi. Annen artık pazarda tanınıyor; sen “bornozlu teyzenin çocuğu”sun.</t>
        </is>
      </c>
      <c r="L372" s="6" t="inlineStr"/>
      <c r="M372" s="5" t="inlineStr"/>
      <c r="N372" s="5" t="inlineStr"/>
      <c r="O372" s="6" t="inlineStr"/>
      <c r="P372" s="6" t="inlineStr"/>
      <c r="Q372" s="5" t="inlineStr"/>
      <c r="R372" s="5" t="inlineStr"/>
      <c r="S372" s="5" t="inlineStr"/>
      <c r="T372" s="5" t="inlineStr"/>
      <c r="U372" s="5" t="inlineStr"/>
      <c r="V372" s="5" t="inlineStr">
        <is>
          <t>fenomen</t>
        </is>
      </c>
      <c r="W372" s="5" t="inlineStr"/>
      <c r="X372" s="5" t="inlineStr"/>
      <c r="Y372" s="5" t="inlineStr"/>
      <c r="Z372" s="6" t="inlineStr"/>
      <c r="AA372" s="5" t="inlineStr"/>
      <c r="AB372" s="5" t="inlineStr"/>
      <c r="AC372" s="5" t="inlineStr"/>
      <c r="AD372" s="5" t="inlineStr"/>
      <c r="AE372" s="5" t="inlineStr"/>
      <c r="AF372" s="5" t="inlineStr"/>
      <c r="AG372" s="5" t="inlineStr"/>
      <c r="AH372" s="5" t="inlineStr"/>
      <c r="AI372" s="5" t="inlineStr"/>
      <c r="AJ372" s="5" t="inlineStr"/>
    </row>
    <row r="373">
      <c r="A373" s="5" t="inlineStr">
        <is>
          <t>b5-fenomen-video</t>
        </is>
      </c>
      <c r="B373" s="5" t="n">
        <v>3</v>
      </c>
      <c r="C373" s="6" t="inlineStr">
        <is>
          <t>Eski takipçilerine seslen</t>
        </is>
      </c>
      <c r="D373" s="5" t="inlineStr">
        <is>
          <t>Çene</t>
        </is>
      </c>
      <c r="E373" s="5" t="inlineStr">
        <is>
          <t>Kolay</t>
        </is>
      </c>
      <c r="F373" s="5" t="inlineStr"/>
      <c r="G373" s="6" t="inlineStr"/>
      <c r="H373" s="6" t="inlineStr">
        <is>
          <t>Eski takipçilerin geri döndü. İlk yorum halandan geldi: “Bu benim yeğenim!” Altına kırk kişi kalp bıraktı.</t>
        </is>
      </c>
      <c r="I373" s="6" t="inlineStr">
        <is>
          <t>Geri dönüşün eski şöhretini ikiye katladı. Bir teyze otobüste seni tanıyıp yer verdi. Kariyer zirvesi.</t>
        </is>
      </c>
      <c r="J373" s="6" t="inlineStr">
        <is>
          <t>Seslendin. Takipçilerin başka birine seslenmekle meşgul.</t>
        </is>
      </c>
      <c r="K373" s="6" t="inlineStr">
        <is>
          <t>Seslenişte heyecandan kendi adını yanlış söyledin. Bir hafta boyunca yorumlarda sana o adla seslenildi; teyzen dahil.</t>
        </is>
      </c>
      <c r="L373" s="6" t="inlineStr"/>
      <c r="M373" s="5" t="inlineStr"/>
      <c r="N373" s="5" t="inlineStr"/>
      <c r="O373" s="6" t="inlineStr"/>
      <c r="P373" s="6" t="inlineStr"/>
      <c r="Q373" s="5" t="inlineStr"/>
      <c r="R373" s="5" t="inlineStr">
        <is>
          <t>fenomen</t>
        </is>
      </c>
      <c r="S373" s="5" t="inlineStr"/>
      <c r="T373" s="5" t="inlineStr"/>
      <c r="U373" s="5" t="inlineStr"/>
      <c r="V373" s="5" t="inlineStr">
        <is>
          <t>fenomen</t>
        </is>
      </c>
      <c r="W373" s="5" t="inlineStr"/>
      <c r="X373" s="5" t="inlineStr"/>
      <c r="Y373" s="5" t="inlineStr"/>
      <c r="Z373" s="6" t="inlineStr"/>
      <c r="AA373" s="5" t="inlineStr"/>
      <c r="AB373" s="5" t="inlineStr"/>
      <c r="AC373" s="5" t="inlineStr"/>
      <c r="AD373" s="5" t="inlineStr"/>
      <c r="AE373" s="5" t="inlineStr"/>
      <c r="AF373" s="5" t="inlineStr"/>
      <c r="AG373" s="5" t="inlineStr"/>
      <c r="AH373" s="5" t="inlineStr"/>
      <c r="AI373" s="5" t="inlineStr"/>
      <c r="AJ373" s="5" t="inlineStr"/>
    </row>
    <row r="374">
      <c r="A374" s="5" t="inlineStr">
        <is>
          <t>b5-fenomen-video</t>
        </is>
      </c>
      <c r="B374" s="5" t="n">
        <v>4</v>
      </c>
      <c r="C374" s="6" t="inlineStr">
        <is>
          <t>Gelen teklifleri değerlendir</t>
        </is>
      </c>
      <c r="D374" s="5" t="inlineStr">
        <is>
          <t>Kurnazlık</t>
        </is>
      </c>
      <c r="E374" s="5" t="inlineStr">
        <is>
          <t>Orta</t>
        </is>
      </c>
      <c r="F374" s="5" t="inlineStr"/>
      <c r="G374" s="6" t="inlineStr"/>
      <c r="H374" s="6" t="inlineStr">
        <is>
          <t>Tek teklifi kabul ettin: mahalle kırtasiyesinin tanıtımı. Karşılığı bir yıllık defter.</t>
        </is>
      </c>
      <c r="I374" s="6" t="inlineStr">
        <is>
          <t>Teklifi pazarlıkla ikiye katladın: iki yıllık defter ve bir hesap makinesi.</t>
        </is>
      </c>
      <c r="J374" s="6" t="inlineStr">
        <is>
          <t>Menajerin olduğunu söyleyen kişi sınıftan biriymiş. Yüzde elli istedi.</t>
        </is>
      </c>
      <c r="K374" s="6" t="inlineStr">
        <is>
          <t>Menajerlik sözleşmesi imzaladın. Menajer kuzenin çıktı. Hâlâ komisyonunu soruyor.</t>
        </is>
      </c>
      <c r="L374" s="6" t="inlineStr"/>
      <c r="M374" s="5" t="inlineStr"/>
      <c r="N374" s="5" t="inlineStr"/>
      <c r="O374" s="6" t="inlineStr"/>
      <c r="P374" s="6" t="inlineStr"/>
      <c r="Q374" s="5" t="inlineStr"/>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c r="AI374" s="5" t="inlineStr"/>
      <c r="AJ374" s="5" t="inlineStr"/>
    </row>
    <row r="375">
      <c r="A375" s="5" t="inlineStr">
        <is>
          <t>b5-yaz-isi-garson</t>
        </is>
      </c>
      <c r="B375" s="5" t="n">
        <v>1</v>
      </c>
      <c r="C375" s="6" t="inlineStr">
        <is>
          <t>Tepsiyi taşı</t>
        </is>
      </c>
      <c r="D375" s="5" t="inlineStr">
        <is>
          <t>Dayanıklılık</t>
        </is>
      </c>
      <c r="E375" s="5" t="inlineStr">
        <is>
          <t>Orta</t>
        </is>
      </c>
      <c r="F375" s="5" t="inlineStr"/>
      <c r="G375" s="6" t="inlineStr"/>
      <c r="H375" s="6" t="inlineStr">
        <is>
          <t>On iki çayı dökmeden taşıdın. Patron başını salladı; ertesi gün tepsine on üçüncü bardağı koydu.</t>
        </is>
      </c>
      <c r="I375" s="6" t="inlineStr">
        <is>
          <t>Tepsiyi tek elle taşırken bir yandan müşteriye laf yetiştirdin. Patron sana 'usta' diyor.</t>
        </is>
      </c>
      <c r="J375" s="6" t="inlineStr">
        <is>
          <t>Bardaklar tabaklara taştı. Müşteriler 'Çay mı bu, çay çorbası mı?' diye soruyor.</t>
        </is>
      </c>
      <c r="K375" s="6" t="inlineStr">
        <is>
          <t>Tepsi masaya ulaştı. Sen ulaşamadın. On iki bardak, bir şekerlik ve sen yerdeydiniz. Müdavim bir amca alkışladı, sonra bütün bahçe; patron kırıkları tek tek sayıp deftere yazdı.</t>
        </is>
      </c>
      <c r="L375" s="6" t="inlineStr">
        <is>
          <t>Çayların çoğu yerine ulaştı. Şekerlik ulaşamadı; martılar memnun.</t>
        </is>
      </c>
      <c r="M375" s="5" t="inlineStr">
        <is>
          <t>tower</t>
        </is>
      </c>
      <c r="N375" s="5" t="inlineStr">
        <is>
          <t>Çay Tepsisi</t>
        </is>
      </c>
      <c r="O375" s="6" t="inlineStr">
        <is>
          <t>Kaymadan üst üste dizmek için doğru anda BIRAK'a bas.</t>
        </is>
      </c>
      <c r="P375" s="6" t="inlineStr">
        <is>
          <t>{"item": "🫖"}</t>
        </is>
      </c>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c r="AI375" s="5" t="inlineStr"/>
      <c r="AJ375" s="5" t="inlineStr"/>
    </row>
    <row r="376">
      <c r="A376" s="5" t="inlineStr">
        <is>
          <t>b5-yaz-isi-garson</t>
        </is>
      </c>
      <c r="B376" s="5" t="n">
        <v>2</v>
      </c>
      <c r="C376" s="6" t="inlineStr">
        <is>
          <t>Siparişleri akılda tut</t>
        </is>
      </c>
      <c r="D376" s="5" t="inlineStr">
        <is>
          <t>Akıl</t>
        </is>
      </c>
      <c r="E376" s="5" t="inlineStr">
        <is>
          <t>Kolay</t>
        </is>
      </c>
      <c r="F376" s="5" t="inlineStr"/>
      <c r="G376" s="6" t="inlineStr"/>
      <c r="H376" s="6" t="inlineStr">
        <is>
          <t>Deftersiz sipariş aldın, hepsini doğru getirdin. Bahşişler senin masalarına bırakıldı.</t>
        </is>
      </c>
      <c r="I376" s="6" t="inlineStr">
        <is>
          <t>Müdavimlerin siparişini onlar söylemeden getiriyorsun. Bahşiş kavanozu adınla anılıyor.</t>
        </is>
      </c>
      <c r="J376" s="6" t="inlineStr">
        <is>
          <t>Siparişleri hatırladın, masaları karıştırdın. Açık çay isteyen iki şekerli demli içti.</t>
        </is>
      </c>
      <c r="K376" s="6" t="inlineStr">
        <is>
          <t>Bütün siparişleri eksiksiz ve doğru getirdin. Yandaki çay bahçesine.</t>
        </is>
      </c>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c r="AI376" s="5" t="inlineStr"/>
      <c r="AJ376" s="5" t="inlineStr"/>
    </row>
    <row r="377">
      <c r="A377" s="5" t="inlineStr">
        <is>
          <t>b5-yaz-isi-garson</t>
        </is>
      </c>
      <c r="B377" s="5" t="n">
        <v>3</v>
      </c>
      <c r="C377" s="6" t="inlineStr">
        <is>
          <t>Kasaya geç</t>
        </is>
      </c>
      <c r="D377" s="5" t="inlineStr">
        <is>
          <t>Kurnazlık</t>
        </is>
      </c>
      <c r="E377" s="5" t="inlineStr">
        <is>
          <t>Kolay</t>
        </is>
      </c>
      <c r="F377" s="5" t="inlineStr"/>
      <c r="G377" s="6" t="inlineStr"/>
      <c r="H377" s="6" t="inlineStr">
        <is>
          <t>Kasaya geçtin; para üstü hiç şaşmadı. Patron ilk kez kasayı sayarken gülümsedi.</t>
        </is>
      </c>
      <c r="I377" s="6" t="inlineStr">
        <is>
          <t>Kasa bütün yaz kuruşu kuruşuna tuttu. Sezon sonunda patron kasanın anahtarını sana bıraktı: “Seneye de gel. Erken gel.”</t>
        </is>
      </c>
      <c r="J377" s="6" t="inlineStr">
        <is>
          <t>Kasaya geçtin. Herkes kartla ödedi. Bütün gün tek bir para üstü verdin; o da doğruydu.</t>
        </is>
      </c>
      <c r="K377" s="6" t="inlineStr">
        <is>
          <t>Para üstünü o kadar hızlı verdin ki bir müşteriye iki kez verdin. Müşteri ertesi gün geldi, farkı geri verdi ve patrona döndü: “Bu çocuğu kasaya koymayın.”</t>
        </is>
      </c>
      <c r="L377" s="6" t="inlineStr"/>
      <c r="M377" s="5" t="inlineStr"/>
      <c r="N377" s="5" t="inlineStr"/>
      <c r="O377" s="6" t="inlineStr"/>
      <c r="P377" s="6" t="inlineStr"/>
      <c r="Q377" s="5" t="inlineStr">
        <is>
          <t>Para Üstü Radarı</t>
        </is>
      </c>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c r="AI377" s="5" t="inlineStr"/>
      <c r="AJ377" s="5" t="inlineStr"/>
    </row>
    <row r="378">
      <c r="A378" s="5" t="inlineStr">
        <is>
          <t>b5-yaz-isi-garson</t>
        </is>
      </c>
      <c r="B378" s="5" t="n">
        <v>4</v>
      </c>
      <c r="C378" s="6" t="inlineStr">
        <is>
          <t>İlk gün istifa et</t>
        </is>
      </c>
      <c r="D378" s="5" t="inlineStr"/>
      <c r="E378" s="5" t="inlineStr"/>
      <c r="F378" s="5" t="inlineStr">
        <is>
          <t>Pişkinlik +1</t>
        </is>
      </c>
      <c r="G378" s="6" t="inlineStr">
        <is>
          <t>Öğlene doğru önlüğü çıkarıp patrona uzattın. Patron yarım günlüğünü avucuna saydı: “Seneye gel, belki büyürsün.” Eve vardığında annen saate baktı: “Bu kadar çabuk mu bitti?”</t>
        </is>
      </c>
      <c r="H378" s="6" t="inlineStr"/>
      <c r="I378" s="6" t="inlineStr"/>
      <c r="J378" s="6" t="inlineStr"/>
      <c r="K378" s="6" t="inlineStr"/>
      <c r="L378" s="6" t="inlineStr"/>
      <c r="M378" s="5" t="inlineStr"/>
      <c r="N378" s="5" t="inlineStr"/>
      <c r="O378" s="6" t="inlineStr"/>
      <c r="P378" s="6" t="inlineStr"/>
      <c r="Q378" s="5" t="inlineStr"/>
      <c r="R378" s="5" t="inlineStr"/>
      <c r="S378" s="5" t="inlineStr"/>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c r="AI378" s="5" t="inlineStr"/>
      <c r="AJ378" s="5" t="inlineStr"/>
    </row>
    <row r="379">
      <c r="A379" s="5" t="inlineStr">
        <is>
          <t>b5-ilk-maas</t>
        </is>
      </c>
      <c r="B379" s="5" t="n">
        <v>1</v>
      </c>
      <c r="C379" s="6" t="inlineStr">
        <is>
          <t>Annene hediye al</t>
        </is>
      </c>
      <c r="D379" s="5" t="inlineStr"/>
      <c r="E379" s="5" t="inlineStr"/>
      <c r="F379" s="5" t="inlineStr">
        <is>
          <t>Gönül +1</t>
        </is>
      </c>
      <c r="G379" s="6" t="inlineStr">
        <is>
          <t>Annene bir fular aldın. Beğenmedi. Dolabın en özel çekmecesinde, etiketiyle duruyor.</t>
        </is>
      </c>
      <c r="H379" s="6" t="inlineStr"/>
      <c r="I379" s="6" t="inlineStr"/>
      <c r="J379" s="6" t="inlineStr"/>
      <c r="K379" s="6" t="inlineStr"/>
      <c r="L379" s="6" t="inlineStr"/>
      <c r="M379" s="5" t="inlineStr"/>
      <c r="N379" s="5" t="inlineStr"/>
      <c r="O379" s="6" t="inlineStr"/>
      <c r="P379" s="6" t="inlineStr"/>
      <c r="Q379" s="5" t="inlineStr"/>
      <c r="R379" s="5" t="inlineStr"/>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c r="AI379" s="5" t="inlineStr"/>
      <c r="AJ379" s="5" t="inlineStr"/>
    </row>
    <row r="380">
      <c r="A380" s="5" t="inlineStr">
        <is>
          <t>b5-ilk-maas</t>
        </is>
      </c>
      <c r="B380" s="5" t="n">
        <v>2</v>
      </c>
      <c r="C380" s="6" t="inlineStr">
        <is>
          <t>Hepsini biriktir</t>
        </is>
      </c>
      <c r="D380" s="5" t="inlineStr">
        <is>
          <t>Dayanıklılık</t>
        </is>
      </c>
      <c r="E380" s="5" t="inlineStr">
        <is>
          <t>Orta</t>
        </is>
      </c>
      <c r="F380" s="5" t="inlineStr"/>
      <c r="G380" s="6" t="inlineStr"/>
      <c r="H380" s="6" t="inlineStr">
        <is>
          <t>Hepsini biriktirdin. Yaz sonunda para hâlâ oradaydı; değeri biraz eksikti.</t>
        </is>
      </c>
      <c r="I380" s="6" t="inlineStr">
        <is>
          <t>Bir yıl boyunca dokunmadın. Ay sonunda baban mutfakta yanına gelip sesini alçalttı: “Sende biraz var mı? Annene söyleme.”</t>
        </is>
      </c>
      <c r="J380" s="6" t="inlineStr">
        <is>
          <t>İlk hafta sonu küçük bir istisna yaptın. Sonra bir tane daha. Sonra bir tane daha.</t>
        </is>
      </c>
      <c r="K380" s="6" t="inlineStr">
        <is>
          <t>Parayı kışlık botunun içine sakladın. Annen botları eskiciye verdi. Bu kış birinin ayakları çok sıcak, cebi de dolu.</t>
        </is>
      </c>
      <c r="L380" s="6" t="inlineStr"/>
      <c r="M380" s="5" t="inlineStr"/>
      <c r="N380" s="5" t="inlineStr"/>
      <c r="O380" s="6" t="inlineStr"/>
      <c r="P380" s="6" t="inlineStr"/>
      <c r="Q380" s="5" t="inlineStr"/>
      <c r="R380" s="5" t="inlineStr"/>
      <c r="S380" s="5" t="inlineStr"/>
      <c r="T380" s="5" t="inlineStr"/>
      <c r="U380" s="5" t="inlineStr"/>
      <c r="V380" s="5" t="inlineStr"/>
      <c r="W380" s="5" t="inlineStr"/>
      <c r="X380" s="5" t="inlineStr"/>
      <c r="Y380" s="5" t="inlineStr"/>
      <c r="Z380" s="6" t="inlineStr"/>
      <c r="AA380" s="5" t="inlineStr"/>
      <c r="AB380" s="5" t="inlineStr"/>
      <c r="AC380" s="5" t="inlineStr"/>
      <c r="AD380" s="5" t="inlineStr"/>
      <c r="AE380" s="5" t="inlineStr"/>
      <c r="AF380" s="5" t="inlineStr"/>
      <c r="AG380" s="5" t="inlineStr"/>
      <c r="AH380" s="5" t="inlineStr"/>
      <c r="AI380" s="5" t="inlineStr"/>
      <c r="AJ380" s="5" t="inlineStr"/>
    </row>
    <row r="381">
      <c r="A381" s="5" t="inlineStr">
        <is>
          <t>b5-ilk-maas</t>
        </is>
      </c>
      <c r="B381" s="5" t="n">
        <v>3</v>
      </c>
      <c r="C381" s="6" t="inlineStr">
        <is>
          <t>Kuzeninin hesabından dijital paraya yatır</t>
        </is>
      </c>
      <c r="D381" s="5" t="inlineStr">
        <is>
          <t>Kurnazlık</t>
        </is>
      </c>
      <c r="E381" s="5" t="inlineStr">
        <is>
          <t>Orta</t>
        </is>
      </c>
      <c r="F381" s="5" t="inlineStr"/>
      <c r="G381" s="6" t="inlineStr"/>
      <c r="H381" s="6" t="inlineStr">
        <is>
          <t>Bir ay sonra küçük bir kârla çıktın. Sınıfta sana 'yatırımcı' diyorlar.</t>
        </is>
      </c>
      <c r="I381" s="6" t="inlineStr">
        <is>
          <t>İkiye katlanınca sattın; ertesi gün fiyat çöktü. Ekran görüntüsünü aile grubuna attın; dayın hâlâ “Bana da al” yazıyor.</t>
        </is>
      </c>
      <c r="J381" s="6" t="inlineStr">
        <is>
          <t>Değeri düştü. İstemeden 'uzun vadeli yatırımcı' oldun.</t>
        </is>
      </c>
      <c r="K381" s="6" t="inlineStr">
        <is>
          <t>Yatırdığın dijital paranın kurucusu bir hafta sonra 'mola' verdi. Paran da mola verdi.</t>
        </is>
      </c>
      <c r="L381" s="6" t="inlineStr"/>
      <c r="M381" s="5" t="inlineStr"/>
      <c r="N381" s="5" t="inlineStr"/>
      <c r="O381" s="6" t="inlineStr"/>
      <c r="P381" s="6" t="inlineStr"/>
      <c r="Q381" s="5" t="inlineStr"/>
      <c r="R381" s="5" t="inlineStr"/>
      <c r="S381" s="5" t="inlineStr">
        <is>
          <t>Kurnazlık</t>
        </is>
      </c>
      <c r="T381" s="5" t="inlineStr"/>
      <c r="U381" s="5" t="inlineStr"/>
      <c r="V381" s="5" t="inlineStr"/>
      <c r="W381" s="5" t="inlineStr"/>
      <c r="X381" s="5" t="inlineStr"/>
      <c r="Y381" s="5" t="inlineStr"/>
      <c r="Z381" s="6" t="inlineStr"/>
      <c r="AA381" s="5" t="inlineStr"/>
      <c r="AB381" s="5" t="inlineStr"/>
      <c r="AC381" s="5" t="inlineStr"/>
      <c r="AD381" s="5" t="inlineStr"/>
      <c r="AE381" s="5" t="inlineStr"/>
      <c r="AF381" s="5" t="inlineStr"/>
      <c r="AG381" s="5" t="inlineStr"/>
      <c r="AH381" s="5" t="inlineStr"/>
      <c r="AI381" s="5" t="inlineStr"/>
      <c r="AJ381" s="5" t="inlineStr"/>
    </row>
    <row r="382">
      <c r="A382" s="5" t="inlineStr">
        <is>
          <t>b5-ilk-maas</t>
        </is>
      </c>
      <c r="B382" s="5" t="n">
        <v>4</v>
      </c>
      <c r="C382" s="6" t="inlineStr">
        <is>
          <t>Patrondan zam iste</t>
        </is>
      </c>
      <c r="D382" s="5" t="inlineStr">
        <is>
          <t>Cesaret</t>
        </is>
      </c>
      <c r="E382" s="5" t="inlineStr">
        <is>
          <t>Zor</t>
        </is>
      </c>
      <c r="F382" s="5" t="inlineStr"/>
      <c r="G382" s="6" t="inlineStr"/>
      <c r="H382" s="6" t="inlineStr">
        <is>
          <t>Zam istedin, aldın. Patron zarfı uzatırken “Benim ilk maaşımla ev alınırdı” dedi. Seninkiyle bir ayakkabı alınıyor.</t>
        </is>
      </c>
      <c r="I382" s="6" t="inlineStr">
        <is>
          <t>Zamla birlikte bir de 'sezon primi' icat ettin. Patron hâlâ ne olduğunu anlamadı.</t>
        </is>
      </c>
      <c r="J382" s="6" t="inlineStr">
        <is>
          <t>Zam istedin. Patron “Seneye” dedi. Geçen yazki çırağa da aynısını demiş.</t>
        </is>
      </c>
      <c r="K382" s="6" t="inlineStr">
        <is>
          <t>Zam istedin. Patron maaşını yeniden hesapladı; bu kez geç kaldığın sabahları da saydı. Zarf inceldi.</t>
        </is>
      </c>
      <c r="L382" s="6" t="inlineStr"/>
      <c r="M382" s="5" t="inlineStr"/>
      <c r="N382" s="5" t="inlineStr"/>
      <c r="O382" s="6" t="inlineStr"/>
      <c r="P382" s="6" t="inlineStr"/>
      <c r="Q382" s="5" t="inlineStr"/>
      <c r="R382" s="5" t="inlineStr">
        <is>
          <t>ilkKelimePara</t>
        </is>
      </c>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c r="AI382" s="5" t="inlineStr"/>
      <c r="AJ382" s="5" t="inlineStr"/>
    </row>
    <row r="383">
      <c r="A383" s="5" t="inlineStr">
        <is>
          <t>b5-ayrilik</t>
        </is>
      </c>
      <c r="B383" s="5" t="n">
        <v>1</v>
      </c>
      <c r="C383" s="6" t="inlineStr">
        <is>
          <t>Olgunca karşıla</t>
        </is>
      </c>
      <c r="D383" s="5" t="inlineStr"/>
      <c r="E383" s="5" t="inlineStr"/>
      <c r="F383" s="5" t="inlineStr">
        <is>
          <t>Dayanıklılık +1, Gönül +1</t>
        </is>
      </c>
      <c r="G383" s="6" t="inlineStr">
        <is>
          <t>Olgunca konuştunuz, iyi dilekler dilediniz. Sonra eve gidip üç saat aynı şarkıyı dinledin.</t>
        </is>
      </c>
      <c r="H383" s="6" t="inlineStr"/>
      <c r="I383" s="6" t="inlineStr"/>
      <c r="J383" s="6" t="inlineStr"/>
      <c r="K383" s="6" t="inlineStr"/>
      <c r="L383" s="6" t="inlineStr"/>
      <c r="M383" s="5" t="inlineStr"/>
      <c r="N383" s="5" t="inlineStr"/>
      <c r="O383" s="6" t="inlineStr"/>
      <c r="P383" s="6" t="inlineStr"/>
      <c r="Q383" s="5" t="inlineStr"/>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c r="AI383" s="5" t="inlineStr"/>
      <c r="AJ383" s="5" t="inlineStr"/>
    </row>
    <row r="384">
      <c r="A384" s="5" t="inlineStr">
        <is>
          <t>b5-ayrilik</t>
        </is>
      </c>
      <c r="B384" s="5" t="n">
        <v>2</v>
      </c>
      <c r="C384" s="6" t="inlineStr">
        <is>
          <t>Önce sen yaz</t>
        </is>
      </c>
      <c r="D384" s="5" t="inlineStr">
        <is>
          <t>Kurnazlık</t>
        </is>
      </c>
      <c r="E384" s="5" t="inlineStr">
        <is>
          <t>Zor</t>
        </is>
      </c>
      <c r="F384" s="5" t="inlineStr"/>
      <c r="G384" s="6" t="inlineStr"/>
      <c r="H384" s="6" t="inlineStr">
        <is>
          <t>O yazmadan sen yazdın: “Bence ikimiz de biliyoruz.” Cevap tek kelimeydi: “Evet.” Gururun sağlam kaldı, kalbin kalmadı.</t>
        </is>
      </c>
      <c r="I384" s="6" t="inlineStr">
        <is>
          <t>Mesajın o kadar zarifti ki ekran görüntüsü arkadaş gruplarında örnek metin olarak dolaşıyor.</t>
        </is>
      </c>
      <c r="J384" s="6" t="inlineStr">
        <is>
          <t>Sen yazarken o da yazıyordu. Mesajlar aynı saniyede gitti. Beraberlik.</t>
        </is>
      </c>
      <c r="K384" s="6" t="inlineStr">
        <is>
          <t>Ayrılık mesajını aile grubuna gönderdin. Babaannen 'Kimle?' diye sordu.</t>
        </is>
      </c>
      <c r="L384" s="6" t="inlineStr"/>
      <c r="M384" s="5" t="inlineStr"/>
      <c r="N384" s="5" t="inlineStr"/>
      <c r="O384" s="6" t="inlineStr"/>
      <c r="P384" s="6" t="inlineStr"/>
      <c r="Q384" s="5" t="inlineStr"/>
      <c r="R384" s="5" t="inlineStr"/>
      <c r="S384" s="5" t="inlineStr"/>
      <c r="T384" s="5" t="inlineStr"/>
      <c r="U384" s="5" t="inlineStr">
        <is>
          <t>ilk-ayrilik</t>
        </is>
      </c>
      <c r="V384" s="5" t="inlineStr"/>
      <c r="W384" s="5" t="inlineStr"/>
      <c r="X384" s="5" t="inlineStr">
        <is>
          <t>ilk-sevgili</t>
        </is>
      </c>
      <c r="Y384" s="5" t="inlineStr"/>
      <c r="Z384" s="6" t="inlineStr"/>
      <c r="AA384" s="5" t="inlineStr"/>
      <c r="AB384" s="5" t="inlineStr"/>
      <c r="AC384" s="5" t="inlineStr"/>
      <c r="AD384" s="5" t="inlineStr"/>
      <c r="AE384" s="5" t="inlineStr"/>
      <c r="AF384" s="5" t="inlineStr"/>
      <c r="AG384" s="5" t="inlineStr"/>
      <c r="AH384" s="5" t="inlineStr"/>
      <c r="AI384" s="5" t="inlineStr"/>
      <c r="AJ384" s="5" t="inlineStr"/>
    </row>
    <row r="385">
      <c r="A385" s="5" t="inlineStr">
        <is>
          <t>b5-ayrilik</t>
        </is>
      </c>
      <c r="B385" s="5" t="n">
        <v>3</v>
      </c>
      <c r="C385" s="6" t="inlineStr">
        <is>
          <t>Kazanmaya çalış</t>
        </is>
      </c>
      <c r="D385" s="5" t="inlineStr">
        <is>
          <t>Gönül</t>
        </is>
      </c>
      <c r="E385" s="5" t="inlineStr">
        <is>
          <t>Orta</t>
        </is>
      </c>
      <c r="F385" s="5" t="inlineStr"/>
      <c r="G385" s="6" t="inlineStr"/>
      <c r="H385" s="6" t="inlineStr">
        <is>
          <t>Konuştunuz ve bir şans daha verildi. İki hafta daha el ele. Sonra yine üç nokta.</t>
        </is>
      </c>
      <c r="I385" s="6" t="inlineStr">
        <is>
          <t>Barıştınız; aynı akşam ortak bir fotoğraf paylaştınız. İlk beğeni annenden geldi. Ders çalıştığını sanıyordu.</t>
        </is>
      </c>
      <c r="J385" s="6" t="inlineStr">
        <is>
          <t>Uzun bir mesaj yazdın. Cevap: 'Tamam 👍'. Başparmak her şeyi anlattı.</t>
        </is>
      </c>
      <c r="K385" s="6" t="inlineStr">
        <is>
          <t>Bir şarkı söyleyip sesli mesaj olarak gönderdin. O sesli mesaj şu an okul koridorlarında.</t>
        </is>
      </c>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c r="AI385" s="5" t="inlineStr"/>
      <c r="AJ385" s="5" t="inlineStr"/>
    </row>
    <row r="386">
      <c r="A386" s="5" t="inlineStr">
        <is>
          <t>b5-ayrilik</t>
        </is>
      </c>
      <c r="B386" s="5" t="n">
        <v>4</v>
      </c>
      <c r="C386" s="6" t="inlineStr">
        <is>
          <t>Ayrılığı espriye çevir</t>
        </is>
      </c>
      <c r="D386" s="5" t="inlineStr">
        <is>
          <t>Pişkinlik</t>
        </is>
      </c>
      <c r="E386" s="5" t="inlineStr">
        <is>
          <t>Kolay</t>
        </is>
      </c>
      <c r="F386" s="5" t="inlineStr"/>
      <c r="G386" s="6" t="inlineStr"/>
      <c r="H386" s="6" t="inlineStr">
        <is>
          <t>Ayrılığı arkadaşlarına komik bir hikâye olarak anlattın. İki hafta sonra sen de gülüyordun.</t>
        </is>
      </c>
      <c r="I386" s="6" t="inlineStr">
        <is>
          <t>Hikâyeyi öyle anlattın ki eski sevgilin bile güldü. Gerçekten arkadaş kaldınız.</t>
        </is>
      </c>
      <c r="J386" s="6" t="inlineStr">
        <is>
          <t>Espri yaptın. Kimse gülmedi. Herkes sana acıyarak baktı.</t>
        </is>
      </c>
      <c r="K386" s="6" t="inlineStr">
        <is>
          <t>Esprin eski sevgilinin kulağına gitti. O da senin hakkında bir espri yaptı. Onunki daha iyiydi.</t>
        </is>
      </c>
      <c r="L386" s="6" t="inlineStr"/>
      <c r="M386" s="5" t="inlineStr"/>
      <c r="N386" s="5" t="inlineStr"/>
      <c r="O386" s="6" t="inlineStr"/>
      <c r="P386" s="6" t="inlineStr"/>
      <c r="Q386" s="5" t="inlineStr">
        <is>
          <t>Kendine Gülebilir</t>
        </is>
      </c>
      <c r="R386" s="5" t="inlineStr"/>
      <c r="S386" s="5" t="inlineStr"/>
      <c r="T386" s="5" t="inlineStr"/>
      <c r="U386" s="5" t="inlineStr">
        <is>
          <t>ilk-ayrilik</t>
        </is>
      </c>
      <c r="V386" s="5" t="inlineStr"/>
      <c r="W386" s="5" t="inlineStr"/>
      <c r="X386" s="5" t="inlineStr">
        <is>
          <t>ilk-sevgili</t>
        </is>
      </c>
      <c r="Y386" s="5" t="inlineStr"/>
      <c r="Z386" s="6" t="inlineStr"/>
      <c r="AA386" s="5" t="inlineStr"/>
      <c r="AB386" s="5" t="inlineStr"/>
      <c r="AC386" s="5" t="inlineStr"/>
      <c r="AD386" s="5" t="inlineStr"/>
      <c r="AE386" s="5" t="inlineStr"/>
      <c r="AF386" s="5" t="inlineStr"/>
      <c r="AG386" s="5" t="inlineStr"/>
      <c r="AH386" s="5" t="inlineStr"/>
      <c r="AI386" s="5" t="inlineStr"/>
      <c r="AJ386" s="5" t="inlineStr"/>
    </row>
    <row r="387">
      <c r="A387" s="5" t="inlineStr">
        <is>
          <t>b5-beden-dersi</t>
        </is>
      </c>
      <c r="B387" s="5" t="n">
        <v>1</v>
      </c>
      <c r="C387" s="6" t="inlineStr">
        <is>
          <t>Pasör ol</t>
        </is>
      </c>
      <c r="D387" s="5" t="inlineStr">
        <is>
          <t>Dayanıklılık</t>
        </is>
      </c>
      <c r="E387" s="5" t="inlineStr">
        <is>
          <t>Orta</t>
        </is>
      </c>
      <c r="F387" s="5" t="inlineStr"/>
      <c r="G387" s="6" t="inlineStr"/>
      <c r="H387" s="6" t="inlineStr">
        <is>
          <t>Pasör oldun; takımın iki maç kazandı. Alkışı smaçı vuran aldı, sana sırtına bir şaplak düştü. Pasörün kaderi.</t>
        </is>
      </c>
      <c r="I387" s="6" t="inlineStr">
        <is>
          <t>Paslarını gören beden öğretmeni seni okul takımına çağırdı. Adını ilk kez doğru söyledi.</t>
        </is>
      </c>
      <c r="J387" s="6" t="inlineStr">
        <is>
          <t>Pas verdin. Top tavandaki lambaya gitti. Lamba hâlâ sallanıyor.</t>
        </is>
      </c>
      <c r="K387" s="6" t="inlineStr">
        <is>
          <t>Pas verecekken topa bütün gücünle vurdun. Top salonun camını kırıp bitişik bahçeye düştü. Bahçedeki teyze topu vermedi; turnuva bitti, camın parası sınıfa bölündü.</t>
        </is>
      </c>
      <c r="L387" s="6" t="inlineStr"/>
      <c r="M387" s="5" t="inlineStr"/>
      <c r="N387" s="5" t="inlineStr"/>
      <c r="O387" s="6" t="inlineStr"/>
      <c r="P387" s="6" t="inlineStr"/>
      <c r="Q387" s="5" t="inlineStr"/>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c r="AI387" s="5" t="inlineStr"/>
      <c r="AJ387" s="5" t="inlineStr"/>
    </row>
    <row r="388">
      <c r="A388" s="5" t="inlineStr">
        <is>
          <t>b5-beden-dersi</t>
        </is>
      </c>
      <c r="B388" s="5" t="n">
        <v>2</v>
      </c>
      <c r="C388" s="6" t="inlineStr">
        <is>
          <t>Kenarda puan tut</t>
        </is>
      </c>
      <c r="D388" s="5" t="inlineStr"/>
      <c r="E388" s="5" t="inlineStr"/>
      <c r="F388" s="5" t="inlineStr">
        <is>
          <t>Akıl +1</t>
        </is>
      </c>
      <c r="G388" s="6" t="inlineStr">
        <is>
          <t>Maç 25-23 bitti. Sen 25-24 yazdın. İtiraz eden olmadı; defter sende.</t>
        </is>
      </c>
      <c r="H388" s="6" t="inlineStr"/>
      <c r="I388" s="6" t="inlineStr"/>
      <c r="J388" s="6" t="inlineStr"/>
      <c r="K388" s="6" t="inlineStr"/>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c r="AI388" s="5" t="inlineStr"/>
      <c r="AJ388" s="5" t="inlineStr"/>
    </row>
    <row r="389">
      <c r="A389" s="5" t="inlineStr">
        <is>
          <t>b5-beden-dersi</t>
        </is>
      </c>
      <c r="B389" s="5" t="n">
        <v>3</v>
      </c>
      <c r="C389" s="6" t="inlineStr">
        <is>
          <t>Eski sakatlığını hatırlat</t>
        </is>
      </c>
      <c r="D389" s="5" t="inlineStr">
        <is>
          <t>Pişkinlik</t>
        </is>
      </c>
      <c r="E389" s="5" t="inlineStr">
        <is>
          <t>Kolay</t>
        </is>
      </c>
      <c r="F389" s="5" t="inlineStr"/>
      <c r="G389" s="6" t="inlineStr"/>
      <c r="H389" s="6" t="inlineStr">
        <is>
          <t>'Kolum bir kere kırılmıştı' dedin. Hem kenarda oturdun hem de saygı kazandın.</t>
        </is>
      </c>
      <c r="I389" s="6" t="inlineStr">
        <is>
          <t>Hikâyeyi öyle anlattın ki öğretmen seni bütün dönem hakem ilan etti. Düdük sende.</t>
        </is>
      </c>
      <c r="J389" s="6" t="inlineStr">
        <is>
          <t>'Kolum bir kere kırılmıştı' dedin. Öğretmen 'Diğeri sağlam ama' dedi.</t>
        </is>
      </c>
      <c r="K389" s="6" t="inlineStr">
        <is>
          <t>Sınıftan biri “Sen dut ağacından düşüp kolunu kıran değil miydin?” diye sordu. Bütün sınıf hikâyeyi dinledi. Mezuniyete kadar her servisinde arkandan “Dut!” diye bağırdılar.</t>
        </is>
      </c>
      <c r="L389" s="6" t="inlineStr"/>
      <c r="M389" s="5" t="inlineStr"/>
      <c r="N389" s="5" t="inlineStr"/>
      <c r="O389" s="6" t="inlineStr"/>
      <c r="P389" s="6" t="inlineStr"/>
      <c r="Q389" s="5" t="inlineStr"/>
      <c r="R389" s="5" t="inlineStr">
        <is>
          <t>alcili-kol</t>
        </is>
      </c>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c r="AI389" s="5" t="inlineStr">
        <is>
          <t>Dut</t>
        </is>
      </c>
      <c r="AJ389" s="5" t="inlineStr"/>
    </row>
    <row r="390">
      <c r="A390" s="5" t="inlineStr">
        <is>
          <t>b5-beden-dersi</t>
        </is>
      </c>
      <c r="B390" s="5" t="n">
        <v>4</v>
      </c>
      <c r="C390" s="6" t="inlineStr">
        <is>
          <t>Takım kaptanı ol</t>
        </is>
      </c>
      <c r="D390" s="5" t="inlineStr">
        <is>
          <t>Sosyal Radar</t>
        </is>
      </c>
      <c r="E390" s="5" t="inlineStr">
        <is>
          <t>Orta</t>
        </is>
      </c>
      <c r="F390" s="5" t="inlineStr"/>
      <c r="G390" s="6" t="inlineStr"/>
      <c r="H390" s="6" t="inlineStr">
        <is>
          <t>Takımı dengeli kurdun. En son seçilen arkadaşın maçın yıldızı oldu.</t>
        </is>
      </c>
      <c r="I390" s="6" t="inlineStr">
        <is>
          <t>Turnuvayı kazandınız. Kupa yok, ama öğretmen sınıfa beş dakika ekstra teneffüs verdi.</t>
        </is>
      </c>
      <c r="J390" s="6" t="inlineStr">
        <is>
          <t>Herkes kendi arkadaşını istedi. Takım üçe bölündü; maçın ortasında iki kişi küsüp kenara oturdu.</t>
        </is>
      </c>
      <c r="K390" s="6" t="inlineStr">
        <is>
          <t>Takımı kurarken kendini unuttun. Takımın turnuvayı kazandı. Zafer fotoğrafında yoksun; fotoğrafı sen çektin.</t>
        </is>
      </c>
      <c r="L390" s="6" t="inlineStr"/>
      <c r="M390" s="5" t="inlineStr"/>
      <c r="N390" s="5" t="inlineStr"/>
      <c r="O390" s="6" t="inlineStr"/>
      <c r="P390" s="6" t="inlineStr"/>
      <c r="Q390" s="5" t="inlineStr">
        <is>
          <t>Asist Ustası</t>
        </is>
      </c>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c r="AI390" s="5" t="inlineStr"/>
      <c r="AJ390" s="5" t="inlineStr"/>
    </row>
    <row r="391">
      <c r="A391" s="5" t="inlineStr">
        <is>
          <t>b5-kafede-ders</t>
        </is>
      </c>
      <c r="B391" s="5" t="n">
        <v>1</v>
      </c>
      <c r="C391" s="6" t="inlineStr">
        <is>
          <t>Gerçekten ders çalış</t>
        </is>
      </c>
      <c r="D391" s="5" t="inlineStr">
        <is>
          <t>Akıl</t>
        </is>
      </c>
      <c r="E391" s="5" t="inlineStr">
        <is>
          <t>Zor</t>
        </is>
      </c>
      <c r="F391" s="5" t="inlineStr"/>
      <c r="G391" s="6" t="inlineStr"/>
      <c r="H391" s="6" t="inlineStr">
        <is>
          <t>Kulaklığı taktın ve iki ünite bitirdin. Kalktığında arkadaşların sana hain gibi baktı; biri gruba “O artık bizden değil” yazdı.</t>
        </is>
      </c>
      <c r="I391" s="6" t="inlineStr">
        <is>
          <t>Üç ünite bitirdin, bir de özet çıkardın. Yan masadaki iki öğrenci özetinin fotoğrafını istedi; garson da bir tane aldı, kardeşine.</t>
        </is>
      </c>
      <c r="J391" s="6" t="inlineStr">
        <is>
          <t>Kitabı açtın. Karşındaki telefonda bir video gösterdi, sonra bir tane daha. Kitabı kapattığında çay da soğumuştu.</t>
        </is>
      </c>
      <c r="K391" s="6" t="inlineStr">
        <is>
          <t>Beş saat boyunca aynı sayfaya baktın. Konuyu değil, sayfa numarasını ezberledin: 48.</t>
        </is>
      </c>
      <c r="L391" s="6" t="inlineStr"/>
      <c r="M391" s="5" t="inlineStr"/>
      <c r="N391" s="5" t="inlineStr"/>
      <c r="O391" s="6" t="inlineStr"/>
      <c r="P391" s="6" t="inlineStr"/>
      <c r="Q391" s="5" t="inlineStr"/>
      <c r="R391" s="5" t="inlineStr"/>
      <c r="S391" s="5" t="inlineStr"/>
      <c r="T391" s="5" t="inlineStr"/>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c r="AI391" s="5" t="inlineStr"/>
      <c r="AJ391" s="5" t="inlineStr"/>
    </row>
    <row r="392">
      <c r="A392" s="5" t="inlineStr">
        <is>
          <t>b5-kafede-ders</t>
        </is>
      </c>
      <c r="B392" s="5" t="n">
        <v>2</v>
      </c>
      <c r="C392" s="6" t="inlineStr">
        <is>
          <t>Sohbete katıl</t>
        </is>
      </c>
      <c r="D392" s="5" t="inlineStr"/>
      <c r="E392" s="5" t="inlineStr"/>
      <c r="F392" s="5" t="inlineStr">
        <is>
          <t>Sosyal Radar +1</t>
        </is>
      </c>
      <c r="G392" s="6" t="inlineStr">
        <is>
          <t>Beş saat sohbet ettiniz. Kimin kimden hoşlandığını öğrendin. Sınavda o sorulmayacak.</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c r="AI392" s="5" t="inlineStr"/>
      <c r="AJ392" s="5" t="inlineStr"/>
    </row>
    <row r="393">
      <c r="A393" s="5" t="inlineStr">
        <is>
          <t>b5-kafede-ders</t>
        </is>
      </c>
      <c r="B393" s="5" t="n">
        <v>3</v>
      </c>
      <c r="C393" s="6" t="inlineStr">
        <is>
          <t>Garsonla arayı düzelt</t>
        </is>
      </c>
      <c r="D393" s="5" t="inlineStr">
        <is>
          <t>Çene</t>
        </is>
      </c>
      <c r="E393" s="5" t="inlineStr">
        <is>
          <t>Kolay</t>
        </is>
      </c>
      <c r="F393" s="5" t="inlineStr"/>
      <c r="G393" s="6" t="inlineStr"/>
      <c r="H393" s="6" t="inlineStr">
        <is>
          <t>Garsonla sohbet ettin; masaya ikram kurabiye geldi. Masa üç saat daha güvende.</t>
        </is>
      </c>
      <c r="I393" s="6" t="inlineStr">
        <is>
          <t>Garson masanıza “Ayrılmıştır” kartı koydu, üstüne birer çay ısmarladı: “Benim de sınavım vardı.”</t>
        </is>
      </c>
      <c r="J393" s="6" t="inlineStr">
        <is>
          <t>Garsona gülümsedin. Hesabı getirdi.</t>
        </is>
      </c>
      <c r="K393" s="6" t="inlineStr">
        <is>
          <t>Garson sınıftan birinin abisi çıktı. Ders çalışmadığınız haberi eve sizden önce ulaştı.</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c r="AI393" s="5" t="inlineStr"/>
      <c r="AJ393" s="5" t="inlineStr"/>
    </row>
    <row r="394">
      <c r="A394" s="5" t="inlineStr">
        <is>
          <t>b5-deneme-sinavi</t>
        </is>
      </c>
      <c r="B394" s="5" t="n">
        <v>1</v>
      </c>
      <c r="C394" s="6" t="inlineStr">
        <is>
          <t>Nefesini düzenle, başla</t>
        </is>
      </c>
      <c r="D394" s="5" t="inlineStr">
        <is>
          <t>Dayanıklılık</t>
        </is>
      </c>
      <c r="E394" s="5" t="inlineStr">
        <is>
          <t>Zor</t>
        </is>
      </c>
      <c r="F394" s="5" t="inlineStr"/>
      <c r="G394" s="6" t="inlineStr"/>
      <c r="H394" s="6" t="inlineStr">
        <is>
          <t>Sakince çözdün; netin yedi arttı. Annen sonucu aile grubuna attı. Halan beş dakika sonra kendi oğlunun netini attı.</t>
        </is>
      </c>
      <c r="I394" s="6" t="inlineStr">
        <is>
          <t>Deneme birincisi oldun. Dershane afişine kayıt günü çekilen fotoğrafını bastı; iki yıl önceki saçınla. Annen afişin fotoğrafını aile grubuna attı.</t>
        </is>
      </c>
      <c r="J394" s="6" t="inlineStr">
        <is>
          <t>Sakin başladın ama ilk sayfada yirmi dakika kaldın. Son sayfa kuşbakışı geçildi.</t>
        </is>
      </c>
      <c r="K394" s="6" t="inlineStr">
        <is>
          <t>O kadar rahatladın ki uyudun. Gözetmen zil çalınca uyandırdı. Optik formda yüzünün izi var.</t>
        </is>
      </c>
      <c r="L394" s="6" t="inlineStr">
        <is>
          <t>Nefes tuttu, zaman tutmadı. Son on soruyu aynı şıkla doldurdun; üçü tuttu.</t>
        </is>
      </c>
      <c r="M394" s="5" t="inlineStr">
        <is>
          <t>timing</t>
        </is>
      </c>
      <c r="N394" s="5" t="inlineStr">
        <is>
          <t>Sınav Nefesi</t>
        </is>
      </c>
      <c r="O394" s="6" t="inlineStr">
        <is>
          <t>İbre yeşil alandayken DURDUR'a bas. Art arda tutturdukça kombo kazanırsın.</t>
        </is>
      </c>
      <c r="P394" s="6" t="n"/>
      <c r="Q394" s="5" t="inlineStr"/>
      <c r="R394" s="5" t="inlineStr"/>
      <c r="S394" s="5" t="inlineStr"/>
      <c r="T394" s="5" t="inlineStr">
        <is>
          <t>Deneme Kurdu</t>
        </is>
      </c>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c r="AI394" s="5" t="inlineStr"/>
      <c r="AJ394" s="5" t="inlineStr"/>
    </row>
    <row r="395">
      <c r="A395" s="5" t="inlineStr">
        <is>
          <t>b5-deneme-sinavi</t>
        </is>
      </c>
      <c r="B395" s="5" t="n">
        <v>2</v>
      </c>
      <c r="C395" s="6" t="inlineStr">
        <is>
          <t>Her soruya bir şık işaretle</t>
        </is>
      </c>
      <c r="D395" s="5" t="inlineStr"/>
      <c r="E395" s="5" t="inlineStr"/>
      <c r="F395" s="5" t="inlineStr">
        <is>
          <t>Pişkinlik +1</t>
        </is>
      </c>
      <c r="G395" s="6" t="inlineStr">
        <is>
          <t>Hiçbir soruyu boş bırakmadın. Bilmediklerinde içinden “Portakalı soydum” saydın. Netin, sınıfta gözü kapalı kodlayan çocukla birebir aynı çıktı.</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c r="AI395" s="5" t="inlineStr"/>
      <c r="AJ395" s="5" t="inlineStr"/>
    </row>
    <row r="396">
      <c r="A396" s="5" t="inlineStr">
        <is>
          <t>b5-deneme-sinavi</t>
        </is>
      </c>
      <c r="B396" s="5" t="n">
        <v>3</v>
      </c>
      <c r="C396" s="6" t="inlineStr">
        <is>
          <t>Yandakinin kâğıdına bak</t>
        </is>
      </c>
      <c r="D396" s="5" t="inlineStr">
        <is>
          <t>Kurnazlık</t>
        </is>
      </c>
      <c r="E396" s="5" t="inlineStr">
        <is>
          <t>Zor</t>
        </is>
      </c>
      <c r="F396" s="5" t="inlineStr"/>
      <c r="G396" s="6" t="inlineStr"/>
      <c r="H396" s="6" t="inlineStr">
        <is>
          <t>Birkaç cevabı teyit ettin. Yandaki de senin kâğıdına bakıyormuş. Adil takas.</t>
        </is>
      </c>
      <c r="I396" s="6" t="inlineStr">
        <is>
          <t>Yandakinin doğrularını aldın, yanlışlarını atladın. Ondan yüksek aldın.</t>
        </is>
      </c>
      <c r="J396" s="6" t="inlineStr">
        <is>
          <t>Yandakine baktın; o da sana bakıyordu. İkiniz de aynı soruda takılmıştınız.</t>
        </is>
      </c>
      <c r="K396" s="6" t="inlineStr">
        <is>
          <t>Yandakinin kâğıdından birebir aldın. Kitapçık türü farklıymış. Netin eksiye düştü.</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c r="AI396" s="5" t="inlineStr"/>
      <c r="AJ396" s="5" t="inlineStr"/>
    </row>
    <row r="397">
      <c r="A397" s="5" t="inlineStr">
        <is>
          <t>b5-deneme-sinavi</t>
        </is>
      </c>
      <c r="B397" s="5" t="n">
        <v>4</v>
      </c>
      <c r="C397" s="6" t="inlineStr">
        <is>
          <t>Soruların örüntüsünü çöz</t>
        </is>
      </c>
      <c r="D397" s="5" t="inlineStr">
        <is>
          <t>Akıl</t>
        </is>
      </c>
      <c r="E397" s="5" t="inlineStr">
        <is>
          <t>Kolay</t>
        </is>
      </c>
      <c r="F397" s="5" t="inlineStr"/>
      <c r="G397" s="6" t="inlineStr"/>
      <c r="H397" s="6" t="inlineStr">
        <is>
          <t>Soruları zorluk sırasına dizdin ve sürenin yarısında bitirdin.</t>
        </is>
      </c>
      <c r="I397" s="6" t="inlineStr">
        <is>
          <t>Soru hazırlayanın mantığını çözdün. Cevap anahtarı çıkmadan netini biliyordun.</t>
        </is>
      </c>
      <c r="J397" s="6" t="inlineStr">
        <is>
          <t>Örüntüyü aradın. Yoktu. Sorular rastgele hazırlanmış.</t>
        </is>
      </c>
      <c r="K397" s="6" t="inlineStr">
        <is>
          <t>Örüntüye o kadar daldın ki soruları çözmeye vakit kalmadı. Gözetmen kâğıdını alırken arka sayfadaki oklara, dairelere baktı: “Bu ne evladım, sınav mı, harita mı?”</t>
        </is>
      </c>
      <c r="L397" s="6" t="inlineStr"/>
      <c r="M397" s="5" t="inlineStr"/>
      <c r="N397" s="5" t="inlineStr"/>
      <c r="O397" s="6" t="inlineStr"/>
      <c r="P397" s="6" t="inlineStr"/>
      <c r="Q397" s="5" t="inlineStr">
        <is>
          <t>Ukala Ama Haklı</t>
        </is>
      </c>
      <c r="R397" s="5" t="inlineStr"/>
      <c r="S397" s="5" t="inlineStr"/>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c r="AI397" s="5" t="inlineStr"/>
      <c r="AJ397" s="5" t="inlineStr"/>
    </row>
    <row r="398">
      <c r="A398" s="5" t="inlineStr">
        <is>
          <t>b5-doktor-ol</t>
        </is>
      </c>
      <c r="B398" s="5" t="n">
        <v>1</v>
      </c>
      <c r="C398" s="6" t="inlineStr">
        <is>
          <t>'Tamam' de</t>
        </is>
      </c>
      <c r="D398" s="5" t="inlineStr"/>
      <c r="E398" s="5" t="inlineStr"/>
      <c r="F398" s="5" t="inlineStr">
        <is>
          <t>İtibar +1</t>
        </is>
      </c>
      <c r="G398" s="6" t="inlineStr">
        <is>
          <t>'Tamam' dedin. Babaannen haberi komşulara verdi. Artık mahallenin müstakbel doktorusun. Biyoloji notun hâlâ gizli.</t>
        </is>
      </c>
      <c r="H398" s="6" t="inlineStr"/>
      <c r="I398" s="6" t="inlineStr"/>
      <c r="J398" s="6" t="inlineStr"/>
      <c r="K398" s="6" t="inlineStr"/>
      <c r="L398" s="6" t="inlineStr"/>
      <c r="M398" s="5" t="inlineStr"/>
      <c r="N398" s="5" t="inlineStr"/>
      <c r="O398" s="6" t="inlineStr"/>
      <c r="P398" s="6" t="inlineStr"/>
      <c r="Q398" s="5" t="inlineStr"/>
      <c r="R398" s="5" t="inlineStr"/>
      <c r="S398" s="5" t="inlineStr"/>
      <c r="T398" s="5" t="inlineStr"/>
      <c r="U398" s="5" t="inlineStr">
        <is>
          <t>doktor-sozu</t>
        </is>
      </c>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c r="AI398" s="5" t="inlineStr"/>
      <c r="AJ398" s="5" t="inlineStr"/>
    </row>
    <row r="399">
      <c r="A399" s="5" t="inlineStr">
        <is>
          <t>b5-doktor-ol</t>
        </is>
      </c>
      <c r="B399" s="5" t="n">
        <v>2</v>
      </c>
      <c r="C399" s="6" t="inlineStr">
        <is>
          <t>Kendi hayalini savun</t>
        </is>
      </c>
      <c r="D399" s="5" t="inlineStr">
        <is>
          <t>Cesaret</t>
        </is>
      </c>
      <c r="E399" s="5" t="inlineStr">
        <is>
          <t>Zor</t>
        </is>
      </c>
      <c r="F399" s="5" t="inlineStr"/>
      <c r="G399" s="6" t="inlineStr"/>
      <c r="H399" s="6" t="inlineStr">
        <is>
          <t>Masada sessizlik oldu. Baban ekmeğini bölüp “Peki, bir düşünelim” dedi. Annen masanın altından dizine dokundu.</t>
        </is>
      </c>
      <c r="I399" s="6" t="inlineStr">
        <is>
          <t>Öyle savundun ki baban kendi yarım kalan hayalini anlattı. Tatlıyı birlikte yediniz.</t>
        </is>
      </c>
      <c r="J399" s="6" t="inlineStr">
        <is>
          <t>Baban “Önce doktor ol, sonra ne istersen ol” dedi. O “önce” ile “sonra” arasında on iki yıl var.</t>
        </is>
      </c>
      <c r="K399" s="6" t="inlineStr">
        <is>
          <t>Ertesi akşam kuzenin tıbba hazırlandığını açıkladı. Baban artık sofrada ona “doktorum” diyor. Sana “tuzu uzat” diyor.</t>
        </is>
      </c>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c r="AI399" s="5" t="inlineStr"/>
      <c r="AJ399" s="5" t="inlineStr"/>
    </row>
    <row r="400">
      <c r="A400" s="5" t="inlineStr">
        <is>
          <t>b5-doktor-ol</t>
        </is>
      </c>
      <c r="B400" s="5" t="n">
        <v>3</v>
      </c>
      <c r="C400" s="6" t="inlineStr">
        <is>
          <t>Masadakileri tek tek ikna et</t>
        </is>
      </c>
      <c r="D400" s="5" t="inlineStr">
        <is>
          <t>Çene</t>
        </is>
      </c>
      <c r="E400" s="5" t="inlineStr">
        <is>
          <t>Orta</t>
        </is>
      </c>
      <c r="F400" s="5" t="inlineStr"/>
      <c r="G400" s="6" t="inlineStr"/>
      <c r="H400" s="6" t="inlineStr">
        <is>
          <t>Önce anneni, sonra babaanneni kazandın. Baban azınlıkta kaldı.</t>
        </is>
      </c>
      <c r="I400" s="6" t="inlineStr">
        <is>
          <t>Önce anneni, sonra babaanneni, sonra telefonda halanı kazandın. Baban üçünüze baktı, çayını aldı: “Siz bilirsiniz.” Babaannen arkandan göz kırptı.</t>
        </is>
      </c>
      <c r="J400" s="6" t="inlineStr">
        <is>
          <t>Anneni kazandın, babaannen babanın tarafına geçti. Oylar eşit, karar ertelendi.</t>
        </is>
      </c>
      <c r="K400" s="6" t="inlineStr">
        <is>
          <t>İkna turunda 'doktor' kelimesini o kadar çok tekrarladın ki sonunda sen ikna oldun.</t>
        </is>
      </c>
      <c r="L400" s="6" t="inlineStr"/>
      <c r="M400" s="5" t="inlineStr"/>
      <c r="N400" s="5" t="inlineStr"/>
      <c r="O400" s="6" t="inlineStr"/>
      <c r="P400" s="6" t="inlineStr"/>
      <c r="Q400" s="5" t="inlineStr"/>
      <c r="R400" s="5" t="inlineStr"/>
      <c r="S400" s="5" t="inlineStr">
        <is>
          <t>Çene</t>
        </is>
      </c>
      <c r="T400" s="5" t="inlineStr"/>
      <c r="U400" s="5" t="inlineStr"/>
      <c r="V400" s="5" t="inlineStr"/>
      <c r="W400" s="5" t="inlineStr"/>
      <c r="X400" s="5" t="inlineStr"/>
      <c r="Y400" s="5" t="inlineStr"/>
      <c r="Z400" s="6" t="inlineStr"/>
      <c r="AA400" s="5" t="inlineStr"/>
      <c r="AB400" s="5" t="inlineStr"/>
      <c r="AC400" s="5" t="inlineStr"/>
      <c r="AD400" s="5" t="inlineStr"/>
      <c r="AE400" s="5" t="inlineStr"/>
      <c r="AF400" s="5" t="inlineStr"/>
      <c r="AG400" s="5" t="inlineStr"/>
      <c r="AH400" s="5" t="inlineStr"/>
      <c r="AI400" s="5" t="inlineStr"/>
      <c r="AJ400" s="5" t="inlineStr"/>
    </row>
    <row r="401">
      <c r="A401" s="5" t="inlineStr">
        <is>
          <t>b5-doktor-ol</t>
        </is>
      </c>
      <c r="B401" s="5" t="n">
        <v>4</v>
      </c>
      <c r="C401" s="6" t="inlineStr">
        <is>
          <t>Sessiz kal, zamana bırak</t>
        </is>
      </c>
      <c r="D401" s="5" t="inlineStr">
        <is>
          <t>Dayanıklılık</t>
        </is>
      </c>
      <c r="E401" s="5" t="inlineStr">
        <is>
          <t>Kolay</t>
        </is>
      </c>
      <c r="F401" s="5" t="inlineStr"/>
      <c r="G401" s="6" t="inlineStr"/>
      <c r="H401" s="6" t="inlineStr">
        <is>
          <t>Sustun. Konu üç hafta içinde kendiliğinden söndü.</t>
        </is>
      </c>
      <c r="I401" s="6" t="inlineStr">
        <is>
          <t>Sen sustun, baban da sustu. Bir ay sonra bir akşam çayını karıştırırken “Sen bilirsin” dedi. Bu evde bundan büyük onay yoktur.</t>
        </is>
      </c>
      <c r="J401" s="6" t="inlineStr">
        <is>
          <t>Sustun. Sessizliğin 'evet' olarak yorumlandı.</t>
        </is>
      </c>
      <c r="K401" s="6" t="inlineStr">
        <is>
          <t>Sustun. Ailen bunu onay saydı ve seni tıp fakültesinin tanıtım gününe kaydettirdi.</t>
        </is>
      </c>
      <c r="L401" s="6" t="inlineStr"/>
      <c r="M401" s="5" t="inlineStr"/>
      <c r="N401" s="5" t="inlineStr"/>
      <c r="O401" s="6" t="inlineStr"/>
      <c r="P401" s="6" t="inlineStr"/>
      <c r="Q401" s="5" t="inlineStr">
        <is>
          <t>Sessiz Gözlemci</t>
        </is>
      </c>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c r="AI401" s="5" t="inlineStr"/>
      <c r="AJ401" s="5" t="inlineStr"/>
    </row>
    <row r="402">
      <c r="A402" s="5" t="inlineStr">
        <is>
          <t>b5-yurt-disi</t>
        </is>
      </c>
      <c r="B402" s="5" t="n">
        <v>1</v>
      </c>
      <c r="C402" s="6" t="inlineStr">
        <is>
          <t>Sekmeyi kapat</t>
        </is>
      </c>
      <c r="D402" s="5" t="inlineStr"/>
      <c r="E402" s="5" t="inlineStr"/>
      <c r="F402" s="5" t="inlineStr">
        <is>
          <t>Dayanıklılık +1</t>
        </is>
      </c>
      <c r="G402" s="6" t="inlineStr">
        <is>
          <t>Sekmeyi kapattın. Hayal, tarayıcı geçmişinde saklı. Her temizlikten sonra yine geri geliyor.</t>
        </is>
      </c>
      <c r="H402" s="6" t="inlineStr"/>
      <c r="I402" s="6" t="inlineStr"/>
      <c r="J402" s="6" t="inlineStr"/>
      <c r="K402" s="6" t="inlineStr"/>
      <c r="L402" s="6" t="inlineStr"/>
      <c r="M402" s="5" t="inlineStr"/>
      <c r="N402" s="5" t="inlineStr"/>
      <c r="O402" s="6" t="inlineStr"/>
      <c r="P402" s="6" t="inlineStr"/>
      <c r="Q402" s="5" t="inlineStr"/>
      <c r="R402" s="5" t="inlineStr"/>
      <c r="S402" s="5" t="inlineStr"/>
      <c r="T402" s="5" t="inlineStr"/>
      <c r="U402" s="5" t="inlineStr"/>
      <c r="V402" s="5" t="inlineStr"/>
      <c r="W402" s="5" t="inlineStr"/>
      <c r="X402" s="5" t="inlineStr"/>
      <c r="Y402" s="5" t="inlineStr"/>
      <c r="Z402" s="6" t="inlineStr"/>
      <c r="AA402" s="5" t="inlineStr"/>
      <c r="AB402" s="5" t="inlineStr"/>
      <c r="AC402" s="5" t="inlineStr"/>
      <c r="AD402" s="5" t="inlineStr"/>
      <c r="AE402" s="5" t="inlineStr"/>
      <c r="AF402" s="5" t="inlineStr"/>
      <c r="AG402" s="5" t="inlineStr"/>
      <c r="AH402" s="5" t="inlineStr"/>
      <c r="AI402" s="5" t="inlineStr"/>
      <c r="AJ402" s="5" t="inlineStr"/>
    </row>
    <row r="403">
      <c r="A403" s="5" t="inlineStr">
        <is>
          <t>b5-yurt-disi</t>
        </is>
      </c>
      <c r="B403" s="5" t="n">
        <v>2</v>
      </c>
      <c r="C403" s="6" t="inlineStr">
        <is>
          <t>Niyet mektubu yaz</t>
        </is>
      </c>
      <c r="D403" s="5" t="inlineStr">
        <is>
          <t>Akıl</t>
        </is>
      </c>
      <c r="E403" s="5" t="inlineStr">
        <is>
          <t>Zor</t>
        </is>
      </c>
      <c r="F403" s="5" t="inlineStr"/>
      <c r="G403" s="6" t="inlineStr"/>
      <c r="H403" s="6" t="inlineStr">
        <is>
          <t>Mektup gitti; okuldan “bekleme listesi” cevabı geldi. Kabul sınavdan sonra belli olacak, mektup artık dosyanda duruyor.</t>
        </is>
      </c>
      <c r="I403" s="6" t="inlineStr">
        <is>
          <t>Mektubu okuyan kişi “Bu bizde kalsın” dedi, kısmi burs yazdı. Kabul yine sınav sonucuna bağlı; ailenin hesap makinesi bu kez gülümsedi.</t>
        </is>
      </c>
      <c r="J403" s="6" t="inlineStr">
        <is>
          <t>Referans isteyeceğin üç kişiden ikisi 'Ne yazayım?' diye sordu. Üçüncüsü cevap vermedi.</t>
        </is>
      </c>
      <c r="K403" s="6" t="inlineStr">
        <is>
          <t>Mektubu gönderdin. Okulun adını yanlış yazmışsın. Diğer okulun adıyla.</t>
        </is>
      </c>
      <c r="L403" s="6" t="inlineStr"/>
      <c r="M403" s="5" t="inlineStr"/>
      <c r="N403" s="5" t="inlineStr"/>
      <c r="O403" s="6" t="inlineStr"/>
      <c r="P403" s="6" t="inlineStr"/>
      <c r="Q403" s="5" t="inlineStr"/>
      <c r="R403" s="5" t="inlineStr"/>
      <c r="S403" s="5" t="inlineStr"/>
      <c r="T403" s="5" t="inlineStr"/>
      <c r="U403" s="5" t="inlineStr"/>
      <c r="V403" s="5" t="inlineStr">
        <is>
          <t>yurt-disi-hayali</t>
        </is>
      </c>
      <c r="W403" s="5" t="inlineStr"/>
      <c r="X403" s="5" t="inlineStr"/>
      <c r="Y403" s="5" t="inlineStr"/>
      <c r="Z403" s="6" t="inlineStr"/>
      <c r="AA403" s="5" t="inlineStr"/>
      <c r="AB403" s="5" t="inlineStr"/>
      <c r="AC403" s="5" t="inlineStr"/>
      <c r="AD403" s="5" t="inlineStr"/>
      <c r="AE403" s="5" t="inlineStr"/>
      <c r="AF403" s="5" t="inlineStr"/>
      <c r="AG403" s="5" t="inlineStr"/>
      <c r="AH403" s="5" t="inlineStr">
        <is>
          <t>Akıl 28</t>
        </is>
      </c>
      <c r="AI403" s="5" t="inlineStr"/>
      <c r="AJ403" s="5" t="inlineStr"/>
    </row>
    <row r="404">
      <c r="A404" s="5" t="inlineStr">
        <is>
          <t>b5-yurt-disi</t>
        </is>
      </c>
      <c r="B404" s="5" t="n">
        <v>3</v>
      </c>
      <c r="C404" s="6" t="inlineStr">
        <is>
          <t>Aileye sunum yap</t>
        </is>
      </c>
      <c r="D404" s="5" t="inlineStr">
        <is>
          <t>Çene</t>
        </is>
      </c>
      <c r="E404" s="5" t="inlineStr">
        <is>
          <t>Orta</t>
        </is>
      </c>
      <c r="F404" s="5" t="inlineStr"/>
      <c r="G404" s="6" t="inlineStr"/>
      <c r="H404" s="6" t="inlineStr">
        <is>
          <t>Sunumu bitirdin; baban ücret satırında durdu. “Önce burada kazan, sonra konuşuruz” dedi. Mektubu gönderme yetkisi yine de sende.</t>
        </is>
      </c>
      <c r="I404" s="6" t="inlineStr">
        <is>
          <t>Sunumun sonunda ailen buzdolabının üstüne bir “Öte Diyar kumbarası” koydu. İlk katkı: senin bayram harçlıkların.</t>
        </is>
      </c>
      <c r="J404" s="6" t="inlineStr">
        <is>
          <t>Ücret satırına gelince ailen sustu. Baban tabloyu iki kez okudu, sonra kapağı kapattı. Konu bu yıl kapandı; sekmen açık kaldı.</t>
        </is>
      </c>
      <c r="K404" s="6" t="inlineStr">
        <is>
          <t>Baban tanıtım videosunu izledi, sonra bir daha izledi. Ertesi sabah kahvaltıda sordu: “Bunun yaş sınırı var mı?”</t>
        </is>
      </c>
      <c r="L404" s="6" t="inlineStr"/>
      <c r="M404" s="5" t="inlineStr"/>
      <c r="N404" s="5" t="inlineStr"/>
      <c r="O404" s="6" t="inlineStr"/>
      <c r="P404" s="6" t="inlineStr"/>
      <c r="Q404" s="5" t="inlineStr"/>
      <c r="R404" s="5" t="inlineStr"/>
      <c r="S404" s="5" t="inlineStr"/>
      <c r="T404" s="5" t="inlineStr"/>
      <c r="U404" s="5" t="inlineStr"/>
      <c r="V404" s="5" t="inlineStr">
        <is>
          <t>yd-aile-ok</t>
        </is>
      </c>
      <c r="W404" s="5" t="inlineStr"/>
      <c r="X404" s="5" t="inlineStr"/>
      <c r="Y404" s="5" t="inlineStr"/>
      <c r="Z404" s="6" t="inlineStr"/>
      <c r="AA404" s="5" t="inlineStr"/>
      <c r="AB404" s="5" t="inlineStr"/>
      <c r="AC404" s="5" t="inlineStr"/>
      <c r="AD404" s="5" t="inlineStr"/>
      <c r="AE404" s="5" t="inlineStr"/>
      <c r="AF404" s="5" t="inlineStr"/>
      <c r="AG404" s="5" t="inlineStr"/>
      <c r="AH404" s="5" t="inlineStr"/>
      <c r="AI404" s="5" t="inlineStr"/>
      <c r="AJ404" s="5" t="inlineStr"/>
    </row>
    <row r="405">
      <c r="A405" s="5" t="inlineStr">
        <is>
          <t>b5-yurt-disi</t>
        </is>
      </c>
      <c r="B405" s="5" t="n">
        <v>4</v>
      </c>
      <c r="C405" s="6" t="inlineStr">
        <is>
          <t>Az bilinen bir burs programı bul</t>
        </is>
      </c>
      <c r="D405" s="5" t="inlineStr">
        <is>
          <t>Kurnazlık</t>
        </is>
      </c>
      <c r="E405" s="5" t="inlineStr">
        <is>
          <t>Kolay</t>
        </is>
      </c>
      <c r="F405" s="5" t="inlineStr"/>
      <c r="G405" s="6" t="inlineStr"/>
      <c r="H405" s="6" t="inlineStr">
        <is>
          <t>Kimsenin bilmediği bir yaz okulu bursu buldun, başvurun kabul edildi. Bu Öte Diyar'da okumak değil; ama mektubuna eklenecek ilk gerçek satır.</t>
        </is>
      </c>
      <c r="I405" s="6" t="inlineStr">
        <is>
          <t>Tam burslu bir yaz programı buldun. Ailen hâlâ neyin dolandırıcılık olduğunu anlamaya çalışıyor. Değil.</t>
        </is>
      </c>
      <c r="J405" s="6" t="inlineStr">
        <is>
          <t>Burs programını buldun. Son başvuru tarihi dündü.</t>
        </is>
      </c>
      <c r="K405" s="6" t="inlineStr">
        <is>
          <t>Formu doldurdun, başvuru ücretini ödedin. Program yokmuş. Sitesi ise çok iyi tasarlanmıştı.</t>
        </is>
      </c>
      <c r="L405" s="6" t="inlineStr"/>
      <c r="M405" s="5" t="inlineStr"/>
      <c r="N405" s="5" t="inlineStr"/>
      <c r="O405" s="6" t="inlineStr"/>
      <c r="P405" s="6" t="inlineStr"/>
      <c r="Q405" s="5" t="inlineStr">
        <is>
          <t>Şifreyi Bilen</t>
        </is>
      </c>
      <c r="R405" s="5" t="inlineStr"/>
      <c r="S405" s="5" t="inlineStr"/>
      <c r="T405" s="5" t="inlineStr"/>
      <c r="U405" s="5" t="inlineStr"/>
      <c r="V405" s="5" t="inlineStr">
        <is>
          <t>yurt-disi-hayali</t>
        </is>
      </c>
      <c r="W405" s="5" t="inlineStr"/>
      <c r="X405" s="5" t="inlineStr"/>
      <c r="Y405" s="5" t="inlineStr"/>
      <c r="Z405" s="6" t="inlineStr"/>
      <c r="AA405" s="5" t="inlineStr"/>
      <c r="AB405" s="5" t="inlineStr"/>
      <c r="AC405" s="5" t="inlineStr"/>
      <c r="AD405" s="5" t="inlineStr"/>
      <c r="AE405" s="5" t="inlineStr"/>
      <c r="AF405" s="5" t="inlineStr"/>
      <c r="AG405" s="5" t="inlineStr"/>
      <c r="AH405" s="5" t="inlineStr"/>
      <c r="AI405" s="5" t="inlineStr"/>
      <c r="AJ405" s="5" t="inlineStr"/>
    </row>
    <row r="406">
      <c r="A406" s="5" t="inlineStr">
        <is>
          <t>b5-ilk-konser</t>
        </is>
      </c>
      <c r="B406" s="5" t="n">
        <v>1</v>
      </c>
      <c r="C406" s="6" t="inlineStr">
        <is>
          <t>Ön sıraya ilerle</t>
        </is>
      </c>
      <c r="D406" s="5" t="inlineStr">
        <is>
          <t>Cesaret</t>
        </is>
      </c>
      <c r="E406" s="5" t="inlineStr">
        <is>
          <t>Orta</t>
        </is>
      </c>
      <c r="F406" s="5" t="inlineStr"/>
      <c r="G406" s="6" t="inlineStr"/>
      <c r="H406" s="6" t="inlineStr">
        <is>
          <t>Ön sıraya ulaştın. Şarkıcı bir an sana baktı. En azından sen öyle hatırlıyorsun.</t>
        </is>
      </c>
      <c r="I406" s="6" t="inlineStr">
        <is>
          <t>Sahneden atılan su şişesini yakaladın. Hâlâ bir rafta, cam fanusun içinde duruyor.</t>
        </is>
      </c>
      <c r="J406" s="6" t="inlineStr">
        <is>
          <t>Sen ilerledin, önündeki uzun boylu da ilerledi. Konseri onun ensesinden izledin.</t>
        </is>
      </c>
      <c r="K406" s="6" t="inlineStr">
        <is>
          <t>Yerinden bir dakika ayrıldın. Geri dönemedin. Konseri tuvalet kuyruğundan dinledin.</t>
        </is>
      </c>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c r="AI406" s="5" t="inlineStr"/>
      <c r="AJ406" s="5" t="inlineStr"/>
    </row>
    <row r="407">
      <c r="A407" s="5" t="inlineStr">
        <is>
          <t>b5-ilk-konser</t>
        </is>
      </c>
      <c r="B407" s="5" t="n">
        <v>2</v>
      </c>
      <c r="C407" s="6" t="inlineStr">
        <is>
          <t>Hepsini telefonla kaydet</t>
        </is>
      </c>
      <c r="D407" s="5" t="inlineStr"/>
      <c r="E407" s="5" t="inlineStr"/>
      <c r="F407" s="5" t="inlineStr">
        <is>
          <t>Kurnazlık +1</t>
        </is>
      </c>
      <c r="G407" s="6" t="inlineStr">
        <is>
          <t>Konserin tamamını çektin. Videoları hiç izlemedin; konseri de. Telefonda yer kalmayınca hepsini sildin.</t>
        </is>
      </c>
      <c r="H407" s="6" t="inlineStr"/>
      <c r="I407" s="6" t="inlineStr"/>
      <c r="J407" s="6" t="inlineStr"/>
      <c r="K407" s="6" t="inlineStr"/>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c r="AI407" s="5" t="inlineStr"/>
      <c r="AJ407" s="5" t="inlineStr"/>
    </row>
    <row r="408">
      <c r="A408" s="5" t="inlineStr">
        <is>
          <t>b5-ilk-konser</t>
        </is>
      </c>
      <c r="B408" s="5" t="n">
        <v>3</v>
      </c>
      <c r="C408" s="6" t="inlineStr">
        <is>
          <t>Bütün şarkılara eşlik et</t>
        </is>
      </c>
      <c r="D408" s="5" t="inlineStr">
        <is>
          <t>Pişkinlik</t>
        </is>
      </c>
      <c r="E408" s="5" t="inlineStr">
        <is>
          <t>Kolay</t>
        </is>
      </c>
      <c r="F408" s="5" t="inlineStr"/>
      <c r="G408" s="6" t="inlineStr"/>
      <c r="H408" s="6" t="inlineStr">
        <is>
          <t>Bilmediğin sözleri uydurdun. Kimse fark etmedi; herkes uyduruyordu.</t>
        </is>
      </c>
      <c r="I408" s="6" t="inlineStr">
        <is>
          <t>O kadar içten söyledin ki etrafındakiler sana eşlik etti. Senin sözlerine.</t>
        </is>
      </c>
      <c r="J408" s="6" t="inlineStr">
        <is>
          <t>Eşlik ettin. Ertesi gün sesin yoktu. İki gün mimikle anlaştın.</t>
        </is>
      </c>
      <c r="K408" s="6" t="inlineStr">
        <is>
          <t>En sessiz şarkıda, tek başına, yanlış nakaratı bağırdın. Şarkıcı durdu, sana baktı: “O başka şarkı kardeşim.” Bütün salon güldü; sen de güldün, ağlamamak için.</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c r="AI408" s="5" t="inlineStr"/>
      <c r="AJ408" s="5" t="inlineStr"/>
    </row>
    <row r="409">
      <c r="A409" s="5" t="inlineStr">
        <is>
          <t>b5-ev-partisi</t>
        </is>
      </c>
      <c r="B409" s="5" t="n">
        <v>1</v>
      </c>
      <c r="C409" s="6" t="inlineStr">
        <is>
          <t>Gitme</t>
        </is>
      </c>
      <c r="D409" s="5" t="inlineStr"/>
      <c r="E409" s="5" t="inlineStr"/>
      <c r="F409" s="5" t="inlineStr">
        <is>
          <t>İtibar +1</t>
        </is>
      </c>
      <c r="G409" s="6" t="inlineStr">
        <is>
          <t>Evde kaldın. Pazartesi herkes aynı geceyi farklı anlattı. Tek güvenilir tanık sensin.</t>
        </is>
      </c>
      <c r="H409" s="6" t="inlineStr"/>
      <c r="I409" s="6" t="inlineStr"/>
      <c r="J409" s="6" t="inlineStr"/>
      <c r="K409" s="6" t="inlineStr"/>
      <c r="L409" s="6" t="inlineStr"/>
      <c r="M409" s="5" t="inlineStr"/>
      <c r="N409" s="5" t="inlineStr"/>
      <c r="O409" s="6" t="inlineStr"/>
      <c r="P409" s="6" t="inlineStr"/>
      <c r="Q409" s="5" t="inlineStr"/>
      <c r="R409" s="5" t="inlineStr"/>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c r="AI409" s="5" t="inlineStr"/>
      <c r="AJ409" s="5" t="inlineStr"/>
    </row>
    <row r="410">
      <c r="A410" s="5" t="inlineStr">
        <is>
          <t>b5-ev-partisi</t>
        </is>
      </c>
      <c r="B410" s="5" t="n">
        <v>2</v>
      </c>
      <c r="C410" s="6" t="inlineStr">
        <is>
          <t>Git, kenarda dur</t>
        </is>
      </c>
      <c r="D410" s="5" t="inlineStr">
        <is>
          <t>Sosyal Radar</t>
        </is>
      </c>
      <c r="E410" s="5" t="inlineStr">
        <is>
          <t>Kolay</t>
        </is>
      </c>
      <c r="F410" s="5" t="inlineStr"/>
      <c r="G410" s="6" t="inlineStr"/>
      <c r="H410" s="6" t="inlineStr">
        <is>
          <t>Kimin kimle konuştuğunu not ettin. Pazartesi herkes sana soru soruyor.</t>
        </is>
      </c>
      <c r="I410" s="6" t="inlineStr">
        <is>
          <t>Aile dönmeden evi baştan sona toplattın; halıdaki lekeyi kolonyayla çıkardın. Arkadaşının annesi kapıdan girer girmez sordu: “Bu ev neden bu kadar temiz?”</t>
        </is>
      </c>
      <c r="J410" s="6" t="inlineStr">
        <is>
          <t>Kenarda durdun. Bütün fotoğraflarda arkada, elinde bir tabak cipsle varsın.</t>
        </is>
      </c>
      <c r="K410" s="6" t="inlineStr">
        <is>
          <t>Kapıya site yöneticisi geldiğinde kapıyı açan sen oldun. Tutanakta tek isim var.</t>
        </is>
      </c>
      <c r="L410" s="6" t="inlineStr"/>
      <c r="M410" s="5" t="inlineStr"/>
      <c r="N410" s="5" t="inlineStr"/>
      <c r="O410" s="6" t="inlineStr"/>
      <c r="P410" s="6" t="inlineStr"/>
      <c r="Q410" s="5" t="inlineStr"/>
      <c r="R410" s="5" t="inlineStr"/>
      <c r="S410" s="5" t="inlineStr"/>
      <c r="T410" s="5" t="inlineStr"/>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c r="AI410" s="5" t="inlineStr"/>
      <c r="AJ410" s="5" t="inlineStr"/>
    </row>
    <row r="411">
      <c r="A411" s="5" t="inlineStr">
        <is>
          <t>b5-ev-partisi</t>
        </is>
      </c>
      <c r="B411" s="5" t="n">
        <v>3</v>
      </c>
      <c r="C411" s="6" t="inlineStr">
        <is>
          <t>Partinin ruhu ol</t>
        </is>
      </c>
      <c r="D411" s="5" t="inlineStr">
        <is>
          <t>Pişkinlik</t>
        </is>
      </c>
      <c r="E411" s="5" t="inlineStr">
        <is>
          <t>Zor</t>
        </is>
      </c>
      <c r="F411" s="5" t="inlineStr"/>
      <c r="G411" s="6" t="inlineStr"/>
      <c r="H411" s="6" t="inlineStr">
        <is>
          <t>Partinin ruhu oldun. Ertesi gün kimse neden bu kadar güldüğünü hatırlamıyordu. Sen dahil.</t>
        </is>
      </c>
      <c r="I411" s="6" t="inlineStr">
        <is>
          <t>Gece efsaneleşti. Pazartesi okulda üç ayrı versiyonu anlatılıyordu; üçünde de sen masanın üstündeydin.</t>
        </is>
      </c>
      <c r="J411" s="6" t="inlineStr">
        <is>
          <t>Ortamı ısıtmak için müziği değiştirdin. Müzik de ortam da soğudu.</t>
        </is>
      </c>
      <c r="K411" s="6" t="inlineStr">
        <is>
          <t>Dans ederken balkondaki saksıyı devirdin. Saksı alt kattaki teyzenin çamaşır sepetine indi. Pazartesi teyze çarşafları annene götürdü.</t>
        </is>
      </c>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c r="AI411" s="5" t="inlineStr"/>
      <c r="AJ411" s="5" t="inlineStr"/>
    </row>
    <row r="412">
      <c r="A412" s="5" t="inlineStr">
        <is>
          <t>b5-ev-partisi</t>
        </is>
      </c>
      <c r="B412" s="5" t="n">
        <v>4</v>
      </c>
      <c r="C412" s="6" t="inlineStr">
        <is>
          <t>Komşuların kapısını sen çal</t>
        </is>
      </c>
      <c r="D412" s="5" t="inlineStr">
        <is>
          <t>İtibar</t>
        </is>
      </c>
      <c r="E412" s="5" t="inlineStr">
        <is>
          <t>Orta</t>
        </is>
      </c>
      <c r="F412" s="5" t="inlineStr"/>
      <c r="G412" s="6" t="inlineStr"/>
      <c r="H412" s="6" t="inlineStr">
        <is>
          <t>Komşuların kapısını sen çaldın, özür diledin. Cam vakasından beri bu işin uzmanısın.</t>
        </is>
      </c>
      <c r="I412" s="6" t="inlineStr">
        <is>
          <t>Alt kata bir tabak kurabiye götürdün. Parti bitmeden şikâyet geri çekildi.</t>
        </is>
      </c>
      <c r="J412" s="6" t="inlineStr">
        <is>
          <t>Komşu seni tanıdı: 'Sen o camı kıran değil misin?' Görüşme kısa sürdü.</t>
        </is>
      </c>
      <c r="K412" s="6" t="inlineStr">
        <is>
          <t>Özür dilerken komşunun kapı kolu elinde kaldı. Komşu kolu elinden aldı, sana baktı: “Cam da sendin, değil mi?”</t>
        </is>
      </c>
      <c r="L412" s="6" t="inlineStr"/>
      <c r="M412" s="5" t="inlineStr"/>
      <c r="N412" s="5" t="inlineStr"/>
      <c r="O412" s="6" t="inlineStr"/>
      <c r="P412" s="6" t="inlineStr"/>
      <c r="Q412" s="5" t="inlineStr"/>
      <c r="R412" s="5" t="inlineStr">
        <is>
          <t>camKirildi</t>
        </is>
      </c>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c r="AI412" s="5" t="inlineStr"/>
      <c r="AJ412" s="5" t="inlineStr"/>
    </row>
    <row r="413">
      <c r="A413" s="5" t="inlineStr">
        <is>
          <t>b5-kurye-isi</t>
        </is>
      </c>
      <c r="B413" s="5" t="n">
        <v>1</v>
      </c>
      <c r="C413" s="6" t="inlineStr">
        <is>
          <t>Trafiğin arasından kestir</t>
        </is>
      </c>
      <c r="D413" s="5" t="inlineStr">
        <is>
          <t>Kurnazlık</t>
        </is>
      </c>
      <c r="E413" s="5" t="inlineStr">
        <is>
          <t>Zor</t>
        </is>
      </c>
      <c r="F413" s="5" t="inlineStr"/>
      <c r="G413" s="6" t="inlineStr"/>
      <c r="H413" s="6" t="inlineStr">
        <is>
          <t>Siparişi dokuz dakikada teslim ettin. Müşteri beş yıldız verdi, yoruma 'Işık hızı' yazdı.</t>
        </is>
      </c>
      <c r="I413" s="6" t="inlineStr">
        <is>
          <t>Günde yirmi teslimat yaptın. Pideci camına “Kuryemiz bir numara” yazdırdı. Ödülün bir yağmurluk ve her akşam bir kaşarlı.</t>
        </is>
      </c>
      <c r="J413" s="6" t="inlineStr">
        <is>
          <t>Kestirme çıkmaz sokak çıktı. Müşteri yemeğini ısıtarak yedi.</t>
        </is>
      </c>
      <c r="K413" s="6" t="inlineStr">
        <is>
          <t>Adresi karıştırdın. Siparişi yanlış kapıdaki teyze aldı, ödedi, yedi ve seni sofraya davet etti. Asıl müşteri hâlâ bekliyor.</t>
        </is>
      </c>
      <c r="L413" s="6" t="inlineStr">
        <is>
          <t>Zamanında vardın ama çorba ayrı bir yolculuk yaşamış. Müşteri 'Lezzetli ama eksik' yazdı.</t>
        </is>
      </c>
      <c r="M413" s="5" t="inlineStr">
        <is>
          <t>fight</t>
        </is>
      </c>
      <c r="N413" s="5" t="inlineStr">
        <is>
          <t>Teslimat Yolu</t>
        </is>
      </c>
      <c r="O413" s="6" t="inlineStr">
        <is>
          <t>Engelin olmadığı şeride geç.</t>
        </is>
      </c>
      <c r="P413" s="6" t="inlineStr">
        <is>
          <t>{"mode": "dodge", "obstacles": ["🚗", "🕳️", "🚧", "🐕"]}</t>
        </is>
      </c>
      <c r="Q413" s="5" t="inlineStr"/>
      <c r="R413" s="5" t="inlineStr"/>
      <c r="S413" s="5" t="inlineStr"/>
      <c r="T413" s="5" t="inlineStr">
        <is>
          <t>Kestirme Bilir</t>
        </is>
      </c>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c r="AI413" s="5" t="inlineStr"/>
      <c r="AJ413" s="5" t="inlineStr"/>
    </row>
    <row r="414">
      <c r="A414" s="5" t="inlineStr">
        <is>
          <t>b5-kurye-isi</t>
        </is>
      </c>
      <c r="B414" s="5" t="n">
        <v>2</v>
      </c>
      <c r="C414" s="6" t="inlineStr">
        <is>
          <t>Kurallara uyarak git</t>
        </is>
      </c>
      <c r="D414" s="5" t="inlineStr"/>
      <c r="E414" s="5" t="inlineStr"/>
      <c r="F414" s="5" t="inlineStr">
        <is>
          <t>İtibar +1</t>
        </is>
      </c>
      <c r="G414" s="6" t="inlineStr">
        <is>
          <t>Her kırmızıda durdun. Sipariş on dakika geç ulaştı. Müşteri iki yıldız verdi, yoruma 'Kurallara uymuş' yazdı.</t>
        </is>
      </c>
      <c r="H414" s="6" t="inlineStr"/>
      <c r="I414" s="6" t="inlineStr"/>
      <c r="J414" s="6" t="inlineStr"/>
      <c r="K414" s="6" t="inlineStr"/>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c r="AI414" s="5" t="inlineStr"/>
      <c r="AJ414" s="5" t="inlineStr"/>
    </row>
    <row r="415">
      <c r="A415" s="5" t="inlineStr">
        <is>
          <t>b5-kurye-isi</t>
        </is>
      </c>
      <c r="B415" s="5" t="n">
        <v>3</v>
      </c>
      <c r="C415" s="6" t="inlineStr">
        <is>
          <t>Kapıda sohbet et, bahşiş kap</t>
        </is>
      </c>
      <c r="D415" s="5" t="inlineStr">
        <is>
          <t>Çene</t>
        </is>
      </c>
      <c r="E415" s="5" t="inlineStr">
        <is>
          <t>Kolay</t>
        </is>
      </c>
      <c r="F415" s="5" t="inlineStr"/>
      <c r="G415" s="6" t="inlineStr"/>
      <c r="H415" s="6" t="inlineStr">
        <is>
          <t>Kapıda iki cümle kurdun, bahşiş geldi. Teyze bir de kolonya uzattı: “Terlemişsin yavrum.”</t>
        </is>
      </c>
      <c r="I415" s="6" t="inlineStr">
        <is>
          <t>Bir teyze her akşam aynı saatte sipariş verip seni soruyor. Yemeği değil, seni bekliyor; bahşişin yanına bir de kurabiye koyuyor.</t>
        </is>
      </c>
      <c r="J415" s="6" t="inlineStr">
        <is>
          <t>Sohbet ettin. Müşteri kapıyı kapattı. Bahşişi 'teşekkürler' olarak ödedi.</t>
        </is>
      </c>
      <c r="K415" s="6" t="inlineStr">
        <is>
          <t>Kapıda sohbet uzadı; sıradaki üç sipariş soğudu. Pideci üçünü yeniden yaptı, parasını haftalığından kesti.</t>
        </is>
      </c>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c r="AI415" s="5" t="inlineStr"/>
      <c r="AJ415" s="5" t="inlineStr"/>
    </row>
    <row r="416">
      <c r="A416" s="5" t="inlineStr">
        <is>
          <t>b5-ozel-ders</t>
        </is>
      </c>
      <c r="B416" s="5" t="n">
        <v>1</v>
      </c>
      <c r="C416" s="6" t="inlineStr">
        <is>
          <t>Her dakikayı değerlendir</t>
        </is>
      </c>
      <c r="D416" s="5" t="inlineStr">
        <is>
          <t>Akıl</t>
        </is>
      </c>
      <c r="E416" s="5" t="inlineStr">
        <is>
          <t>Orta</t>
        </is>
      </c>
      <c r="F416" s="5" t="inlineStr"/>
      <c r="G416" s="6" t="inlineStr"/>
      <c r="H416" s="6" t="inlineStr">
        <is>
          <t>Her ders dolu geçti. Matematik notun iki basamak arttı. Annenin montu yolda.</t>
        </is>
      </c>
      <c r="I416" s="6" t="inlineStr">
        <is>
          <t>Öğretmen üçüncü derste 'Ben sana artık ne anlatayım?' dedi. Kalan dersler iptal edildi.</t>
        </is>
      </c>
      <c r="J416" s="6" t="inlineStr">
        <is>
          <t>Dersler iyi geçti. Sınavda çalıştığın konudan tek soru gelmedi.</t>
        </is>
      </c>
      <c r="K416" s="6" t="inlineStr">
        <is>
          <t>Bir ay sonra öğretmen yanlış müfredattan anlattığını fark etti. Özür diledi, ücreti almayı ihmal etmedi.</t>
        </is>
      </c>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c r="AI416" s="5" t="inlineStr"/>
      <c r="AJ416" s="5" t="inlineStr"/>
    </row>
    <row r="417">
      <c r="A417" s="5" t="inlineStr">
        <is>
          <t>b5-ozel-ders</t>
        </is>
      </c>
      <c r="B417" s="5" t="n">
        <v>2</v>
      </c>
      <c r="C417" s="6" t="inlineStr">
        <is>
          <t>Öğretmeni sohbete boğ</t>
        </is>
      </c>
      <c r="D417" s="5" t="inlineStr">
        <is>
          <t>Çene</t>
        </is>
      </c>
      <c r="E417" s="5" t="inlineStr">
        <is>
          <t>Orta</t>
        </is>
      </c>
      <c r="F417" s="5" t="inlineStr"/>
      <c r="G417" s="6" t="inlineStr"/>
      <c r="H417" s="6" t="inlineStr">
        <is>
          <t>Sohbet arasında öğretmen hayatta işe yarayacak üç formül verdi. Hiçbiri sınavda yok.</t>
        </is>
      </c>
      <c r="I417" s="6" t="inlineStr">
        <is>
          <t>O kadar iyi anlaştınız ki üçüncü aydan sonra ücret almadı: 'Sen benim öğrencimsin.'</t>
        </is>
      </c>
      <c r="J417" s="6" t="inlineStr">
        <is>
          <t>Ailen ders sonrası 'Ne öğrendin?' diye sordu. Öğretmenin kedisinin adını söyledin.</t>
        </is>
      </c>
      <c r="K417" s="6" t="inlineStr">
        <is>
          <t>Ders saati öğretmenin tatil fotoğraflarıyla doldu. Çıkarken annene “Çok cevval bir çocuk” dedi; annen dersleri haftada ikiye çıkardı.</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c r="AI417" s="5" t="inlineStr"/>
      <c r="AJ417" s="5" t="inlineStr"/>
    </row>
    <row r="418">
      <c r="A418" s="5" t="inlineStr">
        <is>
          <t>b5-ozel-ders</t>
        </is>
      </c>
      <c r="B418" s="5" t="n">
        <v>3</v>
      </c>
      <c r="C418" s="6" t="inlineStr">
        <is>
          <t>Dersleri iptal ettir</t>
        </is>
      </c>
      <c r="D418" s="5" t="inlineStr"/>
      <c r="E418" s="5" t="inlineStr"/>
      <c r="F418" s="5" t="inlineStr">
        <is>
          <t>Pişkinlik +1</t>
        </is>
      </c>
      <c r="G418" s="6" t="inlineStr">
        <is>
          <t>Dersi bırakmak istediğini söyledin. Annen hiç tartışmadı. Ertesi hafta salonda yeni bir öğretmen oturuyordu; kristal şekerlik yine masadaydı.</t>
        </is>
      </c>
      <c r="H418" s="6" t="inlineStr"/>
      <c r="I418" s="6" t="inlineStr"/>
      <c r="J418" s="6" t="inlineStr"/>
      <c r="K418" s="6" t="inlineStr"/>
      <c r="L418" s="6" t="inlineStr"/>
      <c r="M418" s="5" t="inlineStr"/>
      <c r="N418" s="5" t="inlineStr"/>
      <c r="O418" s="6" t="inlineStr"/>
      <c r="P418" s="6" t="inlineStr"/>
      <c r="Q418" s="5" t="inlineStr"/>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c r="AI418" s="5" t="inlineStr"/>
      <c r="AJ418" s="5" t="inlineStr"/>
    </row>
    <row r="419">
      <c r="A419" s="5" t="inlineStr">
        <is>
          <t>b5-rehberlik</t>
        </is>
      </c>
      <c r="B419" s="5" t="n">
        <v>1</v>
      </c>
      <c r="C419" s="6" t="inlineStr">
        <is>
          <t>Sonucu kabul et</t>
        </is>
      </c>
      <c r="D419" s="5" t="inlineStr"/>
      <c r="E419" s="5" t="inlineStr"/>
      <c r="F419" s="5" t="inlineStr">
        <is>
          <t>Dayanıklılık +1</t>
        </is>
      </c>
      <c r="G419" s="6" t="inlineStr">
        <is>
          <t>Sonucu kabul ettin. Rehber öğretmen eline bir denizcilik broşürü tutuşturdu. Yüzme bilip bilmediğini sormadı; sen de söylemedin.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c r="AI419" s="5" t="inlineStr"/>
      <c r="AJ419" s="5" t="inlineStr"/>
    </row>
    <row r="420">
      <c r="A420" s="5" t="inlineStr">
        <is>
          <t>b5-rehberlik</t>
        </is>
      </c>
      <c r="B420" s="5" t="n">
        <v>2</v>
      </c>
      <c r="C420" s="6" t="inlineStr">
        <is>
          <t>Testi yeniden al</t>
        </is>
      </c>
      <c r="D420" s="5" t="inlineStr">
        <is>
          <t>Akıl</t>
        </is>
      </c>
      <c r="E420" s="5" t="inlineStr">
        <is>
          <t>Orta</t>
        </is>
      </c>
      <c r="F420" s="5" t="inlineStr"/>
      <c r="G420" s="6" t="inlineStr"/>
      <c r="H420" s="6" t="inlineStr">
        <is>
          <t>Dikkatle yeniden aldın. Yeni sonuç: mühendis. Ailen sonucu çerçeveletti.</t>
        </is>
      </c>
      <c r="I420" s="6" t="inlineStr">
        <is>
          <t>Sonuç tam hayal ettiğin meslek çıktı. Rehber öğretmen üçüncü kez almanı önermedi.</t>
        </is>
      </c>
      <c r="J420" s="6" t="inlineStr">
        <is>
          <t>Yeniden aldın. Sonuç: deniz feneri bekçisi yardımcısı.</t>
        </is>
      </c>
      <c r="K420" s="6" t="inlineStr">
        <is>
          <t>Testi üçüncü kez aldın. Rehber öğretmen seni “kararsız” diye not etti ve her hafta çağırmaya başladı. Hâlâ gidiyorsun; artık çayını da içiyorsun.</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c r="AI420" s="5" t="inlineStr"/>
      <c r="AJ420" s="5" t="inlineStr"/>
    </row>
    <row r="421">
      <c r="A421" s="5" t="inlineStr">
        <is>
          <t>b5-rehberlik</t>
        </is>
      </c>
      <c r="B421" s="5" t="n">
        <v>3</v>
      </c>
      <c r="C421" s="6" t="inlineStr">
        <is>
          <t>Rehber öğretmenle gerçekten konuş</t>
        </is>
      </c>
      <c r="D421" s="5" t="inlineStr">
        <is>
          <t>Sosyal Radar</t>
        </is>
      </c>
      <c r="E421" s="5" t="inlineStr">
        <is>
          <t>Kolay</t>
        </is>
      </c>
      <c r="F421" s="5" t="inlineStr"/>
      <c r="G421" s="6" t="inlineStr"/>
      <c r="H421" s="6" t="inlineStr">
        <is>
          <t>Testi bir kenara bıraktınız. Kırk dakika sonra ilk kez kendi cevabını duydun.</t>
        </is>
      </c>
      <c r="I421" s="6" t="inlineStr">
        <is>
          <t>Veli görüşmesinde öğretmen annene “Bu çocuk ne istediğini biliyor” dedi. Annen eve kadar sustu, kapıda sordu: “Neymiş istediğin?” İlk kez gerçekten dinledi.</t>
        </is>
      </c>
      <c r="J421" s="6" t="inlineStr">
        <is>
          <t>Sohbet güzel geçti. Sonunda öğretmen seni testi yeniden almaya ikna etti.</t>
        </is>
      </c>
      <c r="K421" s="6" t="inlineStr">
        <is>
          <t>Sohbet öğretmenin kendi kariyer pişmanlıklarına döndü. Seansın sonunda sen onu teselli ettin.</t>
        </is>
      </c>
      <c r="L421" s="6" t="inlineStr"/>
      <c r="M421" s="5" t="inlineStr"/>
      <c r="N421" s="5" t="inlineStr"/>
      <c r="O421" s="6" t="inlineStr"/>
      <c r="P421" s="6" t="inlineStr"/>
      <c r="Q421" s="5" t="inlineStr">
        <is>
          <t>Odayı Okur</t>
        </is>
      </c>
      <c r="R421" s="5" t="inlineStr"/>
      <c r="S421" s="5" t="inlineStr"/>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c r="AI421" s="5" t="inlineStr"/>
      <c r="AJ421" s="5" t="inlineStr"/>
    </row>
    <row r="422">
      <c r="A422" s="5" t="inlineStr">
        <is>
          <t>b5-telefon-detoksu</t>
        </is>
      </c>
      <c r="B422" s="5" t="n">
        <v>1</v>
      </c>
      <c r="C422" s="6" t="inlineStr">
        <is>
          <t>Kabul et, çalış</t>
        </is>
      </c>
      <c r="D422" s="5" t="inlineStr"/>
      <c r="E422" s="5" t="inlineStr"/>
      <c r="F422" s="5" t="inlineStr">
        <is>
          <t>Akıl +1, Dayanıklılık +1</t>
        </is>
      </c>
      <c r="G422" s="6" t="inlineStr">
        <is>
          <t>İki ay telefonsuz geçti. Dünyada ne olduğunu bilmiyorsun ama trigonometriyi biliyorsun.</t>
        </is>
      </c>
      <c r="H422" s="6" t="inlineStr"/>
      <c r="I422" s="6" t="inlineStr"/>
      <c r="J422" s="6" t="inlineStr"/>
      <c r="K422" s="6" t="inlineStr"/>
      <c r="L422" s="6" t="inlineStr"/>
      <c r="M422" s="5" t="inlineStr"/>
      <c r="N422" s="5" t="inlineStr"/>
      <c r="O422" s="6" t="inlineStr"/>
      <c r="P422" s="6" t="inlineStr"/>
      <c r="Q422" s="5" t="inlineStr"/>
      <c r="R422" s="5" t="inlineStr"/>
      <c r="S422" s="5" t="inlineStr"/>
      <c r="T422" s="5" t="inlineStr"/>
      <c r="U422" s="5" t="inlineStr"/>
      <c r="V422" s="5" t="inlineStr"/>
      <c r="W422" s="5" t="inlineStr"/>
      <c r="X422" s="5" t="inlineStr"/>
      <c r="Y422" s="5" t="inlineStr"/>
      <c r="Z422" s="6" t="inlineStr"/>
      <c r="AA422" s="5" t="inlineStr"/>
      <c r="AB422" s="5" t="inlineStr"/>
      <c r="AC422" s="5" t="inlineStr"/>
      <c r="AD422" s="5" t="inlineStr"/>
      <c r="AE422" s="5" t="inlineStr"/>
      <c r="AF422" s="5" t="inlineStr"/>
      <c r="AG422" s="5" t="inlineStr"/>
      <c r="AH422" s="5" t="inlineStr"/>
      <c r="AI422" s="5" t="inlineStr"/>
      <c r="AJ422" s="5" t="inlineStr"/>
    </row>
    <row r="423">
      <c r="A423" s="5" t="inlineStr">
        <is>
          <t>b5-telefon-detoksu</t>
        </is>
      </c>
      <c r="B423" s="5" t="n">
        <v>2</v>
      </c>
      <c r="C423" s="6" t="inlineStr">
        <is>
          <t>Akşamları bir saat için pazarlık et</t>
        </is>
      </c>
      <c r="D423" s="5" t="inlineStr">
        <is>
          <t>Çene</t>
        </is>
      </c>
      <c r="E423" s="5" t="inlineStr">
        <is>
          <t>Orta</t>
        </is>
      </c>
      <c r="F423" s="5" t="inlineStr"/>
      <c r="G423" s="6" t="inlineStr"/>
      <c r="H423" s="6" t="inlineStr">
        <is>
          <t>Akşam bir saat için anlaştınız. Saat dolunca telefonu annenin avucuna kendin bıraktın. Annen “Aferin” dedi; on yedi yaşında “aferin” almak tuhaf ama güzel.</t>
        </is>
      </c>
      <c r="I423" s="6" t="inlineStr">
        <is>
          <t>Akşam bir saate, hafta sonu tam güne anlaştınız. Baban maddeleri okurken gözlüğünü çıkardı: “Bunu sana hukukçu mu yazdı?”</t>
        </is>
      </c>
      <c r="J423" s="6" t="inlineStr">
        <is>
          <t>Bir saati aldın. Süre bitince alarm çaldı. Alarm babanın telefonuna kurulmuş.</t>
        </is>
      </c>
      <c r="K423" s="6" t="inlineStr">
        <is>
          <t>Pazarlık uzadı. Tablet ve bilgisayar da emanete alındı. Odanda bir masa, bir kitap ve sen kaldınız.</t>
        </is>
      </c>
      <c r="L423" s="6" t="inlineStr"/>
      <c r="M423" s="5" t="inlineStr"/>
      <c r="N423" s="5" t="inlineStr"/>
      <c r="O423" s="6" t="inlineStr"/>
      <c r="P423" s="6" t="inlineStr"/>
      <c r="Q423" s="5" t="inlineStr"/>
      <c r="R423" s="5" t="inlineStr"/>
      <c r="S423" s="5" t="inlineStr"/>
      <c r="T423" s="5" t="inlineStr"/>
      <c r="U423" s="5" t="inlineStr"/>
      <c r="V423" s="5" t="inlineStr"/>
      <c r="W423" s="5" t="inlineStr"/>
      <c r="X423" s="5" t="inlineStr"/>
      <c r="Y423" s="5" t="inlineStr"/>
      <c r="Z423" s="6" t="inlineStr"/>
      <c r="AA423" s="5" t="inlineStr"/>
      <c r="AB423" s="5" t="inlineStr"/>
      <c r="AC423" s="5" t="inlineStr"/>
      <c r="AD423" s="5" t="inlineStr"/>
      <c r="AE423" s="5" t="inlineStr"/>
      <c r="AF423" s="5" t="inlineStr"/>
      <c r="AG423" s="5" t="inlineStr"/>
      <c r="AH423" s="5" t="inlineStr"/>
      <c r="AI423" s="5" t="inlineStr"/>
      <c r="AJ423" s="5" t="inlineStr"/>
    </row>
    <row r="424">
      <c r="A424" s="5" t="inlineStr">
        <is>
          <t>b5-telefon-detoksu</t>
        </is>
      </c>
      <c r="B424" s="5" t="n">
        <v>3</v>
      </c>
      <c r="C424" s="6" t="inlineStr">
        <is>
          <t>Anahtarı bul</t>
        </is>
      </c>
      <c r="D424" s="5" t="inlineStr">
        <is>
          <t>Kurnazlık</t>
        </is>
      </c>
      <c r="E424" s="5" t="inlineStr">
        <is>
          <t>Orta</t>
        </is>
      </c>
      <c r="F424" s="5" t="inlineStr"/>
      <c r="G424" s="6" t="inlineStr"/>
      <c r="H424" s="6" t="inlineStr">
        <is>
          <t>Gece yarısı telefonu aldın, sabahtan önce geri koydun. Ekmek dolabı sırrını korudu.</t>
        </is>
      </c>
      <c r="I424" s="6" t="inlineStr">
        <is>
          <t>İki ay boyunca her gece bir saat telefon, her sabah ders. Kimse fark etmedi. Annen yalnızca ekmeklerin neden hep ezik olduğunu anlamadı.</t>
        </is>
      </c>
      <c r="J424" s="6" t="inlineStr">
        <is>
          <t>Anahtarı buldun. Çekmecede telefon yoktu. Annen bir adım öndeydi.</t>
        </is>
      </c>
      <c r="K424" s="6" t="inlineStr">
        <is>
          <t>Anahtarı alırken ekmek poşetini hışırdattın. Mutfağın ışığı yandı: baban, annen ve pijamalı babaannen masada oturuyordu. Babaannen “Ben de su içmeye gelmiştim” dedi; içmedi.</t>
        </is>
      </c>
      <c r="L424" s="6" t="inlineStr">
        <is>
          <t>Telefonu aldın ama geri koyarken çekmece gıcırdadı. Sabah baban çekmeceyi yağladı; tek kelime etmeden.</t>
        </is>
      </c>
      <c r="M424" s="5" t="inlineStr">
        <is>
          <t>hidden</t>
        </is>
      </c>
      <c r="N424" s="5" t="inlineStr">
        <is>
          <t>Anahtarı Bul</t>
        </is>
      </c>
      <c r="O424" s="6" t="inlineStr">
        <is>
          <t>Karanlık mutfakta anahtarı (🔑) bul.</t>
        </is>
      </c>
      <c r="P424" s="6" t="inlineStr">
        <is>
          <t>{"target": "🔑", "decoys": ["🥖", "🧂", "🍴", "🥄", "🧅"]}</t>
        </is>
      </c>
      <c r="Q424" s="5" t="inlineStr"/>
      <c r="R424" s="5" t="inlineStr"/>
      <c r="S424" s="5" t="inlineStr">
        <is>
          <t>Kurnazlık</t>
        </is>
      </c>
      <c r="T424" s="5" t="inlineStr"/>
      <c r="U424" s="5" t="inlineStr"/>
      <c r="V424" s="5" t="inlineStr"/>
      <c r="W424" s="5" t="inlineStr"/>
      <c r="X424" s="5" t="inlineStr"/>
      <c r="Y424" s="5" t="inlineStr"/>
      <c r="Z424" s="6" t="inlineStr"/>
      <c r="AA424" s="5" t="inlineStr"/>
      <c r="AB424" s="5" t="inlineStr"/>
      <c r="AC424" s="5" t="inlineStr"/>
      <c r="AD424" s="5" t="inlineStr"/>
      <c r="AE424" s="5" t="inlineStr"/>
      <c r="AF424" s="5" t="inlineStr"/>
      <c r="AG424" s="5" t="inlineStr"/>
      <c r="AH424" s="5" t="inlineStr"/>
      <c r="AI424" s="5" t="inlineStr"/>
      <c r="AJ424" s="5" t="inlineStr"/>
    </row>
    <row r="425">
      <c r="A425" s="5" t="inlineStr">
        <is>
          <t>b5-universite-sinavi</t>
        </is>
      </c>
      <c r="B425" s="5" t="n">
        <v>1</v>
      </c>
      <c r="C425" s="6" t="inlineStr">
        <is>
          <t>Soruları sırayla çöz</t>
        </is>
      </c>
      <c r="D425" s="5" t="inlineStr">
        <is>
          <t>Akıl</t>
        </is>
      </c>
      <c r="E425" s="5" t="inlineStr">
        <is>
          <t>Orta</t>
        </is>
      </c>
      <c r="F425" s="5" t="inlineStr"/>
      <c r="G425" s="6" t="inlineStr"/>
      <c r="H425" s="6" t="inlineStr">
        <is>
          <t>Sabırla çözdün, üniversiteye girdin. Aile grubunda üç saat sadece tebrik yağdı; kimse bölümünü sormadı. Soracaklar.</t>
        </is>
      </c>
      <c r="I425" s="6" t="inlineStr">
        <is>
          <t>Derece yaptın. Dershane seni afişe bastı, okul da bastı. Annen iki afişin de fotoğrafını çekti.</t>
        </is>
      </c>
      <c r="J425" s="6" t="inlineStr">
        <is>
          <t>Puanın hiçbir yere yetmedi. Ailen 'Seneye' dedi. Kelime evde yankılanıyor.</t>
        </is>
      </c>
      <c r="K425" s="6" t="inlineStr">
        <is>
          <t>Optik formu bir satır kaydırarak doldurdun. Cevaplar doğru, kutular yanlış. Tarihin en bilgili sıfırı.</t>
        </is>
      </c>
      <c r="L425" s="6" t="inlineStr"/>
      <c r="M425" s="5" t="inlineStr"/>
      <c r="N425" s="5" t="inlineStr"/>
      <c r="O425" s="6" t="inlineStr"/>
      <c r="P425" s="6" t="inlineStr"/>
      <c r="Q425" s="5" t="inlineStr"/>
      <c r="R425" s="5" t="inlineStr"/>
      <c r="S425" s="5" t="inlineStr"/>
      <c r="T425" s="5" t="inlineStr"/>
      <c r="U425" s="5" t="inlineStr"/>
      <c r="V425" s="5" t="inlineStr">
        <is>
          <t>universiteli, sinav-orta</t>
        </is>
      </c>
      <c r="W425" s="5" t="inlineStr"/>
      <c r="X425" s="5" t="inlineStr"/>
      <c r="Y425" s="5" t="inlineStr"/>
      <c r="Z425" s="6" t="inlineStr"/>
      <c r="AA425" s="5" t="inlineStr"/>
      <c r="AB425" s="5" t="inlineStr">
        <is>
          <t>sinav-kotu</t>
        </is>
      </c>
      <c r="AC425" s="5" t="inlineStr"/>
      <c r="AD425" s="5" t="inlineStr"/>
      <c r="AE425" s="5" t="inlineStr"/>
      <c r="AF425" s="5" t="inlineStr"/>
      <c r="AG425" s="5" t="inlineStr"/>
      <c r="AH425" s="5" t="inlineStr"/>
      <c r="AI425" s="5" t="inlineStr">
        <is>
          <t>Bilgili Sıfır</t>
        </is>
      </c>
      <c r="AJ425" s="5" t="inlineStr"/>
      <c r="AK425" t="inlineStr">
        <is>
          <t>sinav-iyi, -sinav-orta</t>
        </is>
      </c>
    </row>
    <row r="426">
      <c r="A426" s="5" t="inlineStr">
        <is>
          <t>b5-universite-sinavi</t>
        </is>
      </c>
      <c r="B426" s="5" t="n">
        <v>2</v>
      </c>
      <c r="C426" s="6" t="inlineStr">
        <is>
          <t>Eleyerek tahmin et, boş bırakma</t>
        </is>
      </c>
      <c r="D426" s="5" t="inlineStr">
        <is>
          <t>Kurnazlık</t>
        </is>
      </c>
      <c r="E426" s="5" t="inlineStr">
        <is>
          <t>Zor</t>
        </is>
      </c>
      <c r="F426" s="5" t="inlineStr"/>
      <c r="G426" s="6" t="inlineStr"/>
      <c r="H426" s="6" t="inlineStr">
        <is>
          <t>Bilmediklerini eleyerek işaretledin. Sonuç açıklandığında puanına üç kez baktın, sonra annene gösterdin. Annen dördüncü kez baktı: üniversitelisin.</t>
        </is>
      </c>
      <c r="I426" s="6" t="inlineStr">
        <is>
          <t>Tahminlerinin çoğu tuttu. Puanın, bir yıl gece gündüz çalışan kuzenininkini geçti. Bu konu bayramlarda açılmayacak.</t>
        </is>
      </c>
      <c r="J426" s="6" t="inlineStr">
        <is>
          <t>Tahminlerin bu yıl tutmadı. Puanın barajın bir tık altında kaldı. Dayın bayrama kadar her gördüğünde “Bir soru be!” dedi.</t>
        </is>
      </c>
      <c r="K426" s="6" t="inlineStr">
        <is>
          <t>Bütün tahminleri 'C' yaptın. Bu yıl cevap anahtarında en az 'C' vardı.</t>
        </is>
      </c>
      <c r="L426" s="6" t="inlineStr"/>
      <c r="M426" s="5" t="inlineStr"/>
      <c r="N426" s="5" t="inlineStr"/>
      <c r="O426" s="6" t="inlineStr"/>
      <c r="P426" s="6" t="inlineStr"/>
      <c r="Q426" s="5" t="inlineStr"/>
      <c r="R426" s="5" t="inlineStr"/>
      <c r="S426" s="5" t="inlineStr"/>
      <c r="T426" s="5" t="inlineStr"/>
      <c r="U426" s="5" t="inlineStr"/>
      <c r="V426" s="5" t="inlineStr">
        <is>
          <t>universiteli, sinav-orta</t>
        </is>
      </c>
      <c r="W426" s="5" t="inlineStr"/>
      <c r="X426" s="5" t="inlineStr"/>
      <c r="Y426" s="5" t="inlineStr"/>
      <c r="Z426" s="6" t="inlineStr"/>
      <c r="AA426" s="5" t="inlineStr"/>
      <c r="AB426" s="5" t="inlineStr">
        <is>
          <t>sinav-kotu</t>
        </is>
      </c>
      <c r="AC426" s="5" t="inlineStr"/>
      <c r="AD426" s="5" t="inlineStr"/>
      <c r="AE426" s="5" t="inlineStr"/>
      <c r="AF426" s="5" t="inlineStr"/>
      <c r="AG426" s="5" t="inlineStr"/>
      <c r="AH426" s="5" t="inlineStr"/>
      <c r="AI426" s="5" t="inlineStr"/>
      <c r="AJ426" s="5" t="inlineStr"/>
      <c r="AK426" t="inlineStr">
        <is>
          <t>sinav-iyi, -sinav-orta</t>
        </is>
      </c>
    </row>
    <row r="427">
      <c r="A427" s="5" t="inlineStr">
        <is>
          <t>b5-universite-sinavi</t>
        </is>
      </c>
      <c r="B427" s="5" t="n">
        <v>3</v>
      </c>
      <c r="C427" s="6" t="inlineStr">
        <is>
          <t>Lisenin birikimine güven</t>
        </is>
      </c>
      <c r="D427" s="5" t="inlineStr">
        <is>
          <t>Akıl</t>
        </is>
      </c>
      <c r="E427" s="5" t="inlineStr">
        <is>
          <t>Kolay</t>
        </is>
      </c>
      <c r="F427" s="5" t="inlineStr"/>
      <c r="G427" s="6" t="inlineStr"/>
      <c r="H427" s="6" t="inlineStr">
        <is>
          <t>İyi bir lisedeki dört yıl boşa gitmemiş; üniversiteye girdin. Baban sonucu duyunca yalnızca “Biliyordum” dedi. Sonra balkona çıkıp bir süre tek başına durdu.</t>
        </is>
      </c>
      <c r="I427" s="6" t="inlineStr">
        <is>
          <t>Süre bitmeden çıktın. Kapıda bekleyen annen “Bıraktın mı?” diye ağlamaya başladı. Bırakmamıştın; ilk tercihine yerleştin.</t>
        </is>
      </c>
      <c r="J427" s="6" t="inlineStr">
        <is>
          <t>Birikime güvendin. Birikim dört yıl önce kalmış. Puan yetmedi.</t>
        </is>
      </c>
      <c r="K427" s="6" t="inlineStr">
        <is>
          <t>Fazla rahattın; kimliğini evde unuttun. Annen koşarak getirdiğinde kapılar kapanmıştı.</t>
        </is>
      </c>
      <c r="L427" s="6" t="inlineStr"/>
      <c r="M427" s="5" t="inlineStr"/>
      <c r="N427" s="5" t="inlineStr"/>
      <c r="O427" s="6" t="inlineStr"/>
      <c r="P427" s="6" t="inlineStr"/>
      <c r="Q427" s="5" t="inlineStr"/>
      <c r="R427" s="5" t="inlineStr">
        <is>
          <t>iyi-lise</t>
        </is>
      </c>
      <c r="S427" s="5" t="inlineStr"/>
      <c r="T427" s="5" t="inlineStr"/>
      <c r="U427" s="5" t="inlineStr"/>
      <c r="V427" s="5" t="inlineStr">
        <is>
          <t>universiteli, sinav-orta</t>
        </is>
      </c>
      <c r="W427" s="5" t="inlineStr"/>
      <c r="X427" s="5" t="inlineStr"/>
      <c r="Y427" s="5" t="inlineStr"/>
      <c r="Z427" s="6" t="inlineStr"/>
      <c r="AA427" s="5" t="inlineStr"/>
      <c r="AB427" s="5" t="inlineStr">
        <is>
          <t>sinav-kotu</t>
        </is>
      </c>
      <c r="AC427" s="5" t="inlineStr"/>
      <c r="AD427" s="5" t="inlineStr"/>
      <c r="AE427" s="5" t="inlineStr"/>
      <c r="AF427" s="5" t="inlineStr"/>
      <c r="AG427" s="5" t="inlineStr"/>
      <c r="AH427" s="5" t="inlineStr"/>
      <c r="AI427" s="5" t="inlineStr"/>
      <c r="AJ427" s="5" t="inlineStr"/>
      <c r="AK427" t="inlineStr">
        <is>
          <t>sinav-iyi, -sinav-orta</t>
        </is>
      </c>
    </row>
    <row r="428">
      <c r="A428" s="5" t="inlineStr">
        <is>
          <t>b5-universite-sinavi</t>
        </is>
      </c>
      <c r="B428" s="5" t="n">
        <v>4</v>
      </c>
      <c r="C428" s="6" t="inlineStr">
        <is>
          <t>Deneme tecrübene yaslan</t>
        </is>
      </c>
      <c r="D428" s="5" t="inlineStr">
        <is>
          <t>Dayanıklılık</t>
        </is>
      </c>
      <c r="E428" s="5" t="inlineStr">
        <is>
          <t>Kolay</t>
        </is>
      </c>
      <c r="F428" s="5" t="inlineStr"/>
      <c r="G428" s="6" t="inlineStr"/>
      <c r="H428" s="6" t="inlineStr">
        <is>
          <t>Yüzlerce denemeden sonra bu sadece bir tane daha. Rahatça çözdün; üniversitelisin.</t>
        </is>
      </c>
      <c r="I428" s="6" t="inlineStr">
        <is>
          <t>Denemelerdeki en yüksek puanını geçtin. Teşekkür etmeye dershaneye gittin; danışman seni tanımadı, önüne kayıt formu koydu.</t>
        </is>
      </c>
      <c r="J428" s="6" t="inlineStr">
        <is>
          <t>Denemelerde hep iyiydin. Sınav, deneme olmadığını hatırlattı.</t>
        </is>
      </c>
      <c r="K428" s="6" t="inlineStr">
        <is>
          <t>Denemelerdeki alışkanlıkla son yarım saati kontrole ayırdın. Doğru cevaplarından on ikisini yanlışla değiştirdin. Puan yetmedi.</t>
        </is>
      </c>
      <c r="L428" s="6" t="inlineStr"/>
      <c r="M428" s="5" t="inlineStr"/>
      <c r="N428" s="5" t="inlineStr"/>
      <c r="O428" s="6" t="inlineStr"/>
      <c r="P428" s="6" t="inlineStr"/>
      <c r="Q428" s="5" t="inlineStr">
        <is>
          <t>Deneme Kurdu</t>
        </is>
      </c>
      <c r="R428" s="5" t="inlineStr"/>
      <c r="S428" s="5" t="inlineStr"/>
      <c r="T428" s="5" t="inlineStr"/>
      <c r="U428" s="5" t="inlineStr"/>
      <c r="V428" s="5" t="inlineStr">
        <is>
          <t>universiteli, sinav-orta</t>
        </is>
      </c>
      <c r="W428" s="5" t="inlineStr"/>
      <c r="X428" s="5" t="inlineStr"/>
      <c r="Y428" s="5" t="inlineStr"/>
      <c r="Z428" s="6" t="inlineStr"/>
      <c r="AA428" s="5" t="inlineStr"/>
      <c r="AB428" s="5" t="inlineStr">
        <is>
          <t>sinav-kotu</t>
        </is>
      </c>
      <c r="AC428" s="5" t="inlineStr"/>
      <c r="AD428" s="5" t="inlineStr"/>
      <c r="AE428" s="5" t="inlineStr"/>
      <c r="AF428" s="5" t="inlineStr"/>
      <c r="AG428" s="5" t="inlineStr"/>
      <c r="AH428" s="5" t="inlineStr"/>
      <c r="AI428" s="5" t="inlineStr"/>
      <c r="AJ428" s="5" t="inlineStr"/>
      <c r="AK428" t="inlineStr">
        <is>
          <t>sinav-iyi, -sinav-orta</t>
        </is>
      </c>
    </row>
    <row r="429">
      <c r="A429" s="5" t="inlineStr">
        <is>
          <t>b5-universite-sinavi</t>
        </is>
      </c>
      <c r="B429" s="5" t="n">
        <v>5</v>
      </c>
      <c r="C429" s="6" t="inlineStr">
        <is>
          <t>Sınava girme, hemen çalışmaya başla</t>
        </is>
      </c>
      <c r="D429" s="5" t="inlineStr"/>
      <c r="E429" s="5" t="inlineStr"/>
      <c r="F429" s="5" t="inlineStr">
        <is>
          <t>Cesaret +1, Dayanıklılık +1</t>
        </is>
      </c>
      <c r="G429" s="6" t="inlineStr">
        <is>
          <t>Sınava girmedin; ertesi sabah bir işe başladın. Ailen buna 'ara yıl' dedi. Sen 'maaş' dedin.</t>
        </is>
      </c>
      <c r="H429" s="6" t="inlineStr"/>
      <c r="I429" s="6" t="inlineStr"/>
      <c r="J429" s="6" t="inlineStr"/>
      <c r="K429" s="6" t="inlineStr"/>
      <c r="L429" s="6" t="inlineStr"/>
      <c r="M429" s="5" t="inlineStr"/>
      <c r="N429" s="5" t="inlineStr"/>
      <c r="O429" s="6" t="inlineStr"/>
      <c r="P429" s="6" t="inlineStr"/>
      <c r="Q429" s="5" t="inlineStr"/>
      <c r="R429" s="5" t="inlineStr"/>
      <c r="S429" s="5" t="inlineStr"/>
      <c r="T429" s="5" t="inlineStr"/>
      <c r="U429" s="5" t="inlineStr">
        <is>
          <t>sinava-girmedi</t>
        </is>
      </c>
      <c r="V429" s="5" t="inlineStr"/>
      <c r="W429" s="5" t="inlineStr"/>
      <c r="X429" s="5" t="inlineStr"/>
      <c r="Y429" s="5" t="inlineStr"/>
      <c r="Z429" s="6" t="inlineStr"/>
      <c r="AA429" s="5" t="inlineStr">
        <is>
          <t>Erdem -1, Tan -1, Keskin +1, Yalçın +1</t>
        </is>
      </c>
      <c r="AB429" s="5" t="inlineStr"/>
      <c r="AC429" s="5" t="inlineStr"/>
      <c r="AD429" s="5" t="inlineStr"/>
      <c r="AE429" s="5" t="inlineStr"/>
      <c r="AF429" s="5" t="inlineStr"/>
      <c r="AG429" s="5" t="inlineStr"/>
      <c r="AH429" s="5" t="inlineStr"/>
      <c r="AI429" s="5" t="inlineStr"/>
      <c r="AJ429" s="5" t="inlineStr"/>
    </row>
    <row r="430">
      <c r="A430" s="5" t="inlineStr">
        <is>
          <t>b5-universite-sinavi</t>
        </is>
      </c>
      <c r="B430" s="5" t="n">
        <v>6</v>
      </c>
      <c r="C430" s="6" t="inlineStr">
        <is>
          <t>Öte Diyar'daki üniversiteye başvur</t>
        </is>
      </c>
      <c r="D430" s="5" t="inlineStr">
        <is>
          <t>Akıl</t>
        </is>
      </c>
      <c r="E430" s="5" t="inlineStr">
        <is>
          <t>Zor</t>
        </is>
      </c>
      <c r="F430" s="5" t="inlineStr"/>
      <c r="G430" s="6" t="inlineStr"/>
      <c r="H430" s="6" t="inlineStr">
        <is>
          <t>Öte Diyar'dan kabul mektubu geldi. Aile grubunda üç kişi mektubu tercüme etmeye çalıştı; dördüncüsü sadece “Gözümüz aydın” yazdı.</t>
        </is>
      </c>
      <c r="I430" s="6" t="inlineStr">
        <is>
          <t>Kabulle birlikte burs da geldi. Ailen hesap makinesini kapattı, bavulu açtı.</t>
        </is>
      </c>
      <c r="J430" s="6" t="inlineStr">
        <is>
          <t>Başvurunu gönderdin; cevap Öte Diyar dilinde bir “maalesef” oldu. Tercümeye gerek yoktu.</t>
        </is>
      </c>
      <c r="K430" s="6" t="inlineStr">
        <is>
          <t>Başvuru ücretini ödedin, belgeleri gönderdin. Belgelerin Öte Diyar'a değil, komşu ülkeye gitmiş.</t>
        </is>
      </c>
      <c r="L430" s="6" t="inlineStr"/>
      <c r="M430" s="5" t="inlineStr"/>
      <c r="N430" s="5" t="inlineStr"/>
      <c r="O430" s="6" t="inlineStr"/>
      <c r="P430" s="6" t="inlineStr"/>
      <c r="Q430" s="5" t="inlineStr"/>
      <c r="R430" s="5" t="inlineStr">
        <is>
          <t>yurt-disi-hayali</t>
        </is>
      </c>
      <c r="S430" s="5" t="inlineStr"/>
      <c r="T430" s="5" t="inlineStr"/>
      <c r="U430" s="5" t="inlineStr"/>
      <c r="V430" s="5" t="inlineStr">
        <is>
          <t>yurtdisi-universite</t>
        </is>
      </c>
      <c r="W430" s="5" t="inlineStr"/>
      <c r="X430" s="5" t="inlineStr"/>
      <c r="Y430" s="5" t="inlineStr"/>
      <c r="Z430" s="6" t="inlineStr"/>
      <c r="AA430" s="5" t="inlineStr">
        <is>
          <t>Varlı +1, Şen -1, Yalçın -1</t>
        </is>
      </c>
      <c r="AB430" s="5" t="inlineStr">
        <is>
          <t>sinav-kotu, yd-reddedildi</t>
        </is>
      </c>
      <c r="AC430" s="5" t="inlineStr"/>
      <c r="AD430" s="5" t="inlineStr"/>
      <c r="AE430" s="5" t="inlineStr"/>
      <c r="AF430" s="5" t="inlineStr"/>
      <c r="AG430" s="5" t="inlineStr"/>
      <c r="AH430" s="5" t="inlineStr">
        <is>
          <t>Akıl 30</t>
        </is>
      </c>
      <c r="AI430" s="5" t="inlineStr"/>
      <c r="AJ430" s="5" t="inlineStr"/>
    </row>
    <row r="431">
      <c r="A431" s="5" t="inlineStr">
        <is>
          <t>b5-mezuniyet-balosu</t>
        </is>
      </c>
      <c r="B431" s="5" t="n">
        <v>1</v>
      </c>
      <c r="C431" s="6" t="inlineStr">
        <is>
          <t>Masada otur, fotoğraflara gülümse</t>
        </is>
      </c>
      <c r="D431" s="5" t="inlineStr"/>
      <c r="E431" s="5" t="inlineStr"/>
      <c r="F431" s="5" t="inlineStr">
        <is>
          <t>Sosyal Radar +1</t>
        </is>
      </c>
      <c r="G431" s="6" t="inlineStr">
        <is>
          <t>Bütün gece masada oturdun. Yıllıktaki fotoğrafların hepsinde karenin kenarında gülümseyen sensin.</t>
        </is>
      </c>
      <c r="H431" s="6" t="inlineStr"/>
      <c r="I431" s="6" t="inlineStr"/>
      <c r="J431" s="6" t="inlineStr"/>
      <c r="K431" s="6" t="inlineStr"/>
      <c r="L431" s="6" t="inlineStr"/>
      <c r="M431" s="5" t="inlineStr"/>
      <c r="N431" s="5" t="inlineStr"/>
      <c r="O431" s="6" t="inlineStr"/>
      <c r="P431" s="6" t="inlineStr"/>
      <c r="Q431" s="5" t="inlineStr"/>
      <c r="R431" s="5" t="inlineStr"/>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c r="AI431" s="5" t="inlineStr"/>
      <c r="AJ431" s="5" t="inlineStr"/>
    </row>
    <row r="432">
      <c r="A432" s="5" t="inlineStr">
        <is>
          <t>b5-mezuniyet-balosu</t>
        </is>
      </c>
      <c r="B432" s="5" t="n">
        <v>2</v>
      </c>
      <c r="C432" s="6" t="inlineStr">
        <is>
          <t>İlk dansı başlat</t>
        </is>
      </c>
      <c r="D432" s="5" t="inlineStr">
        <is>
          <t>Cesaret</t>
        </is>
      </c>
      <c r="E432" s="5" t="inlineStr">
        <is>
          <t>Zor</t>
        </is>
      </c>
      <c r="F432" s="5" t="inlineStr"/>
      <c r="G432" s="6" t="inlineStr"/>
      <c r="H432" s="6" t="inlineStr">
        <is>
          <t>Piste ilk sen çıktın. Otuz saniye yalnız dans ettin, sonra herkes geldi. O otuz saniyeyi hiç unutmayacaksın.</t>
        </is>
      </c>
      <c r="I432" s="6" t="inlineStr">
        <is>
          <t>Pisti açtın, öğretmenler bile dans etti. Müdür yardımcısının figürleri artık okul efsanesi.</t>
        </is>
      </c>
      <c r="J432" s="6" t="inlineStr">
        <is>
          <t>Piste çıktın, şarkı bitti. Sessizlikte pistin ortasında yalnızdın.</t>
        </is>
      </c>
      <c r="K432" s="6" t="inlineStr">
        <is>
          <t>Piste çıkarken kaydın ve pasta masasına kadar gittin. Balo fotoğraflarının yarısında pastayla birliktesin.</t>
        </is>
      </c>
      <c r="L432" s="6" t="inlineStr">
        <is>
          <t>Ritmi yarıda kaçırdın ama arkadaşların piste çoktan gelmişti. Kimse fark etmedi; sen hariç.</t>
        </is>
      </c>
      <c r="M432" s="5" t="inlineStr">
        <is>
          <t>simon</t>
        </is>
      </c>
      <c r="N432" s="5" t="inlineStr">
        <is>
          <t>İlk Dans</t>
        </is>
      </c>
      <c r="O432" s="6" t="inlineStr">
        <is>
          <t>Sırayı dinle, aynı sırayla tekrar et.</t>
        </is>
      </c>
      <c r="P432" s="6" t="inlineStr">
        <is>
          <t>{"items": ["⬅️", "⬆️", "➡️", "⬇️"]}</t>
        </is>
      </c>
      <c r="Q432" s="5" t="inlineStr"/>
      <c r="R432" s="5" t="inlineStr"/>
      <c r="S432" s="5" t="inlineStr"/>
      <c r="T432" s="5" t="inlineStr"/>
      <c r="U432" s="5" t="inlineStr"/>
      <c r="V432" s="5" t="inlineStr"/>
      <c r="W432" s="5" t="inlineStr"/>
      <c r="X432" s="5" t="inlineStr"/>
      <c r="Y432" s="5" t="inlineStr"/>
      <c r="Z432" s="6" t="inlineStr"/>
      <c r="AA432" s="5" t="inlineStr"/>
      <c r="AB432" s="5" t="inlineStr"/>
      <c r="AC432" s="5" t="inlineStr"/>
      <c r="AD432" s="5" t="inlineStr"/>
      <c r="AE432" s="5" t="inlineStr"/>
      <c r="AF432" s="5" t="inlineStr"/>
      <c r="AG432" s="5" t="inlineStr"/>
      <c r="AH432" s="5" t="inlineStr"/>
      <c r="AI432" s="5" t="inlineStr"/>
      <c r="AJ432" s="5" t="inlineStr"/>
    </row>
    <row r="433">
      <c r="A433" s="5" t="inlineStr">
        <is>
          <t>b5-mezuniyet-balosu</t>
        </is>
      </c>
      <c r="B433" s="5" t="n">
        <v>3</v>
      </c>
      <c r="C433" s="6" t="inlineStr">
        <is>
          <t>Mikrofonu al</t>
        </is>
      </c>
      <c r="D433" s="5" t="inlineStr">
        <is>
          <t>Pişkinlik</t>
        </is>
      </c>
      <c r="E433" s="5" t="inlineStr">
        <is>
          <t>Orta</t>
        </is>
      </c>
      <c r="F433" s="5" t="inlineStr"/>
      <c r="G433" s="6" t="inlineStr"/>
      <c r="H433" s="6" t="inlineStr">
        <is>
          <t>Dört yılı üç espriyle özetledin. En çok kimya öğretmeni güldü; esprilerin ikisi onun hakkındaydı.</t>
        </is>
      </c>
      <c r="I433" s="6" t="inlineStr">
        <is>
          <t>O kadar güldürdün ki DJ müziği kıstı ve sana bir mikrofon daha uzattı. Gece seninle kapandı.</t>
        </is>
      </c>
      <c r="J433" s="6" t="inlineStr">
        <is>
          <t>Mikrofon kapalıydı. Kimse duymadı ama herkes el salladı.</t>
        </is>
      </c>
      <c r="K433" s="6" t="inlineStr">
        <is>
          <t>Konuşmanda bütün öğretmenlerin lakaplarını saydın. Öğretmenler de salondaydı. Diplomalar henüz verilmemişti.</t>
        </is>
      </c>
      <c r="L433" s="6" t="inlineStr"/>
      <c r="M433" s="5" t="inlineStr"/>
      <c r="N433" s="5" t="inlineStr"/>
      <c r="O433" s="6" t="inlineStr"/>
      <c r="P433" s="6" t="inlineStr"/>
      <c r="Q433" s="5" t="inlineStr"/>
      <c r="R433" s="5" t="inlineStr"/>
      <c r="S433" s="5" t="inlineStr">
        <is>
          <t>Pişkinlik</t>
        </is>
      </c>
      <c r="T433" s="5" t="inlineStr"/>
      <c r="U433" s="5" t="inlineStr"/>
      <c r="V433" s="5" t="inlineStr"/>
      <c r="W433" s="5" t="inlineStr"/>
      <c r="X433" s="5" t="inlineStr"/>
      <c r="Y433" s="5" t="inlineStr"/>
      <c r="Z433" s="6" t="inlineStr"/>
      <c r="AA433" s="5" t="inlineStr"/>
      <c r="AB433" s="5" t="inlineStr"/>
      <c r="AC433" s="5" t="inlineStr"/>
      <c r="AD433" s="5" t="inlineStr"/>
      <c r="AE433" s="5" t="inlineStr"/>
      <c r="AF433" s="5" t="inlineStr"/>
      <c r="AG433" s="5" t="inlineStr"/>
      <c r="AH433" s="5" t="inlineStr"/>
      <c r="AI433" s="5" t="inlineStr"/>
      <c r="AJ433" s="5" t="inlineStr"/>
    </row>
    <row r="434">
      <c r="A434" s="5" t="inlineStr">
        <is>
          <t>b5-mezuniyet-balosu</t>
        </is>
      </c>
      <c r="B434" s="5" t="n">
        <v>4</v>
      </c>
      <c r="C434" s="6" t="inlineStr">
        <is>
          <t>Sevgilini dansa kaldır</t>
        </is>
      </c>
      <c r="D434" s="5" t="inlineStr">
        <is>
          <t>Cesaret</t>
        </is>
      </c>
      <c r="E434" s="5" t="inlineStr">
        <is>
          <t>Kolay</t>
        </is>
      </c>
      <c r="F434" s="5" t="inlineStr"/>
      <c r="G434" s="6" t="inlineStr"/>
      <c r="H434" s="6" t="inlineStr">
        <is>
          <t>El ele dans ettiniz. Fotoğrafçı o kareyi vitrine koydu.</t>
        </is>
      </c>
      <c r="I434" s="6" t="inlineStr">
        <is>
          <t>Dans bitince bütün salon ikinizi alkışladı. İki ailenin masası birbirine baktı; teyzelerden biri yüksek sesle sordu: “Ne zaman isteyeceğiz?”</t>
        </is>
      </c>
      <c r="J434" s="6" t="inlineStr">
        <is>
          <t>Şarkı hızlıydı. Siz yavaş dans ettiniz. İkinize de yer açıldı.</t>
        </is>
      </c>
      <c r="K434" s="6" t="inlineStr">
        <is>
          <t>İlk adımda ayağına bastın. Fotoğraflarda gülümsüyor ama topallıyor.</t>
        </is>
      </c>
      <c r="L434" s="6" t="inlineStr"/>
      <c r="M434" s="5" t="inlineStr"/>
      <c r="N434" s="5" t="inlineStr"/>
      <c r="O434" s="6" t="inlineStr"/>
      <c r="P434" s="6" t="inlineStr"/>
      <c r="Q434" s="5" t="inlineStr"/>
      <c r="R434" s="5" t="inlineStr">
        <is>
          <t>ilk-sevgili</t>
        </is>
      </c>
      <c r="S434" s="5" t="inlineStr"/>
      <c r="T434" s="5" t="inlineStr"/>
      <c r="U434" s="5" t="inlineStr"/>
      <c r="V434" s="5" t="inlineStr"/>
      <c r="W434" s="5" t="inlineStr"/>
      <c r="X434" s="5" t="inlineStr"/>
      <c r="Y434" s="5" t="inlineStr"/>
      <c r="Z434" s="6" t="inlineStr"/>
      <c r="AA434" s="5" t="inlineStr"/>
      <c r="AB434" s="5" t="inlineStr"/>
      <c r="AC434" s="5" t="inlineStr"/>
      <c r="AD434" s="5" t="inlineStr"/>
      <c r="AE434" s="5" t="inlineStr"/>
      <c r="AF434" s="5" t="inlineStr"/>
      <c r="AG434" s="5" t="inlineStr">
        <is>
          <t>ilk-ayrilik</t>
        </is>
      </c>
      <c r="AH434" s="5" t="inlineStr"/>
      <c r="AI434" s="5" t="inlineStr"/>
      <c r="AJ434" s="5" t="inlineStr"/>
    </row>
    <row r="435">
      <c r="A435" s="5" t="inlineStr">
        <is>
          <t>b5-tercih-listesi</t>
        </is>
      </c>
      <c r="B435" s="5" t="n">
        <v>1</v>
      </c>
      <c r="C435" s="6" t="inlineStr">
        <is>
          <t>Hukuk</t>
        </is>
      </c>
      <c r="D435" s="5" t="inlineStr"/>
      <c r="E435" s="5" t="inlineStr"/>
      <c r="F435" s="5" t="inlineStr">
        <is>
          <t>Çene +1, Akıl +1</t>
        </is>
      </c>
      <c r="G435" s="6" t="inlineStr">
        <is>
          <t>Hukuku yazdın. Artık her tartışmayı “hukuken” diye açıyorsun, özellikle annenle.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bolum-hukuk</t>
        </is>
      </c>
      <c r="V435" s="5" t="inlineStr"/>
      <c r="W435" s="5" t="inlineStr"/>
      <c r="X435" s="5" t="inlineStr"/>
      <c r="Y435" s="5" t="inlineStr"/>
      <c r="Z435" s="6" t="inlineStr"/>
      <c r="AA435" s="5" t="inlineStr">
        <is>
          <t>Erdem +1, Varlı +1</t>
        </is>
      </c>
      <c r="AB435" s="5" t="inlineStr"/>
      <c r="AC435" s="5" t="inlineStr"/>
      <c r="AD435" s="5" t="inlineStr"/>
      <c r="AE435" s="5" t="inlineStr"/>
      <c r="AF435" s="5" t="inlineStr"/>
      <c r="AG435" s="5" t="inlineStr"/>
      <c r="AH435" s="5" t="inlineStr">
        <is>
          <t>Akıl 27</t>
        </is>
      </c>
      <c r="AI435" s="5" t="inlineStr"/>
      <c r="AJ435" s="5" t="inlineStr"/>
    </row>
    <row r="436">
      <c r="A436" s="5" t="inlineStr">
        <is>
          <t>b5-tercih-listesi</t>
        </is>
      </c>
      <c r="B436" s="5" t="n">
        <v>2</v>
      </c>
      <c r="C436" s="6" t="inlineStr">
        <is>
          <t>Polis okulu</t>
        </is>
      </c>
      <c r="D436" s="5" t="inlineStr"/>
      <c r="E436" s="5" t="inlineStr"/>
      <c r="F436" s="5" t="inlineStr">
        <is>
          <t>Cesaret +1, İtibar +1</t>
        </is>
      </c>
      <c r="G436" s="6" t="inlineStr">
        <is>
          <t>Polis okulunu yazdın. Annen sonuçlar çıkmadan komşulara “Bizimki komiser olacak” dedi. Bakkal o günden beri sana selam verirken hazır ola geçiyor.</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bolum-emniyet</t>
        </is>
      </c>
      <c r="V436" s="5" t="inlineStr"/>
      <c r="W436" s="5" t="inlineStr"/>
      <c r="X436" s="5" t="inlineStr"/>
      <c r="Y436" s="5" t="inlineStr"/>
      <c r="Z436" s="6" t="inlineStr"/>
      <c r="AA436" s="5" t="inlineStr">
        <is>
          <t>Erdem +1</t>
        </is>
      </c>
      <c r="AB436" s="5" t="inlineStr"/>
      <c r="AC436" s="5" t="inlineStr"/>
      <c r="AD436" s="5" t="inlineStr"/>
      <c r="AE436" s="5" t="inlineStr"/>
      <c r="AF436" s="5" t="inlineStr"/>
      <c r="AG436" s="5" t="inlineStr"/>
      <c r="AH436" s="5" t="inlineStr">
        <is>
          <t>Dayanıklılık 28</t>
        </is>
      </c>
      <c r="AI436" s="5" t="inlineStr"/>
      <c r="AJ436" s="5" t="inlineStr"/>
    </row>
    <row r="437">
      <c r="A437" s="5" t="inlineStr">
        <is>
          <t>b5-tercih-listesi</t>
        </is>
      </c>
      <c r="B437" s="5" t="n">
        <v>3</v>
      </c>
      <c r="C437" s="6" t="inlineStr">
        <is>
          <t>Mühendislik</t>
        </is>
      </c>
      <c r="D437" s="5" t="inlineStr"/>
      <c r="E437" s="5" t="inlineStr"/>
      <c r="F437" s="5" t="inlineStr">
        <is>
          <t>Akıl +1, Dayanıklılık +1</t>
        </is>
      </c>
      <c r="G437" s="6" t="inlineStr">
        <is>
          <t>Mühendisliği yazdın. Evde bozulan her şey artık senin sorumluluğunda; bozulmayanlar da.</t>
        </is>
      </c>
      <c r="H437" s="6" t="inlineStr"/>
      <c r="I437" s="6" t="inlineStr"/>
      <c r="J437" s="6" t="inlineStr"/>
      <c r="K437" s="6" t="inlineStr"/>
      <c r="L437" s="6" t="inlineStr"/>
      <c r="M437" s="5" t="inlineStr"/>
      <c r="N437" s="5" t="inlineStr"/>
      <c r="O437" s="6" t="inlineStr"/>
      <c r="P437" s="6" t="inlineStr"/>
      <c r="Q437" s="5" t="inlineStr"/>
      <c r="R437" s="5" t="inlineStr"/>
      <c r="S437" s="5" t="inlineStr"/>
      <c r="T437" s="5" t="inlineStr"/>
      <c r="U437" s="5" t="inlineStr">
        <is>
          <t>bolum-muhendislik</t>
        </is>
      </c>
      <c r="V437" s="5" t="inlineStr"/>
      <c r="W437" s="5" t="inlineStr"/>
      <c r="X437" s="5" t="inlineStr"/>
      <c r="Y437" s="5" t="inlineStr"/>
      <c r="Z437" s="6" t="inlineStr"/>
      <c r="AA437" s="5" t="inlineStr">
        <is>
          <t>Tan +1</t>
        </is>
      </c>
      <c r="AB437" s="5" t="inlineStr"/>
      <c r="AC437" s="5" t="inlineStr"/>
      <c r="AD437" s="5" t="inlineStr"/>
      <c r="AE437" s="5" t="inlineStr"/>
      <c r="AF437" s="5" t="inlineStr"/>
      <c r="AG437" s="5" t="inlineStr"/>
      <c r="AH437" s="5" t="inlineStr">
        <is>
          <t>Akıl 26</t>
        </is>
      </c>
      <c r="AI437" s="5" t="inlineStr"/>
      <c r="AJ437" s="5" t="inlineStr"/>
    </row>
    <row r="438">
      <c r="A438" s="5" t="inlineStr">
        <is>
          <t>b5-tercih-listesi</t>
        </is>
      </c>
      <c r="B438" s="5" t="n">
        <v>4</v>
      </c>
      <c r="C438" s="6" t="inlineStr">
        <is>
          <t>İletişim ya da konservatuvar</t>
        </is>
      </c>
      <c r="D438" s="5" t="inlineStr"/>
      <c r="E438" s="5" t="inlineStr"/>
      <c r="F438" s="5" t="inlineStr">
        <is>
          <t>Pişkinlik +1, Çene +1</t>
        </is>
      </c>
      <c r="G438" s="6" t="inlineStr">
        <is>
          <t>İletişimi yazdın, altına da konservatuvarı. Akrabalar hâlâ “İyi de ne iş yapacak?” diye soruyor; sen de.</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is>
          <t>bolum-iletisim</t>
        </is>
      </c>
      <c r="V438" s="5" t="inlineStr"/>
      <c r="W438" s="5" t="inlineStr"/>
      <c r="X438" s="5" t="inlineStr"/>
      <c r="Y438" s="5" t="inlineStr"/>
      <c r="Z438" s="6" t="inlineStr"/>
      <c r="AA438" s="5" t="inlineStr">
        <is>
          <t>Erdem -1, Tan -1</t>
        </is>
      </c>
      <c r="AB438" s="5" t="inlineStr"/>
      <c r="AC438" s="5" t="inlineStr"/>
      <c r="AD438" s="5" t="inlineStr"/>
      <c r="AE438" s="5" t="inlineStr"/>
      <c r="AF438" s="5" t="inlineStr"/>
      <c r="AG438" s="5" t="inlineStr"/>
      <c r="AH438" s="5" t="inlineStr">
        <is>
          <t>Pişkinlik 24</t>
        </is>
      </c>
      <c r="AI438" s="5" t="inlineStr"/>
      <c r="AJ438" s="5" t="inlineStr"/>
    </row>
    <row r="439">
      <c r="A439" s="5" t="inlineStr">
        <is>
          <t>b5-tercih-listesi</t>
        </is>
      </c>
      <c r="B439" s="5" t="n">
        <v>5</v>
      </c>
      <c r="C439" s="6" t="inlineStr">
        <is>
          <t>İşletme</t>
        </is>
      </c>
      <c r="D439" s="5" t="inlineStr"/>
      <c r="E439" s="5" t="inlineStr"/>
      <c r="F439" s="5" t="inlineStr">
        <is>
          <t>Kurnazlık +1, Akıl +1</t>
        </is>
      </c>
      <c r="G439" s="6" t="inlineStr">
        <is>
          <t>İşletmeyi yazdın. İlk dersinde arzı ve talebi, ikincisinde öğrenci kredisini öğreneceksin.</t>
        </is>
      </c>
      <c r="H439" s="6" t="inlineStr"/>
      <c r="I439" s="6" t="inlineStr"/>
      <c r="J439" s="6" t="inlineStr"/>
      <c r="K439" s="6" t="inlineStr"/>
      <c r="L439" s="6" t="inlineStr"/>
      <c r="M439" s="5" t="inlineStr"/>
      <c r="N439" s="5" t="inlineStr"/>
      <c r="O439" s="6" t="inlineStr"/>
      <c r="P439" s="6" t="inlineStr"/>
      <c r="Q439" s="5" t="inlineStr"/>
      <c r="R439" s="5" t="inlineStr"/>
      <c r="S439" s="5" t="inlineStr"/>
      <c r="T439" s="5" t="inlineStr"/>
      <c r="U439" s="5" t="inlineStr">
        <is>
          <t>bolum-isletme</t>
        </is>
      </c>
      <c r="V439" s="5" t="inlineStr"/>
      <c r="W439" s="5" t="inlineStr"/>
      <c r="X439" s="5" t="inlineStr"/>
      <c r="Y439" s="5" t="inlineStr"/>
      <c r="Z439" s="6" t="inlineStr"/>
      <c r="AA439" s="5" t="inlineStr">
        <is>
          <t>Keskin +1, Varlı +1</t>
        </is>
      </c>
      <c r="AB439" s="5" t="inlineStr"/>
      <c r="AC439" s="5" t="inlineStr"/>
      <c r="AD439" s="5" t="inlineStr"/>
      <c r="AE439" s="5" t="inlineStr"/>
      <c r="AF439" s="5" t="inlineStr"/>
      <c r="AG439" s="5" t="inlineStr"/>
      <c r="AH439" s="5" t="inlineStr"/>
      <c r="AI439" s="5" t="inlineStr"/>
      <c r="AJ439" s="5" t="inlineStr"/>
    </row>
    <row r="440">
      <c r="A440" s="5" t="inlineStr">
        <is>
          <t>b5-tercih-listesi</t>
        </is>
      </c>
      <c r="B440" s="5" t="n">
        <v>6</v>
      </c>
      <c r="C440" s="6" t="inlineStr">
        <is>
          <t>Tıbbı zorla</t>
        </is>
      </c>
      <c r="D440" s="5" t="inlineStr">
        <is>
          <t>Akıl</t>
        </is>
      </c>
      <c r="E440" s="5" t="inlineStr">
        <is>
          <t>Zor</t>
        </is>
      </c>
      <c r="F440" s="5" t="inlineStr"/>
      <c r="G440" s="6" t="inlineStr"/>
      <c r="H440" s="6" t="inlineStr">
        <is>
          <t>Tıbbı tutturdun. Aile grubunda herkesin semptomları daha ilk günden sana soruluyor.</t>
        </is>
      </c>
      <c r="I440" s="6" t="inlineStr">
        <is>
          <t>Tıbba ilk tercihinden, bursla girdin. Babaannen seni komşulara “doktor” diye tanıtıyor; henüz anatomi dersine girmedin.</t>
        </is>
      </c>
      <c r="J440" s="6" t="inlineStr">
        <is>
          <t>Puanın tıbba yetmedi; ek tercihlerle biyolojiye yerleştin. Babaannen yine de “doktor” diyor.</t>
        </is>
      </c>
      <c r="K440" s="6" t="inlineStr">
        <is>
          <t>Tıbbı yazdın ama sıralamayı ters girdin. Veterinerliğe yerleştin; ailen kedinin tahlillerini artık sana soruyor.</t>
        </is>
      </c>
      <c r="L440" s="6" t="inlineStr"/>
      <c r="M440" s="5" t="inlineStr"/>
      <c r="N440" s="5" t="inlineStr"/>
      <c r="O440" s="6" t="inlineStr"/>
      <c r="P440" s="6" t="inlineStr"/>
      <c r="Q440" s="5" t="inlineStr"/>
      <c r="R440" s="5" t="inlineStr">
        <is>
          <t>sinav-iyi</t>
        </is>
      </c>
      <c r="S440" s="5" t="inlineStr"/>
      <c r="T440" s="5" t="inlineStr"/>
      <c r="U440" s="5" t="inlineStr"/>
      <c r="V440" s="5" t="inlineStr">
        <is>
          <t>bolum-tip</t>
        </is>
      </c>
      <c r="W440" s="5" t="inlineStr"/>
      <c r="X440" s="5" t="inlineStr"/>
      <c r="Y440" s="5" t="inlineStr"/>
      <c r="Z440" s="6" t="inlineStr"/>
      <c r="AA440" s="5" t="inlineStr">
        <is>
          <t>Erdem +1, Tan +1</t>
        </is>
      </c>
      <c r="AB440" s="5" t="inlineStr"/>
      <c r="AC440" s="5" t="inlineStr"/>
      <c r="AD440" s="5" t="inlineStr"/>
      <c r="AE440" s="5" t="inlineStr"/>
      <c r="AF440" s="5" t="inlineStr"/>
      <c r="AG440" s="5" t="inlineStr"/>
      <c r="AH440" s="5" t="inlineStr">
        <is>
          <t>Akıl 31</t>
        </is>
      </c>
      <c r="AI440" s="5" t="inlineStr"/>
      <c r="AJ440" s="5" t="inlineStr"/>
    </row>
    <row r="441">
      <c r="A441" s="5" t="inlineStr">
        <is>
          <t>b5-mezuniyet</t>
        </is>
      </c>
      <c r="B441" s="5" t="n">
        <v>1</v>
      </c>
      <c r="C441" s="6" t="inlineStr">
        <is>
          <t>Kepini at</t>
        </is>
      </c>
      <c r="D441" s="5" t="inlineStr"/>
      <c r="E441" s="5" t="inlineStr"/>
      <c r="F441" s="5" t="inlineStr">
        <is>
          <t>Dayanıklılık +1</t>
        </is>
      </c>
      <c r="G441" s="6" t="inlineStr">
        <is>
          <t>Kepini attın; yere başkasınınki düştü. İçinde 'Seni hiç unutmayacağım' yazıyor. İsim yok.</t>
        </is>
      </c>
      <c r="H441" s="6" t="inlineStr"/>
      <c r="I441" s="6" t="inlineStr"/>
      <c r="J441" s="6" t="inlineStr"/>
      <c r="K441" s="6" t="inlineStr"/>
      <c r="L441" s="6" t="inlineStr"/>
      <c r="M441" s="5" t="inlineStr"/>
      <c r="N441" s="5" t="inlineStr"/>
      <c r="O441" s="6" t="inlineStr"/>
      <c r="P441" s="6" t="inlineStr"/>
      <c r="Q441" s="5" t="inlineStr"/>
      <c r="R441" s="5" t="inlineStr"/>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c r="AI441" s="5" t="inlineStr"/>
      <c r="AJ441" s="5" t="inlineStr"/>
    </row>
    <row r="442">
      <c r="A442" s="5" t="inlineStr">
        <is>
          <t>b5-mezuniyet</t>
        </is>
      </c>
      <c r="B442" s="5" t="n">
        <v>2</v>
      </c>
      <c r="C442" s="6" t="inlineStr">
        <is>
          <t>Veda konuşması yap</t>
        </is>
      </c>
      <c r="D442" s="5" t="inlineStr">
        <is>
          <t>Çene</t>
        </is>
      </c>
      <c r="E442" s="5" t="inlineStr">
        <is>
          <t>Zor</t>
        </is>
      </c>
      <c r="F442" s="5" t="inlineStr"/>
      <c r="G442" s="6" t="inlineStr"/>
      <c r="H442" s="6" t="inlineStr">
        <is>
          <t>Konuşmanda üç kişi ağladı, beş kişi güldü. Biri ikisini birden yaptı: annen.</t>
        </is>
      </c>
      <c r="I442" s="6" t="inlineStr">
        <is>
          <t>Konuşmanın sonunda müdür ayağa kalktı, ardından bütün salon. Kantinci önlüğüyle gözlerini sildi. Annen o videoyu bir yıl boyunca her misafire izletti.</t>
        </is>
      </c>
      <c r="J442" s="6" t="inlineStr">
        <is>
          <t>Ses sistemi konuşmanın yalnızca 'ııı' kısımlarını salona iletti.</t>
        </is>
      </c>
      <c r="K442" s="6" t="inlineStr">
        <is>
          <t>Bütün öğretmenlere tek tek teşekkür ettin. Birini unuttun. Ön sıradaydı. En çok o alkışladı.</t>
        </is>
      </c>
      <c r="L442" s="6" t="inlineStr"/>
      <c r="M442" s="5" t="inlineStr"/>
      <c r="N442" s="5" t="inlineStr"/>
      <c r="O442" s="6" t="inlineStr"/>
      <c r="P442" s="6" t="inlineStr"/>
      <c r="Q442" s="5" t="inlineStr"/>
      <c r="R442" s="5" t="inlineStr"/>
      <c r="S442" s="5" t="inlineStr"/>
      <c r="T442" s="5" t="inlineStr"/>
      <c r="U442" s="5" t="inlineStr"/>
      <c r="V442" s="5" t="inlineStr"/>
      <c r="W442" s="5" t="inlineStr"/>
      <c r="X442" s="5" t="inlineStr"/>
      <c r="Y442" s="5" t="inlineStr"/>
      <c r="Z442" s="6" t="inlineStr"/>
      <c r="AA442" s="5" t="inlineStr"/>
      <c r="AB442" s="5" t="inlineStr"/>
      <c r="AC442" s="5" t="inlineStr"/>
      <c r="AD442" s="5" t="inlineStr"/>
      <c r="AE442" s="5" t="inlineStr"/>
      <c r="AF442" s="5" t="inlineStr"/>
      <c r="AG442" s="5" t="inlineStr"/>
      <c r="AH442" s="5" t="inlineStr"/>
      <c r="AI442" s="5" t="inlineStr"/>
      <c r="AJ442" s="5" t="inlineStr"/>
    </row>
    <row r="443">
      <c r="A443" s="5" t="inlineStr">
        <is>
          <t>b5-mezuniyet</t>
        </is>
      </c>
      <c r="B443" s="5" t="n">
        <v>3</v>
      </c>
      <c r="C443" s="6" t="inlineStr">
        <is>
          <t>Herkesle fotoğraf çekil</t>
        </is>
      </c>
      <c r="D443" s="5" t="inlineStr">
        <is>
          <t>Sosyal Radar</t>
        </is>
      </c>
      <c r="E443" s="5" t="inlineStr">
        <is>
          <t>Kolay</t>
        </is>
      </c>
      <c r="F443" s="5" t="inlineStr"/>
      <c r="G443" s="6" t="inlineStr"/>
      <c r="H443" s="6" t="inlineStr">
        <is>
          <t>Telefonunda dört yüz fotoğraf var. Hepsi aynı açıdan, hepsi değerli.</t>
        </is>
      </c>
      <c r="I443" s="6" t="inlineStr">
        <is>
          <t>Çektiğin kare yıllığın arka kapağı oldu. Dört yıllık tarih tek karede.</t>
        </is>
      </c>
      <c r="J443" s="6" t="inlineStr">
        <is>
          <t>Bütün fotoğraflarda gözlerin kapalı. En azından tutarlısın.</t>
        </is>
      </c>
      <c r="K443" s="6" t="inlineStr">
        <is>
          <t>Kareye sığmak için bir adım geri attın. Arkada merdiven vardı. Fotoğrafların çoğu gökyüzü.</t>
        </is>
      </c>
      <c r="L443" s="6" t="inlineStr"/>
      <c r="M443" s="5" t="inlineStr"/>
      <c r="N443" s="5" t="inlineStr"/>
      <c r="O443" s="6" t="inlineStr"/>
      <c r="P443" s="6" t="inlineStr"/>
      <c r="Q443" s="5" t="inlineStr"/>
      <c r="R443" s="5" t="inlineStr"/>
      <c r="S443" s="5" t="inlineStr"/>
      <c r="T443" s="5" t="inlineStr"/>
      <c r="U443" s="5" t="inlineStr"/>
      <c r="V443" s="5" t="inlineStr"/>
      <c r="W443" s="5" t="inlineStr"/>
      <c r="X443" s="5" t="inlineStr"/>
      <c r="Y443" s="5" t="inlineStr"/>
      <c r="Z443" s="6" t="inlineStr"/>
      <c r="AA443" s="5" t="inlineStr"/>
      <c r="AB443" s="5" t="inlineStr"/>
      <c r="AC443" s="5" t="inlineStr"/>
      <c r="AD443" s="5" t="inlineStr"/>
      <c r="AE443" s="5" t="inlineStr"/>
      <c r="AF443" s="5" t="inlineStr"/>
      <c r="AG443" s="5" t="inlineStr"/>
      <c r="AH443" s="5" t="inlineStr"/>
      <c r="AI443" s="5" t="inlineStr"/>
      <c r="AJ443" s="5" t="inlineStr"/>
    </row>
    <row r="444">
      <c r="A444" s="5" t="inlineStr">
        <is>
          <t>b5-mezuniyet</t>
        </is>
      </c>
      <c r="B444" s="5" t="n">
        <v>4</v>
      </c>
      <c r="C444" s="6" t="inlineStr">
        <is>
          <t>Temsilci olarak kürsüye çık</t>
        </is>
      </c>
      <c r="D444" s="5" t="inlineStr">
        <is>
          <t>Pişkinlik</t>
        </is>
      </c>
      <c r="E444" s="5" t="inlineStr">
        <is>
          <t>Kolay</t>
        </is>
      </c>
      <c r="F444" s="5" t="inlineStr"/>
      <c r="G444" s="6" t="inlineStr"/>
      <c r="H444" s="6" t="inlineStr">
        <is>
          <t>Dört yılı özetledin, vaatlerinin yarısı için 'süreç devam ediyor' dedin. Salon anlayışla alkışladı.</t>
        </is>
      </c>
      <c r="I444" s="6" t="inlineStr">
        <is>
          <t>Kürsüden inerken müdür sana sarıldı ve kulağına “Tost makinesi geldi” dedi. İki yıllık vaadin mezuniyet günü yerine geldi.</t>
        </is>
      </c>
      <c r="J444" s="6" t="inlineStr">
        <is>
          <t>Kürsüye çıktın, kâğıdın rüzgârla uçtu. Doğaçlama kısa sürdü.</t>
        </is>
      </c>
      <c r="K444" s="6" t="inlineStr">
        <is>
          <t>Teşekkür listesini okurken kendi adını da okudun ve alışkanlıkla “Sağ ol” dedin. Mezuniyet videosunun en çok izlenen saniyesi bu.</t>
        </is>
      </c>
      <c r="L444" s="6" t="inlineStr"/>
      <c r="M444" s="5" t="inlineStr"/>
      <c r="N444" s="5" t="inlineStr"/>
      <c r="O444" s="6" t="inlineStr"/>
      <c r="P444" s="6" t="inlineStr"/>
      <c r="Q444" s="5" t="inlineStr"/>
      <c r="R444" s="5" t="inlineStr">
        <is>
          <t>okul-temsilcisi</t>
        </is>
      </c>
      <c r="S444" s="5" t="inlineStr"/>
      <c r="T444" s="5" t="inlineStr"/>
      <c r="U444" s="5" t="inlineStr"/>
      <c r="V444" s="5" t="inlineStr"/>
      <c r="W444" s="5" t="inlineStr"/>
      <c r="X444" s="5" t="inlineStr"/>
      <c r="Y444" s="5" t="inlineStr"/>
      <c r="Z444" s="6" t="inlineStr"/>
      <c r="AA444" s="5" t="inlineStr"/>
      <c r="AB444" s="5" t="inlineStr"/>
      <c r="AC444" s="5" t="inlineStr"/>
      <c r="AD444" s="5" t="inlineStr"/>
      <c r="AE444" s="5" t="inlineStr"/>
      <c r="AF444" s="5" t="inlineStr"/>
      <c r="AG444" s="5" t="inlineStr"/>
      <c r="AH444" s="5" t="inlineStr"/>
      <c r="AI444" s="5" t="inlineStr"/>
      <c r="AJ444" s="5" t="inlineStr"/>
    </row>
    <row r="445">
      <c r="A445" s="5" t="inlineStr">
        <is>
          <t>b5-ehliyet-kursu</t>
        </is>
      </c>
      <c r="B445" s="5" t="n">
        <v>1</v>
      </c>
      <c r="C445" s="6" t="inlineStr">
        <is>
          <t>Direksiyon sınavına gir</t>
        </is>
      </c>
      <c r="D445" s="5" t="inlineStr">
        <is>
          <t>Cesaret</t>
        </is>
      </c>
      <c r="E445" s="5" t="inlineStr">
        <is>
          <t>Orta</t>
        </is>
      </c>
      <c r="F445" s="5" t="inlineStr"/>
      <c r="G445" s="6" t="inlineStr"/>
      <c r="H445" s="6" t="inlineStr">
        <is>
          <t>İlk seferde geçtin. Ehliyet geldi. Araba gelmedi.</t>
        </is>
      </c>
      <c r="I445" s="6" t="inlineStr">
        <is>
          <t>Görevli 'Bu kadar düzgün park görmedim' dedi. Ailen anahtarı yine vermedi ama umut var.</t>
        </is>
      </c>
      <c r="J445" s="6" t="inlineStr">
        <is>
          <t>Paralel parkta kaldırıma üç kez dokundun. Görevli 'Haftaya' dedi.</t>
        </is>
      </c>
      <c r="K445" s="6" t="inlineStr">
        <is>
          <t>Yokuşta kalkışı başardın, düz yolda stop ettin. Arkadaki kursiyerler alkışladı. Yeni sınav bir ay sonra.</t>
        </is>
      </c>
      <c r="L445" s="6" t="inlineStr"/>
      <c r="M445" s="5" t="inlineStr"/>
      <c r="N445" s="5" t="inlineStr"/>
      <c r="O445" s="6" t="inlineStr"/>
      <c r="P445" s="6" t="inlineStr"/>
      <c r="Q445" s="5" t="inlineStr"/>
      <c r="R445" s="5" t="inlineStr"/>
      <c r="S445" s="5" t="inlineStr"/>
      <c r="T445" s="5" t="inlineStr"/>
      <c r="U445" s="5" t="inlineStr"/>
      <c r="V445" s="5" t="inlineStr">
        <is>
          <t>ehliyetli</t>
        </is>
      </c>
      <c r="W445" s="5" t="inlineStr"/>
      <c r="X445" s="5" t="inlineStr"/>
      <c r="Y445" s="5" t="inlineStr"/>
      <c r="Z445" s="6" t="inlineStr"/>
      <c r="AA445" s="5" t="inlineStr"/>
      <c r="AB445" s="5" t="inlineStr"/>
      <c r="AC445" s="5" t="inlineStr"/>
      <c r="AD445" s="5" t="inlineStr"/>
      <c r="AE445" s="5" t="inlineStr"/>
      <c r="AF445" s="5" t="inlineStr"/>
      <c r="AG445" s="5" t="inlineStr"/>
      <c r="AH445" s="5" t="inlineStr"/>
      <c r="AI445" s="5" t="inlineStr"/>
      <c r="AJ445" s="5" t="inlineStr"/>
    </row>
    <row r="446">
      <c r="A446" s="5" t="inlineStr">
        <is>
          <t>b5-ehliyet-kursu</t>
        </is>
      </c>
      <c r="B446" s="5" t="n">
        <v>2</v>
      </c>
      <c r="C446" s="6" t="inlineStr">
        <is>
          <t>Babanla pratik yap</t>
        </is>
      </c>
      <c r="D446" s="5" t="inlineStr">
        <is>
          <t>Dayanıklılık</t>
        </is>
      </c>
      <c r="E446" s="5" t="inlineStr">
        <is>
          <t>Zor</t>
        </is>
      </c>
      <c r="F446" s="5" t="inlineStr"/>
      <c r="G446" s="6" t="inlineStr"/>
      <c r="H446" s="6" t="inlineStr">
        <is>
          <t>Babanla pratik yaptın. Baban zamanın yüzde yetmişinde sustu. Sınavı geçtin.</t>
        </is>
      </c>
      <c r="I446" s="6" t="inlineStr">
        <is>
          <t>İlk kez aynı fikirdeydiniz. Sınavı kusursuz geçtin; baban arabayı ödünç verdi. Bir kere.</t>
        </is>
      </c>
      <c r="J446" s="6" t="inlineStr">
        <is>
          <t>Baban her virajda 'Yavaş!' dedi. Hiç hızlanmamıştın. Ders yarıda kaldı.</t>
        </is>
      </c>
      <c r="K446" s="6" t="inlineStr">
        <is>
          <t>Site otoparkında bir direğe fazla yaklaştın. Direk kıpırdamadı, ayna kıpırdadı. Baban arabadan indi, aynayı yerden aldı ve tek kelime etmeden eve yürüdü.</t>
        </is>
      </c>
      <c r="L446" s="6" t="inlineStr"/>
      <c r="M446" s="5" t="inlineStr"/>
      <c r="N446" s="5" t="inlineStr"/>
      <c r="O446" s="6" t="inlineStr"/>
      <c r="P446" s="6" t="inlineStr"/>
      <c r="Q446" s="5" t="inlineStr"/>
      <c r="R446" s="5" t="inlineStr"/>
      <c r="S446" s="5" t="inlineStr"/>
      <c r="T446" s="5" t="inlineStr"/>
      <c r="U446" s="5" t="inlineStr"/>
      <c r="V446" s="5" t="inlineStr">
        <is>
          <t>ehliyetli</t>
        </is>
      </c>
      <c r="W446" s="5" t="inlineStr"/>
      <c r="X446" s="5" t="inlineStr"/>
      <c r="Y446" s="5" t="inlineStr"/>
      <c r="Z446" s="6" t="inlineStr"/>
      <c r="AA446" s="5" t="inlineStr"/>
      <c r="AB446" s="5" t="inlineStr"/>
      <c r="AC446" s="5" t="inlineStr"/>
      <c r="AD446" s="5" t="inlineStr"/>
      <c r="AE446" s="5" t="inlineStr"/>
      <c r="AF446" s="5" t="inlineStr"/>
      <c r="AG446" s="5" t="inlineStr"/>
      <c r="AH446" s="5" t="inlineStr"/>
      <c r="AI446" s="5" t="inlineStr"/>
      <c r="AJ446" s="5" t="inlineStr"/>
    </row>
    <row r="447">
      <c r="A447" s="5" t="inlineStr">
        <is>
          <t>b5-ehliyet-kursu</t>
        </is>
      </c>
      <c r="B447" s="5" t="n">
        <v>3</v>
      </c>
      <c r="C447" s="6" t="inlineStr">
        <is>
          <t>Kurye tecrübeni kullan</t>
        </is>
      </c>
      <c r="D447" s="5" t="inlineStr">
        <is>
          <t>Kurnazlık</t>
        </is>
      </c>
      <c r="E447" s="5" t="inlineStr">
        <is>
          <t>Kolay</t>
        </is>
      </c>
      <c r="F447" s="5" t="inlineStr"/>
      <c r="G447" s="6" t="inlineStr"/>
      <c r="H447" s="6" t="inlineStr">
        <is>
          <t>Sınav güzergâhını ezbere biliyordun, her çukuru tanıyordun. İlk seferde geçtin.</t>
        </is>
      </c>
      <c r="I447" s="6" t="inlineStr">
        <is>
          <t>Görevliye daha kısa bir güzergâh önerdin. Kabul etti. Geçtin.</t>
        </is>
      </c>
      <c r="J447" s="6" t="inlineStr">
        <is>
          <t>Güzergâhı biliyordun. Bisiklet yolundan gitmeye çalıştın.</t>
        </is>
      </c>
      <c r="K447" s="6" t="inlineStr">
        <is>
          <t>Alışkanlıkla otoparkın içinden kestirdin. Görevli çok şaşırdı. Sonuç: haftaya.</t>
        </is>
      </c>
      <c r="L447" s="6" t="inlineStr"/>
      <c r="M447" s="5" t="inlineStr"/>
      <c r="N447" s="5" t="inlineStr"/>
      <c r="O447" s="6" t="inlineStr"/>
      <c r="P447" s="6" t="inlineStr"/>
      <c r="Q447" s="5" t="inlineStr">
        <is>
          <t>Kestirme Bilir</t>
        </is>
      </c>
      <c r="R447" s="5" t="inlineStr"/>
      <c r="S447" s="5" t="inlineStr"/>
      <c r="T447" s="5" t="inlineStr"/>
      <c r="U447" s="5" t="inlineStr"/>
      <c r="V447" s="5" t="inlineStr">
        <is>
          <t>ehliyetli</t>
        </is>
      </c>
      <c r="W447" s="5" t="inlineStr"/>
      <c r="X447" s="5" t="inlineStr"/>
      <c r="Y447" s="5" t="inlineStr"/>
      <c r="Z447" s="6" t="inlineStr"/>
      <c r="AA447" s="5" t="inlineStr"/>
      <c r="AB447" s="5" t="inlineStr"/>
      <c r="AC447" s="5" t="inlineStr"/>
      <c r="AD447" s="5" t="inlineStr"/>
      <c r="AE447" s="5" t="inlineStr"/>
      <c r="AF447" s="5" t="inlineStr"/>
      <c r="AG447" s="5" t="inlineStr"/>
      <c r="AH447" s="5" t="inlineStr"/>
      <c r="AI447" s="5" t="inlineStr"/>
      <c r="AJ447" s="5" t="inlineStr"/>
    </row>
    <row r="448">
      <c r="A448" s="5" t="inlineStr">
        <is>
          <t>b5-ehliyet-kursu</t>
        </is>
      </c>
      <c r="B448" s="5" t="n">
        <v>4</v>
      </c>
      <c r="C448" s="6" t="inlineStr">
        <is>
          <t>Ehliyeti sonraya bırak</t>
        </is>
      </c>
      <c r="D448" s="5" t="inlineStr"/>
      <c r="E448" s="5" t="inlineStr"/>
      <c r="F448" s="5" t="inlineStr">
        <is>
          <t>Dayanıklılık +1</t>
        </is>
      </c>
      <c r="G448" s="6" t="inlineStr">
        <is>
          <t>Kursu yarıda bıraktın. Yatan kurs parası yandı. Baban bunu her bayram sofrasında bir kez hatırlatacak.</t>
        </is>
      </c>
      <c r="H448" s="6" t="inlineStr"/>
      <c r="I448" s="6" t="inlineStr"/>
      <c r="J448" s="6" t="inlineStr"/>
      <c r="K448" s="6" t="inlineStr"/>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c r="AI448" s="5" t="inlineStr"/>
      <c r="AJ448" s="5" t="inlineStr"/>
    </row>
    <row r="449">
      <c r="A449" s="5" t="inlineStr">
        <is>
          <t>b5-tek-basina-tatil</t>
        </is>
      </c>
      <c r="B449" s="5" t="n">
        <v>1</v>
      </c>
      <c r="C449" s="6" t="inlineStr">
        <is>
          <t>Bütçeyi sen tut</t>
        </is>
      </c>
      <c r="D449" s="5" t="inlineStr">
        <is>
          <t>Akıl</t>
        </is>
      </c>
      <c r="E449" s="5" t="inlineStr">
        <is>
          <t>Orta</t>
        </is>
      </c>
      <c r="F449" s="5" t="inlineStr"/>
      <c r="G449" s="6" t="inlineStr"/>
      <c r="H449" s="6" t="inlineStr">
        <is>
          <t>Bütçeyi tuttun; tatil sonunda para bile arttı. Son akşam artanla herkese midye ısmarladın. Alkışı sen aldın, parayı yine bütçe ödedi.</t>
        </is>
      </c>
      <c r="I449" s="6" t="inlineStr">
        <is>
          <t>Aynı parayla tatili iki gün uzattınız. Annen telefonda “Paranız nasıl yetti?” diye sordu; arkadaşların hep bir ağızdan senin adını söyledi.</t>
        </is>
      </c>
      <c r="J449" s="6" t="inlineStr">
        <is>
          <t>Üçüncü gün herkes kendi hesabını ödemeye başladı. Tablo çöktü.</t>
        </is>
      </c>
      <c r="K449" s="6" t="inlineStr">
        <is>
          <t>Tablodaki bir hata yüzünden dönüş biletleri alınmamış. Baban gece otobüsüyle gelip hepinizi topladı. Yol dokuz saat, nasihat dokuz saat.</t>
        </is>
      </c>
      <c r="L449" s="6" t="inlineStr"/>
      <c r="M449" s="5" t="inlineStr"/>
      <c r="N449" s="5" t="inlineStr"/>
      <c r="O449" s="6" t="inlineStr"/>
      <c r="P449" s="6" t="inlineStr"/>
      <c r="Q449" s="5" t="inlineStr"/>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c r="AI449" s="5" t="inlineStr"/>
      <c r="AJ449" s="5" t="inlineStr"/>
    </row>
    <row r="450">
      <c r="A450" s="5" t="inlineStr">
        <is>
          <t>b5-tek-basina-tatil</t>
        </is>
      </c>
      <c r="B450" s="5" t="n">
        <v>2</v>
      </c>
      <c r="C450" s="6" t="inlineStr">
        <is>
          <t>Aile grubuna saatlik rapor ver</t>
        </is>
      </c>
      <c r="D450" s="5" t="inlineStr"/>
      <c r="E450" s="5" t="inlineStr"/>
      <c r="F450" s="5" t="inlineStr">
        <is>
          <t>Gönül +1</t>
        </is>
      </c>
      <c r="G450" s="6" t="inlineStr">
        <is>
          <t>Her saat bir fotoğraf attın. Annen tatili senden daha ayrıntılı yaşadı. Sen fotoğraf çekmekle meşguldün.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c r="AI450" s="5" t="inlineStr"/>
      <c r="AJ450" s="5" t="inlineStr"/>
    </row>
    <row r="451">
      <c r="A451" s="5" t="inlineStr">
        <is>
          <t>b5-tek-basina-tatil</t>
        </is>
      </c>
      <c r="B451" s="5" t="n">
        <v>3</v>
      </c>
      <c r="C451" s="6" t="inlineStr">
        <is>
          <t>Plansız takıl</t>
        </is>
      </c>
      <c r="D451" s="5" t="inlineStr">
        <is>
          <t>Pişkinlik</t>
        </is>
      </c>
      <c r="E451" s="5" t="inlineStr">
        <is>
          <t>Kolay</t>
        </is>
      </c>
      <c r="F451" s="5" t="inlineStr"/>
      <c r="G451" s="6" t="inlineStr"/>
      <c r="H451" s="6" t="inlineStr">
        <is>
          <t>Plansız gezdiniz. Tatilin en iyi anı, kaybolup bulduğunuz bir koy oldu.</t>
        </is>
      </c>
      <c r="I451" s="6" t="inlineStr">
        <is>
          <t>Bulduğunuz koya her yaz dönmeye söz verdiniz. Söz, mesaj grubunda sabitlendi.</t>
        </is>
      </c>
      <c r="J451" s="6" t="inlineStr">
        <is>
          <t>Üç gün boyunca nereye gideceğinizi tartıştınız. Pansiyonun bahçesinden çıkmadınız.</t>
        </is>
      </c>
      <c r="K451" s="6" t="inlineStr">
        <is>
          <t>Pansiyonun adını unuttunuz. Gece bir buçukta kapı kapı sordunuz. Bütün kasaba sizi tanıyor.</t>
        </is>
      </c>
      <c r="L451" s="6" t="inlineStr"/>
      <c r="M451" s="5" t="inlineStr"/>
      <c r="N451" s="5" t="inlineStr"/>
      <c r="O451" s="6" t="inlineStr"/>
      <c r="P451" s="6" t="inlineStr"/>
      <c r="Q451" s="5" t="inlineStr"/>
      <c r="R451" s="5" t="inlineStr"/>
      <c r="S451" s="5" t="inlineStr"/>
      <c r="T451" s="5" t="inlineStr"/>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c r="AI451" s="5" t="inlineStr"/>
      <c r="AJ451" s="5" t="inlineStr"/>
    </row>
    <row r="452">
      <c r="A452" s="5" t="inlineStr">
        <is>
          <t>b5-tek-basina-tatil</t>
        </is>
      </c>
      <c r="B452" s="5" t="n">
        <v>4</v>
      </c>
      <c r="C452" s="6" t="inlineStr">
        <is>
          <t>Grubu organize et</t>
        </is>
      </c>
      <c r="D452" s="5" t="inlineStr">
        <is>
          <t>Sosyal Radar</t>
        </is>
      </c>
      <c r="E452" s="5" t="inlineStr">
        <is>
          <t>Orta</t>
        </is>
      </c>
      <c r="F452" s="5" t="inlineStr"/>
      <c r="G452" s="6" t="inlineStr"/>
      <c r="H452" s="6" t="inlineStr">
        <is>
          <t>Görevleri dağıttın, tatil sorunsuz geçti. Son gün pansiyon sahibi teyze seni kenara çekti: “Bunları sen mi idare ettin? Annen seninle gurur duyar.”</t>
        </is>
      </c>
      <c r="I452" s="6" t="inlineStr">
        <is>
          <t>Tatil o kadar iyi geçti ki gelecek yıl için başvuru formu açtın. Yedi başvuru geldi.</t>
        </is>
      </c>
      <c r="J452" s="6" t="inlineStr">
        <is>
          <t>Herkes kendi görevini başkasına devretti. Sonunda hepsi sana geldi.</t>
        </is>
      </c>
      <c r="K452" s="6" t="inlineStr">
        <is>
          <t>Görev çizelgesi astın. Arkadaşların seni pansiyon sahibine şikâyet etti. Sahibi sana 'müdür' diyor.</t>
        </is>
      </c>
      <c r="L452" s="6" t="inlineStr"/>
      <c r="M452" s="5" t="inlineStr"/>
      <c r="N452" s="5" t="inlineStr"/>
      <c r="O452" s="6" t="inlineStr"/>
      <c r="P452" s="6" t="inlineStr"/>
      <c r="Q452" s="5" t="inlineStr">
        <is>
          <t>Grup Yöneticisi</t>
        </is>
      </c>
      <c r="R452" s="5" t="inlineStr"/>
      <c r="S452" s="5" t="inlineStr"/>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c r="AI452" s="5" t="inlineStr"/>
      <c r="AJ452" s="5" t="inlineStr"/>
    </row>
    <row r="453">
      <c r="A453" s="5" t="inlineStr">
        <is>
          <t>b6-yurt-odasi</t>
        </is>
      </c>
      <c r="B453" s="5" t="n">
        <v>1</v>
      </c>
      <c r="C453" s="6" t="inlineStr">
        <is>
          <t>Kalan yatağı al</t>
        </is>
      </c>
      <c r="D453" s="5" t="inlineStr"/>
      <c r="E453" s="5" t="inlineStr"/>
      <c r="F453" s="5" t="inlineStr">
        <is>
          <t>Dayanıklılık +1</t>
        </is>
      </c>
      <c r="G453" s="6" t="inlineStr">
        <is>
          <t>Kapının dibindeki yatağı aldın. Gece geç gelen herkes önce senin ayağına basıyor, sonra “Pardon kanka” diyor. Dönem sonuna kadar her gece.</t>
        </is>
      </c>
      <c r="H453" s="6" t="inlineStr"/>
      <c r="I453" s="6" t="inlineStr"/>
      <c r="J453" s="6" t="inlineStr"/>
      <c r="K453" s="6" t="inlineStr"/>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c r="AI453" s="5" t="inlineStr"/>
      <c r="AJ453" s="5" t="inlineStr"/>
    </row>
    <row r="454">
      <c r="A454" s="5" t="inlineStr">
        <is>
          <t>b6-yurt-odasi</t>
        </is>
      </c>
      <c r="B454" s="5" t="n">
        <v>2</v>
      </c>
      <c r="C454" s="6" t="inlineStr">
        <is>
          <t>Oda kuralları taslağı hazırla</t>
        </is>
      </c>
      <c r="D454" s="5" t="inlineStr">
        <is>
          <t>Akıl</t>
        </is>
      </c>
      <c r="E454" s="5" t="inlineStr">
        <is>
          <t>Zor</t>
        </is>
      </c>
      <c r="F454" s="5" t="inlineStr"/>
      <c r="G454" s="6" t="inlineStr"/>
      <c r="H454" s="6" t="inlineStr">
        <is>
          <t>Beş maddelik listeyi kapıya astın. Üçüncü madde “Saat birden sonra tost yok”tu. İlk gece saat birde oda tost koktu; yapan, listeyi en çok alkışlayandı.</t>
        </is>
      </c>
      <c r="I454" s="6" t="inlineStr">
        <is>
          <t>Kurallar oy birliğiyle kabul edildi. Kat görevlisi listeyi beğenip öbür odalara da astı. Koridorda adın artık “Odabaşı”; bütün kat sana biraz kızgın.</t>
        </is>
      </c>
      <c r="J454" s="6" t="inlineStr">
        <is>
          <t>Listeyi astın. Ertesi sabah altına biri 'Tamam hocam' yazmıştı.</t>
        </is>
      </c>
      <c r="K454" s="6" t="inlineStr">
        <is>
          <t>Kurallar oylamada üçe bir reddedildi. Ertesi sabah kapıda yeni bir liste vardı, tek maddeli: “Horlayan koridorda yatar.” Dönemin kalanını koridorda geçirdin.</t>
        </is>
      </c>
      <c r="L454" s="6" t="inlineStr"/>
      <c r="M454" s="5" t="inlineStr"/>
      <c r="N454" s="5" t="inlineStr"/>
      <c r="O454" s="6" t="inlineStr"/>
      <c r="P454" s="6" t="inlineStr"/>
      <c r="Q454" s="5" t="inlineStr"/>
      <c r="R454" s="5" t="inlineStr"/>
      <c r="S454" s="5" t="inlineStr"/>
      <c r="T454" s="5" t="inlineStr">
        <is>
          <t>Kuralı Koyan</t>
        </is>
      </c>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c r="AI454" s="5" t="inlineStr"/>
      <c r="AJ454" s="5" t="inlineStr"/>
    </row>
    <row r="455">
      <c r="A455" s="5" t="inlineStr">
        <is>
          <t>b6-yurt-odasi</t>
        </is>
      </c>
      <c r="B455" s="5" t="n">
        <v>3</v>
      </c>
      <c r="C455" s="6" t="inlineStr">
        <is>
          <t>Prizli yatağı kap</t>
        </is>
      </c>
      <c r="D455" s="5" t="inlineStr">
        <is>
          <t>Kurnazlık</t>
        </is>
      </c>
      <c r="E455" s="5" t="inlineStr">
        <is>
          <t>Kolay</t>
        </is>
      </c>
      <c r="F455" s="5" t="inlineStr"/>
      <c r="G455" s="6" t="inlineStr"/>
      <c r="H455" s="6" t="inlineStr">
        <is>
          <t>Prizli yatak senin. Oda arkadaşların şarj için sana dilekçe veriyor.</t>
        </is>
      </c>
      <c r="I455" s="6" t="inlineStr">
        <is>
          <t>Prizli yatağı aldın, bir çoklu priz kurdun. Gece yarısı herkes şarj için yanına geliyor; kimin telefonu önce dolacak, sen karar veriyorsun.</t>
        </is>
      </c>
      <c r="J455" s="6" t="inlineStr">
        <is>
          <t>Prizli yatağı aldın. Priz, yurt açıldığından beri çalışmıyormuş.</t>
        </is>
      </c>
      <c r="K455" s="6" t="inlineStr">
        <is>
          <t>Prizli yatak senin oldu. Uzatma kablosuna su ısıtıcısı, tost makinesi ve dört şarj taktın. Bütün katın sigortası attı; karanlık koridorda herkes aynı anda senin kapına baktı.</t>
        </is>
      </c>
      <c r="L455" s="6" t="inlineStr"/>
      <c r="M455" s="5" t="inlineStr"/>
      <c r="N455" s="5" t="inlineStr"/>
      <c r="O455" s="6" t="inlineStr"/>
      <c r="P455" s="6" t="inlineStr"/>
      <c r="Q455" s="5" t="inlineStr"/>
      <c r="R455" s="5" t="inlineStr"/>
      <c r="S455" s="5" t="inlineStr">
        <is>
          <t>Kurnazlık</t>
        </is>
      </c>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c r="AI455" s="5" t="inlineStr"/>
      <c r="AJ455" s="5" t="inlineStr"/>
    </row>
    <row r="456">
      <c r="A456" s="5" t="inlineStr">
        <is>
          <t>b6-yurt-odasi</t>
        </is>
      </c>
      <c r="B456" s="5" t="n">
        <v>4</v>
      </c>
      <c r="C456" s="6" t="inlineStr">
        <is>
          <t>Üst ranzayla anlaş</t>
        </is>
      </c>
      <c r="D456" s="5" t="inlineStr">
        <is>
          <t>Çene</t>
        </is>
      </c>
      <c r="E456" s="5" t="inlineStr">
        <is>
          <t>Orta</t>
        </is>
      </c>
      <c r="F456" s="5" t="inlineStr"/>
      <c r="G456" s="6" t="inlineStr"/>
      <c r="H456" s="6" t="inlineStr">
        <is>
          <t>Üst ranzayla anlaştınız: o ışığı on ikide kapatacak, sen alarmını ertelemeyeceksin. Bir hafta dayandınız. Odadakiler size artık “yeni evliler” diyor.</t>
        </is>
      </c>
      <c r="I456" s="6" t="inlineStr">
        <is>
          <t>Üst ranzanın annesi her hafta koli yolluyor; kolinin yarısı artık senin. Sarmaları annenin sarmasından iyi. Bunu annene hiç söylemeyeceksin.</t>
        </is>
      </c>
      <c r="J456" s="6" t="inlineStr">
        <is>
          <t>Anlaştınız. İlk gece o ışığı kapatmadı, sen alarmı beş kez erteledin. Sabah ikiniz de kahvaltıda öbürünü şikâyet ettiniz; aynı kişiye.</t>
        </is>
      </c>
      <c r="K456" s="6" t="inlineStr">
        <is>
          <t>Konuşmanın ortasında ağzından kaçtı: “Bir de şu tişört…” Üst ranza o gece tişörtü çıkardı, yıkamadı, senin yatağının ucuna astı. Dönem sonuna kadar orada kaldı.</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c r="AI456" s="5" t="inlineStr"/>
      <c r="AJ456" s="5" t="inlineStr"/>
    </row>
    <row r="457">
      <c r="A457" s="5" t="inlineStr">
        <is>
          <t>b6-ilk-tam-zamanli-is</t>
        </is>
      </c>
      <c r="B457" s="5" t="n">
        <v>1</v>
      </c>
      <c r="C457" s="6" t="inlineStr">
        <is>
          <t>Söyleneni yap</t>
        </is>
      </c>
      <c r="D457" s="5" t="inlineStr"/>
      <c r="E457" s="5" t="inlineStr"/>
      <c r="F457" s="5" t="inlineStr">
        <is>
          <t>Dayanıklılık +1</t>
        </is>
      </c>
      <c r="G457" s="6" t="inlineStr">
        <is>
          <t>İlk ay hiç soru sormadın, söyleneni yaptın. Patron seni gelen geçene “Bunun sesi çıkmaz, altın gibi çocuk” diye tanıtıyor. Zam konusunda da sesin çıkmıyor.</t>
        </is>
      </c>
      <c r="H457" s="6" t="inlineStr"/>
      <c r="I457" s="6" t="inlineStr"/>
      <c r="J457" s="6" t="inlineStr"/>
      <c r="K457" s="6" t="inlineStr"/>
      <c r="L457" s="6" t="inlineStr"/>
      <c r="M457" s="5" t="inlineStr"/>
      <c r="N457" s="5" t="inlineStr"/>
      <c r="O457" s="6" t="inlineStr"/>
      <c r="P457" s="6" t="inlineStr"/>
      <c r="Q457" s="5" t="inlineStr"/>
      <c r="R457" s="5" t="inlineStr"/>
      <c r="S457" s="5" t="inlineStr"/>
      <c r="T457" s="5" t="inlineStr"/>
      <c r="U457" s="5" t="inlineStr"/>
      <c r="V457" s="5" t="inlineStr"/>
      <c r="W457" s="5" t="inlineStr"/>
      <c r="X457" s="5" t="inlineStr"/>
      <c r="Y457" s="5" t="inlineStr"/>
      <c r="Z457" s="6" t="inlineStr"/>
      <c r="AA457" s="5" t="inlineStr"/>
      <c r="AB457" s="5" t="inlineStr"/>
      <c r="AC457" s="5" t="inlineStr"/>
      <c r="AD457" s="5" t="inlineStr"/>
      <c r="AE457" s="5" t="inlineStr"/>
      <c r="AF457" s="5" t="inlineStr"/>
      <c r="AG457" s="5" t="inlineStr"/>
      <c r="AH457" s="5" t="inlineStr"/>
      <c r="AI457" s="5" t="inlineStr"/>
      <c r="AJ457" s="5" t="inlineStr"/>
    </row>
    <row r="458">
      <c r="A458" s="5" t="inlineStr">
        <is>
          <t>b6-ilk-tam-zamanli-is</t>
        </is>
      </c>
      <c r="B458" s="5" t="n">
        <v>2</v>
      </c>
      <c r="C458" s="6" t="inlineStr">
        <is>
          <t>Stoğu ezberle</t>
        </is>
      </c>
      <c r="D458" s="5" t="inlineStr">
        <is>
          <t>Akıl</t>
        </is>
      </c>
      <c r="E458" s="5" t="inlineStr">
        <is>
          <t>Orta</t>
        </is>
      </c>
      <c r="F458" s="5" t="inlineStr"/>
      <c r="G458" s="6" t="inlineStr"/>
      <c r="H458" s="6" t="inlineStr">
        <is>
          <t>Hangi vidanın hangi rafta olduğunu artık biliyorsun. Müşteriler doğrudan sana geliyor.</t>
        </is>
      </c>
      <c r="I458" s="6" t="inlineStr">
        <is>
          <t>Stok defterini ezberledin. Patron sayımı sana bırakıp bir haftalığına tatile gitti.</t>
        </is>
      </c>
      <c r="J458" s="6" t="inlineStr">
        <is>
          <t>Ezberledin. Patron ertesi gün rafları yeniden düzenledi.</t>
        </is>
      </c>
      <c r="K458" s="6" t="inlineStr">
        <is>
          <t>Sayımda bir koli vidayı iki kez saydın. Ay sonunda eksik çıkan vidaları patron maaşından kesti. Zarfı açtığında paranın yanında bir avuç vida vardı.</t>
        </is>
      </c>
      <c r="L458" s="6" t="inlineStr"/>
      <c r="M458" s="5" t="inlineStr"/>
      <c r="N458" s="5" t="inlineStr"/>
      <c r="O458" s="6" t="inlineStr"/>
      <c r="P458" s="6" t="inlineStr"/>
      <c r="Q458" s="5" t="inlineStr"/>
      <c r="R458" s="5" t="inlineStr"/>
      <c r="S458" s="5" t="inlineStr"/>
      <c r="T458" s="5" t="inlineStr"/>
      <c r="U458" s="5" t="inlineStr"/>
      <c r="V458" s="5" t="inlineStr"/>
      <c r="W458" s="5" t="inlineStr"/>
      <c r="X458" s="5" t="inlineStr"/>
      <c r="Y458" s="5" t="inlineStr"/>
      <c r="Z458" s="6" t="inlineStr"/>
      <c r="AA458" s="5" t="inlineStr"/>
      <c r="AB458" s="5" t="inlineStr"/>
      <c r="AC458" s="5" t="inlineStr"/>
      <c r="AD458" s="5" t="inlineStr"/>
      <c r="AE458" s="5" t="inlineStr"/>
      <c r="AF458" s="5" t="inlineStr"/>
      <c r="AG458" s="5" t="inlineStr"/>
      <c r="AH458" s="5" t="inlineStr"/>
      <c r="AI458" s="5" t="inlineStr"/>
      <c r="AJ458" s="5" t="inlineStr"/>
    </row>
    <row r="459">
      <c r="A459" s="5" t="inlineStr">
        <is>
          <t>b6-ilk-tam-zamanli-is</t>
        </is>
      </c>
      <c r="B459" s="5" t="n">
        <v>3</v>
      </c>
      <c r="C459" s="6" t="inlineStr">
        <is>
          <t>Müşteriye fazlasını sat</t>
        </is>
      </c>
      <c r="D459" s="5" t="inlineStr">
        <is>
          <t>Çene</t>
        </is>
      </c>
      <c r="E459" s="5" t="inlineStr">
        <is>
          <t>Orta</t>
        </is>
      </c>
      <c r="F459" s="5" t="inlineStr"/>
      <c r="G459" s="6" t="inlineStr"/>
      <c r="H459" s="6" t="inlineStr">
        <is>
          <t>Vida almaya gelene matkap sattın. Patron seni 'bizim eleman' diye tanıtmaya başladı.</t>
        </is>
      </c>
      <c r="I459" s="6" t="inlineStr">
        <is>
          <t>Vida almaya gelen amca dükkândan bir matkap, bir merdiven ve bütün bir banyo tadilatıyla çıktı. Ertesi gün karısı geldi; sana değil, patrona kızdı. Patron sana çay ısmarladı.</t>
        </is>
      </c>
      <c r="J459" s="6" t="inlineStr">
        <is>
          <t>Fazlasını satmaya çalıştın. Müşteri vidayı da almadı.</t>
        </is>
      </c>
      <c r="K459" s="6" t="inlineStr">
        <is>
          <t>Müşteriye en pahalı matkabı, iki uç setini ve bir merdiveni sattın. Müşteri patronun kayınpederiymiş. Ertesi sabah matkap rafa, para kayınpedere döndü; patron sana tek cümle kurdu: “Dün akşam evde yemek yiyemedim.”</t>
        </is>
      </c>
      <c r="L459" s="6" t="inlineStr"/>
      <c r="M459" s="5" t="inlineStr"/>
      <c r="N459" s="5" t="inlineStr"/>
      <c r="O459" s="6" t="inlineStr"/>
      <c r="P459" s="6" t="inlineStr"/>
      <c r="Q459" s="5" t="inlineStr"/>
      <c r="R459" s="5" t="inlineStr"/>
      <c r="S459" s="5" t="inlineStr"/>
      <c r="T459" s="5" t="inlineStr"/>
      <c r="U459" s="5" t="inlineStr"/>
      <c r="V459" s="5" t="inlineStr"/>
      <c r="W459" s="5" t="inlineStr"/>
      <c r="X459" s="5" t="inlineStr"/>
      <c r="Y459" s="5" t="inlineStr"/>
      <c r="Z459" s="6" t="inlineStr"/>
      <c r="AA459" s="5" t="inlineStr"/>
      <c r="AB459" s="5" t="inlineStr"/>
      <c r="AC459" s="5" t="inlineStr"/>
      <c r="AD459" s="5" t="inlineStr"/>
      <c r="AE459" s="5" t="inlineStr"/>
      <c r="AF459" s="5" t="inlineStr"/>
      <c r="AG459" s="5" t="inlineStr"/>
      <c r="AH459" s="5" t="inlineStr"/>
      <c r="AI459" s="5" t="inlineStr"/>
      <c r="AJ459" s="5" t="inlineStr"/>
    </row>
    <row r="460">
      <c r="A460" s="5" t="inlineStr">
        <is>
          <t>b6-ehliyet</t>
        </is>
      </c>
      <c r="B460" s="5" t="n">
        <v>1</v>
      </c>
      <c r="C460" s="6" t="inlineStr">
        <is>
          <t>Kitabına uygun yap</t>
        </is>
      </c>
      <c r="D460" s="5" t="inlineStr">
        <is>
          <t>Akıl</t>
        </is>
      </c>
      <c r="E460" s="5" t="inlineStr">
        <is>
          <t>Kolay</t>
        </is>
      </c>
      <c r="F460" s="5" t="inlineStr"/>
      <c r="G460" s="6" t="inlineStr"/>
      <c r="H460" s="6" t="inlineStr">
        <is>
          <t>Sinyal, ayna, kalkış; her şeyi sesli sesli söyleyerek yaptın. Görevli kâğıda bir şey yazdı, sonra gözlüğünün üstünden baktı: “Annen mi öğretti bunu?” Geçtin.</t>
        </is>
      </c>
      <c r="I460" s="6" t="inlineStr">
        <is>
          <t>Kusursuz sürüş. Görevli otuz yılda ilk kez gülümsedi ve 'Park da yap bakalım' dedi. Yaptın.</t>
        </is>
      </c>
      <c r="J460" s="6" t="inlineStr">
        <is>
          <t>Kitabına uygun yaptın. Kitapta olmayan bir kedi yola çıktı. Kaldın.</t>
        </is>
      </c>
      <c r="K460" s="6" t="inlineStr">
        <is>
          <t>Aynalara o kadar uzun baktın ki öndeki çöp kamyonunu son anda gördün. Ani fren; görevlinin gözlüğü torpidoya uçtu. Not almadı; gerek yoktu.</t>
        </is>
      </c>
      <c r="L460" s="6" t="inlineStr"/>
      <c r="M460" s="5" t="inlineStr"/>
      <c r="N460" s="5" t="inlineStr"/>
      <c r="O460" s="6" t="inlineStr"/>
      <c r="P460" s="6" t="inlineStr"/>
      <c r="Q460" s="5" t="inlineStr"/>
      <c r="R460" s="5" t="inlineStr"/>
      <c r="S460" s="5" t="inlineStr"/>
      <c r="T460" s="5" t="inlineStr"/>
      <c r="U460" s="5" t="inlineStr"/>
      <c r="V460" s="5" t="inlineStr">
        <is>
          <t>ehliyetli</t>
        </is>
      </c>
      <c r="W460" s="5" t="inlineStr"/>
      <c r="X460" s="5" t="inlineStr"/>
      <c r="Y460" s="5" t="inlineStr"/>
      <c r="Z460" s="6" t="inlineStr"/>
      <c r="AA460" s="5" t="inlineStr"/>
      <c r="AB460" s="5" t="inlineStr"/>
      <c r="AC460" s="5" t="inlineStr"/>
      <c r="AD460" s="5" t="inlineStr"/>
      <c r="AE460" s="5" t="inlineStr"/>
      <c r="AF460" s="5" t="inlineStr"/>
      <c r="AG460" s="5" t="inlineStr"/>
      <c r="AH460" s="5" t="inlineStr"/>
      <c r="AI460" s="5" t="inlineStr"/>
      <c r="AJ460" s="5" t="inlineStr"/>
    </row>
    <row r="461">
      <c r="A461" s="5" t="inlineStr">
        <is>
          <t>b6-ehliyet</t>
        </is>
      </c>
      <c r="B461" s="5" t="n">
        <v>2</v>
      </c>
      <c r="C461" s="6" t="inlineStr">
        <is>
          <t>Yokuşta el frenine güven</t>
        </is>
      </c>
      <c r="D461" s="5" t="inlineStr">
        <is>
          <t>Dayanıklılık</t>
        </is>
      </c>
      <c r="E461" s="5" t="inlineStr">
        <is>
          <t>Orta</t>
        </is>
      </c>
      <c r="F461" s="5" t="inlineStr"/>
      <c r="G461" s="6" t="inlineStr"/>
      <c r="H461" s="6" t="inlineStr">
        <is>
          <t>Araba yokuşta bir an düşündü, sonra çıktı. Görevli kâğıdına “Gayret” yazdı; kâğıtta öyle bir kutu yoktu.</t>
        </is>
      </c>
      <c r="I461" s="6" t="inlineStr">
        <is>
          <t>Kalkış o kadar yumuşaktı ki görevli ne zaman kalktığınızı sordu.</t>
        </is>
      </c>
      <c r="J461" s="6" t="inlineStr">
        <is>
          <t>Araba geri kaydı. Arkadaki sınav aracındaki aday da seninle birlikte kaldı.</t>
        </is>
      </c>
      <c r="K461" s="6" t="inlineStr">
        <is>
          <t>Araba stop etti. Sonra bir daha. Sonra görevli indi, yokuşu yürüyerek çıktı.</t>
        </is>
      </c>
      <c r="L461" s="6" t="inlineStr">
        <is>
          <t>Araba bir tık geri kaydı, sonra kalktı. Görevli bir şey yazdı, sonra sildi. Geçtin; zor geçtin.</t>
        </is>
      </c>
      <c r="M461" s="5" t="inlineStr">
        <is>
          <t>timing</t>
        </is>
      </c>
      <c r="N461" s="5" t="inlineStr">
        <is>
          <t>Yokuş Kalkışı</t>
        </is>
      </c>
      <c r="O461" s="6" t="inlineStr">
        <is>
          <t>İbre yeşil alandayken DURDUR'a bas. Art arda tutturdukça kombo kazanırsın.</t>
        </is>
      </c>
      <c r="P461" s="6" t="n"/>
      <c r="Q461" s="5" t="inlineStr"/>
      <c r="R461" s="5" t="inlineStr"/>
      <c r="S461" s="5" t="inlineStr"/>
      <c r="T461" s="5" t="inlineStr"/>
      <c r="U461" s="5" t="inlineStr"/>
      <c r="V461" s="5" t="inlineStr">
        <is>
          <t>ehliyetli</t>
        </is>
      </c>
      <c r="W461" s="5" t="inlineStr"/>
      <c r="X461" s="5" t="inlineStr"/>
      <c r="Y461" s="5" t="inlineStr"/>
      <c r="Z461" s="6" t="inlineStr"/>
      <c r="AA461" s="5" t="inlineStr"/>
      <c r="AB461" s="5" t="inlineStr"/>
      <c r="AC461" s="5" t="inlineStr"/>
      <c r="AD461" s="5" t="inlineStr"/>
      <c r="AE461" s="5" t="inlineStr"/>
      <c r="AF461" s="5" t="inlineStr"/>
      <c r="AG461" s="5" t="inlineStr"/>
      <c r="AH461" s="5" t="inlineStr"/>
      <c r="AI461" s="5" t="inlineStr"/>
      <c r="AJ461" s="5" t="inlineStr"/>
    </row>
    <row r="462">
      <c r="A462" s="5" t="inlineStr">
        <is>
          <t>b6-ehliyet</t>
        </is>
      </c>
      <c r="B462" s="5" t="n">
        <v>3</v>
      </c>
      <c r="C462" s="6" t="inlineStr">
        <is>
          <t>Görevliyle sohbet aç</t>
        </is>
      </c>
      <c r="D462" s="5" t="inlineStr">
        <is>
          <t>Çene</t>
        </is>
      </c>
      <c r="E462" s="5" t="inlineStr">
        <is>
          <t>Zor</t>
        </is>
      </c>
      <c r="F462" s="5" t="inlineStr"/>
      <c r="G462" s="6" t="inlineStr"/>
      <c r="H462" s="6" t="inlineStr">
        <is>
          <t>Görevli emekli olunca balığa çıkacakmış. Sınav bitti, sen geçtin, konu balıktı.</t>
        </is>
      </c>
      <c r="I462" s="6" t="inlineStr">
        <is>
          <t>Yokuşu çıkarken balıktan konuştunuz, park ederken oğlunun düğününe davetliydin. Görevli sınav kâğıdının arkasına düğün salonunun adresini yazdı; önüne de “Geçti”.</t>
        </is>
      </c>
      <c r="J462" s="6" t="inlineStr">
        <is>
          <t>Görevli “Konuşma, sür” dedi. Sustun; o sessizlikte yokuşu da unuttun. Kaldın.</t>
        </is>
      </c>
      <c r="K462" s="6" t="inlineStr">
        <is>
          <t>Sohbete daldın, direksiyonu unuttun, kaldırıma çıktın. Görevlinin çayı kucağına döküldü. Sınav orada bitti; balık hikâyesini hiç duyamadın.</t>
        </is>
      </c>
      <c r="L462" s="6" t="inlineStr"/>
      <c r="M462" s="5" t="inlineStr"/>
      <c r="N462" s="5" t="inlineStr"/>
      <c r="O462" s="6" t="inlineStr"/>
      <c r="P462" s="6" t="inlineStr"/>
      <c r="Q462" s="5" t="inlineStr"/>
      <c r="R462" s="5" t="inlineStr"/>
      <c r="S462" s="5" t="inlineStr"/>
      <c r="T462" s="5" t="inlineStr"/>
      <c r="U462" s="5" t="inlineStr"/>
      <c r="V462" s="5" t="inlineStr">
        <is>
          <t>ehliyetli</t>
        </is>
      </c>
      <c r="W462" s="5" t="inlineStr"/>
      <c r="X462" s="5" t="inlineStr"/>
      <c r="Y462" s="5" t="inlineStr"/>
      <c r="Z462" s="6" t="inlineStr"/>
      <c r="AA462" s="5" t="inlineStr"/>
      <c r="AB462" s="5" t="inlineStr"/>
      <c r="AC462" s="5" t="inlineStr"/>
      <c r="AD462" s="5" t="inlineStr"/>
      <c r="AE462" s="5" t="inlineStr"/>
      <c r="AF462" s="5" t="inlineStr"/>
      <c r="AG462" s="5" t="inlineStr"/>
      <c r="AH462" s="5" t="inlineStr"/>
      <c r="AI462" s="5" t="inlineStr"/>
      <c r="AJ462" s="5" t="inlineStr"/>
    </row>
    <row r="463">
      <c r="A463" s="5" t="inlineStr">
        <is>
          <t>b6-ehliyet</t>
        </is>
      </c>
      <c r="B463" s="5" t="n">
        <v>4</v>
      </c>
      <c r="C463" s="6" t="inlineStr">
        <is>
          <t>Sınavı ertele</t>
        </is>
      </c>
      <c r="D463" s="5" t="inlineStr"/>
      <c r="E463" s="5" t="inlineStr"/>
      <c r="F463" s="5" t="inlineStr">
        <is>
          <t>Dayanıklılık +1</t>
        </is>
      </c>
      <c r="G463" s="6" t="inlineStr">
        <is>
          <t>Sınavı erteledin. Baban arabanın anahtarını cebine geri koydu; rahatladığını saklamadı. Bir yıl daha her yokuşta “Ben bu yokuşu on sekizimde çıkıyordum” dedi.</t>
        </is>
      </c>
      <c r="H463" s="6" t="inlineStr"/>
      <c r="I463" s="6" t="inlineStr"/>
      <c r="J463" s="6" t="inlineStr"/>
      <c r="K463" s="6" t="inlineStr"/>
      <c r="L463" s="6" t="inlineStr"/>
      <c r="M463" s="5" t="inlineStr"/>
      <c r="N463" s="5" t="inlineStr"/>
      <c r="O463" s="6" t="inlineStr"/>
      <c r="P463" s="6" t="inlineStr"/>
      <c r="Q463" s="5" t="inlineStr"/>
      <c r="R463" s="5" t="inlineStr"/>
      <c r="S463" s="5" t="inlineStr"/>
      <c r="T463" s="5" t="inlineStr"/>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c r="AI463" s="5" t="inlineStr"/>
      <c r="AJ463" s="5" t="inlineStr"/>
    </row>
    <row r="464">
      <c r="A464" s="5" t="inlineStr">
        <is>
          <t>b6-ilk-maas</t>
        </is>
      </c>
      <c r="B464" s="5" t="n">
        <v>1</v>
      </c>
      <c r="C464" s="6" t="inlineStr">
        <is>
          <t>Annene hediye al</t>
        </is>
      </c>
      <c r="D464" s="5" t="inlineStr"/>
      <c r="E464" s="5" t="inlineStr"/>
      <c r="F464" s="5" t="inlineStr">
        <is>
          <t>Gönül +1</t>
        </is>
      </c>
      <c r="G464" s="6" t="inlineStr">
        <is>
          <t>Annene bir şal aldın. Şal naftalinli dolabın en üst rafına kaldırıldı: “Özel günlerde takarım.” Ama gelen her komşuya dolaptan çıkarılıp gösterildi.</t>
        </is>
      </c>
      <c r="H464" s="6" t="inlineStr"/>
      <c r="I464" s="6" t="inlineStr"/>
      <c r="J464" s="6" t="inlineStr"/>
      <c r="K464" s="6" t="inlineStr"/>
      <c r="L464" s="6" t="inlineStr"/>
      <c r="M464" s="5" t="inlineStr"/>
      <c r="N464" s="5" t="inlineStr"/>
      <c r="O464" s="6" t="inlineStr"/>
      <c r="P464" s="6" t="inlineStr"/>
      <c r="Q464" s="5" t="inlineStr"/>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c r="AI464" s="5" t="inlineStr"/>
      <c r="AJ464" s="5" t="inlineStr"/>
    </row>
    <row r="465">
      <c r="A465" s="5" t="inlineStr">
        <is>
          <t>b6-ilk-maas</t>
        </is>
      </c>
      <c r="B465" s="5" t="n">
        <v>2</v>
      </c>
      <c r="C465" s="6" t="inlineStr">
        <is>
          <t>Hepsini harca</t>
        </is>
      </c>
      <c r="D465" s="5" t="inlineStr"/>
      <c r="E465" s="5" t="inlineStr"/>
      <c r="F465" s="5" t="inlineStr">
        <is>
          <t>Pişkinlik +1, Çene +1</t>
        </is>
      </c>
      <c r="G465" s="6" t="inlineStr">
        <is>
          <t>Maaş üç günde bitti: bir ayakkabı, bir kulaklık, arkadaşlara üç akşam. Kalan yirmi yedi günü annenin buzdolabıyla çıkardın. Annen bir şey demedi; sadece tencereyi biraz daha büyük koydu.</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c r="AI465" s="5" t="inlineStr"/>
      <c r="AJ465" s="5" t="inlineStr"/>
    </row>
    <row r="466">
      <c r="A466" s="5" t="inlineStr">
        <is>
          <t>b6-ilk-maas</t>
        </is>
      </c>
      <c r="B466" s="5" t="n">
        <v>3</v>
      </c>
      <c r="C466" s="6" t="inlineStr">
        <is>
          <t>Bütçe tablosu yap</t>
        </is>
      </c>
      <c r="D466" s="5" t="inlineStr">
        <is>
          <t>Akıl</t>
        </is>
      </c>
      <c r="E466" s="5" t="inlineStr">
        <is>
          <t>Zor</t>
        </is>
      </c>
      <c r="F466" s="5" t="inlineStr"/>
      <c r="G466" s="6" t="inlineStr"/>
      <c r="H466" s="6" t="inlineStr">
        <is>
          <t>Tablo hazır. Gelir tek satır, giderler iki sayfa. Ama renkli.</t>
        </is>
      </c>
      <c r="I466" s="6" t="inlineStr">
        <is>
          <t>Tabloyu ay sonuna kadar tuttun ve para arttı. Olay aile tarihine 'mucize' olarak geçti.</t>
        </is>
      </c>
      <c r="J466" s="6" t="inlineStr">
        <is>
          <t>Tablo yaptın. İkinci hafta tabloya bakmayı bıraktın. Tablo sana bakmaya devam etti.</t>
        </is>
      </c>
      <c r="K466" s="6" t="inlineStr">
        <is>
          <t>Formül hatası yüzünden ay sonunda zengin görünüyordun. Harcadın.</t>
        </is>
      </c>
      <c r="L466" s="6" t="inlineStr"/>
      <c r="M466" s="5" t="inlineStr"/>
      <c r="N466" s="5" t="inlineStr"/>
      <c r="O466" s="6" t="inlineStr"/>
      <c r="P466" s="6" t="inlineStr"/>
      <c r="Q466" s="5" t="inlineStr"/>
      <c r="R466" s="5" t="inlineStr"/>
      <c r="S466" s="5" t="inlineStr"/>
      <c r="T466" s="5" t="inlineStr">
        <is>
          <t>Bütçe Tablocusu</t>
        </is>
      </c>
      <c r="U466" s="5" t="inlineStr"/>
      <c r="V466" s="5" t="inlineStr"/>
      <c r="W466" s="5" t="inlineStr"/>
      <c r="X466" s="5" t="inlineStr"/>
      <c r="Y466" s="5" t="inlineStr"/>
      <c r="Z466" s="6" t="inlineStr"/>
      <c r="AA466" s="5" t="inlineStr"/>
      <c r="AB466" s="5" t="inlineStr"/>
      <c r="AC466" s="5" t="inlineStr"/>
      <c r="AD466" s="5" t="inlineStr"/>
      <c r="AE466" s="5" t="inlineStr"/>
      <c r="AF466" s="5" t="inlineStr"/>
      <c r="AG466" s="5" t="inlineStr"/>
      <c r="AH466" s="5" t="inlineStr"/>
      <c r="AI466" s="5" t="inlineStr"/>
      <c r="AJ466" s="5" t="inlineStr"/>
    </row>
    <row r="467">
      <c r="A467" s="5" t="inlineStr">
        <is>
          <t>b6-ilk-maas</t>
        </is>
      </c>
      <c r="B467" s="5" t="n">
        <v>4</v>
      </c>
      <c r="C467" s="6" t="inlineStr">
        <is>
          <t>Yarısını yastık altına koy</t>
        </is>
      </c>
      <c r="D467" s="5" t="inlineStr">
        <is>
          <t>Kurnazlık</t>
        </is>
      </c>
      <c r="E467" s="5" t="inlineStr">
        <is>
          <t>Kolay</t>
        </is>
      </c>
      <c r="F467" s="5" t="inlineStr"/>
      <c r="G467" s="6" t="inlineStr"/>
      <c r="H467" s="6" t="inlineStr">
        <is>
          <t>Ay sonunda yastığın altından bir tomar çıktı. Saydın, bir daha saydın. Babaannenin neden hep yastığının altında para tuttuğunu o gece anladın.</t>
        </is>
      </c>
      <c r="I467" s="6" t="inlineStr">
        <is>
          <t>Birikim yastıktan yorgana, oradan dolabın dibine göç etti ve büyüdü. Annen yatağı havalandırırken buldu, saydı, yerine koydu. Akşam babana “Bu çocuk bizden zengin” dedi.</t>
        </is>
      </c>
      <c r="J467" s="6" t="inlineStr">
        <is>
          <t>Parayı yastık kılıfına sakladın. Annen kılıfı makineye attı. Paralar kuru, temiz ve ütülü olarak mutfak masasında dizildi: “Bu kimin?” Kimse sahiplenmedi; sen de.</t>
        </is>
      </c>
      <c r="K467" s="6" t="inlineStr">
        <is>
          <t>Sakladın, yerini unuttun. Üç yıl sonra taşınırken bulacaksın. Değeri yarıya inmiş olacak.</t>
        </is>
      </c>
      <c r="L467" s="6" t="inlineStr"/>
      <c r="M467" s="5" t="inlineStr"/>
      <c r="N467" s="5" t="inlineStr"/>
      <c r="O467" s="6" t="inlineStr"/>
      <c r="P467" s="6" t="inlineStr"/>
      <c r="Q467" s="5" t="inlineStr">
        <is>
          <t>Yastık Altı Ekonomisti</t>
        </is>
      </c>
      <c r="R467" s="5" t="inlineStr"/>
      <c r="S467" s="5" t="inlineStr"/>
      <c r="T467" s="5" t="inlineStr"/>
      <c r="U467" s="5" t="inlineStr"/>
      <c r="V467" s="5" t="inlineStr"/>
      <c r="W467" s="5" t="inlineStr"/>
      <c r="X467" s="5" t="inlineStr"/>
      <c r="Y467" s="5" t="inlineStr"/>
      <c r="Z467" s="6" t="inlineStr"/>
      <c r="AA467" s="5" t="inlineStr"/>
      <c r="AB467" s="5" t="inlineStr"/>
      <c r="AC467" s="5" t="inlineStr"/>
      <c r="AD467" s="5" t="inlineStr"/>
      <c r="AE467" s="5" t="inlineStr"/>
      <c r="AF467" s="5" t="inlineStr"/>
      <c r="AG467" s="5" t="inlineStr"/>
      <c r="AH467" s="5" t="inlineStr"/>
      <c r="AI467" s="5" t="inlineStr"/>
      <c r="AJ467" s="5" t="inlineStr"/>
    </row>
    <row r="468">
      <c r="A468" s="5" t="inlineStr">
        <is>
          <t>b6-usta-cirak</t>
        </is>
      </c>
      <c r="B468" s="5" t="n">
        <v>1</v>
      </c>
      <c r="C468" s="6" t="inlineStr">
        <is>
          <t>Çayı mükemmelleştir</t>
        </is>
      </c>
      <c r="D468" s="5" t="inlineStr"/>
      <c r="E468" s="5" t="inlineStr"/>
      <c r="F468" s="5" t="inlineStr">
        <is>
          <t>İtibar +1, Dayanıklılık +1</t>
        </is>
      </c>
      <c r="G468" s="6" t="inlineStr">
        <is>
          <t>Çayın ustanın ağzına layık oldu. Dükkana gelen herkes çay için kalıyor. İş hâlâ yok.</t>
        </is>
      </c>
      <c r="H468" s="6" t="inlineStr"/>
      <c r="I468" s="6" t="inlineStr"/>
      <c r="J468" s="6" t="inlineStr"/>
      <c r="K468" s="6" t="inlineStr"/>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c r="AI468" s="5" t="inlineStr"/>
      <c r="AJ468" s="5" t="inlineStr"/>
    </row>
    <row r="469">
      <c r="A469" s="5" t="inlineStr">
        <is>
          <t>b6-usta-cirak</t>
        </is>
      </c>
      <c r="B469" s="5" t="n">
        <v>2</v>
      </c>
      <c r="C469" s="6" t="inlineStr">
        <is>
          <t>Ustayı gizlice izle</t>
        </is>
      </c>
      <c r="D469" s="5" t="inlineStr">
        <is>
          <t>Sosyal Radar</t>
        </is>
      </c>
      <c r="E469" s="5" t="inlineStr">
        <is>
          <t>Orta</t>
        </is>
      </c>
      <c r="F469" s="5" t="inlineStr"/>
      <c r="G469" s="6" t="inlineStr"/>
      <c r="H469" s="6" t="inlineStr">
        <is>
          <t>Ustanın ellerini üç ay izledin. Bir sabah bir arabanın tuhaf sesini ustadan önce sen buldun. Usta duymamış gibi yaptı; öğlen çayına bir şeker fazla attı.</t>
        </is>
      </c>
      <c r="I469" s="6" t="inlineStr">
        <is>
          <t>Usta bir gün 'Sen yap' deyip çıktı. Döndüğünde motor çalışıyordu. Sana ilk kez çayı o koydu.</t>
        </is>
      </c>
      <c r="J469" s="6" t="inlineStr">
        <is>
          <t>İzledin ama usta hep sırtını dönüyordu. Sırtını çok iyi tanıyorsun artık.</t>
        </is>
      </c>
      <c r="K469" s="6" t="inlineStr">
        <is>
          <t>İzlerken sökülen parçaları karıştırdın. Müşterinin arabası şimdi bir ses daha çıkarıyor.</t>
        </is>
      </c>
      <c r="L469" s="6" t="inlineStr"/>
      <c r="M469" s="5" t="inlineStr"/>
      <c r="N469" s="5" t="inlineStr"/>
      <c r="O469" s="6" t="inlineStr"/>
      <c r="P469" s="6" t="inlineStr"/>
      <c r="Q469" s="5" t="inlineStr"/>
      <c r="R469" s="5" t="inlineStr"/>
      <c r="S469" s="5" t="inlineStr"/>
      <c r="T469" s="5" t="inlineStr"/>
      <c r="U469" s="5" t="inlineStr"/>
      <c r="V469" s="5" t="inlineStr">
        <is>
          <t>usta-eli</t>
        </is>
      </c>
      <c r="W469" s="5" t="inlineStr"/>
      <c r="X469" s="5" t="inlineStr"/>
      <c r="Y469" s="5" t="inlineStr"/>
      <c r="Z469" s="6" t="inlineStr"/>
      <c r="AA469" s="5" t="inlineStr"/>
      <c r="AB469" s="5" t="inlineStr"/>
      <c r="AC469" s="5" t="inlineStr"/>
      <c r="AD469" s="5" t="inlineStr"/>
      <c r="AE469" s="5" t="inlineStr"/>
      <c r="AF469" s="5" t="inlineStr"/>
      <c r="AG469" s="5" t="inlineStr"/>
      <c r="AH469" s="5" t="inlineStr"/>
      <c r="AI469" s="5" t="inlineStr"/>
      <c r="AJ469" s="5" t="inlineStr"/>
    </row>
    <row r="470">
      <c r="A470" s="5" t="inlineStr">
        <is>
          <t>b6-usta-cirak</t>
        </is>
      </c>
      <c r="B470" s="5" t="n">
        <v>3</v>
      </c>
      <c r="C470" s="6" t="inlineStr">
        <is>
          <t>O özel vidanın yerini bul</t>
        </is>
      </c>
      <c r="D470" s="5" t="inlineStr">
        <is>
          <t>Kurnazlık</t>
        </is>
      </c>
      <c r="E470" s="5" t="inlineStr">
        <is>
          <t>Zor</t>
        </is>
      </c>
      <c r="F470" s="5" t="inlineStr"/>
      <c r="G470" s="6" t="inlineStr"/>
      <c r="H470" s="6" t="inlineStr">
        <is>
          <t>Vidayı buldun. Ustaya söylemedin. Aranızda artık sessiz bir eşitlik var.</t>
        </is>
      </c>
      <c r="I470" s="6" t="inlineStr">
        <is>
          <t>Vidayla birlikte ustanın otuz yıllık fiyat defterini de buldun. Her müşterinin yanına bir not düşülmüş: “Pazarlıkçı”, “Hep geç öder”, “Babası iyi adamdı.” Defteri yerine koydun; hepsini ezberlemiştin.</t>
        </is>
      </c>
      <c r="J470" s="6" t="inlineStr">
        <is>
          <t>Vidayı ararken usta arkandaydı. 'Bir şey mi kaybettin?' dedi.</t>
        </is>
      </c>
      <c r="K470" s="6" t="inlineStr">
        <is>
          <t>Vida yerine çay ocağının altındaki eski teneke kasayı buldun; kapağını kaldırırken usta arkandaydı: “Orada vida yok evlat.” Ertesi sabah kasada yeni bir kilit vardı; anahtarı ustanın boynunda, bir iple.</t>
        </is>
      </c>
      <c r="L470" s="6" t="inlineStr"/>
      <c r="M470" s="5" t="inlineStr"/>
      <c r="N470" s="5" t="inlineStr"/>
      <c r="O470" s="6" t="inlineStr"/>
      <c r="P470" s="6" t="inlineStr"/>
      <c r="Q470" s="5" t="inlineStr"/>
      <c r="R470" s="5" t="inlineStr"/>
      <c r="S470" s="5" t="inlineStr">
        <is>
          <t>Kurnazlık</t>
        </is>
      </c>
      <c r="T470" s="5" t="inlineStr"/>
      <c r="U470" s="5" t="inlineStr"/>
      <c r="V470" s="5" t="inlineStr">
        <is>
          <t>usta-eli</t>
        </is>
      </c>
      <c r="W470" s="5" t="inlineStr"/>
      <c r="X470" s="5" t="inlineStr"/>
      <c r="Y470" s="5" t="inlineStr"/>
      <c r="Z470" s="6" t="inlineStr"/>
      <c r="AA470" s="5" t="inlineStr"/>
      <c r="AB470" s="5" t="inlineStr"/>
      <c r="AC470" s="5" t="inlineStr"/>
      <c r="AD470" s="5" t="inlineStr"/>
      <c r="AE470" s="5" t="inlineStr"/>
      <c r="AF470" s="5" t="inlineStr"/>
      <c r="AG470" s="5" t="inlineStr"/>
      <c r="AH470" s="5" t="inlineStr"/>
      <c r="AI470" s="5" t="inlineStr"/>
      <c r="AJ470" s="5" t="inlineStr"/>
    </row>
    <row r="471">
      <c r="A471" s="5" t="inlineStr">
        <is>
          <t>b6-usta-cirak</t>
        </is>
      </c>
      <c r="B471" s="5" t="n">
        <v>4</v>
      </c>
      <c r="C471" s="6" t="inlineStr">
        <is>
          <t>Kendi yöntemini dene</t>
        </is>
      </c>
      <c r="D471" s="5" t="inlineStr">
        <is>
          <t>Cesaret</t>
        </is>
      </c>
      <c r="E471" s="5" t="inlineStr">
        <is>
          <t>Zor</t>
        </is>
      </c>
      <c r="F471" s="5" t="inlineStr"/>
      <c r="G471" s="6" t="inlineStr"/>
      <c r="H471" s="6" t="inlineStr">
        <is>
          <t>Kendi yönteminle tamir ettin. Usta 'Bu da bir yol' dedi. Övgü sayılıyor.</t>
        </is>
      </c>
      <c r="I471" s="6" t="inlineStr">
        <is>
          <t>Yöntemin ustanınkinden hızlı çıktı. Usta iki gün konuşmadı, üçüncü gün aynısını yaptı.</t>
        </is>
      </c>
      <c r="J471" s="6" t="inlineStr">
        <is>
          <t>Kendi yönteminle başladın, bir parça fazladan söktün. Usta gelip sesini çıkarmadan yerine taktı; sana bakmadı bile. Sonra “Çay koy” dedi.</t>
        </is>
      </c>
      <c r="K471" s="6" t="inlineStr">
        <is>
          <t>Araba çalıştı; ama yalnızca geri geri gidiyor. Müşteri sanayiden geri geri çıktı. Sanayide adın artık “Geri Vites”.</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c r="AI471" s="5" t="inlineStr">
        <is>
          <t>Geri Vites</t>
        </is>
      </c>
      <c r="AJ471" s="5" t="inlineStr"/>
    </row>
    <row r="472">
      <c r="A472" s="5" t="inlineStr">
        <is>
          <t>b6-final-haftasi</t>
        </is>
      </c>
      <c r="B472" s="5" t="n">
        <v>1</v>
      </c>
      <c r="C472" s="6" t="inlineStr">
        <is>
          <t>Sabaha kadar çalış</t>
        </is>
      </c>
      <c r="D472" s="5" t="inlineStr"/>
      <c r="E472" s="5" t="inlineStr"/>
      <c r="F472" s="5" t="inlineStr">
        <is>
          <t>Dayanıklılık +1, Akıl +1</t>
        </is>
      </c>
      <c r="G472" s="6" t="inlineStr">
        <is>
          <t>Sabaha kadar çalıştın. Sınavda her şeyi hatırladın, yalnızca sırasını değil.</t>
        </is>
      </c>
      <c r="H472" s="6" t="inlineStr"/>
      <c r="I472" s="6" t="inlineStr"/>
      <c r="J472" s="6" t="inlineStr"/>
      <c r="K472" s="6" t="inlineStr"/>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c r="AI472" s="5" t="inlineStr"/>
      <c r="AJ472" s="5" t="inlineStr"/>
    </row>
    <row r="473">
      <c r="A473" s="5" t="inlineStr">
        <is>
          <t>b6-final-haftasi</t>
        </is>
      </c>
      <c r="B473" s="5" t="n">
        <v>2</v>
      </c>
      <c r="C473" s="6" t="inlineStr">
        <is>
          <t>Geçen yılın sorularını bul</t>
        </is>
      </c>
      <c r="D473" s="5" t="inlineStr">
        <is>
          <t>Kurnazlık</t>
        </is>
      </c>
      <c r="E473" s="5" t="inlineStr">
        <is>
          <t>Kolay</t>
        </is>
      </c>
      <c r="F473" s="5" t="inlineStr"/>
      <c r="G473" s="6" t="inlineStr"/>
      <c r="H473" s="6" t="inlineStr">
        <is>
          <t>Geçen yılın soruları birebir çıktı. Sınıfın yarısı o fotokopiciyi bilmiyordu.</t>
        </is>
      </c>
      <c r="I473" s="6" t="inlineStr">
        <is>
          <t>Son beş yılın soruları elinde. Fotokopici seni ortak yapmayı teklif etti.</t>
        </is>
      </c>
      <c r="J473" s="6" t="inlineStr">
        <is>
          <t>Soruları buldun. Hoca bu yıl emekli olmuş, yerine gelen kendi sorularını getirmiş.</t>
        </is>
      </c>
      <c r="K473" s="6" t="inlineStr">
        <is>
          <t>Bulduğun sorular başka bölümünmüş. Sınavda istatistik bekledin, edebiyat geldi.</t>
        </is>
      </c>
      <c r="L473" s="6" t="inlineStr"/>
      <c r="M473" s="5" t="inlineStr"/>
      <c r="N473" s="5" t="inlineStr"/>
      <c r="O473" s="6" t="inlineStr"/>
      <c r="P473" s="6" t="inlineStr"/>
      <c r="Q473" s="5" t="inlineStr"/>
      <c r="R473" s="5" t="inlineStr"/>
      <c r="S473" s="5" t="inlineStr">
        <is>
          <t>Akıl</t>
        </is>
      </c>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c r="AI473" s="5" t="inlineStr"/>
      <c r="AJ473" s="5" t="inlineStr"/>
    </row>
    <row r="474">
      <c r="A474" s="5" t="inlineStr">
        <is>
          <t>b6-final-haftasi</t>
        </is>
      </c>
      <c r="B474" s="5" t="n">
        <v>3</v>
      </c>
      <c r="C474" s="6" t="inlineStr">
        <is>
          <t>Çalışma grubu kur</t>
        </is>
      </c>
      <c r="D474" s="5" t="inlineStr">
        <is>
          <t>Sosyal Radar</t>
        </is>
      </c>
      <c r="E474" s="5" t="inlineStr">
        <is>
          <t>Orta</t>
        </is>
      </c>
      <c r="F474" s="5" t="inlineStr"/>
      <c r="G474" s="6" t="inlineStr"/>
      <c r="H474" s="6" t="inlineStr">
        <is>
          <t>Üç saat çalışıldı, iki saat yemek siparişi tartışıldı. Sınavda yemekle ilgili bir soru çıksa hepiniz tam alırdınız.</t>
        </is>
      </c>
      <c r="I474" s="6" t="inlineStr">
        <is>
          <t>Grubun en iyisi herkese özet çıkardı. Senin katkın grubun adıydı. Yeterli oldu.</t>
        </is>
      </c>
      <c r="J474" s="6" t="inlineStr">
        <is>
          <t>Grup kuruldu. İki saat grubun adına karar verilemedi, üçüncü saatte biri “Uyuyalım” dedi. Sınav geldi; grubun adı hâlâ yok.</t>
        </is>
      </c>
      <c r="K474" s="6" t="inlineStr">
        <is>
          <t>Bütün grup senin notlarına güveniyordu. Masaya defterini açtın: ilk sayfada hocanın karikatürü, ikincisinde bir alışveriş listesi. Grup seni oy birliğiyle çıkardı; sınavda yan yana düştünüz.</t>
        </is>
      </c>
      <c r="L474" s="6" t="inlineStr"/>
      <c r="M474" s="5" t="inlineStr"/>
      <c r="N474" s="5" t="inlineStr"/>
      <c r="O474" s="6" t="inlineStr"/>
      <c r="P474" s="6" t="inlineStr"/>
      <c r="Q474" s="5" t="inlineStr"/>
      <c r="R474" s="5" t="inlineStr"/>
      <c r="S474" s="5" t="inlineStr"/>
      <c r="T474" s="5" t="inlineStr"/>
      <c r="U474" s="5" t="inlineStr"/>
      <c r="V474" s="5" t="inlineStr"/>
      <c r="W474" s="5" t="inlineStr"/>
      <c r="X474" s="5" t="inlineStr"/>
      <c r="Y474" s="5" t="inlineStr"/>
      <c r="Z474" s="6" t="inlineStr"/>
      <c r="AA474" s="5" t="inlineStr"/>
      <c r="AB474" s="5" t="inlineStr"/>
      <c r="AC474" s="5" t="inlineStr"/>
      <c r="AD474" s="5" t="inlineStr"/>
      <c r="AE474" s="5" t="inlineStr"/>
      <c r="AF474" s="5" t="inlineStr"/>
      <c r="AG474" s="5" t="inlineStr"/>
      <c r="AH474" s="5" t="inlineStr"/>
      <c r="AI474" s="5" t="inlineStr"/>
      <c r="AJ474" s="5" t="inlineStr"/>
    </row>
    <row r="475">
      <c r="A475" s="5" t="inlineStr">
        <is>
          <t>b6-final-haftasi</t>
        </is>
      </c>
      <c r="B475" s="5" t="n">
        <v>4</v>
      </c>
      <c r="C475" s="6" t="inlineStr">
        <is>
          <t>Hocaya e-posta at</t>
        </is>
      </c>
      <c r="D475" s="5" t="inlineStr">
        <is>
          <t>Pişkinlik</t>
        </is>
      </c>
      <c r="E475" s="5" t="inlineStr">
        <is>
          <t>Zor</t>
        </is>
      </c>
      <c r="F475" s="5" t="inlineStr"/>
      <c r="G475" s="6" t="inlineStr"/>
      <c r="H475" s="6" t="inlineStr">
        <is>
          <t>“Konu kapsamı nedir hocam?” diye yazdın. Hoca gece ikide tek kelimeyle döndü: “Her şey.” Sınıfın mesaj grubu o ekran görüntüsüyle sabahladı.</t>
        </is>
      </c>
      <c r="I475" s="6" t="inlineStr">
        <is>
          <t>Hoca iki konuyu kapsamdan çıkardı. Bütün bölüm seni tanımadan sevdi.</t>
        </is>
      </c>
      <c r="J475" s="6" t="inlineStr">
        <is>
          <t>E-postan 'Sayın hocam' ile başlayıp 'özeti yok mu' ile bitti. Cevap gelmedi.</t>
        </is>
      </c>
      <c r="K475" s="6" t="inlineStr">
        <is>
          <t>E-postayı “Hocam özet yok mu, yoksa ben mi bulamadım?” diye bitirip bütün bölüm listesine gönderdin. Hoca cevabı da herkese yazdı: “Bulamadınız.”</t>
        </is>
      </c>
      <c r="L475" s="6" t="inlineStr"/>
      <c r="M475" s="5" t="inlineStr"/>
      <c r="N475" s="5" t="inlineStr"/>
      <c r="O475" s="6" t="inlineStr"/>
      <c r="P475" s="6" t="inlineStr"/>
      <c r="Q475" s="5" t="inlineStr"/>
      <c r="R475" s="5" t="inlineStr"/>
      <c r="S475" s="5" t="inlineStr"/>
      <c r="T475" s="5" t="inlineStr"/>
      <c r="U475" s="5" t="inlineStr"/>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c r="AI475" s="5" t="inlineStr"/>
      <c r="AJ475" s="5" t="inlineStr"/>
    </row>
    <row r="476">
      <c r="A476" s="5" t="inlineStr">
        <is>
          <t>b6-kredi-karti</t>
        </is>
      </c>
      <c r="B476" s="5" t="n">
        <v>1</v>
      </c>
      <c r="C476" s="6" t="inlineStr">
        <is>
          <t>Kartı reddet</t>
        </is>
      </c>
      <c r="D476" s="5" t="inlineStr"/>
      <c r="E476" s="5" t="inlineStr"/>
      <c r="F476" s="5" t="inlineStr">
        <is>
          <t>İtibar +1</t>
        </is>
      </c>
      <c r="G476" s="6" t="inlineStr">
        <is>
          <t>Reddettin. Banka bir hafta sonra yine aradı. Üçüncü aramada temsilci “Bu sefer de mi hayır?” dedi; sesi gerçekten kırgındı.</t>
        </is>
      </c>
      <c r="H476" s="6" t="inlineStr"/>
      <c r="I476" s="6" t="inlineStr"/>
      <c r="J476" s="6" t="inlineStr"/>
      <c r="K476" s="6" t="inlineStr"/>
      <c r="L476" s="6" t="inlineStr"/>
      <c r="M476" s="5" t="inlineStr"/>
      <c r="N476" s="5" t="inlineStr"/>
      <c r="O476" s="6" t="inlineStr"/>
      <c r="P476" s="6" t="inlineStr"/>
      <c r="Q476" s="5" t="inlineStr"/>
      <c r="R476" s="5" t="inlineStr"/>
      <c r="S476" s="5" t="inlineStr"/>
      <c r="T476" s="5" t="inlineStr"/>
      <c r="U476" s="5" t="inlineStr"/>
      <c r="V476" s="5" t="inlineStr"/>
      <c r="W476" s="5" t="inlineStr"/>
      <c r="X476" s="5" t="inlineStr"/>
      <c r="Y476" s="5" t="inlineStr"/>
      <c r="Z476" s="6" t="inlineStr"/>
      <c r="AA476" s="5" t="inlineStr"/>
      <c r="AB476" s="5" t="inlineStr"/>
      <c r="AC476" s="5" t="inlineStr"/>
      <c r="AD476" s="5" t="inlineStr"/>
      <c r="AE476" s="5" t="inlineStr"/>
      <c r="AF476" s="5" t="inlineStr"/>
      <c r="AG476" s="5" t="inlineStr"/>
      <c r="AH476" s="5" t="inlineStr"/>
      <c r="AI476" s="5" t="inlineStr"/>
      <c r="AJ476" s="5" t="inlineStr"/>
    </row>
    <row r="477">
      <c r="A477" s="5" t="inlineStr">
        <is>
          <t>b6-kredi-karti</t>
        </is>
      </c>
      <c r="B477" s="5" t="n">
        <v>2</v>
      </c>
      <c r="C477" s="6" t="inlineStr">
        <is>
          <t>Sadece acil durumlar için al</t>
        </is>
      </c>
      <c r="D477" s="5" t="inlineStr">
        <is>
          <t>Dayanıklılık</t>
        </is>
      </c>
      <c r="E477" s="5" t="inlineStr">
        <is>
          <t>Orta</t>
        </is>
      </c>
      <c r="F477" s="5" t="inlineStr"/>
      <c r="G477" s="6" t="inlineStr"/>
      <c r="H477" s="6" t="inlineStr">
        <is>
          <t>Kart çekmecede durdu. Acil durum bir kez yaşandı: kargo ücreti.</t>
        </is>
      </c>
      <c r="I477" s="6" t="inlineStr">
        <is>
          <t>Kart bir yıl çekmecede, tek çorabın altında bekledi. Banka limitini iki kez artırdı; sen çekmeceyi bir kez açmadın. Annen komşulara “Bizimki bankayı küstürdü” diye anlatıyor.</t>
        </is>
      </c>
      <c r="J477" s="6" t="inlineStr">
        <is>
          <t>Acil durum tanımın zamanla genişledi. Kahve de acil durum oldu.</t>
        </is>
      </c>
      <c r="K477" s="6" t="inlineStr">
        <is>
          <t>Acil durum listen kırk maddeye çıktı: üçüncüsü bir kulaklık, otuz dokuzuncusu doğum günü pastası. Annen ekstrenin dördüncü sayfasında durdu: “Bu ne acil durumu evladım, deprem mi oldu?”</t>
        </is>
      </c>
      <c r="L477" s="6" t="inlineStr"/>
      <c r="M477" s="5" t="inlineStr"/>
      <c r="N477" s="5" t="inlineStr"/>
      <c r="O477" s="6" t="inlineStr"/>
      <c r="P477" s="6" t="inlineStr"/>
      <c r="Q477" s="5" t="inlineStr"/>
      <c r="R477" s="5" t="inlineStr"/>
      <c r="S477" s="5" t="inlineStr"/>
      <c r="T477" s="5" t="inlineStr"/>
      <c r="U477" s="5" t="inlineStr"/>
      <c r="V477" s="5" t="inlineStr"/>
      <c r="W477" s="5" t="inlineStr">
        <is>
          <t>borclu</t>
        </is>
      </c>
      <c r="X477" s="5" t="inlineStr"/>
      <c r="Y477" s="5" t="inlineStr"/>
      <c r="Z477" s="6" t="inlineStr"/>
      <c r="AA477" s="5" t="inlineStr"/>
      <c r="AB477" s="5" t="inlineStr">
        <is>
          <t>borclu, kart-borclu</t>
        </is>
      </c>
      <c r="AC477" s="5" t="inlineStr"/>
      <c r="AD477" s="5" t="inlineStr"/>
      <c r="AE477" s="5" t="inlineStr"/>
      <c r="AF477" s="5" t="inlineStr"/>
      <c r="AG477" s="5" t="inlineStr"/>
      <c r="AH477" s="5" t="inlineStr"/>
      <c r="AI477" s="5" t="inlineStr"/>
      <c r="AJ477" s="5" t="inlineStr"/>
    </row>
    <row r="478">
      <c r="A478" s="5" t="inlineStr">
        <is>
          <t>b6-kredi-karti</t>
        </is>
      </c>
      <c r="B478" s="5" t="n">
        <v>3</v>
      </c>
      <c r="C478" s="6" t="inlineStr">
        <is>
          <t>Limiti sonuna kadar kullan</t>
        </is>
      </c>
      <c r="D478" s="5" t="inlineStr"/>
      <c r="E478" s="5" t="inlineStr"/>
      <c r="F478" s="5" t="inlineStr">
        <is>
          <t>Pişkinlik +1</t>
        </is>
      </c>
      <c r="G478" s="6" t="inlineStr">
        <is>
          <t>Limiti bir haftada doldurdun. Banka hemen artırdı. Ay sonunda ekstreyi annen senden önce açtı; o akşam sofrada kimse tuzu bile istemedi.</t>
        </is>
      </c>
      <c r="H478" s="6" t="inlineStr"/>
      <c r="I478" s="6" t="inlineStr"/>
      <c r="J478" s="6" t="inlineStr"/>
      <c r="K478" s="6" t="inlineStr"/>
      <c r="L478" s="6" t="inlineStr"/>
      <c r="M478" s="5" t="inlineStr"/>
      <c r="N478" s="5" t="inlineStr"/>
      <c r="O478" s="6" t="inlineStr"/>
      <c r="P478" s="6" t="inlineStr"/>
      <c r="Q478" s="5" t="inlineStr"/>
      <c r="R478" s="5" t="inlineStr"/>
      <c r="S478" s="5" t="inlineStr"/>
      <c r="T478" s="5" t="inlineStr"/>
      <c r="U478" s="5" t="inlineStr">
        <is>
          <t>borclu, kart-borclu</t>
        </is>
      </c>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c r="AI478" s="5" t="inlineStr"/>
      <c r="AJ478" s="5" t="inlineStr"/>
    </row>
    <row r="479">
      <c r="A479" s="5" t="inlineStr">
        <is>
          <t>b6-kredi-karti</t>
        </is>
      </c>
      <c r="B479" s="5" t="n">
        <v>4</v>
      </c>
      <c r="C479" s="6" t="inlineStr">
        <is>
          <t>Faizleri hesapla</t>
        </is>
      </c>
      <c r="D479" s="5" t="inlineStr">
        <is>
          <t>Akıl</t>
        </is>
      </c>
      <c r="E479" s="5" t="inlineStr">
        <is>
          <t>Kolay</t>
        </is>
      </c>
      <c r="F479" s="5" t="inlineStr"/>
      <c r="G479" s="6" t="inlineStr"/>
      <c r="H479" s="6" t="inlineStr">
        <is>
          <t>Faiz tablosunu gördün. Kartı alıp hiç kullanmamaya karar verdin.</t>
        </is>
      </c>
      <c r="I479" s="6" t="inlineStr">
        <is>
          <t>Bankayı arayıp yıllık ücreti iptal ettirdin. Temsilci ilk kez bir müşteriden bir şey öğrendi.</t>
        </is>
      </c>
      <c r="J479" s="6" t="inlineStr">
        <is>
          <t>Hesapladın. Sonuç korkunçtu. Kartı yine de aldın, çünkü tasarımı güzeldi.</t>
        </is>
      </c>
      <c r="K479" s="6" t="inlineStr">
        <is>
          <t>Asgari ödemeyi gelir satırına yazdın. Tablon ay sonunda yeşile döndü, sen de mağazaya. Ekstre geldiğinde tablo hâlâ yeşildi; senin yüzün değil.</t>
        </is>
      </c>
      <c r="L479" s="6" t="inlineStr"/>
      <c r="M479" s="5" t="inlineStr"/>
      <c r="N479" s="5" t="inlineStr"/>
      <c r="O479" s="6" t="inlineStr"/>
      <c r="P479" s="6" t="inlineStr"/>
      <c r="Q479" s="5" t="inlineStr">
        <is>
          <t>Bütçe Tablocusu</t>
        </is>
      </c>
      <c r="R479" s="5" t="inlineStr"/>
      <c r="S479" s="5" t="inlineStr"/>
      <c r="T479" s="5" t="inlineStr"/>
      <c r="U479" s="5" t="inlineStr"/>
      <c r="V479" s="5" t="inlineStr"/>
      <c r="W479" s="5" t="inlineStr">
        <is>
          <t>borclu</t>
        </is>
      </c>
      <c r="X479" s="5" t="inlineStr"/>
      <c r="Y479" s="5" t="inlineStr"/>
      <c r="Z479" s="6" t="inlineStr"/>
      <c r="AA479" s="5" t="inlineStr"/>
      <c r="AB479" s="5" t="inlineStr"/>
      <c r="AC479" s="5" t="inlineStr"/>
      <c r="AD479" s="5" t="inlineStr"/>
      <c r="AE479" s="5" t="inlineStr"/>
      <c r="AF479" s="5" t="inlineStr"/>
      <c r="AG479" s="5" t="inlineStr"/>
      <c r="AH479" s="5" t="inlineStr"/>
      <c r="AI479" s="5" t="inlineStr"/>
      <c r="AJ479" s="5" t="inlineStr"/>
    </row>
    <row r="480">
      <c r="A480" s="5" t="inlineStr">
        <is>
          <t>b6-ogrenci-kulubu</t>
        </is>
      </c>
      <c r="B480" s="5" t="n">
        <v>1</v>
      </c>
      <c r="C480" s="6" t="inlineStr">
        <is>
          <t>Bir kulübe yazıl, bir daha gitme</t>
        </is>
      </c>
      <c r="D480" s="5" t="inlineStr"/>
      <c r="E480" s="5" t="inlineStr"/>
      <c r="F480" s="5" t="inlineStr">
        <is>
          <t>Kurnazlık +1</t>
        </is>
      </c>
      <c r="G480" s="6" t="inlineStr">
        <is>
          <t>Üye listesinde adın hâlâ duruyor. Aidat hatırlatmaları da.</t>
        </is>
      </c>
      <c r="H480" s="6" t="inlineStr"/>
      <c r="I480" s="6" t="inlineStr"/>
      <c r="J480" s="6" t="inlineStr"/>
      <c r="K480" s="6" t="inlineStr"/>
      <c r="L480" s="6" t="inlineStr"/>
      <c r="M480" s="5" t="inlineStr"/>
      <c r="N480" s="5" t="inlineStr"/>
      <c r="O480" s="6" t="inlineStr"/>
      <c r="P480" s="6" t="inlineStr"/>
      <c r="Q480" s="5" t="inlineStr"/>
      <c r="R480" s="5" t="inlineStr"/>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c r="AI480" s="5" t="inlineStr"/>
      <c r="AJ480" s="5" t="inlineStr"/>
    </row>
    <row r="481">
      <c r="A481" s="5" t="inlineStr">
        <is>
          <t>b6-ogrenci-kulubu</t>
        </is>
      </c>
      <c r="B481" s="5" t="n">
        <v>2</v>
      </c>
      <c r="C481" s="6" t="inlineStr">
        <is>
          <t>Doğa yürüyüşü kulübüne katıl</t>
        </is>
      </c>
      <c r="D481" s="5" t="inlineStr">
        <is>
          <t>Dayanıklılık</t>
        </is>
      </c>
      <c r="E481" s="5" t="inlineStr">
        <is>
          <t>Orta</t>
        </is>
      </c>
      <c r="F481" s="5" t="inlineStr"/>
      <c r="G481" s="6" t="inlineStr"/>
      <c r="H481" s="6" t="inlineStr">
        <is>
          <t>İlk yürüyüşü bitirdin. Fotoğraflarda hep önde, hep ter içinde.</t>
        </is>
      </c>
      <c r="I481" s="6" t="inlineStr">
        <is>
          <t>İlk yürüyüşte en önden gittin; rehber bile arkanda kaldı. Dönüşte kulüp başkanı haritayı sana uzattı: “Bundan sonra sen götür.” Haritayı ters tutuyordun; kimse söylemedi.</t>
        </is>
      </c>
      <c r="J481" s="6" t="inlineStr">
        <is>
          <t>Otobüste uyudun, döndüğünde 'Harikaydı' dedin.</t>
        </is>
      </c>
      <c r="K481" s="6" t="inlineStr">
        <is>
          <t>Yürüyüşte kayboldun. Kulüp seni dört saat aradı; köy kahvesinde muhtarla tavla oynarken buldular. Sonraki bütün yürüyüşlerde ipin ucu sana bağlı.</t>
        </is>
      </c>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c r="AI481" s="5" t="inlineStr"/>
      <c r="AJ481" s="5" t="inlineStr"/>
    </row>
    <row r="482">
      <c r="A482" s="5" t="inlineStr">
        <is>
          <t>b6-ogrenci-kulubu</t>
        </is>
      </c>
      <c r="B482" s="5" t="n">
        <v>3</v>
      </c>
      <c r="C482" s="6" t="inlineStr">
        <is>
          <t>Tiyatro kulübünde rol al</t>
        </is>
      </c>
      <c r="D482" s="5" t="inlineStr">
        <is>
          <t>Pişkinlik</t>
        </is>
      </c>
      <c r="E482" s="5" t="inlineStr">
        <is>
          <t>Orta</t>
        </is>
      </c>
      <c r="F482" s="5" t="inlineStr"/>
      <c r="G482" s="6" t="inlineStr"/>
      <c r="H482" s="6" t="inlineStr">
        <is>
          <t>Sekiz satırlık rolün dördünü söyledin, dördünü doğaçladın. Alkış eşitti.</t>
        </is>
      </c>
      <c r="I482" s="6" t="inlineStr">
        <is>
          <t>Yan rolle başladın; ikinci perdede başrolün sesi kısılınca repliklerini sen söyledin. Annen oyunu üç akşam izledi, her akşam başka bir teyzeyi getirdi. Afişi buzdolabına mıknatısla astı.</t>
        </is>
      </c>
      <c r="J482" s="6" t="inlineStr">
        <is>
          <t>Rolün: 'Ağaç 2'. Ağaç 1 daha çok sahnedeydi.</t>
        </is>
      </c>
      <c r="K482" s="6" t="inlineStr">
        <is>
          <t>Sahneye erken çıktın, perde daha kapalıydı. Perde açıldığında seni dekorun ortasında ayakkabını bağlarken buldu. Salon güldü; oyun dramdı.</t>
        </is>
      </c>
      <c r="L482" s="6" t="inlineStr"/>
      <c r="M482" s="5" t="inlineStr"/>
      <c r="N482" s="5" t="inlineStr"/>
      <c r="O482" s="6" t="inlineStr"/>
      <c r="P482" s="6" t="inlineStr"/>
      <c r="Q482" s="5" t="inlineStr"/>
      <c r="R482" s="5" t="inlineStr"/>
      <c r="S482" s="5" t="inlineStr"/>
      <c r="T482" s="5" t="inlineStr">
        <is>
          <t>Sahne Sever</t>
        </is>
      </c>
      <c r="U482" s="5" t="inlineStr"/>
      <c r="V482" s="5" t="inlineStr"/>
      <c r="W482" s="5" t="inlineStr"/>
      <c r="X482" s="5" t="inlineStr"/>
      <c r="Y482" s="5" t="inlineStr"/>
      <c r="Z482" s="6" t="inlineStr"/>
      <c r="AA482" s="5" t="inlineStr"/>
      <c r="AB482" s="5" t="inlineStr"/>
      <c r="AC482" s="5" t="inlineStr"/>
      <c r="AD482" s="5" t="inlineStr"/>
      <c r="AE482" s="5" t="inlineStr"/>
      <c r="AF482" s="5" t="inlineStr"/>
      <c r="AG482" s="5" t="inlineStr"/>
      <c r="AH482" s="5" t="inlineStr"/>
      <c r="AI482" s="5" t="inlineStr"/>
      <c r="AJ482" s="5" t="inlineStr"/>
    </row>
    <row r="483">
      <c r="A483" s="5" t="inlineStr">
        <is>
          <t>b6-ogrenci-kulubu</t>
        </is>
      </c>
      <c r="B483" s="5" t="n">
        <v>4</v>
      </c>
      <c r="C483" s="6" t="inlineStr">
        <is>
          <t>Başkanlığa aday ol</t>
        </is>
      </c>
      <c r="D483" s="5" t="inlineStr">
        <is>
          <t>İtibar</t>
        </is>
      </c>
      <c r="E483" s="5" t="inlineStr">
        <is>
          <t>Zor</t>
        </is>
      </c>
      <c r="F483" s="5" t="inlineStr"/>
      <c r="G483" s="6" t="inlineStr"/>
      <c r="H483" s="6" t="inlineStr">
        <is>
          <t>Seçimi kazandın. İlk icraatın bir sonraki toplantıyı ertelemek oldu.</t>
        </is>
      </c>
      <c r="I483" s="6" t="inlineStr">
        <is>
          <t>Oy birliğiyle seçildin; rakibin bile sana oy verdi, sonra yardımcın oldu. Annen haberi duyunca ilkokuldaki sınıf başkanlığı kokartını çekmeceden çıkarıp kargoyla yolladı.</t>
        </is>
      </c>
      <c r="J483" s="6" t="inlineStr">
        <is>
          <t>Kaybettin. Kazanan senin broşürünü kullanmıştı.</t>
        </is>
      </c>
      <c r="K483" s="6" t="inlineStr">
        <is>
          <t>Seçimde tek oy aldın: kendi oyun. Sayımda o da geçersiz çıktı; pusulaya kendi adını yanlış yazmışsın.</t>
        </is>
      </c>
      <c r="L483" s="6" t="inlineStr"/>
      <c r="M483" s="5" t="inlineStr"/>
      <c r="N483" s="5" t="inlineStr"/>
      <c r="O483" s="6" t="inlineStr"/>
      <c r="P483" s="6" t="inlineStr"/>
      <c r="Q483" s="5" t="inlineStr"/>
      <c r="R483" s="5" t="inlineStr">
        <is>
          <t>baskan</t>
        </is>
      </c>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c r="AI483" s="5" t="inlineStr"/>
      <c r="AJ483" s="5" t="inlineStr"/>
    </row>
    <row r="484">
      <c r="A484" s="5" t="inlineStr">
        <is>
          <t>b6-gece-motor</t>
        </is>
      </c>
      <c r="B484" s="5" t="n">
        <v>1</v>
      </c>
      <c r="C484" s="6" t="inlineStr">
        <is>
          <t>Kaskı tak, yavaş sür</t>
        </is>
      </c>
      <c r="D484" s="5" t="inlineStr"/>
      <c r="E484" s="5" t="inlineStr"/>
      <c r="F484" s="5" t="inlineStr">
        <is>
          <t>İtibar +1, Dayanıklılık +1</t>
        </is>
      </c>
      <c r="G484" s="6" t="inlineStr">
        <is>
          <t>Yarışa girmedin. Sahilde saatte otuzla tur attın. Martılar seni geçti.</t>
        </is>
      </c>
      <c r="H484" s="6" t="inlineStr"/>
      <c r="I484" s="6" t="inlineStr"/>
      <c r="J484" s="6" t="inlineStr"/>
      <c r="K484" s="6" t="inlineStr"/>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c r="AI484" s="5" t="inlineStr"/>
      <c r="AJ484" s="5" t="inlineStr"/>
    </row>
    <row r="485">
      <c r="A485" s="5" t="inlineStr">
        <is>
          <t>b6-gece-motor</t>
        </is>
      </c>
      <c r="B485" s="5" t="n">
        <v>2</v>
      </c>
      <c r="C485" s="6" t="inlineStr">
        <is>
          <t>Yarışa katıl</t>
        </is>
      </c>
      <c r="D485" s="5" t="inlineStr">
        <is>
          <t>Cesaret</t>
        </is>
      </c>
      <c r="E485" s="5" t="inlineStr">
        <is>
          <t>Zor</t>
        </is>
      </c>
      <c r="F485" s="5" t="inlineStr"/>
      <c r="G485" s="6" t="inlineStr"/>
      <c r="H485" s="6" t="inlineStr">
        <is>
          <t>Yarışı kazandın. Ödül: sabaha kadar anlatılan bir hikâye ve bir hız cezası.</t>
        </is>
      </c>
      <c r="I485" s="6" t="inlineStr">
        <is>
          <t>Köprüye herkesten önce vardın; öbür motorlar daha virajdaydı. Motorun sahibi kaskını çıkarıp sana sarıldı: “Kanka, bu motor seni beklemiş!” Motoru geri verdin, eve yürüdün; dizlerin hâlâ titriyordu ama bunu kimse bilmiyor.</t>
        </is>
      </c>
      <c r="J485" s="6" t="inlineStr">
        <is>
          <t>Motor son düzlükte stop etti. Onu köprüye kadar ittin.</t>
        </is>
      </c>
      <c r="K485" s="6" t="inlineStr">
        <is>
          <t>Virajı alamadın, kumsala daldın. Motor kuma yarıya kadar gömüldü, sen bir balıkçının oltasının dibine indin; dirseğin sıyrık. Balıkçı “Bugün de bu tuttu” dedi; motorun tamir parası senden.</t>
        </is>
      </c>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n">
        <v>5</v>
      </c>
      <c r="Z485" s="6" t="inlineStr">
        <is>
          <t>Sahil yolundaki gece yarışında, 'Son viraj' dediği virajda.</t>
        </is>
      </c>
      <c r="AA485" s="5" t="inlineStr"/>
      <c r="AB485" s="5" t="inlineStr"/>
      <c r="AC485" s="5" t="inlineStr"/>
      <c r="AD485" s="5" t="inlineStr"/>
      <c r="AE485" s="5" t="inlineStr"/>
      <c r="AF485" s="5" t="inlineStr"/>
      <c r="AG485" s="5" t="inlineStr"/>
      <c r="AH485" s="5" t="inlineStr"/>
      <c r="AI485" s="5" t="inlineStr"/>
      <c r="AJ485" s="5" t="inlineStr"/>
    </row>
    <row r="486">
      <c r="A486" s="5" t="inlineStr">
        <is>
          <t>b6-gece-motor</t>
        </is>
      </c>
      <c r="B486" s="5" t="n">
        <v>3</v>
      </c>
      <c r="C486" s="6" t="inlineStr">
        <is>
          <t>Yarışı organize et, sürme</t>
        </is>
      </c>
      <c r="D486" s="5" t="inlineStr">
        <is>
          <t>Kurnazlık</t>
        </is>
      </c>
      <c r="E486" s="5" t="inlineStr">
        <is>
          <t>Orta</t>
        </is>
      </c>
      <c r="F486" s="5" t="inlineStr"/>
      <c r="G486" s="6" t="inlineStr"/>
      <c r="H486" s="6" t="inlineStr">
        <is>
          <t>Başlangıç bayrağını sen salladın. Kimse seni fark etmedi ama hikâyede sen vardın.</t>
        </is>
      </c>
      <c r="I486" s="6" t="inlineStr">
        <is>
          <t>Kazananı önceden bildin. Herkesin gözünde kâhin oldun ve yarış bir daha yapılmadı.</t>
        </is>
      </c>
      <c r="J486" s="6" t="inlineStr">
        <is>
          <t>Bayrak diye salladığın şey birinin montuydu. Mont sahibi yarışı bıraktı.</t>
        </is>
      </c>
      <c r="K486" s="6" t="inlineStr">
        <is>
          <t>Trafik ekibi geldi ve organizatörü sordu. Herkes aynı anda seni gösterdi. Babana ilk kez karakoldan telefon açtın.</t>
        </is>
      </c>
      <c r="L486" s="6" t="inlineStr"/>
      <c r="M486" s="5" t="inlineStr"/>
      <c r="N486" s="5" t="inlineStr"/>
      <c r="O486" s="6" t="inlineStr"/>
      <c r="P486" s="6" t="inlineStr"/>
      <c r="Q486" s="5" t="inlineStr"/>
      <c r="R486" s="5" t="inlineStr"/>
      <c r="S486" s="5" t="inlineStr"/>
      <c r="T486" s="5" t="inlineStr"/>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c r="AI486" s="5" t="inlineStr"/>
      <c r="AJ486" s="5" t="inlineStr"/>
    </row>
    <row r="487">
      <c r="A487" s="5" t="inlineStr">
        <is>
          <t>b6-gece-motor</t>
        </is>
      </c>
      <c r="B487" s="5" t="n">
        <v>4</v>
      </c>
      <c r="C487" s="6" t="inlineStr">
        <is>
          <t>Arkadaşını vazgeçir</t>
        </is>
      </c>
      <c r="D487" s="5" t="inlineStr">
        <is>
          <t>Çene</t>
        </is>
      </c>
      <c r="E487" s="5" t="inlineStr">
        <is>
          <t>Orta</t>
        </is>
      </c>
      <c r="F487" s="5" t="inlineStr"/>
      <c r="G487" s="6" t="inlineStr"/>
      <c r="H487" s="6" t="inlineStr">
        <is>
          <t>İkna ettin. Yarış yerine sahilde çay içtiniz. Üçüncü çayda itiraf etti: “İyi ki dedin. Frenler de yok zaten.”</t>
        </is>
      </c>
      <c r="I487" s="6" t="inlineStr">
        <is>
          <t>Arkadaşın motoru sattı, parasıyla ikinize akşam yemeği ısmarladı.</t>
        </is>
      </c>
      <c r="J487" s="6" t="inlineStr">
        <is>
          <t>İkna edemedin. Sahilde bekledin. Döndü, hiçbir şey anlatmadı.</t>
        </is>
      </c>
      <c r="K487" s="6" t="inlineStr">
        <is>
          <t>İkna ederken motora oturdun. Arkadaşın “O zaman sen sür” dedi; herkes alkışladı, kaçış kalmadı. Köprüye en son sen vardın; motorun aynası hiç varamadı.</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c r="AI487" s="5" t="inlineStr"/>
      <c r="AJ487" s="5" t="inlineStr"/>
    </row>
    <row r="488">
      <c r="A488" s="5" t="inlineStr">
        <is>
          <t>b6-gece-vardiyasi</t>
        </is>
      </c>
      <c r="B488" s="5" t="n">
        <v>1</v>
      </c>
      <c r="C488" s="6" t="inlineStr">
        <is>
          <t>Raf diz, zamanı öldür</t>
        </is>
      </c>
      <c r="D488" s="5" t="inlineStr"/>
      <c r="E488" s="5" t="inlineStr"/>
      <c r="F488" s="5" t="inlineStr">
        <is>
          <t>Dayanıklılık +1</t>
        </is>
      </c>
      <c r="G488" s="6" t="inlineStr">
        <is>
          <t>Bütün raflar dizildi, etiketler hizalandı. Saat hâlâ üç buçuk.</t>
        </is>
      </c>
      <c r="H488" s="6" t="inlineStr"/>
      <c r="I488" s="6" t="inlineStr"/>
      <c r="J488" s="6" t="inlineStr"/>
      <c r="K488" s="6" t="inlineStr"/>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c r="AI488" s="5" t="inlineStr"/>
      <c r="AJ488" s="5" t="inlineStr"/>
    </row>
    <row r="489">
      <c r="A489" s="5" t="inlineStr">
        <is>
          <t>b6-gece-vardiyasi</t>
        </is>
      </c>
      <c r="B489" s="5" t="n">
        <v>2</v>
      </c>
      <c r="C489" s="6" t="inlineStr">
        <is>
          <t>Dörtteki duvarı geç</t>
        </is>
      </c>
      <c r="D489" s="5" t="inlineStr">
        <is>
          <t>Dayanıklılık</t>
        </is>
      </c>
      <c r="E489" s="5" t="inlineStr">
        <is>
          <t>Zor</t>
        </is>
      </c>
      <c r="F489" s="5" t="inlineStr"/>
      <c r="G489" s="6" t="inlineStr"/>
      <c r="H489" s="6" t="inlineStr">
        <is>
          <t>Duvarı geçtin. Sabah altıda güneş doğarken ikinci nefes geldi.</t>
        </is>
      </c>
      <c r="I489" s="6" t="inlineStr">
        <is>
          <t>Dörtteki duvarı geçtin, altıda ikinci nefes geldi, sekizde sabah vardiyasına çay demledin. Müdür ertesi gün seni vardiya sorumlusu yaptı.</t>
        </is>
      </c>
      <c r="J489" s="6" t="inlineStr">
        <is>
          <t>Kasada uyuyakaldın. Müşteri para üstünü kendi aldı, fişini de kendi kesti.</t>
        </is>
      </c>
      <c r="K489" s="6" t="inlineStr">
        <is>
          <t>Saat dörtte rafa yaslanıp uyudun. Sabah vardiyası seni konserve reyonunda, alnında fiyat etiketiyle buldu. Etikette “İndirimli” yazıyordu; fotoğrafı bütün şubeleri dolaştı.</t>
        </is>
      </c>
      <c r="L489" s="6" t="inlineStr"/>
      <c r="M489" s="5" t="inlineStr"/>
      <c r="N489" s="5" t="inlineStr"/>
      <c r="O489" s="6" t="inlineStr"/>
      <c r="P489" s="6" t="inlineStr"/>
      <c r="Q489" s="5" t="inlineStr"/>
      <c r="R489" s="5" t="inlineStr"/>
      <c r="S489" s="5" t="inlineStr">
        <is>
          <t>Dayanıklılık</t>
        </is>
      </c>
      <c r="T489" s="5" t="inlineStr">
        <is>
          <t>Nöbet Disiplini</t>
        </is>
      </c>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is>
          <t>Dayanıklılık 30</t>
        </is>
      </c>
      <c r="AI489" s="5" t="inlineStr"/>
      <c r="AJ489" s="5" t="inlineStr"/>
    </row>
    <row r="490">
      <c r="A490" s="5" t="inlineStr">
        <is>
          <t>b6-gece-vardiyasi</t>
        </is>
      </c>
      <c r="B490" s="5" t="n">
        <v>3</v>
      </c>
      <c r="C490" s="6" t="inlineStr">
        <is>
          <t>Gece müşterisiyle sohbet et</t>
        </is>
      </c>
      <c r="D490" s="5" t="inlineStr">
        <is>
          <t>Sosyal Radar</t>
        </is>
      </c>
      <c r="E490" s="5" t="inlineStr">
        <is>
          <t>Kolay</t>
        </is>
      </c>
      <c r="F490" s="5" t="inlineStr"/>
      <c r="G490" s="6" t="inlineStr"/>
      <c r="H490" s="6" t="inlineStr">
        <is>
          <t>Sakız alan amca eşini geçen kış kaybetmiş; geceleri uyuyamıyormuş. Sen de kendini anlattın. Sakızın parasını almadın. Ertesi gece sana bir termos çay getirdi.</t>
        </is>
      </c>
      <c r="I490" s="6" t="inlineStr">
        <is>
          <t>Sakızcı bir işletme sahibiymiş. Kartını bıraktı: 'Gündüz çalışmak istersen.'</t>
        </is>
      </c>
      <c r="J490" s="6" t="inlineStr">
        <is>
          <t>Sohbet açtın. Adam sadece sakız istiyordu.</t>
        </is>
      </c>
      <c r="K490" s="6" t="inlineStr">
        <is>
          <t>İki saat bir hayat hikâyesi dinledin; bu arada üç müşteri kasada bekleyip gitti. Müdür kamerayı izledi, sabah tek şey sordu: “Sonu nasıl bitti?” Sonra o iki saati maaşından kesti.</t>
        </is>
      </c>
      <c r="L490" s="6" t="inlineStr"/>
      <c r="M490" s="5" t="inlineStr"/>
      <c r="N490" s="5" t="inlineStr"/>
      <c r="O490" s="6" t="inlineStr"/>
      <c r="P490" s="6" t="inlineStr"/>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c r="AI490" s="5" t="inlineStr"/>
      <c r="AJ490" s="5" t="inlineStr"/>
    </row>
    <row r="491">
      <c r="A491" s="5" t="inlineStr">
        <is>
          <t>b6-gece-vardiyasi</t>
        </is>
      </c>
      <c r="B491" s="5" t="n">
        <v>4</v>
      </c>
      <c r="C491" s="6" t="inlineStr">
        <is>
          <t>Gündüz vardiyasına geçmeyi iste</t>
        </is>
      </c>
      <c r="D491" s="5" t="inlineStr">
        <is>
          <t>Cesaret</t>
        </is>
      </c>
      <c r="E491" s="5" t="inlineStr">
        <is>
          <t>Zor</t>
        </is>
      </c>
      <c r="F491" s="5" t="inlineStr"/>
      <c r="G491" s="6" t="inlineStr"/>
      <c r="H491" s="6" t="inlineStr">
        <is>
          <t>Gündüze geçtin. Gün ışığı biraz fazla parlak geldi.</t>
        </is>
      </c>
      <c r="I491" s="6" t="inlineStr">
        <is>
          <t>Gündüze geçtin, hafta sonları da izinlisin. İlk pazar sabahı kahvaltıya oturdun; annen seni görünce “Aa, sen gündüz de oluyormuşsun” dedi.</t>
        </is>
      </c>
      <c r="J491" s="6" t="inlineStr">
        <is>
          <t>Talebin 'değerlendirmeye' alındı. Değerlendirme de gece vardiyasında yapılıyor.</t>
        </is>
      </c>
      <c r="K491" s="6" t="inlineStr">
        <is>
          <t>Müdür seni hafta sonu gece vardiyasına da ekledi. Teşekkür ederek.</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c r="AI491" s="5" t="inlineStr"/>
      <c r="AJ491" s="5" t="inlineStr"/>
    </row>
    <row r="492">
      <c r="A492" s="5" t="inlineStr">
        <is>
          <t>b6-kiralik-ev</t>
        </is>
      </c>
      <c r="B492" s="5" t="n">
        <v>1</v>
      </c>
      <c r="C492" s="6" t="inlineStr">
        <is>
          <t>Söylenen fiyata tut</t>
        </is>
      </c>
      <c r="D492" s="5" t="inlineStr"/>
      <c r="E492" s="5" t="inlineStr"/>
      <c r="F492" s="5" t="inlineStr">
        <is>
          <t>Dayanıklılık +1</t>
        </is>
      </c>
      <c r="G492" s="6" t="inlineStr">
        <is>
          <t>Ev sahibi o kadar mutlu oldu ki sana iki anahtar verdi. Biri kilide uymuyor. Hangisi, belirsiz.</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c r="AI492" s="5" t="inlineStr"/>
      <c r="AJ492" s="5" t="inlineStr"/>
    </row>
    <row r="493">
      <c r="A493" s="5" t="inlineStr">
        <is>
          <t>b6-kiralik-ev</t>
        </is>
      </c>
      <c r="B493" s="5" t="n">
        <v>2</v>
      </c>
      <c r="C493" s="6" t="inlineStr">
        <is>
          <t>Kirayı pazarlık et</t>
        </is>
      </c>
      <c r="D493" s="5" t="inlineStr">
        <is>
          <t>Çene</t>
        </is>
      </c>
      <c r="E493" s="5" t="inlineStr">
        <is>
          <t>Orta</t>
        </is>
      </c>
      <c r="F493" s="5" t="inlineStr"/>
      <c r="G493" s="6" t="inlineStr"/>
      <c r="H493" s="6" t="inlineStr">
        <is>
          <t>Kirayı biraz indirdin. Ev sahibi 'Gençlere güvenirim' dedi. Sen ona güvenmedin.</t>
        </is>
      </c>
      <c r="I493" s="6" t="inlineStr">
        <is>
          <t>Kira indi, depozito yarıya düştü, kombi bakımı ev sahibine yazıldı. Ev sahibi merdivende karısına “Bu çocuk beni soydu” dedi; sesi gururluydu.</t>
        </is>
      </c>
      <c r="J493" s="6" t="inlineStr">
        <is>
          <t>Fiyat aynı kaldı ama ev sahibi seni 'hareketli genç' olarak tanımladı.</t>
        </is>
      </c>
      <c r="K493" s="6" t="inlineStr">
        <is>
          <t>Pazarlık uzadı, ev sahibi daha yüksek teklif veren birini buldu. 'Kusura bakma' dedi. Kusura baktın.</t>
        </is>
      </c>
      <c r="L493" s="6" t="inlineStr">
        <is>
          <t>Kira aynı kaldı ama aidatı ev sahibi ödeyecek. Yarım zafer, tam aidat.</t>
        </is>
      </c>
      <c r="M493" s="5" t="inlineStr">
        <is>
          <t>duel</t>
        </is>
      </c>
      <c r="N493" s="5" t="inlineStr">
        <is>
          <t>Kira Pazarlığı</t>
        </is>
      </c>
      <c r="O493" s="6" t="inlineStr">
        <is>
          <t>Karşındakinin sabrı bitmeden en iyi cevabı seç.</t>
        </is>
      </c>
      <c r="P493" s="6" t="inlineStr">
        <is>
          <t>{"who": "Ev sahibi", "item": "kira", "mode": "buy"}</t>
        </is>
      </c>
      <c r="Q493" s="5" t="inlineStr"/>
      <c r="R493" s="5" t="inlineStr"/>
      <c r="S493" s="5" t="inlineStr"/>
      <c r="T493" s="5" t="inlineStr"/>
      <c r="U493" s="5" t="inlineStr"/>
      <c r="V493" s="5" t="inlineStr"/>
      <c r="W493" s="5" t="inlineStr"/>
      <c r="X493" s="5" t="inlineStr"/>
      <c r="Y493" s="5" t="inlineStr"/>
      <c r="Z493" s="6" t="inlineStr"/>
      <c r="AA493" s="5" t="inlineStr"/>
      <c r="AB493" s="5" t="inlineStr"/>
      <c r="AC493" s="5" t="inlineStr"/>
      <c r="AD493" s="5" t="inlineStr"/>
      <c r="AE493" s="5" t="inlineStr"/>
      <c r="AF493" s="5" t="inlineStr"/>
      <c r="AG493" s="5" t="inlineStr"/>
      <c r="AH493" s="5" t="inlineStr"/>
      <c r="AI493" s="5" t="inlineStr"/>
      <c r="AJ493" s="5" t="inlineStr"/>
    </row>
    <row r="494">
      <c r="A494" s="5" t="inlineStr">
        <is>
          <t>b6-kiralik-ev</t>
        </is>
      </c>
      <c r="B494" s="5" t="n">
        <v>3</v>
      </c>
      <c r="C494" s="6" t="inlineStr">
        <is>
          <t>Önceki kiracıyı bul</t>
        </is>
      </c>
      <c r="D494" s="5" t="inlineStr">
        <is>
          <t>Sosyal Radar</t>
        </is>
      </c>
      <c r="E494" s="5" t="inlineStr">
        <is>
          <t>Zor</t>
        </is>
      </c>
      <c r="F494" s="5" t="inlineStr"/>
      <c r="G494" s="6" t="inlineStr"/>
      <c r="H494" s="6" t="inlineStr">
        <is>
          <t>Önceki kiracı tek kelime söyledi: 'Kombi.' Sözleşmeye bir madde ekledin.</t>
        </is>
      </c>
      <c r="I494" s="6" t="inlineStr">
        <is>
          <t>Önceki kiracıyla bir saat konuştun: rutubeti, gece üçte çamaşır makinesi çalıştıran üst komşuyu ve ev sahibinin oğlunun düğünü için paraya sıkıştığını öğrendin. Ev sahibine sadece “Düğün ne zaman?” dedin; kira kendiliğinden indi.</t>
        </is>
      </c>
      <c r="J494" s="6" t="inlineStr">
        <is>
          <t>Önceki kiracı 'Güzel ev' dedi ve telefonu çok hızlı kapattı.</t>
        </is>
      </c>
      <c r="K494" s="6" t="inlineStr">
        <is>
          <t>Önceki kiracıyı ararken ev sahibini aradın: “Bu evde neden kimse bir yıl kalmıyor?” Ev sahibi bir süre sustu: “Sen de kalmayacaksın.” Kalmadın; daha taşınmadan.</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c r="AI494" s="5" t="inlineStr"/>
      <c r="AJ494" s="5" t="inlineStr"/>
    </row>
    <row r="495">
      <c r="A495" s="5" t="inlineStr">
        <is>
          <t>b6-tasinma</t>
        </is>
      </c>
      <c r="B495" s="5" t="n">
        <v>1</v>
      </c>
      <c r="C495" s="6" t="inlineStr">
        <is>
          <t>Nakliyeci çağır</t>
        </is>
      </c>
      <c r="D495" s="5" t="inlineStr"/>
      <c r="E495" s="5" t="inlineStr"/>
      <c r="F495" s="5" t="inlineStr">
        <is>
          <t>Kurnazlık +1</t>
        </is>
      </c>
      <c r="G495" s="6" t="inlineStr">
        <is>
          <t>Nakliyeci eşyaları taşıdı, fatura kiradan yüksek geldi. En azından kolların yerinde.</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c r="AI495" s="5" t="inlineStr"/>
      <c r="AJ495" s="5" t="inlineStr"/>
    </row>
    <row r="496">
      <c r="A496" s="5" t="inlineStr">
        <is>
          <t>b6-tasinma</t>
        </is>
      </c>
      <c r="B496" s="5" t="n">
        <v>2</v>
      </c>
      <c r="C496" s="6" t="inlineStr">
        <is>
          <t>Buzdolabını merdivenden çıkar</t>
        </is>
      </c>
      <c r="D496" s="5" t="inlineStr">
        <is>
          <t>Dayanıklılık</t>
        </is>
      </c>
      <c r="E496" s="5" t="inlineStr">
        <is>
          <t>Orta</t>
        </is>
      </c>
      <c r="F496" s="5" t="inlineStr"/>
      <c r="G496" s="6" t="inlineStr"/>
      <c r="H496" s="6" t="inlineStr">
        <is>
          <t>Buzdolabı dördüncü kata çıktı. Sen dördüncü katta bir süre yattın.</t>
        </is>
      </c>
      <c r="I496" s="6" t="inlineStr">
        <is>
          <t>Buzdolabını sırtına aldın; kapıcı alttan tuttu, dördüncü kata hiç durmadan çıktınız. Üçüncü kattaki teyze balkondan alkışladı, karşı apartmandan biri video çekti. Akşam annen videonun altına yazdı: “Belini koru evladım.”</t>
        </is>
      </c>
      <c r="J496" s="6" t="inlineStr">
        <is>
          <t>Buzdolabı üçüncü katta kaldı. Üçüncü kattaki komşuyla artık tanışıyorsun.</t>
        </is>
      </c>
      <c r="K496" s="6" t="inlineStr">
        <is>
          <t>Buzdolabı üçüncü katta elinden kaydı, merdivenden geri indi, duvarda bir metrelik çizik bıraktı. Ev sahibi balkondan izliyordu. Depozitoyu sormadın; o da söylemedi, sadece çiziğin fotoğrafını çekti.</t>
        </is>
      </c>
      <c r="L496" s="6" t="inlineStr">
        <is>
          <t>Buzdolabı yukarıda ama kapısı ters takılı. Artık duvara doğru açılıyor.</t>
        </is>
      </c>
      <c r="M496" s="5" t="inlineStr">
        <is>
          <t>tower</t>
        </is>
      </c>
      <c r="N496" s="5" t="inlineStr">
        <is>
          <t>Dördüncü Kat</t>
        </is>
      </c>
      <c r="O496" s="6" t="inlineStr">
        <is>
          <t>Kaymadan üst üste dizmek için doğru anda BIRAK'a bas.</t>
        </is>
      </c>
      <c r="P496" s="6" t="inlineStr">
        <is>
          <t>{"item": "🧊"}</t>
        </is>
      </c>
      <c r="Q496" s="5" t="inlineStr"/>
      <c r="R496" s="5" t="inlineStr"/>
      <c r="S496" s="5" t="inlineStr"/>
      <c r="T496" s="5" t="inlineStr"/>
      <c r="U496" s="5" t="inlineStr"/>
      <c r="V496" s="5" t="inlineStr"/>
      <c r="W496" s="5" t="inlineStr">
        <is>
          <t>depozito-yandi</t>
        </is>
      </c>
      <c r="X496" s="5" t="inlineStr"/>
      <c r="Y496" s="5" t="inlineStr"/>
      <c r="Z496" s="6" t="inlineStr"/>
      <c r="AA496" s="5" t="inlineStr"/>
      <c r="AB496" s="5" t="inlineStr"/>
      <c r="AC496" s="5" t="inlineStr"/>
      <c r="AD496" s="5" t="inlineStr"/>
      <c r="AE496" s="5" t="inlineStr"/>
      <c r="AF496" s="5" t="inlineStr"/>
      <c r="AG496" s="5" t="inlineStr"/>
      <c r="AH496" s="5" t="inlineStr"/>
      <c r="AI496" s="5" t="inlineStr"/>
      <c r="AJ496" s="5" t="inlineStr"/>
    </row>
    <row r="497">
      <c r="A497" s="5" t="inlineStr">
        <is>
          <t>b6-tasinma</t>
        </is>
      </c>
      <c r="B497" s="5" t="n">
        <v>3</v>
      </c>
      <c r="C497" s="6" t="inlineStr">
        <is>
          <t>Arkadaşları pizza sözüyle topla</t>
        </is>
      </c>
      <c r="D497" s="5" t="inlineStr">
        <is>
          <t>Çene</t>
        </is>
      </c>
      <c r="E497" s="5" t="inlineStr">
        <is>
          <t>Kolay</t>
        </is>
      </c>
      <c r="F497" s="5" t="inlineStr"/>
      <c r="G497" s="6" t="inlineStr"/>
      <c r="H497" s="6" t="inlineStr">
        <is>
          <t>Beş kişi geldi. Taşınma üç saat, pizza beş dakika sürdü.</t>
        </is>
      </c>
      <c r="I497" s="6" t="inlineStr">
        <is>
          <t>Arkadaşlar kolileri taşıdı, açtı, perdeleri taktı. Pizzayı da onlar ısmarladı.</t>
        </is>
      </c>
      <c r="J497" s="6" t="inlineStr">
        <is>
          <t>Pizza bitince gittiler. Kanepe merdivende kaldı.</t>
        </is>
      </c>
      <c r="K497" s="6" t="inlineStr">
        <is>
          <t>Kanepe kapıdan girmedi. Ayaklarını söktünüz, girmedi. Kapıyı söktünüz, girdi. Kapı şimdi kanepenin arkasında duruyor; ev sahibi pazartesi geliyor.</t>
        </is>
      </c>
      <c r="L497" s="6" t="inlineStr"/>
      <c r="M497" s="5" t="inlineStr"/>
      <c r="N497" s="5" t="inlineStr"/>
      <c r="O497" s="6" t="inlineStr"/>
      <c r="P497" s="6" t="inlineStr"/>
      <c r="Q497" s="5" t="inlineStr"/>
      <c r="R497" s="5" t="inlineStr"/>
      <c r="S497" s="5" t="inlineStr"/>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c r="AI497" s="5" t="inlineStr"/>
      <c r="AJ497" s="5" t="inlineStr"/>
    </row>
    <row r="498">
      <c r="A498" s="5" t="inlineStr">
        <is>
          <t>b6-ev-arkadasi</t>
        </is>
      </c>
      <c r="B498" s="5" t="n">
        <v>1</v>
      </c>
      <c r="C498" s="6" t="inlineStr">
        <is>
          <t>Bulaşığı sen yap</t>
        </is>
      </c>
      <c r="D498" s="5" t="inlineStr"/>
      <c r="E498" s="5" t="inlineStr"/>
      <c r="F498" s="5" t="inlineStr">
        <is>
          <t>İtibar +1</t>
        </is>
      </c>
      <c r="G498" s="6" t="inlineStr">
        <is>
          <t>Bulaşığı yine sen yıkadın. Ev arkadaşın temiz lavaboya baktı: “Bu ev kendini temizliyor kanka.” Annene anlattın; annen güldü, sonra babana baktı.</t>
        </is>
      </c>
      <c r="H498" s="6" t="inlineStr"/>
      <c r="I498" s="6" t="inlineStr"/>
      <c r="J498" s="6" t="inlineStr"/>
      <c r="K498" s="6" t="inlineStr"/>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c r="AI498" s="5" t="inlineStr"/>
      <c r="AJ498" s="5" t="inlineStr"/>
    </row>
    <row r="499">
      <c r="A499" s="5" t="inlineStr">
        <is>
          <t>b6-ev-arkadasi</t>
        </is>
      </c>
      <c r="B499" s="5" t="n">
        <v>2</v>
      </c>
      <c r="C499" s="6" t="inlineStr">
        <is>
          <t>Görev çizelgesi as</t>
        </is>
      </c>
      <c r="D499" s="5" t="inlineStr">
        <is>
          <t>Akıl</t>
        </is>
      </c>
      <c r="E499" s="5" t="inlineStr">
        <is>
          <t>Orta</t>
        </is>
      </c>
      <c r="F499" s="5" t="inlineStr"/>
      <c r="G499" s="6" t="inlineStr"/>
      <c r="H499" s="6" t="inlineStr">
        <is>
          <t>Çizelge ilk hafta işledi. İkinci hafta o da bulaşığın altında kaldı.</t>
        </is>
      </c>
      <c r="I499" s="6" t="inlineStr">
        <is>
          <t>Ev arkadaşın her pazar bulaşık yıkıyor ve bunu bir aile geleneği sanıyor.</t>
        </is>
      </c>
      <c r="J499" s="6" t="inlineStr">
        <is>
          <t>Ev arkadaşın çizelgenin altına gülen bir surat çizdi. Bulaşık aynı yerde.</t>
        </is>
      </c>
      <c r="K499" s="6" t="inlineStr">
        <is>
          <t>Çizelgeyi buzdolabına astın; isimlerin yanına renkli yıldızlar koydun. Ev arkadaşın çizelgeye baktı, sonra sana: “Annem gibisin.” O günden beri seninle konuşmuyor; bulaşığı zaten yıkamıyordu.</t>
        </is>
      </c>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c r="AI499" s="5" t="inlineStr"/>
      <c r="AJ499" s="5" t="inlineStr"/>
    </row>
    <row r="500">
      <c r="A500" s="5" t="inlineStr">
        <is>
          <t>b6-ev-arkadasi</t>
        </is>
      </c>
      <c r="B500" s="5" t="n">
        <v>3</v>
      </c>
      <c r="C500" s="6" t="inlineStr">
        <is>
          <t>Bütün tabakları sakla</t>
        </is>
      </c>
      <c r="D500" s="5" t="inlineStr">
        <is>
          <t>Kurnazlık</t>
        </is>
      </c>
      <c r="E500" s="5" t="inlineStr">
        <is>
          <t>Kolay</t>
        </is>
      </c>
      <c r="F500" s="5" t="inlineStr"/>
      <c r="G500" s="6" t="inlineStr"/>
      <c r="H500" s="6" t="inlineStr">
        <is>
          <t>İki gün sonra bulaşık yıkandı, çünkü evde tek tabak kalmıştı.</t>
        </is>
      </c>
      <c r="I500" s="6" t="inlineStr">
        <is>
          <t>İki gün sonra ev arkadaşın lavabonun dibini ilk kez gördü: “Ne güzel lavaboymuş.” O akşamdan beri her gün yıkıyor. Tabakların nereye gittiğini hâlâ sormadı.</t>
        </is>
      </c>
      <c r="J500" s="6" t="inlineStr">
        <is>
          <t>Ev arkadaşın tencereden yemeye başladı.</t>
        </is>
      </c>
      <c r="K500" s="6" t="inlineStr">
        <is>
          <t>Ev arkadaşın taşındığını sandı. Odanı kiraya vermek için ilan açtı.</t>
        </is>
      </c>
      <c r="L500" s="6" t="inlineStr"/>
      <c r="M500" s="5" t="inlineStr"/>
      <c r="N500" s="5" t="inlineStr"/>
      <c r="O500" s="6" t="inlineStr"/>
      <c r="P500" s="6" t="inlineStr"/>
      <c r="Q500" s="5" t="inlineStr"/>
      <c r="R500" s="5" t="inlineStr"/>
      <c r="S500" s="5" t="inlineStr">
        <is>
          <t>Sosyal Radar</t>
        </is>
      </c>
      <c r="T500" s="5" t="inlineStr"/>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c r="AI500" s="5" t="inlineStr"/>
      <c r="AJ500" s="5" t="inlineStr"/>
    </row>
    <row r="501">
      <c r="A501" s="5" t="inlineStr">
        <is>
          <t>b6-ev-arkadasi</t>
        </is>
      </c>
      <c r="B501" s="5" t="n">
        <v>4</v>
      </c>
      <c r="C501" s="6" t="inlineStr">
        <is>
          <t>Açık konuş</t>
        </is>
      </c>
      <c r="D501" s="5" t="inlineStr">
        <is>
          <t>Cesaret</t>
        </is>
      </c>
      <c r="E501" s="5" t="inlineStr">
        <is>
          <t>Orta</t>
        </is>
      </c>
      <c r="F501" s="5" t="inlineStr"/>
      <c r="G501" s="6" t="inlineStr"/>
      <c r="H501" s="6" t="inlineStr">
        <is>
          <t>Özür diledi ve üç hafta boyunca yıkadı. Sonra mevsim değişti.</t>
        </is>
      </c>
      <c r="I501" s="6" t="inlineStr">
        <is>
          <t>Açık konuştun. Ev arkadaşının annesi o hafta ziyarete geldi, lavaboyu gördü, sustu. Ertesi hafta kargoyla bir bulaşık makinesi geldi; kutunun üstünde “Kusura bakma evladım” yazıyordu.</t>
        </is>
      </c>
      <c r="J501" s="6" t="inlineStr">
        <is>
          <t>'Haklısın' dedi. Haklılık bulaşık yıkamıyor.</t>
        </is>
      </c>
      <c r="K501" s="6" t="inlineStr">
        <is>
          <t>Konuştun. O da gece üçte çalıştırdığın mikseri, banyoda söylediğin şarkıları ve geri vermediğin şarjı saydı. Onun listesi daha uzun çıktı; bulaşıkları artık sen yıkıyorsun.</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c r="AI501" s="5" t="inlineStr"/>
      <c r="AJ501" s="5" t="inlineStr"/>
    </row>
    <row r="502">
      <c r="A502" s="5" t="inlineStr">
        <is>
          <t>b6-staj</t>
        </is>
      </c>
      <c r="B502" s="5" t="n">
        <v>1</v>
      </c>
      <c r="C502" s="6" t="inlineStr">
        <is>
          <t>Fotokopi makinesini çöz</t>
        </is>
      </c>
      <c r="D502" s="5" t="inlineStr"/>
      <c r="E502" s="5" t="inlineStr"/>
      <c r="F502" s="5" t="inlineStr">
        <is>
          <t>Dayanıklılık +1, Akıl +1</t>
        </is>
      </c>
      <c r="G502" s="6" t="inlineStr">
        <is>
          <t>Sıkışan kâğıdı sadece sen çıkarabiliyorsun. Katta herkes sana “Fotokopi” diyor; asıl adını henüz bilen yok. Annen komşulara “Şirkette makinelerden bizimki sorumlu” diye anlattı.</t>
        </is>
      </c>
      <c r="H502" s="6" t="inlineStr"/>
      <c r="I502" s="6" t="inlineStr"/>
      <c r="J502" s="6" t="inlineStr"/>
      <c r="K502" s="6" t="inlineStr"/>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c r="AI502" s="5" t="inlineStr"/>
      <c r="AJ502" s="5" t="inlineStr"/>
    </row>
    <row r="503">
      <c r="A503" s="5" t="inlineStr">
        <is>
          <t>b6-staj</t>
        </is>
      </c>
      <c r="B503" s="5" t="n">
        <v>2</v>
      </c>
      <c r="C503" s="6" t="inlineStr">
        <is>
          <t>Kahve makinesindeki adamla sohbet et</t>
        </is>
      </c>
      <c r="D503" s="5" t="inlineStr">
        <is>
          <t>Sosyal Radar</t>
        </is>
      </c>
      <c r="E503" s="5" t="inlineStr">
        <is>
          <t>Zor</t>
        </is>
      </c>
      <c r="F503" s="5" t="inlineStr"/>
      <c r="G503" s="6" t="inlineStr"/>
      <c r="H503" s="6" t="inlineStr">
        <is>
          <t>Sohbetin sonunda seni bir toplantıya çağırdı. Not tutacaksın ama odadasın.</t>
        </is>
      </c>
      <c r="I503" s="6" t="inlineStr">
        <is>
          <t>Staj bitiminde kahve makinesindeki adam bir telefon açtı: “Bu çocuğu kaçırmayın.” Meğer şirketin ilk çalışanıymış; otuz yıldır sadece kahve içiyor, herkes onu dinliyor.</t>
        </is>
      </c>
      <c r="J503" s="6" t="inlineStr">
        <is>
          <t>Adam emekliliğine dört ay kaldığını anlattı. Dört ay boyunca.</t>
        </is>
      </c>
      <c r="K503" s="6" t="inlineStr">
        <is>
          <t>Adamla şirketin dedikodusunu yaptın; en çok da genel müdürünkini. Adam sonuna kadar dinledi, kahvesini aldı, asansöre bindi. En üst kata bastı.</t>
        </is>
      </c>
      <c r="L503" s="6" t="inlineStr"/>
      <c r="M503" s="5" t="inlineStr"/>
      <c r="N503" s="5" t="inlineStr"/>
      <c r="O503" s="6" t="inlineStr"/>
      <c r="P503" s="6" t="inlineStr"/>
      <c r="Q503" s="5" t="inlineStr"/>
      <c r="R503" s="5" t="inlineStr"/>
      <c r="S503" s="5" t="inlineStr">
        <is>
          <t>Sosyal Radar</t>
        </is>
      </c>
      <c r="T503" s="5" t="inlineStr">
        <is>
          <t>Selamı Var</t>
        </is>
      </c>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c r="AI503" s="5" t="inlineStr"/>
      <c r="AJ503" s="5" t="inlineStr"/>
    </row>
    <row r="504">
      <c r="A504" s="5" t="inlineStr">
        <is>
          <t>b6-staj</t>
        </is>
      </c>
      <c r="B504" s="5" t="n">
        <v>3</v>
      </c>
      <c r="C504" s="6" t="inlineStr">
        <is>
          <t>Şirketin dev tablosunu düzelt</t>
        </is>
      </c>
      <c r="D504" s="5" t="inlineStr">
        <is>
          <t>Akıl</t>
        </is>
      </c>
      <c r="E504" s="5" t="inlineStr">
        <is>
          <t>Orta</t>
        </is>
      </c>
      <c r="F504" s="5" t="inlineStr"/>
      <c r="G504" s="6" t="inlineStr"/>
      <c r="H504" s="6" t="inlineStr">
        <is>
          <t>Formül hatasını buldun. Şirket geçen yılı zararla kapatmamış.</t>
        </is>
      </c>
      <c r="I504" s="6" t="inlineStr">
        <is>
          <t>Tabloyu otomatikleştirdin. Bir çalışanın haftalık işi üç dakikaya indi. O çalışan seni hiç affetmedi.</t>
        </is>
      </c>
      <c r="J504" s="6" t="inlineStr">
        <is>
          <t>Düzelttin. Kimse fark etmedi, çünkü kimse açmıyormuş.</t>
        </is>
      </c>
      <c r="K504" s="6" t="inlineStr">
        <is>
          <t>Düzeltirken bütün sayfayı sildin. Yedek yokmuş. Muhasebedeki abla üç gece mesaiye kaldı, sen de yanında. Her sabah ona simit aldın; hiçbirini yemedi.</t>
        </is>
      </c>
      <c r="L504" s="6" t="inlineStr"/>
      <c r="M504" s="5" t="inlineStr"/>
      <c r="N504" s="5" t="inlineStr"/>
      <c r="O504" s="6" t="inlineStr"/>
      <c r="P504" s="6" t="inlineStr"/>
      <c r="Q504" s="5" t="inlineStr"/>
      <c r="R504" s="5" t="inlineStr"/>
      <c r="S504" s="5" t="inlineStr"/>
      <c r="T504" s="5" t="inlineStr"/>
      <c r="U504" s="5" t="inlineStr"/>
      <c r="V504" s="5" t="inlineStr"/>
      <c r="W504" s="5" t="inlineStr"/>
      <c r="X504" s="5" t="inlineStr"/>
      <c r="Y504" s="5" t="inlineStr"/>
      <c r="Z504" s="6" t="inlineStr"/>
      <c r="AA504" s="5" t="inlineStr"/>
      <c r="AB504" s="5" t="inlineStr"/>
      <c r="AC504" s="5" t="inlineStr"/>
      <c r="AD504" s="5" t="inlineStr"/>
      <c r="AE504" s="5" t="inlineStr"/>
      <c r="AF504" s="5" t="inlineStr"/>
      <c r="AG504" s="5" t="inlineStr"/>
      <c r="AH504" s="5" t="inlineStr"/>
      <c r="AI504" s="5" t="inlineStr"/>
      <c r="AJ504" s="5" t="inlineStr"/>
    </row>
    <row r="505">
      <c r="A505" s="5" t="inlineStr">
        <is>
          <t>b6-staj</t>
        </is>
      </c>
      <c r="B505" s="5" t="n">
        <v>4</v>
      </c>
      <c r="C505" s="6" t="inlineStr">
        <is>
          <t>Toplantıda söz iste</t>
        </is>
      </c>
      <c r="D505" s="5" t="inlineStr">
        <is>
          <t>Pişkinlik</t>
        </is>
      </c>
      <c r="E505" s="5" t="inlineStr">
        <is>
          <t>Zor</t>
        </is>
      </c>
      <c r="F505" s="5" t="inlineStr"/>
      <c r="G505" s="6" t="inlineStr"/>
      <c r="H505" s="6" t="inlineStr">
        <is>
          <t>Bir fikir söyledin. Müdür 'Güzel, not alalım' dedi. Not alan sen oldun.</t>
        </is>
      </c>
      <c r="I505" s="6" t="inlineStr">
        <is>
          <t>Fikrin uygulandı. Sunumda başka birinin adıyla, ama uygulandı.</t>
        </is>
      </c>
      <c r="J505" s="6" t="inlineStr">
        <is>
          <t>Söz istedin, toplantı bitti. Elin havada kaldı.</t>
        </is>
      </c>
      <c r="K505" s="6" t="inlineStr">
        <is>
          <t>Söz alıp konuştun, sonra mikrofonu kapattığını sandın. Yarım saat boyunca annene telefonda müdürü anlattığını bütün toplantı dinledi. Müdür sonunda “Annenize selam söyleyin” dedi.</t>
        </is>
      </c>
      <c r="L505" s="6" t="inlineStr"/>
      <c r="M505" s="5" t="inlineStr"/>
      <c r="N505" s="5" t="inlineStr"/>
      <c r="O505" s="6" t="inlineStr"/>
      <c r="P505" s="6" t="inlineStr"/>
      <c r="Q505" s="5" t="inlineStr"/>
      <c r="R505" s="5" t="inlineStr"/>
      <c r="S505" s="5" t="inlineStr"/>
      <c r="T505" s="5" t="inlineStr"/>
      <c r="U505" s="5" t="inlineStr"/>
      <c r="V505" s="5" t="inlineStr"/>
      <c r="W505" s="5" t="inlineStr"/>
      <c r="X505" s="5" t="inlineStr"/>
      <c r="Y505" s="5" t="inlineStr"/>
      <c r="Z505" s="6" t="inlineStr"/>
      <c r="AA505" s="5" t="inlineStr"/>
      <c r="AB505" s="5" t="inlineStr"/>
      <c r="AC505" s="5" t="inlineStr"/>
      <c r="AD505" s="5" t="inlineStr"/>
      <c r="AE505" s="5" t="inlineStr"/>
      <c r="AF505" s="5" t="inlineStr"/>
      <c r="AG505" s="5" t="inlineStr"/>
      <c r="AH505" s="5" t="inlineStr"/>
      <c r="AI505" s="5" t="inlineStr"/>
      <c r="AJ505" s="5" t="inlineStr"/>
    </row>
    <row r="506">
      <c r="A506" s="5" t="inlineStr">
        <is>
          <t>b6-spor-salonu</t>
        </is>
      </c>
      <c r="B506" s="5" t="n">
        <v>1</v>
      </c>
      <c r="C506" s="6" t="inlineStr">
        <is>
          <t>Yıllık al, ayda bir git</t>
        </is>
      </c>
      <c r="D506" s="5" t="inlineStr"/>
      <c r="E506" s="5" t="inlineStr"/>
      <c r="F506" s="5" t="inlineStr">
        <is>
          <t>Pişkinlik +1</t>
        </is>
      </c>
      <c r="G506" s="6" t="inlineStr">
        <is>
          <t>Salon her ay “Seni özledik” mesajı atıyor. Yıl sonunda bir kez gittin; turnike kartını tanımadı.</t>
        </is>
      </c>
      <c r="H506" s="6" t="inlineStr"/>
      <c r="I506" s="6" t="inlineStr"/>
      <c r="J506" s="6" t="inlineStr"/>
      <c r="K506" s="6" t="inlineStr"/>
      <c r="L506" s="6" t="inlineStr"/>
      <c r="M506" s="5" t="inlineStr"/>
      <c r="N506" s="5" t="inlineStr"/>
      <c r="O506" s="6" t="inlineStr"/>
      <c r="P506" s="6" t="inlineStr"/>
      <c r="Q506" s="5" t="inlineStr"/>
      <c r="R506" s="5" t="inlineStr"/>
      <c r="S506" s="5" t="inlineStr"/>
      <c r="T506" s="5" t="inlineStr"/>
      <c r="U506" s="5" t="inlineStr"/>
      <c r="V506" s="5" t="inlineStr"/>
      <c r="W506" s="5" t="inlineStr"/>
      <c r="X506" s="5" t="inlineStr"/>
      <c r="Y506" s="5" t="inlineStr"/>
      <c r="Z506" s="6" t="inlineStr"/>
      <c r="AA506" s="5" t="inlineStr"/>
      <c r="AB506" s="5" t="inlineStr"/>
      <c r="AC506" s="5" t="inlineStr"/>
      <c r="AD506" s="5" t="inlineStr"/>
      <c r="AE506" s="5" t="inlineStr"/>
      <c r="AF506" s="5" t="inlineStr"/>
      <c r="AG506" s="5" t="inlineStr"/>
      <c r="AH506" s="5" t="inlineStr"/>
      <c r="AI506" s="5" t="inlineStr"/>
      <c r="AJ506" s="5" t="inlineStr"/>
    </row>
    <row r="507">
      <c r="A507" s="5" t="inlineStr">
        <is>
          <t>b6-spor-salonu</t>
        </is>
      </c>
      <c r="B507" s="5" t="n">
        <v>2</v>
      </c>
      <c r="C507" s="6" t="inlineStr">
        <is>
          <t>Düzenli git</t>
        </is>
      </c>
      <c r="D507" s="5" t="inlineStr">
        <is>
          <t>Dayanıklılık</t>
        </is>
      </c>
      <c r="E507" s="5" t="inlineStr">
        <is>
          <t>Zor</t>
        </is>
      </c>
      <c r="F507" s="5" t="inlineStr"/>
      <c r="G507" s="6" t="inlineStr"/>
      <c r="H507" s="6" t="inlineStr">
        <is>
          <t>Üç ay boyunca haftada üç gün gittin. Merdivenler artık seni değil, sen onları yoruyorsun.</t>
        </is>
      </c>
      <c r="I507" s="6" t="inlineStr">
        <is>
          <t>Bir yıl hiç aksatmadın. Görevli seni yeni üyelere örnek gösteriyor. Adını hâlâ bilmiyor.</t>
        </is>
      </c>
      <c r="J507" s="6" t="inlineStr">
        <is>
          <t>İlk hafta beş gün gittin. İkinci hafta merdiveni tırabzana tutunarak indin; annen “Hasta mısın?” deyip çorba yaptı. Ara verdin; ara hâlâ sürüyor.</t>
        </is>
      </c>
      <c r="K507" s="6" t="inlineStr">
        <is>
          <t>İlk gün en ağır ağırlıkla başladın. Üç gün boyunca merdivenleri geri geri indin.</t>
        </is>
      </c>
      <c r="L507" s="6" t="inlineStr"/>
      <c r="M507" s="5" t="inlineStr"/>
      <c r="N507" s="5" t="inlineStr"/>
      <c r="O507" s="6" t="inlineStr"/>
      <c r="P507" s="6" t="inlineStr"/>
      <c r="Q507" s="5" t="inlineStr"/>
      <c r="R507" s="5" t="inlineStr"/>
      <c r="S507" s="5" t="inlineStr"/>
      <c r="T507" s="5" t="inlineStr"/>
      <c r="U507" s="5" t="inlineStr"/>
      <c r="V507" s="5" t="inlineStr">
        <is>
          <t>sporcu</t>
        </is>
      </c>
      <c r="W507" s="5" t="inlineStr"/>
      <c r="X507" s="5" t="inlineStr"/>
      <c r="Y507" s="5" t="inlineStr"/>
      <c r="Z507" s="6" t="inlineStr"/>
      <c r="AA507" s="5" t="inlineStr"/>
      <c r="AB507" s="5" t="inlineStr"/>
      <c r="AC507" s="5" t="inlineStr"/>
      <c r="AD507" s="5" t="inlineStr"/>
      <c r="AE507" s="5" t="inlineStr"/>
      <c r="AF507" s="5" t="inlineStr"/>
      <c r="AG507" s="5" t="inlineStr"/>
      <c r="AH507" s="5" t="inlineStr"/>
      <c r="AI507" s="5" t="inlineStr"/>
      <c r="AJ507" s="5" t="inlineStr"/>
    </row>
    <row r="508">
      <c r="A508" s="5" t="inlineStr">
        <is>
          <t>b6-spor-salonu</t>
        </is>
      </c>
      <c r="B508" s="5" t="n">
        <v>3</v>
      </c>
      <c r="C508" s="6" t="inlineStr">
        <is>
          <t>Antrenörle pazarlık et</t>
        </is>
      </c>
      <c r="D508" s="5" t="inlineStr">
        <is>
          <t>Çene</t>
        </is>
      </c>
      <c r="E508" s="5" t="inlineStr">
        <is>
          <t>Orta</t>
        </is>
      </c>
      <c r="F508" s="5" t="inlineStr"/>
      <c r="G508" s="6" t="inlineStr"/>
      <c r="H508" s="6" t="inlineStr">
        <is>
          <t>Antrenör sana ücretsiz bir program yazdı. Üç kelime: 'Sadece gel, lütfen.'</t>
        </is>
      </c>
      <c r="I508" s="6" t="inlineStr">
        <is>
          <t>Ücretsiz özel ders aldın, sonra antrenör seni koşu grubuna kattı. Hafta sonları koşuyorsun.</t>
        </is>
      </c>
      <c r="J508" s="6" t="inlineStr">
        <is>
          <t>Antrenör paket satmaya çalıştı. Almadın. O da seni görmemeye başladı.</t>
        </is>
      </c>
      <c r="K508" s="6" t="inlineStr">
        <is>
          <t>Pazarlığın sonunda maaşının yarısına bir özel ders paketi aldın. Derslere de gitmedin.</t>
        </is>
      </c>
      <c r="L508" s="6" t="inlineStr"/>
      <c r="M508" s="5" t="inlineStr"/>
      <c r="N508" s="5" t="inlineStr"/>
      <c r="O508" s="6" t="inlineStr"/>
      <c r="P508" s="6" t="inlineStr"/>
      <c r="Q508" s="5" t="inlineStr"/>
      <c r="R508" s="5" t="inlineStr"/>
      <c r="S508" s="5" t="inlineStr"/>
      <c r="T508" s="5" t="inlineStr"/>
      <c r="U508" s="5" t="inlineStr"/>
      <c r="V508" s="5" t="inlineStr">
        <is>
          <t>sporcu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c r="AI508" s="5" t="inlineStr"/>
      <c r="AJ508" s="5" t="inlineStr"/>
    </row>
    <row r="509">
      <c r="A509" s="5" t="inlineStr">
        <is>
          <t>b6-spor-salonu</t>
        </is>
      </c>
      <c r="B509" s="5" t="n">
        <v>4</v>
      </c>
      <c r="C509" s="6" t="inlineStr">
        <is>
          <t>Parktaki aletlere geç</t>
        </is>
      </c>
      <c r="D509" s="5" t="inlineStr">
        <is>
          <t>Kurnazlık</t>
        </is>
      </c>
      <c r="E509" s="5" t="inlineStr">
        <is>
          <t>Kolay</t>
        </is>
      </c>
      <c r="F509" s="5" t="inlineStr"/>
      <c r="G509" s="6" t="inlineStr"/>
      <c r="H509" s="6" t="inlineStr">
        <is>
          <t>Ücretsiz, açık hava, rakipler emekli. Bir teyze aletin başından kalkıp sana yer verdi: “Gel yavrum, sen daha gençsin, sen çevir.”</t>
        </is>
      </c>
      <c r="I509" s="6" t="inlineStr">
        <is>
          <t>Sabah koşan emekliler seni gruplarına aldı. Hepsi senden hızlı; ama dönüşte simit sırası sende. Yetmiş iki yaşındaki amca seni parkta herkese “bizim çaylak” diye tanıtıyor.</t>
        </is>
      </c>
      <c r="J509" s="6" t="inlineStr">
        <is>
          <t>Bir emekli, aleti yanlış kullandığını yirmi dakika anlattı.</t>
        </is>
      </c>
      <c r="K509" s="6" t="inlineStr">
        <is>
          <t>Dönen alete bindin; alet seni çevirdi, çevirmeye devam etti. Emekliler sırayla tutup indirdi. Ertesi sabah parkta sana “Günaydın Fırıldak” dediler.</t>
        </is>
      </c>
      <c r="L509" s="6" t="inlineStr"/>
      <c r="M509" s="5" t="inlineStr"/>
      <c r="N509" s="5" t="inlineStr"/>
      <c r="O509" s="6" t="inlineStr"/>
      <c r="P509" s="6" t="inlineStr"/>
      <c r="Q509" s="5" t="inlineStr"/>
      <c r="R509" s="5" t="inlineStr"/>
      <c r="S509" s="5" t="inlineStr"/>
      <c r="T509" s="5" t="inlineStr"/>
      <c r="U509" s="5" t="inlineStr"/>
      <c r="V509" s="5" t="inlineStr">
        <is>
          <t>sporcu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c r="AI509" s="5" t="inlineStr">
        <is>
          <t>Fırıldak</t>
        </is>
      </c>
      <c r="AJ509" s="5" t="inlineStr"/>
    </row>
    <row r="510">
      <c r="A510" s="5" t="inlineStr">
        <is>
          <t>b6-degisim-programi</t>
        </is>
      </c>
      <c r="B510" s="5" t="n">
        <v>1</v>
      </c>
      <c r="C510" s="6" t="inlineStr">
        <is>
          <t>Başvurma, burada kal</t>
        </is>
      </c>
      <c r="D510" s="5" t="inlineStr"/>
      <c r="E510" s="5" t="inlineStr"/>
      <c r="F510" s="5" t="inlineStr">
        <is>
          <t>İtibar +1</t>
        </is>
      </c>
      <c r="G510" s="6" t="inlineStr">
        <is>
          <t>Kaldın. Gidenlerin hikâyelerini bir yıl dinledin. Hepsinin bir 'O akşam' hikâyesi vardı.</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c r="AI510" s="5" t="inlineStr"/>
      <c r="AJ510" s="5" t="inlineStr"/>
    </row>
    <row r="511">
      <c r="A511" s="5" t="inlineStr">
        <is>
          <t>b6-degisim-programi</t>
        </is>
      </c>
      <c r="B511" s="5" t="n">
        <v>2</v>
      </c>
      <c r="C511" s="6" t="inlineStr">
        <is>
          <t>Başvur</t>
        </is>
      </c>
      <c r="D511" s="5" t="inlineStr">
        <is>
          <t>Akıl</t>
        </is>
      </c>
      <c r="E511" s="5" t="inlineStr">
        <is>
          <t>Orta</t>
        </is>
      </c>
      <c r="F511" s="5" t="inlineStr"/>
      <c r="G511" s="6" t="inlineStr"/>
      <c r="H511" s="6" t="inlineStr">
        <is>
          <t>Kabul edildin. Bir dönem boyunca kahvaltıda düzgün peynir aradın. Bulamadın.</t>
        </is>
      </c>
      <c r="I511" s="6" t="inlineStr">
        <is>
          <t>Kabul edildin, dili de söktün. Döndüğünde cümlelerinin arasına oranın kelimelerini serpiştiriyorsun. Babaannen bir akşam dayanamadı: “Ya hep oralı konuş ya hep bizden; arada ben kayboluyorum.”</t>
        </is>
      </c>
      <c r="J511" s="6" t="inlineStr">
        <is>
          <t>Formun dördüncü sayfası eksikti. Dördüncü sayfanın var olduğunu kimse söylememişti.</t>
        </is>
      </c>
      <c r="K511" s="6" t="inlineStr">
        <is>
          <t>Kabul edildin, bavulu hazırladın, annen kuru fasulyeyi poşet poşet vakumladı. Vize reddedildi. Bavul bir dönem boyunca odanın köşesinde açılmadan durdu; kuru fasulyeyi annen bir akşam sessizce pişirdi.</t>
        </is>
      </c>
      <c r="L511" s="6" t="inlineStr"/>
      <c r="M511" s="5" t="inlineStr"/>
      <c r="N511" s="5" t="inlineStr"/>
      <c r="O511" s="6" t="inlineStr"/>
      <c r="P511" s="6" t="inlineStr"/>
      <c r="Q511" s="5" t="inlineStr"/>
      <c r="R511" s="5" t="inlineStr"/>
      <c r="S511" s="5" t="inlineStr"/>
      <c r="T511" s="5" t="inlineStr"/>
      <c r="U511" s="5" t="inlineStr"/>
      <c r="V511" s="5" t="inlineStr">
        <is>
          <t>yurtdisi-gordu</t>
        </is>
      </c>
      <c r="W511" s="5" t="inlineStr"/>
      <c r="X511" s="5" t="inlineStr"/>
      <c r="Y511" s="5" t="inlineStr"/>
      <c r="Z511" s="6" t="inlineStr"/>
      <c r="AA511" s="5" t="inlineStr"/>
      <c r="AB511" s="5" t="inlineStr"/>
      <c r="AC511" s="5" t="inlineStr"/>
      <c r="AD511" s="5" t="inlineStr"/>
      <c r="AE511" s="5" t="inlineStr"/>
      <c r="AF511" s="5" t="inlineStr"/>
      <c r="AG511" s="5" t="inlineStr"/>
      <c r="AH511" s="5" t="inlineStr">
        <is>
          <t>Akıl 29</t>
        </is>
      </c>
      <c r="AI511" s="5" t="inlineStr"/>
      <c r="AJ511" s="5" t="inlineStr"/>
    </row>
    <row r="512">
      <c r="A512" s="5" t="inlineStr">
        <is>
          <t>b6-degisim-programi</t>
        </is>
      </c>
      <c r="B512" s="5" t="n">
        <v>3</v>
      </c>
      <c r="C512" s="6" t="inlineStr">
        <is>
          <t>Bursu beklemeden aileden destek iste</t>
        </is>
      </c>
      <c r="D512" s="5" t="inlineStr">
        <is>
          <t>Çene</t>
        </is>
      </c>
      <c r="E512" s="5" t="inlineStr">
        <is>
          <t>Zor</t>
        </is>
      </c>
      <c r="F512" s="5" t="inlineStr"/>
      <c r="G512" s="6" t="inlineStr"/>
      <c r="H512" s="6" t="inlineStr">
        <is>
          <t>Akşam yemeğinde, çaylar gelince konuyu açtın. Baban uzun uzun sustu, sonra “Her akşam görüntülü arayacaksın” dedi. Bu evde “evet” böyle söylenir.</t>
        </is>
      </c>
      <c r="I512" s="6" t="inlineStr">
        <is>
          <t>Annen hemen “Git” dedi; baban ertesi sabah bir zarfı sessizce masaya bıraktı. Bavulun yarısı tarhana, salça ve kuru fasulyeyle doldu. Havalimanında bavul fazla kilodan takıldı.</t>
        </is>
      </c>
      <c r="J512" s="6" t="inlineStr">
        <is>
          <t>Baban gözlüğünü çıkardı: “Bir dahaki sefere.” Bir dahaki seferin mezuniyetten sonra olduğu sonradan anlaşıldı.</t>
        </is>
      </c>
      <c r="K512" s="6" t="inlineStr">
        <is>
          <t>Sofrada oradaki kirayı söyledin. Baban çatalını bıraktı, annen “Orada ev mi alıyorsun?” dedi. Konu kapandı; tatlı da gelmedi.</t>
        </is>
      </c>
      <c r="L512" s="6" t="inlineStr"/>
      <c r="M512" s="5" t="inlineStr"/>
      <c r="N512" s="5" t="inlineStr"/>
      <c r="O512" s="6" t="inlineStr"/>
      <c r="P512" s="6" t="inlineStr"/>
      <c r="Q512" s="5" t="inlineStr"/>
      <c r="R512" s="5" t="inlineStr"/>
      <c r="S512" s="5" t="inlineStr"/>
      <c r="T512" s="5" t="inlineStr"/>
      <c r="U512" s="5" t="inlineStr"/>
      <c r="V512" s="5" t="inlineStr">
        <is>
          <t>yurtdisi-gordu</t>
        </is>
      </c>
      <c r="W512" s="5" t="inlineStr"/>
      <c r="X512" s="5" t="inlineStr"/>
      <c r="Y512" s="5" t="inlineStr"/>
      <c r="Z512" s="6" t="inlineStr"/>
      <c r="AA512" s="5" t="inlineStr"/>
      <c r="AB512" s="5" t="inlineStr"/>
      <c r="AC512" s="5" t="inlineStr"/>
      <c r="AD512" s="5" t="inlineStr"/>
      <c r="AE512" s="5" t="inlineStr"/>
      <c r="AF512" s="5" t="inlineStr"/>
      <c r="AG512" s="5" t="inlineStr"/>
      <c r="AH512" s="5" t="inlineStr"/>
      <c r="AI512" s="5" t="inlineStr"/>
      <c r="AJ512" s="5" t="inlineStr"/>
    </row>
    <row r="513">
      <c r="A513" s="5" t="inlineStr">
        <is>
          <t>b6-askerlik</t>
        </is>
      </c>
      <c r="B513" s="5" t="n">
        <v>1</v>
      </c>
      <c r="C513" s="6" t="inlineStr">
        <is>
          <t>Celbe uy, git</t>
        </is>
      </c>
      <c r="D513" s="5" t="inlineStr"/>
      <c r="E513" s="5" t="inlineStr"/>
      <c r="F513" s="5" t="inlineStr">
        <is>
          <t>İtibar +1, Dayanıklılık +1</t>
        </is>
      </c>
      <c r="G513" s="6" t="inlineStr">
        <is>
          <t>Saçını annen kesti, berber düzeltti, kışla sıfırladı. Gittiğin sabah kapının önünde konvoy kuruldu, kuzenler otobüsün önünde halaya durdu. Annen arkandan bir tas su döktü.</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is>
          <t>askerlik-yapti</t>
        </is>
      </c>
      <c r="V513" s="5" t="inlineStr"/>
      <c r="W513" s="5" t="inlineStr"/>
      <c r="X513" s="5" t="inlineStr"/>
      <c r="Y513" s="5" t="n">
        <v>1</v>
      </c>
      <c r="Z513" s="6" t="inlineStr">
        <is>
          <t>Kışlanın ilk nöbetinde, “Sağlam” denilen tahta merdiveni denerken. Merdiven rapor edildi.</t>
        </is>
      </c>
      <c r="AA513" s="5" t="inlineStr"/>
      <c r="AB513" s="5" t="inlineStr"/>
      <c r="AC513" s="5" t="inlineStr"/>
      <c r="AD513" s="5" t="inlineStr"/>
      <c r="AE513" s="5" t="inlineStr"/>
      <c r="AF513" s="5" t="inlineStr"/>
      <c r="AG513" s="5" t="inlineStr"/>
      <c r="AH513" s="5" t="inlineStr"/>
      <c r="AI513" s="5" t="inlineStr"/>
      <c r="AJ513" s="5" t="inlineStr"/>
    </row>
    <row r="514">
      <c r="A514" s="5" t="inlineStr">
        <is>
          <t>b6-askerlik</t>
        </is>
      </c>
      <c r="B514" s="5" t="n">
        <v>2</v>
      </c>
      <c r="C514" s="6" t="inlineStr">
        <is>
          <t>Bedelli öde</t>
        </is>
      </c>
      <c r="D514" s="5" t="inlineStr"/>
      <c r="E514" s="5" t="inlineStr"/>
      <c r="F514" s="5" t="inlineStr">
        <is>
          <t>Pişkinlik +1</t>
        </is>
      </c>
      <c r="G514" s="6" t="inlineStr">
        <is>
          <t>Parayı bankaya yatırdın, dekontu çerçeveletmedin ama neredeyse. Tek nöbetin banka kuyruğundaydı; tuttun.</t>
        </is>
      </c>
      <c r="H514" s="6" t="inlineStr"/>
      <c r="I514" s="6" t="inlineStr"/>
      <c r="J514" s="6" t="inlineStr"/>
      <c r="K514" s="6" t="inlineStr"/>
      <c r="L514" s="6" t="inlineStr"/>
      <c r="M514" s="5" t="inlineStr"/>
      <c r="N514" s="5" t="inlineStr"/>
      <c r="O514" s="6" t="inlineStr"/>
      <c r="P514" s="6" t="inlineStr"/>
      <c r="Q514" s="5" t="inlineStr"/>
      <c r="R514" s="5" t="inlineStr"/>
      <c r="S514" s="5" t="inlineStr"/>
      <c r="T514" s="5" t="inlineStr"/>
      <c r="U514" s="5" t="inlineStr">
        <is>
          <t>bedelli</t>
        </is>
      </c>
      <c r="V514" s="5" t="inlineStr"/>
      <c r="W514" s="5" t="inlineStr"/>
      <c r="X514" s="5" t="inlineStr"/>
      <c r="Y514" s="5" t="inlineStr"/>
      <c r="Z514" s="6" t="inlineStr"/>
      <c r="AA514" s="5" t="inlineStr">
        <is>
          <t>Yalçın -1, Şen -1</t>
        </is>
      </c>
      <c r="AB514" s="5" t="inlineStr"/>
      <c r="AC514" s="5" t="inlineStr">
        <is>
          <t>Orta</t>
        </is>
      </c>
      <c r="AD514" s="5" t="inlineStr"/>
      <c r="AE514" s="5" t="inlineStr"/>
      <c r="AF514" s="5" t="inlineStr"/>
      <c r="AG514" s="5" t="inlineStr"/>
      <c r="AH514" s="5" t="inlineStr"/>
      <c r="AI514" s="5" t="inlineStr"/>
      <c r="AJ514" s="5" t="inlineStr"/>
    </row>
    <row r="515">
      <c r="A515" s="5" t="inlineStr">
        <is>
          <t>b6-askerlik</t>
        </is>
      </c>
      <c r="B515" s="5" t="n">
        <v>3</v>
      </c>
      <c r="C515" s="6" t="inlineStr">
        <is>
          <t>Heyette düztabanlığını anlat</t>
        </is>
      </c>
      <c r="D515" s="5" t="inlineStr">
        <is>
          <t>Kurnazlık</t>
        </is>
      </c>
      <c r="E515" s="5" t="inlineStr">
        <is>
          <t>Zor</t>
        </is>
      </c>
      <c r="F515" s="5" t="inlineStr"/>
      <c r="G515" s="6" t="inlineStr"/>
      <c r="H515" s="6" t="inlineStr">
        <is>
          <t>Heyete öyle bir düztaban hikâyesi anlattın ki doktor kendi ayağına baktı. Rapor çıktı: “Elverişsiz.” Ayakların o günden beri sessiz.</t>
        </is>
      </c>
      <c r="I515" s="6" t="inlineStr">
        <is>
          <t>Hikâyeni öyle anlattın ki heyetteki iki doktor da ayakkabısını çıkarıp kendi tabanına baktı. Rapor çıktı: “Elverişsiz.” Kapıdan çıkarken topallamayı unutmadın; sokağın köşesine kadar.</t>
        </is>
      </c>
      <c r="J515" s="6" t="inlineStr">
        <is>
          <t>Heyet dinledi, not aldı, seni en uzak birliğe yazdı. Düztabanlık orada da konuşuldu; yürüyüşte.</t>
        </is>
      </c>
      <c r="K515" s="6" t="inlineStr">
        <is>
          <t>Anlatırken önce sağ ayak dedin, sonra sol. Doktor ikisine de baktı: “Ayaklar sağlam, hafıza düz.” Kâğıdına “Acil celp” yazıldı.</t>
        </is>
      </c>
      <c r="L515" s="6" t="inlineStr"/>
      <c r="M515" s="5" t="inlineStr"/>
      <c r="N515" s="5" t="inlineStr"/>
      <c r="O515" s="6" t="inlineStr"/>
      <c r="P515" s="6" t="inlineStr"/>
      <c r="Q515" s="5" t="inlineStr"/>
      <c r="R515" s="5" t="inlineStr">
        <is>
          <t>yalanci</t>
        </is>
      </c>
      <c r="S515" s="5" t="inlineStr"/>
      <c r="T515" s="5" t="inlineStr"/>
      <c r="U515" s="5" t="inlineStr"/>
      <c r="V515" s="5" t="inlineStr">
        <is>
          <t>curuk-rapor</t>
        </is>
      </c>
      <c r="W515" s="5" t="inlineStr"/>
      <c r="X515" s="5" t="inlineStr"/>
      <c r="Y515" s="5" t="inlineStr"/>
      <c r="Z515" s="6" t="inlineStr"/>
      <c r="AA515" s="5" t="inlineStr">
        <is>
          <t>hepsi -1</t>
        </is>
      </c>
      <c r="AB515" s="5" t="inlineStr">
        <is>
          <t>askerlik-yapti</t>
        </is>
      </c>
      <c r="AC515" s="5" t="inlineStr"/>
      <c r="AD515" s="5" t="inlineStr"/>
      <c r="AE515" s="5" t="inlineStr"/>
      <c r="AF515" s="5" t="inlineStr"/>
      <c r="AG515" s="5" t="inlineStr"/>
      <c r="AH515" s="5" t="inlineStr"/>
      <c r="AI515" s="5" t="inlineStr"/>
      <c r="AJ515" s="5" t="inlineStr"/>
    </row>
    <row r="516">
      <c r="A516" s="5" t="inlineStr">
        <is>
          <t>b6-okusaydin</t>
        </is>
      </c>
      <c r="B516" s="5" t="n">
        <v>1</v>
      </c>
      <c r="C516" s="6" t="inlineStr">
        <is>
          <t>Gülümse ve tatlı ye</t>
        </is>
      </c>
      <c r="D516" s="5" t="inlineStr"/>
      <c r="E516" s="5" t="inlineStr"/>
      <c r="F516" s="5" t="inlineStr">
        <is>
          <t>Dayanıklılık +1</t>
        </is>
      </c>
      <c r="G516" s="6" t="inlineStr">
        <is>
          <t>Dördüne de gülümsedin. Dört dilim yedin. Bu masada kimse kazanamadı.</t>
        </is>
      </c>
      <c r="H516" s="6" t="inlineStr"/>
      <c r="I516" s="6" t="inlineStr"/>
      <c r="J516" s="6" t="inlineStr"/>
      <c r="K516" s="6" t="inlineStr"/>
      <c r="L516" s="6" t="inlineStr"/>
      <c r="M516" s="5" t="inlineStr"/>
      <c r="N516" s="5" t="inlineStr"/>
      <c r="O516" s="6" t="inlineStr"/>
      <c r="P516" s="6" t="inlineStr"/>
      <c r="Q516" s="5" t="inlineStr"/>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c r="AI516" s="5" t="inlineStr"/>
      <c r="AJ516" s="5" t="inlineStr"/>
    </row>
    <row r="517">
      <c r="A517" s="5" t="inlineStr">
        <is>
          <t>b6-okusaydin</t>
        </is>
      </c>
      <c r="B517" s="5" t="n">
        <v>2</v>
      </c>
      <c r="C517" s="6" t="inlineStr">
        <is>
          <t>Maaşını açıkla</t>
        </is>
      </c>
      <c r="D517" s="5" t="inlineStr">
        <is>
          <t>Pişkinlik</t>
        </is>
      </c>
      <c r="E517" s="5" t="inlineStr">
        <is>
          <t>Orta</t>
        </is>
      </c>
      <c r="F517" s="5" t="inlineStr"/>
      <c r="G517" s="6" t="inlineStr"/>
      <c r="H517" s="6" t="inlineStr">
        <is>
          <t>Maaşını söyledin. Masada kısa bir sessizlik oldu; teyzen çatalını bırakıp eniştene baktı. Eniştenin maaşından fazlaymış. Konu hızla gelinin elbisesine geçti.</t>
        </is>
      </c>
      <c r="I517" s="6" t="inlineStr">
        <is>
          <t>Teyze, üniversitedeki oğluna senin gibi çalışmasını önerdi. Oğlu duydu.</t>
        </is>
      </c>
      <c r="J517" s="6" t="inlineStr">
        <is>
          <t>Maaşını söyledin. Amcan telefonundan hesap makinesini açtı: “Okusaydın bunun iki katı olurdu.” Kaç olacağını sordun; o kısmı hesaplamadı.</t>
        </is>
      </c>
      <c r="K517" s="6" t="inlineStr">
        <is>
          <t>Maaşını söyledin. O gece iki akraba senden borç istedi.</t>
        </is>
      </c>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c r="AI517" s="5" t="inlineStr"/>
      <c r="AJ517" s="5" t="inlineStr"/>
    </row>
    <row r="518">
      <c r="A518" s="5" t="inlineStr">
        <is>
          <t>b6-okusaydin</t>
        </is>
      </c>
      <c r="B518" s="5" t="n">
        <v>3</v>
      </c>
      <c r="C518" s="6" t="inlineStr">
        <is>
          <t>Teyzenin oğlunu sor</t>
        </is>
      </c>
      <c r="D518" s="5" t="inlineStr">
        <is>
          <t>Sosyal Radar</t>
        </is>
      </c>
      <c r="E518" s="5" t="inlineStr">
        <is>
          <t>Kolay</t>
        </is>
      </c>
      <c r="F518" s="5" t="inlineStr"/>
      <c r="G518" s="6" t="inlineStr"/>
      <c r="H518" s="6" t="inlineStr">
        <is>
          <t>'Oğlunuz ne durumda?' dedin. Teyze konuyu hemen gelinliğe çevirdi.</t>
        </is>
      </c>
      <c r="I518" s="6" t="inlineStr">
        <is>
          <t>Bütün masa teyzeye döndü. Sen sessizce ikinci tatlıyı aldın.</t>
        </is>
      </c>
      <c r="J518" s="6" t="inlineStr">
        <is>
          <t>Oğlu yüksek lisansa başlamış. Yenildin.</t>
        </is>
      </c>
      <c r="K518" s="6" t="inlineStr">
        <is>
          <t>Oğlu yan masadaymış. Duydu, geldi, kendi hikâyesini anlattı. Kırk dakika.</t>
        </is>
      </c>
      <c r="L518" s="6" t="inlineStr"/>
      <c r="M518" s="5" t="inlineStr"/>
      <c r="N518" s="5" t="inlineStr"/>
      <c r="O518" s="6" t="inlineStr"/>
      <c r="P518" s="6" t="inlineStr"/>
      <c r="Q518" s="5" t="inlineStr"/>
      <c r="R518" s="5" t="inlineStr"/>
      <c r="S518" s="5" t="inlineStr">
        <is>
          <t>Sosyal Radar</t>
        </is>
      </c>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c r="AI518" s="5" t="inlineStr"/>
      <c r="AJ518" s="5" t="inlineStr"/>
    </row>
    <row r="519">
      <c r="A519" s="5" t="inlineStr">
        <is>
          <t>b6-okusaydin</t>
        </is>
      </c>
      <c r="B519" s="5" t="n">
        <v>4</v>
      </c>
      <c r="C519" s="6" t="inlineStr">
        <is>
          <t>Kendinle dalga geç</t>
        </is>
      </c>
      <c r="D519" s="5" t="inlineStr">
        <is>
          <t>Pişkinlik</t>
        </is>
      </c>
      <c r="E519" s="5" t="inlineStr">
        <is>
          <t>Kolay</t>
        </is>
      </c>
      <c r="F519" s="5" t="inlineStr"/>
      <c r="G519" s="6" t="inlineStr"/>
      <c r="H519" s="6" t="inlineStr">
        <is>
          <t>'Ben okusaydım kim çalışacaktı?' dedin. Masa güldü, konu kapandı.</t>
        </is>
      </c>
      <c r="I519" s="6" t="inlineStr">
        <is>
          <t>Espri bütün düğün boyunca masadan masaya dolaştı. Gelin bile tekrarladı.</t>
        </is>
      </c>
      <c r="J519" s="6" t="inlineStr">
        <is>
          <t>Kimse gülmedi. Teyze başını salladı: 'Okusaydın espri de öğrenirdin.'</t>
        </is>
      </c>
      <c r="K519" s="6" t="inlineStr">
        <is>
          <t>Kendinle dalga geçtin; masa güldü. Sonra herkes kendi esprisini ekledi. Gece sonunda sağdıç mikrofonu aldı: “Okusaydı bunu da bilirdi!” Esprini sen başlattın; bitiremedin.</t>
        </is>
      </c>
      <c r="L519" s="6" t="inlineStr"/>
      <c r="M519" s="5" t="inlineStr"/>
      <c r="N519" s="5" t="inlineStr"/>
      <c r="O519" s="6" t="inlineStr"/>
      <c r="P519" s="6" t="inlineStr"/>
      <c r="Q519" s="5" t="inlineStr">
        <is>
          <t>Kendine Gülebilir</t>
        </is>
      </c>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c r="AI519" s="5" t="inlineStr"/>
      <c r="AJ519" s="5" t="inlineStr"/>
    </row>
    <row r="520">
      <c r="A520" s="5" t="inlineStr">
        <is>
          <t>b6-mezuniyet</t>
        </is>
      </c>
      <c r="B520" s="5" t="n">
        <v>1</v>
      </c>
      <c r="C520" s="6" t="inlineStr">
        <is>
          <t>Kepi at, fotoğraf çek</t>
        </is>
      </c>
      <c r="D520" s="5" t="inlineStr"/>
      <c r="E520" s="5" t="inlineStr"/>
      <c r="F520" s="5" t="inlineStr">
        <is>
          <t>Sosyal Radar +1</t>
        </is>
      </c>
      <c r="G520" s="6" t="inlineStr">
        <is>
          <t>Kep havaya uçtu, geri başkasının kepi düştü. Annen fotoğrafları aile grubuna attı; teyzen üç dakika sonra yazdı: “Bu kep senin değil.”</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c r="AI520" s="5" t="inlineStr"/>
      <c r="AJ520" s="5" t="inlineStr"/>
    </row>
    <row r="521">
      <c r="A521" s="5" t="inlineStr">
        <is>
          <t>b6-mezuniyet</t>
        </is>
      </c>
      <c r="B521" s="5" t="n">
        <v>2</v>
      </c>
      <c r="C521" s="6" t="inlineStr">
        <is>
          <t>Konuşmayı sen yap</t>
        </is>
      </c>
      <c r="D521" s="5" t="inlineStr">
        <is>
          <t>Çene</t>
        </is>
      </c>
      <c r="E521" s="5" t="inlineStr">
        <is>
          <t>Zor</t>
        </is>
      </c>
      <c r="F521" s="5" t="inlineStr"/>
      <c r="G521" s="6" t="inlineStr"/>
      <c r="H521" s="6" t="inlineStr">
        <is>
          <t>Hocalar gülümsedi, dekan saatine baktı. Annen ön sırada ağladı; ne dediğini duymadı, ağlamak için duymaya gerek yoktu.</t>
        </is>
      </c>
      <c r="I521" s="6" t="inlineStr">
        <is>
          <t>Konuşmanı bir hocanın taklidiyle bitirdin. Hoca ön sırada kahkaha attı, kalkıp sana sarıldı. Video aile grubunda yüz kez paylaşıldı; yüzüncüyü teyzen attı.</t>
        </is>
      </c>
      <c r="J521" s="6" t="inlineStr">
        <is>
          <t>Mikrofon kapalıydı. Dudak okuyanlar beğendi.</t>
        </is>
      </c>
      <c r="K521" s="6" t="inlineStr">
        <is>
          <t>Konuşmanda hocalara tek tek teşekkür ettin; sonuncusu seni üç kez bırakan hocaydı: “Bana en çok emeği geçen hocam!” Salon bir an sustu, sonra arka sıralardan kahkaha yükseldi. Hoca ayağa kalkıp selam verdi; alkışı o aldı.</t>
        </is>
      </c>
      <c r="L521" s="6" t="inlineStr"/>
      <c r="M521" s="5" t="inlineStr"/>
      <c r="N521" s="5" t="inlineStr"/>
      <c r="O521" s="6" t="inlineStr"/>
      <c r="P521" s="6" t="inlineStr"/>
      <c r="Q521" s="5" t="inlineStr"/>
      <c r="R521" s="5" t="inlineStr"/>
      <c r="S521" s="5" t="inlineStr"/>
      <c r="T521" s="5" t="inlineStr"/>
      <c r="U521" s="5" t="inlineStr"/>
      <c r="V521" s="5" t="inlineStr"/>
      <c r="W521" s="5" t="inlineStr"/>
      <c r="X521" s="5" t="inlineStr"/>
      <c r="Y521" s="5" t="inlineStr"/>
      <c r="Z521" s="6" t="inlineStr"/>
      <c r="AA521" s="5" t="inlineStr"/>
      <c r="AB521" s="5" t="inlineStr"/>
      <c r="AC521" s="5" t="inlineStr"/>
      <c r="AD521" s="5" t="inlineStr"/>
      <c r="AE521" s="5" t="inlineStr"/>
      <c r="AF521" s="5" t="inlineStr"/>
      <c r="AG521" s="5" t="inlineStr"/>
      <c r="AH521" s="5" t="inlineStr"/>
      <c r="AI521" s="5" t="inlineStr"/>
      <c r="AJ521" s="5" t="inlineStr"/>
    </row>
    <row r="522">
      <c r="A522" s="5" t="inlineStr">
        <is>
          <t>b6-mezuniyet</t>
        </is>
      </c>
      <c r="B522" s="5" t="n">
        <v>3</v>
      </c>
      <c r="C522" s="6" t="inlineStr">
        <is>
          <t>Diplomayı aynı gün almaya çalış</t>
        </is>
      </c>
      <c r="D522" s="5" t="inlineStr">
        <is>
          <t>Kurnazlık</t>
        </is>
      </c>
      <c r="E522" s="5" t="inlineStr">
        <is>
          <t>Orta</t>
        </is>
      </c>
      <c r="F522" s="5" t="inlineStr"/>
      <c r="G522" s="6" t="inlineStr"/>
      <c r="H522" s="6" t="inlineStr">
        <is>
          <t>Öğrenci işlerindeki memura annenin sana ayırdığı börekten uzattın. Memur böreğe baktı, sana baktı; diploma aynı gün elindeydi.</t>
        </is>
      </c>
      <c r="I522" s="6" t="inlineStr">
        <is>
          <t>Diplomayı aldın, üstelik yanlışlıkla iki nüsha. Biri babanın duvarında, biri babaannenin vitrininde. İkisi de “Asıl nüsha bende” diyor.</t>
        </is>
      </c>
      <c r="J522" s="6" t="inlineStr">
        <is>
          <t>Önünde bütün mezunlar vardı. Arkanda da.</t>
        </is>
      </c>
      <c r="K522" s="6" t="inlineStr">
        <is>
          <t>Adın diplomada bir harf eksik yazılmış. Düzeltme için dilekçe, dilekçe için harç, harç için sıra. Annen diplomayı yine de çerçeveletti; eksik harfi camın üstüne kalemle kendi ekledi.</t>
        </is>
      </c>
      <c r="L522" s="6" t="inlineStr"/>
      <c r="M522" s="5" t="inlineStr"/>
      <c r="N522" s="5" t="inlineStr"/>
      <c r="O522" s="6" t="inlineStr"/>
      <c r="P522" s="6" t="inlineStr"/>
      <c r="Q522" s="5" t="inlineStr"/>
      <c r="R522" s="5" t="inlineStr"/>
      <c r="S522" s="5" t="inlineStr"/>
      <c r="T522" s="5" t="inlineStr"/>
      <c r="U522" s="5" t="inlineStr"/>
      <c r="V522" s="5" t="inlineStr"/>
      <c r="W522" s="5" t="inlineStr"/>
      <c r="X522" s="5" t="inlineStr"/>
      <c r="Y522" s="5" t="inlineStr"/>
      <c r="Z522" s="6" t="inlineStr"/>
      <c r="AA522" s="5" t="inlineStr"/>
      <c r="AB522" s="5" t="inlineStr"/>
      <c r="AC522" s="5" t="inlineStr"/>
      <c r="AD522" s="5" t="inlineStr"/>
      <c r="AE522" s="5" t="inlineStr"/>
      <c r="AF522" s="5" t="inlineStr"/>
      <c r="AG522" s="5" t="inlineStr"/>
      <c r="AH522" s="5" t="inlineStr"/>
      <c r="AI522" s="5" t="inlineStr"/>
      <c r="AJ522" s="5" t="inlineStr"/>
    </row>
    <row r="523">
      <c r="A523" s="5" t="inlineStr">
        <is>
          <t>b6-mezuniyet</t>
        </is>
      </c>
      <c r="B523" s="5" t="n">
        <v>4</v>
      </c>
      <c r="C523" s="6" t="inlineStr">
        <is>
          <t>Ailenle poz ver</t>
        </is>
      </c>
      <c r="D523" s="5" t="inlineStr"/>
      <c r="E523" s="5" t="inlineStr"/>
      <c r="F523" s="5" t="inlineStr">
        <is>
          <t>Gönül +1</t>
        </is>
      </c>
      <c r="G523" s="6" t="inlineStr">
        <is>
          <t>On yedi açıdan aynı fotoğraf çekildi; hepsinde birinin gözü kapalı. Annen en güzelini seçip büyüttü, salona astı: senin gözünün kapalı olduğu kareyi.</t>
        </is>
      </c>
      <c r="H523" s="6" t="inlineStr"/>
      <c r="I523" s="6" t="inlineStr"/>
      <c r="J523" s="6" t="inlineStr"/>
      <c r="K523" s="6" t="inlineStr"/>
      <c r="L523" s="6" t="inlineStr"/>
      <c r="M523" s="5" t="inlineStr"/>
      <c r="N523" s="5" t="inlineStr"/>
      <c r="O523" s="6" t="inlineStr"/>
      <c r="P523" s="6" t="inlineStr"/>
      <c r="Q523" s="5" t="inlineStr"/>
      <c r="R523" s="5" t="inlineStr"/>
      <c r="S523" s="5" t="inlineStr"/>
      <c r="T523" s="5" t="inlineStr"/>
      <c r="U523" s="5" t="inlineStr"/>
      <c r="V523" s="5" t="inlineStr"/>
      <c r="W523" s="5" t="inlineStr"/>
      <c r="X523" s="5" t="inlineStr"/>
      <c r="Y523" s="5" t="inlineStr"/>
      <c r="Z523" s="6" t="inlineStr"/>
      <c r="AA523" s="5" t="inlineStr"/>
      <c r="AB523" s="5" t="inlineStr"/>
      <c r="AC523" s="5" t="inlineStr"/>
      <c r="AD523" s="5" t="inlineStr"/>
      <c r="AE523" s="5" t="inlineStr"/>
      <c r="AF523" s="5" t="inlineStr"/>
      <c r="AG523" s="5" t="inlineStr"/>
      <c r="AH523" s="5" t="inlineStr"/>
      <c r="AI523" s="5" t="inlineStr"/>
      <c r="AJ523" s="5" t="inlineStr"/>
    </row>
    <row r="524">
      <c r="A524" s="5" t="inlineStr">
        <is>
          <t>b6-meslek-secimi</t>
        </is>
      </c>
      <c r="B524" s="5" t="n">
        <v>1</v>
      </c>
      <c r="C524" s="6" t="inlineStr">
        <is>
          <t>Beyaz yaka: özgeçmişini her yere gönder</t>
        </is>
      </c>
      <c r="D524" s="5" t="inlineStr">
        <is>
          <t>Çene</t>
        </is>
      </c>
      <c r="E524" s="5" t="inlineStr">
        <is>
          <t>Orta</t>
        </is>
      </c>
      <c r="F524" s="5" t="inlineStr"/>
      <c r="G524" s="6" t="inlineStr"/>
      <c r="H524" s="6" t="inlineStr">
        <is>
          <t>Yüz on iki başvuru, üç görüşme, bir teklif. Plazada bir masan, bir kartın ve “uyum haftası” denen, kimsenin ne yaptığını bilmediği bir haftan var.</t>
        </is>
      </c>
      <c r="I524" s="6" t="inlineStr">
        <is>
          <t>İki şirket seni istedi; ikisini birbirine karşı oynattın. Kazanan şirketin kartvizitinde unvanın sen istemeden “uzman.”</t>
        </is>
      </c>
      <c r="J524" s="6" t="inlineStr">
        <is>
          <t>Başvurulara cevap gelmedi. Bir ajans seni “proje bazlı” işe aldı. Proje bazlı, maaş da bazlı.</t>
        </is>
      </c>
      <c r="K524" s="6" t="inlineStr">
        <is>
          <t>Özgeçmişinde yazım hatası vardı: “Takım çalışmasına yatkın” yerine “Takım çalışmasına yatık.” Kimse aramadı; bir ajans hariç.</t>
        </is>
      </c>
      <c r="L524" s="6" t="inlineStr"/>
      <c r="M524" s="5" t="inlineStr"/>
      <c r="N524" s="5" t="inlineStr"/>
      <c r="O524" s="6" t="inlineStr"/>
      <c r="P524" s="6" t="inlineStr"/>
      <c r="Q524" s="5" t="inlineStr"/>
      <c r="R524" s="5" t="inlineStr"/>
      <c r="S524" s="5" t="inlineStr"/>
      <c r="T524" s="5" t="inlineStr"/>
      <c r="U524" s="5" t="inlineStr"/>
      <c r="V524" s="5" t="inlineStr">
        <is>
          <t>meslek-beyazyaka</t>
        </is>
      </c>
      <c r="W524" s="5" t="inlineStr"/>
      <c r="X524" s="5" t="inlineStr"/>
      <c r="Y524" s="5" t="inlineStr"/>
      <c r="Z524" s="6" t="inlineStr"/>
      <c r="AA524" s="5" t="inlineStr"/>
      <c r="AB524" s="5" t="inlineStr">
        <is>
          <t>meslek-serbest</t>
        </is>
      </c>
      <c r="AC524" s="5" t="inlineStr"/>
      <c r="AD524" s="5" t="inlineStr">
        <is>
          <t>Orta</t>
        </is>
      </c>
      <c r="AE524" s="5" t="inlineStr"/>
      <c r="AF524" s="5" t="inlineStr"/>
      <c r="AG524" s="5" t="inlineStr">
        <is>
          <t>bolum-hukuk, bolum-muhendislik</t>
        </is>
      </c>
      <c r="AH524" s="5" t="inlineStr"/>
      <c r="AI524" s="5" t="inlineStr"/>
      <c r="AJ524" s="5" t="inlineStr"/>
    </row>
    <row r="525">
      <c r="A525" s="5" t="inlineStr">
        <is>
          <t>b6-meslek-secimi</t>
        </is>
      </c>
      <c r="B525" s="5" t="n">
        <v>2</v>
      </c>
      <c r="C525" s="6" t="inlineStr">
        <is>
          <t>Memur ol: devlet kadro sınavına çalış</t>
        </is>
      </c>
      <c r="D525" s="5" t="inlineStr">
        <is>
          <t>Akıl</t>
        </is>
      </c>
      <c r="E525" s="5" t="inlineStr">
        <is>
          <t>Orta</t>
        </is>
      </c>
      <c r="F525" s="5" t="inlineStr"/>
      <c r="G525" s="6" t="inlineStr"/>
      <c r="H525" s="6" t="inlineStr">
        <is>
          <t>Sınavı geçtin. Atama bekliyorsun. Annen komşulara “Devlet kapısı” dedi; kelimeleri tek tek, yavaşça söyledi.</t>
        </is>
      </c>
      <c r="I525" s="6" t="inlineStr">
        <is>
          <t>Derece yaptın. Atama listesinde istediğin şehir bile vardı. Aile grubu ilk kez hiç tartışmadı.</t>
        </is>
      </c>
      <c r="J525" s="6" t="inlineStr">
        <is>
          <t>Puanın bir tık altında kaldı. Seneye diye diye bir özel şirkette “geçici” olarak başladın. Geçici, bu ülkede kalıcının takma adıdır.</t>
        </is>
      </c>
      <c r="K525" s="6" t="inlineStr">
        <is>
          <t>Sınavda kitapçık türünü yanlış işaretledin. Bütün cevaplar başka bir kitapçığa göre değerlendirildi. Bir plaza seni kabul etti; kitapçık sormadı.</t>
        </is>
      </c>
      <c r="L525" s="6" t="inlineStr"/>
      <c r="M525" s="5" t="inlineStr"/>
      <c r="N525" s="5" t="inlineStr"/>
      <c r="O525" s="6" t="inlineStr"/>
      <c r="P525" s="6" t="inlineStr"/>
      <c r="Q525" s="5" t="inlineStr"/>
      <c r="R525" s="5" t="inlineStr"/>
      <c r="S525" s="5" t="inlineStr"/>
      <c r="T525" s="5" t="inlineStr"/>
      <c r="U525" s="5" t="inlineStr"/>
      <c r="V525" s="5" t="inlineStr">
        <is>
          <t>meslek-memur</t>
        </is>
      </c>
      <c r="W525" s="5" t="inlineStr"/>
      <c r="X525" s="5" t="inlineStr"/>
      <c r="Y525" s="5" t="inlineStr"/>
      <c r="Z525" s="6" t="inlineStr"/>
      <c r="AA525" s="5" t="inlineStr">
        <is>
          <t>Erdem +1, Yalçın +1</t>
        </is>
      </c>
      <c r="AB525" s="5" t="inlineStr">
        <is>
          <t>meslek-beyazyaka</t>
        </is>
      </c>
      <c r="AC525" s="5" t="inlineStr"/>
      <c r="AD525" s="5" t="inlineStr">
        <is>
          <t>Orta</t>
        </is>
      </c>
      <c r="AE525" s="5" t="inlineStr"/>
      <c r="AF525" s="5" t="inlineStr"/>
      <c r="AG525" s="5" t="inlineStr"/>
      <c r="AH525" s="5" t="inlineStr">
        <is>
          <t>Akıl 27</t>
        </is>
      </c>
      <c r="AI525" s="5" t="inlineStr"/>
      <c r="AJ525" s="5" t="inlineStr"/>
    </row>
    <row r="526">
      <c r="A526" s="5" t="inlineStr">
        <is>
          <t>b6-meslek-secimi</t>
        </is>
      </c>
      <c r="B526" s="5" t="n">
        <v>3</v>
      </c>
      <c r="C526" s="6" t="inlineStr">
        <is>
          <t>Kendi şirketini kur</t>
        </is>
      </c>
      <c r="D526" s="5" t="inlineStr">
        <is>
          <t>Cesaret</t>
        </is>
      </c>
      <c r="E526" s="5" t="inlineStr">
        <is>
          <t>Zor</t>
        </is>
      </c>
      <c r="F526" s="5" t="inlineStr"/>
      <c r="G526" s="6" t="inlineStr"/>
      <c r="H526" s="6" t="inlineStr">
        <is>
          <t>Bir fikir, iki laptop, bir kafe masası. Şirket kuruldu. Logosu fikrinden daha iyi, ama fikir de fena değil.</t>
        </is>
      </c>
      <c r="I526" s="6" t="inlineStr">
        <is>
          <t>İlk ay bir yatırımcı kafeye oturdu, fikrini dinledi, çek defterini çıkardı. Kafe o günden beri senin “ofisin.”</t>
        </is>
      </c>
      <c r="J526" s="6" t="inlineStr">
        <is>
          <t>Şirketi kurdun, üç ayda kapattın. Özgeçmişe “girişimcilik deneyimi” olarak geçti; bir plaza seni bu satır için işe aldı.</t>
        </is>
      </c>
      <c r="K526" s="6" t="inlineStr">
        <is>
          <t>Kuruluş evrakına şirketin adını bir harf eksik yazdın. Tabela, kartvizit, logo; hepsi yeniden basılacaktı, para yetmedi. Bir plazaya girdin. Teyzen hâlâ her bayram şirketini o harfsiz adıyla kutluyor.</t>
        </is>
      </c>
      <c r="L526" s="6" t="inlineStr"/>
      <c r="M526" s="5" t="inlineStr"/>
      <c r="N526" s="5" t="inlineStr"/>
      <c r="O526" s="6" t="inlineStr"/>
      <c r="P526" s="6" t="inlineStr"/>
      <c r="Q526" s="5" t="inlineStr"/>
      <c r="R526" s="5" t="inlineStr"/>
      <c r="S526" s="5" t="inlineStr"/>
      <c r="T526" s="5" t="inlineStr"/>
      <c r="U526" s="5" t="inlineStr"/>
      <c r="V526" s="5" t="inlineStr">
        <is>
          <t>hat-girisimci, meslek-serbest</t>
        </is>
      </c>
      <c r="W526" s="5" t="inlineStr"/>
      <c r="X526" s="5" t="inlineStr"/>
      <c r="Y526" s="5" t="inlineStr"/>
      <c r="Z526" s="6" t="inlineStr"/>
      <c r="AA526" s="5" t="inlineStr">
        <is>
          <t>Keskin +1, Erdem -1</t>
        </is>
      </c>
      <c r="AB526" s="5" t="inlineStr">
        <is>
          <t>meslek-beyazyaka</t>
        </is>
      </c>
      <c r="AC526" s="5" t="inlineStr">
        <is>
          <t>Orta</t>
        </is>
      </c>
      <c r="AD526" s="5" t="inlineStr">
        <is>
          <t>Orta</t>
        </is>
      </c>
      <c r="AE526" s="5" t="inlineStr"/>
      <c r="AF526" s="5" t="inlineStr"/>
      <c r="AG526" s="5" t="inlineStr"/>
      <c r="AH526" s="5" t="inlineStr">
        <is>
          <t>Cesaret 26</t>
        </is>
      </c>
      <c r="AI526" s="5" t="inlineStr"/>
      <c r="AJ526" s="5" t="inlineStr"/>
    </row>
    <row r="527">
      <c r="A527" s="5" t="inlineStr">
        <is>
          <t>b6-meslek-secimi</t>
        </is>
      </c>
      <c r="B527" s="5" t="n">
        <v>4</v>
      </c>
      <c r="C527" s="6" t="inlineStr">
        <is>
          <t>Üniformayı giy: karakola ata</t>
        </is>
      </c>
      <c r="D527" s="5" t="inlineStr"/>
      <c r="E527" s="5" t="inlineStr"/>
      <c r="F527" s="5" t="inlineStr">
        <is>
          <t>Cesaret +1, İtibar +1</t>
        </is>
      </c>
      <c r="G527" s="6" t="inlineStr">
        <is>
          <t>Polis okulundan mezun oldun, üniformanı giydin. İlk görev yerin bir ilçe karakolu. Annen fotoğrafını çerçeveletti; çerçeve üniformadan ağır.</t>
        </is>
      </c>
      <c r="H527" s="6" t="inlineStr"/>
      <c r="I527" s="6" t="inlineStr"/>
      <c r="J527" s="6" t="inlineStr"/>
      <c r="K527" s="6" t="inlineStr"/>
      <c r="L527" s="6" t="inlineStr"/>
      <c r="M527" s="5" t="inlineStr"/>
      <c r="N527" s="5" t="inlineStr"/>
      <c r="O527" s="6" t="inlineStr"/>
      <c r="P527" s="6" t="inlineStr"/>
      <c r="Q527" s="5" t="inlineStr"/>
      <c r="R527" s="5" t="inlineStr">
        <is>
          <t>bolum-emniyet</t>
        </is>
      </c>
      <c r="S527" s="5" t="inlineStr"/>
      <c r="T527" s="5" t="inlineStr"/>
      <c r="U527" s="5" t="inlineStr">
        <is>
          <t>hat-polis, meslek-memur</t>
        </is>
      </c>
      <c r="V527" s="5" t="inlineStr"/>
      <c r="W527" s="5" t="inlineStr"/>
      <c r="X527" s="5" t="inlineStr"/>
      <c r="Y527" s="5" t="inlineStr"/>
      <c r="Z527" s="6" t="inlineStr"/>
      <c r="AA527" s="5" t="inlineStr">
        <is>
          <t>Erdem +1, Yalçın +1</t>
        </is>
      </c>
      <c r="AB527" s="5" t="inlineStr"/>
      <c r="AC527" s="5" t="inlineStr"/>
      <c r="AD527" s="5" t="inlineStr">
        <is>
          <t>Orta</t>
        </is>
      </c>
      <c r="AE527" s="5" t="inlineStr"/>
      <c r="AF527" s="5" t="inlineStr"/>
      <c r="AG527" s="5" t="inlineStr"/>
      <c r="AH527" s="5" t="inlineStr">
        <is>
          <t>Dayanıklılık 30</t>
        </is>
      </c>
      <c r="AI527" s="5" t="inlineStr"/>
      <c r="AJ527" s="5" t="inlineStr"/>
    </row>
    <row r="528">
      <c r="A528" s="5" t="inlineStr">
        <is>
          <t>b6-meslek-secimi</t>
        </is>
      </c>
      <c r="B528" s="5" t="n">
        <v>5</v>
      </c>
      <c r="C528" s="6" t="inlineStr">
        <is>
          <t>Hâkimlik sınavına gir</t>
        </is>
      </c>
      <c r="D528" s="5" t="inlineStr">
        <is>
          <t>Akıl</t>
        </is>
      </c>
      <c r="E528" s="5" t="inlineStr">
        <is>
          <t>Zor</t>
        </is>
      </c>
      <c r="F528" s="5" t="inlineStr"/>
      <c r="G528" s="6" t="inlineStr"/>
      <c r="H528" s="6" t="inlineStr">
        <is>
          <t>Sınavı geçtin. Cübbeyi ilk kez giydiğinde biraz büyük geldi; terzi “Büyürsün” dedi. Kürsüye doğru giden yol açıldı.</t>
        </is>
      </c>
      <c r="I528" s="6" t="inlineStr">
        <is>
          <t>Derece yaptın. Mülakatta kurulun sorduğu soruya, soruyu soranın kendi kitabından cevap verdin. Kurul güldü; sen de hâkim adayısın.</t>
        </is>
      </c>
      <c r="J528" s="6" t="inlineStr">
        <is>
          <t>Sınav olmadı. Bir hukuk bürosunda avukat olarak başladın. Cübben var, kürsün yok.</t>
        </is>
      </c>
      <c r="K528" s="6" t="inlineStr">
        <is>
          <t>Sınav sabahı kimliğini evde unuttun. Salona girmene izin verilmedi. Bir büro seni işe aldı; kimliğini sordular, vardı.</t>
        </is>
      </c>
      <c r="L528" s="6" t="inlineStr"/>
      <c r="M528" s="5" t="inlineStr"/>
      <c r="N528" s="5" t="inlineStr"/>
      <c r="O528" s="6" t="inlineStr"/>
      <c r="P528" s="6" t="inlineStr"/>
      <c r="Q528" s="5" t="inlineStr"/>
      <c r="R528" s="5" t="inlineStr">
        <is>
          <t>bolum-hukuk</t>
        </is>
      </c>
      <c r="S528" s="5" t="inlineStr"/>
      <c r="T528" s="5" t="inlineStr"/>
      <c r="U528" s="5" t="inlineStr"/>
      <c r="V528" s="5" t="inlineStr">
        <is>
          <t>hat-yargi, meslek-memur</t>
        </is>
      </c>
      <c r="W528" s="5" t="inlineStr"/>
      <c r="X528" s="5" t="inlineStr"/>
      <c r="Y528" s="5" t="inlineStr"/>
      <c r="Z528" s="6" t="inlineStr"/>
      <c r="AA528" s="5" t="inlineStr">
        <is>
          <t>Erdem +1, Tan +1</t>
        </is>
      </c>
      <c r="AB528" s="5" t="inlineStr">
        <is>
          <t>meslek-beyazyaka</t>
        </is>
      </c>
      <c r="AC528" s="5" t="inlineStr"/>
      <c r="AD528" s="5" t="inlineStr">
        <is>
          <t>Rahat</t>
        </is>
      </c>
      <c r="AE528" s="5" t="inlineStr"/>
      <c r="AF528" s="5" t="inlineStr"/>
      <c r="AG528" s="5" t="inlineStr"/>
      <c r="AH528" s="5" t="inlineStr">
        <is>
          <t>Akıl 32</t>
        </is>
      </c>
      <c r="AI528" s="5" t="inlineStr"/>
      <c r="AJ528" s="5" t="inlineStr"/>
    </row>
    <row r="529">
      <c r="A529" s="5" t="inlineStr">
        <is>
          <t>b6-meslek-secimi</t>
        </is>
      </c>
      <c r="B529" s="5" t="n">
        <v>6</v>
      </c>
      <c r="C529" s="6" t="inlineStr">
        <is>
          <t>Seçmelere git, sahneye çık</t>
        </is>
      </c>
      <c r="D529" s="5" t="inlineStr">
        <is>
          <t>Pişkinlik</t>
        </is>
      </c>
      <c r="E529" s="5" t="inlineStr">
        <is>
          <t>Zor</t>
        </is>
      </c>
      <c r="F529" s="5" t="inlineStr"/>
      <c r="G529" s="6" t="inlineStr"/>
      <c r="H529" s="6" t="inlineStr">
        <is>
          <t>Bir dizinin seçmesinden rolle döndün. Üç sahne, iki repliğin var. Birinde “Evet”, diğerinde “Hayır” diyorsun.</t>
        </is>
      </c>
      <c r="I529" s="6" t="inlineStr">
        <is>
          <t>Yönetmen seni o kadar beğendi ki rolünü büyüttü. Artık dizide bir ismin var; ailen de sokakta bir ismi olan çocuğun ailesi.</t>
        </is>
      </c>
      <c r="J529" s="6" t="inlineStr">
        <is>
          <t>Seçmelerden eli boş döndün. Düğünlerde sunuculuk yapmaya başladın. Sahne sahnedir; pilavlı olsa da.</t>
        </is>
      </c>
      <c r="K529" s="6" t="inlineStr">
        <is>
          <t>Seçmede yönetmene yanlış isimle hitap ettin; rakip dizinin yönetmeninin ismiyle. Düğün sunuculuğu seni bekliyor.</t>
        </is>
      </c>
      <c r="L529" s="6" t="inlineStr"/>
      <c r="M529" s="5" t="inlineStr"/>
      <c r="N529" s="5" t="inlineStr"/>
      <c r="O529" s="6" t="inlineStr"/>
      <c r="P529" s="6" t="inlineStr"/>
      <c r="Q529" s="5" t="inlineStr"/>
      <c r="R529" s="5" t="inlineStr">
        <is>
          <t>bolum-iletisim</t>
        </is>
      </c>
      <c r="S529" s="5" t="inlineStr"/>
      <c r="T529" s="5" t="inlineStr"/>
      <c r="U529" s="5" t="inlineStr"/>
      <c r="V529" s="5" t="inlineStr">
        <is>
          <t>hat-sohret, meslek-serbest</t>
        </is>
      </c>
      <c r="W529" s="5" t="inlineStr"/>
      <c r="X529" s="5" t="inlineStr"/>
      <c r="Y529" s="5" t="inlineStr"/>
      <c r="Z529" s="6" t="inlineStr"/>
      <c r="AA529" s="5" t="inlineStr">
        <is>
          <t>Varlı +1, Erdem -1</t>
        </is>
      </c>
      <c r="AB529" s="5" t="inlineStr">
        <is>
          <t>meslek-serbest</t>
        </is>
      </c>
      <c r="AC529" s="5" t="inlineStr"/>
      <c r="AD529" s="5" t="inlineStr">
        <is>
          <t>Orta</t>
        </is>
      </c>
      <c r="AE529" s="5" t="inlineStr"/>
      <c r="AF529" s="5" t="inlineStr"/>
      <c r="AG529" s="5" t="inlineStr"/>
      <c r="AH529" s="5" t="inlineStr">
        <is>
          <t>Pişkinlik 27</t>
        </is>
      </c>
      <c r="AI529" s="5" t="inlineStr"/>
      <c r="AJ529" s="5" t="inlineStr"/>
    </row>
    <row r="530">
      <c r="A530" s="5" t="inlineStr">
        <is>
          <t>b6-meslek-secimi</t>
        </is>
      </c>
      <c r="B530" s="5" t="n">
        <v>7</v>
      </c>
      <c r="C530" s="6" t="inlineStr">
        <is>
          <t>Yatırım gurusu kartviziti bastır</t>
        </is>
      </c>
      <c r="D530" s="5" t="inlineStr">
        <is>
          <t>Kurnazlık</t>
        </is>
      </c>
      <c r="E530" s="5" t="inlineStr">
        <is>
          <t>Zor</t>
        </is>
      </c>
      <c r="F530" s="5" t="inlineStr"/>
      <c r="G530" s="6" t="inlineStr"/>
      <c r="H530" s="6" t="inlineStr">
        <is>
          <t>Kartvizitte “Finansal özgürlük koçu” yazıyor. İlk seminerine kırk kişi geldi, kırkı da not aldı. Akşam annen kartı okudu, gözlüğünü çıkardı: “Özgürlüğü kime satıyorsun evladım?”</t>
        </is>
      </c>
      <c r="I530" s="6" t="inlineStr">
        <is>
          <t>Seminerin videosu yayıldı. Kiraladığın salon küçük geldi, kiraladığın araba büyük. Nereye gittiğini sorarsan: yukarı; şimdilik.</t>
        </is>
      </c>
      <c r="J530" s="6" t="inlineStr">
        <is>
          <t>Seminere üç kişi geldi; ikisi annenle teyzen. Kartvizitleri bir çağrı merkezine başvururken kullandın.</t>
        </is>
      </c>
      <c r="K530" s="6" t="inlineStr">
        <is>
          <t>Seminere gelenlerden biri gerçek bir finansçıydı. Sorularına cevap veremedin. Bir çağrı merkezi seni aldı; orada sorular yazılı.</t>
        </is>
      </c>
      <c r="L530" s="6" t="inlineStr"/>
      <c r="M530" s="5" t="inlineStr"/>
      <c r="N530" s="5" t="inlineStr"/>
      <c r="O530" s="6" t="inlineStr"/>
      <c r="P530" s="6" t="inlineStr"/>
      <c r="Q530" s="5" t="inlineStr"/>
      <c r="R530" s="5" t="inlineStr">
        <is>
          <t>yalanci</t>
        </is>
      </c>
      <c r="S530" s="5" t="inlineStr"/>
      <c r="T530" s="5" t="inlineStr"/>
      <c r="U530" s="5" t="inlineStr"/>
      <c r="V530" s="5" t="inlineStr">
        <is>
          <t>hat-dolandirici, meslek-serbest</t>
        </is>
      </c>
      <c r="W530" s="5" t="inlineStr"/>
      <c r="X530" s="5" t="inlineStr"/>
      <c r="Y530" s="5" t="inlineStr"/>
      <c r="Z530" s="6" t="inlineStr"/>
      <c r="AA530" s="5" t="inlineStr">
        <is>
          <t>hepsi -1</t>
        </is>
      </c>
      <c r="AB530" s="5" t="inlineStr">
        <is>
          <t>meslek-beyazyaka</t>
        </is>
      </c>
      <c r="AC530" s="5" t="inlineStr"/>
      <c r="AD530" s="5" t="inlineStr">
        <is>
          <t>Orta</t>
        </is>
      </c>
      <c r="AE530" s="5" t="inlineStr"/>
      <c r="AF530" s="5" t="inlineStr"/>
      <c r="AG530" s="5" t="inlineStr"/>
      <c r="AH530" s="5" t="inlineStr">
        <is>
          <t>Kurnazlık 33</t>
        </is>
      </c>
      <c r="AI530" s="5" t="inlineStr"/>
      <c r="AJ530" s="5" t="inlineStr"/>
    </row>
    <row r="531">
      <c r="A531" s="5" t="inlineStr">
        <is>
          <t>b6-meslek-secimi</t>
        </is>
      </c>
      <c r="B531" s="5" t="n">
        <v>8</v>
      </c>
      <c r="C531" s="6" t="inlineStr">
        <is>
          <t>Hocanın referans mektubuyla başvur</t>
        </is>
      </c>
      <c r="D531" s="5" t="inlineStr">
        <is>
          <t>İtibar</t>
        </is>
      </c>
      <c r="E531" s="5" t="inlineStr">
        <is>
          <t>Orta</t>
        </is>
      </c>
      <c r="F531" s="5" t="inlineStr"/>
      <c r="G531" s="6" t="inlineStr"/>
      <c r="H531" s="6" t="inlineStr">
        <is>
          <t>Bölüm hocan mektubu bir akşamda yazdı. İlk başvurduğun şirket seni ertesi gün aradı; mektubu okumak için değil, hocayı sormak için.</t>
        </is>
      </c>
      <c r="I531" s="6" t="inlineStr">
        <is>
          <t>Hocan mektubu öyle yazmıştı ki şirket seni mülakatsız aldı. İnsan kaynaklarındaki kadın mektubu okurken gözünü sildi, sonra hocanı aradı: “Bizim oğlan için de yazar mısınız?”</t>
        </is>
      </c>
      <c r="J531" s="6" t="inlineStr">
        <is>
          <t>Mektup geç ulaştı; pozisyon dolmuştu. Bir ajans seni proje bazlı aldı. Mektup bir sonraki sefere.</t>
        </is>
      </c>
      <c r="K531" s="6" t="inlineStr">
        <is>
          <t>Mektupta adın yanlış yazılmıştı; başkasının referansı sanıldı. Bir ajans seni aldı; adını orada da yanlış yazıyorlar.</t>
        </is>
      </c>
      <c r="L531" s="6" t="inlineStr"/>
      <c r="M531" s="5" t="inlineStr"/>
      <c r="N531" s="5" t="inlineStr"/>
      <c r="O531" s="6" t="inlineStr"/>
      <c r="P531" s="6" t="inlineStr"/>
      <c r="Q531" s="5" t="inlineStr"/>
      <c r="R531" s="5" t="inlineStr"/>
      <c r="S531" s="5" t="inlineStr"/>
      <c r="T531" s="5" t="inlineStr"/>
      <c r="U531" s="5" t="inlineStr"/>
      <c r="V531" s="5" t="inlineStr">
        <is>
          <t>meslek-beyazyaka</t>
        </is>
      </c>
      <c r="W531" s="5" t="inlineStr"/>
      <c r="X531" s="5" t="inlineStr"/>
      <c r="Y531" s="5" t="inlineStr"/>
      <c r="Z531" s="6" t="inlineStr"/>
      <c r="AA531" s="5" t="inlineStr"/>
      <c r="AB531" s="5" t="inlineStr">
        <is>
          <t>meslek-serbest</t>
        </is>
      </c>
      <c r="AC531" s="5" t="inlineStr"/>
      <c r="AD531" s="5" t="inlineStr">
        <is>
          <t>Orta</t>
        </is>
      </c>
      <c r="AE531" s="5" t="inlineStr"/>
      <c r="AF531" s="5" t="inlineStr"/>
      <c r="AG531" s="5" t="inlineStr"/>
      <c r="AH531" s="5" t="inlineStr">
        <is>
          <t>İtibar 36</t>
        </is>
      </c>
      <c r="AI531" s="5" t="inlineStr"/>
      <c r="AJ531" s="5" t="inlineStr"/>
    </row>
    <row r="532">
      <c r="A532" s="5" t="inlineStr">
        <is>
          <t>b6-flort-uygulamasi</t>
        </is>
      </c>
      <c r="B532" s="5" t="n">
        <v>1</v>
      </c>
      <c r="C532" s="6" t="inlineStr">
        <is>
          <t>Kuzenli fotoğrafı koy</t>
        </is>
      </c>
      <c r="D532" s="5" t="inlineStr"/>
      <c r="E532" s="5" t="inlineStr"/>
      <c r="F532" s="5" t="inlineStr">
        <is>
          <t>Sosyal Radar +1</t>
        </is>
      </c>
      <c r="G532" s="6" t="inlineStr">
        <is>
          <t>Bütün eşleşmeler kuzenine yazdı. Kuzen artık bir ilişkide.</t>
        </is>
      </c>
      <c r="H532" s="6" t="inlineStr"/>
      <c r="I532" s="6" t="inlineStr"/>
      <c r="J532" s="6" t="inlineStr"/>
      <c r="K532" s="6" t="inlineStr"/>
      <c r="L532" s="6" t="inlineStr"/>
      <c r="M532" s="5" t="inlineStr"/>
      <c r="N532" s="5" t="inlineStr"/>
      <c r="O532" s="6" t="inlineStr"/>
      <c r="P532" s="6" t="inlineStr"/>
      <c r="Q532" s="5" t="inlineStr"/>
      <c r="R532" s="5" t="inlineStr"/>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c r="AI532" s="5" t="inlineStr"/>
      <c r="AJ532" s="5" t="inlineStr"/>
    </row>
    <row r="533">
      <c r="A533" s="5" t="inlineStr">
        <is>
          <t>b6-flort-uygulamasi</t>
        </is>
      </c>
      <c r="B533" s="5" t="n">
        <v>2</v>
      </c>
      <c r="C533" s="6" t="inlineStr">
        <is>
          <t>Çatıda gün batımı fotoğrafı çek</t>
        </is>
      </c>
      <c r="D533" s="5" t="inlineStr">
        <is>
          <t>Cesaret</t>
        </is>
      </c>
      <c r="E533" s="5" t="inlineStr">
        <is>
          <t>Zor</t>
        </is>
      </c>
      <c r="F533" s="5" t="inlineStr"/>
      <c r="G533" s="6" t="inlineStr"/>
      <c r="H533" s="6" t="inlineStr">
        <is>
          <t>Fotoğraf muhteşem. Eşleşmeler geldi. Hepsi 'Bu hangi çatı?' diye soruyor.</t>
        </is>
      </c>
      <c r="I533" s="6" t="inlineStr">
        <is>
          <t>Öyle güzel çıktı ki uygulama reklamda kullandı. Seni kimse tanımadı ama gün batımını herkes tanıdı.</t>
        </is>
      </c>
      <c r="J533" s="6" t="inlineStr">
        <is>
          <t>Güneş çoktan batmıştı. Fotoğrafta karanlıkta parlayan bir yüz var.</t>
        </is>
      </c>
      <c r="K533" s="6" t="inlineStr">
        <is>
          <t>Çatı kapısı arkandan kapandı. Gün batımını, gün doğumunu ve apartman yöneticisini aynı karede gördün.</t>
        </is>
      </c>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n">
        <v>3</v>
      </c>
      <c r="Z533" s="6" t="inlineStr">
        <is>
          <t>Profil fotoğrafı için çatının kenarında, 'Son bir kare daha' derken.</t>
        </is>
      </c>
      <c r="AA533" s="5" t="inlineStr"/>
      <c r="AB533" s="5" t="inlineStr"/>
      <c r="AC533" s="5" t="inlineStr"/>
      <c r="AD533" s="5" t="inlineStr"/>
      <c r="AE533" s="5" t="inlineStr"/>
      <c r="AF533" s="5" t="inlineStr"/>
      <c r="AG533" s="5" t="inlineStr"/>
      <c r="AH533" s="5" t="inlineStr"/>
      <c r="AI533" s="5" t="inlineStr"/>
      <c r="AJ533" s="5" t="inlineStr"/>
    </row>
    <row r="534">
      <c r="A534" s="5" t="inlineStr">
        <is>
          <t>b6-flort-uygulamasi</t>
        </is>
      </c>
      <c r="B534" s="5" t="n">
        <v>3</v>
      </c>
      <c r="C534" s="6" t="inlineStr">
        <is>
          <t>İlk mesajı yaz</t>
        </is>
      </c>
      <c r="D534" s="5" t="inlineStr">
        <is>
          <t>Gönül</t>
        </is>
      </c>
      <c r="E534" s="5" t="inlineStr">
        <is>
          <t>Orta</t>
        </is>
      </c>
      <c r="F534" s="5" t="inlineStr"/>
      <c r="G534" s="6" t="inlineStr"/>
      <c r="H534" s="6" t="inlineStr">
        <is>
          <t>'Merhaba' yazdın. 'Merhaba' geldi. Sohbet üç gün sürdü, konusu hâlâ belirsiz.</t>
        </is>
      </c>
      <c r="I534" s="6" t="inlineStr">
        <is>
          <t>Buluşma ayarlandı. Kafede iki saat konuştunuz, kimse telefonuna bakmadı.</t>
        </is>
      </c>
      <c r="J534" s="6" t="inlineStr">
        <is>
          <t>Uzun, düşünülmüş bir mesaj yazdın. Cevap: 'hahaha'.</t>
        </is>
      </c>
      <c r="K534" s="6" t="inlineStr">
        <is>
          <t>Saatlerce düşündüğün “Gülüşün çok güzel” mesajını eşleşmene değil, aile grubuna attın. İlk teyzen yazdı: “Kim bu?” Sonra annen: “Bana mı yazdın yavrum?” Baban kalp attı.</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inlineStr"/>
      <c r="Z534" s="6" t="inlineStr"/>
      <c r="AA534" s="5" t="inlineStr"/>
      <c r="AB534" s="5" t="inlineStr"/>
      <c r="AC534" s="5" t="inlineStr"/>
      <c r="AD534" s="5" t="inlineStr"/>
      <c r="AE534" s="5" t="inlineStr"/>
      <c r="AF534" s="5" t="inlineStr"/>
      <c r="AG534" s="5" t="inlineStr"/>
      <c r="AH534" s="5" t="inlineStr"/>
      <c r="AI534" s="5" t="inlineStr"/>
      <c r="AJ534" s="5" t="inlineStr"/>
    </row>
    <row r="535">
      <c r="A535" s="5" t="inlineStr">
        <is>
          <t>b6-flort-uygulamasi</t>
        </is>
      </c>
      <c r="B535" s="5" t="n">
        <v>4</v>
      </c>
      <c r="C535" s="6" t="inlineStr">
        <is>
          <t>Videolarını profile koy</t>
        </is>
      </c>
      <c r="D535" s="5" t="inlineStr">
        <is>
          <t>Pişkinlik</t>
        </is>
      </c>
      <c r="E535" s="5" t="inlineStr">
        <is>
          <t>Kolay</t>
        </is>
      </c>
      <c r="F535" s="5" t="inlineStr"/>
      <c r="G535" s="6" t="inlineStr"/>
      <c r="H535" s="6" t="inlineStr">
        <is>
          <t>Eşleşmeler yağdı. Hepsi zaten takipçinmiş.</t>
        </is>
      </c>
      <c r="I535" s="6" t="inlineStr">
        <is>
          <t>Bir takipçin seni kafeye çağırdı. Kamerasız, kendin olarak gittin. Buna şaşırdı, hoşuna gitti.</t>
        </is>
      </c>
      <c r="J535" s="6" t="inlineStr">
        <is>
          <t>Videolarını gören eşleşmen seni takipten çıktı.</t>
        </is>
      </c>
      <c r="K535" s="6" t="inlineStr">
        <is>
          <t>Eşleşmen seni tanıdı: eski bir videonun arka planında balkonda çamaşır asan komşuymuş. İlk mesajı: “Kedini benim balkonuma sen mi yolluyordun?” Eşleşme bitti; kedi hâlâ gidiyor.</t>
        </is>
      </c>
      <c r="L535" s="6" t="inlineStr"/>
      <c r="M535" s="5" t="inlineStr"/>
      <c r="N535" s="5" t="inlineStr"/>
      <c r="O535" s="6" t="inlineStr"/>
      <c r="P535" s="6" t="inlineStr"/>
      <c r="Q535" s="5" t="inlineStr"/>
      <c r="R535" s="5" t="inlineStr">
        <is>
          <t>fenomen</t>
        </is>
      </c>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c r="AI535" s="5" t="inlineStr"/>
      <c r="AJ535" s="5" t="inlineStr"/>
    </row>
    <row r="536">
      <c r="A536" s="5" t="inlineStr">
        <is>
          <t>b6-kamp-atesi</t>
        </is>
      </c>
      <c r="B536" s="5" t="n">
        <v>1</v>
      </c>
      <c r="C536" s="6" t="inlineStr">
        <is>
          <t>Kovayı doldur, yanında bekle</t>
        </is>
      </c>
      <c r="D536" s="5" t="inlineStr"/>
      <c r="E536" s="5" t="inlineStr"/>
      <c r="F536" s="5" t="inlineStr">
        <is>
          <t>İtibar +1, Akıl +1</t>
        </is>
      </c>
      <c r="G536" s="6" t="inlineStr">
        <is>
          <t>Dolu kovayı ateşin yanına koydun. Kimse fark etmedi. Kova gece boyu nöbet tuttu.</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c r="AI536" s="5" t="inlineStr"/>
      <c r="AJ536" s="5" t="inlineStr"/>
    </row>
    <row r="537">
      <c r="A537" s="5" t="inlineStr">
        <is>
          <t>b6-kamp-atesi</t>
        </is>
      </c>
      <c r="B537" s="5" t="n">
        <v>2</v>
      </c>
      <c r="C537" s="6" t="inlineStr">
        <is>
          <t>Ateşi 'kesin güvenli' arkadaşa bırak</t>
        </is>
      </c>
      <c r="D537" s="5" t="inlineStr">
        <is>
          <t>Sosyal Radar</t>
        </is>
      </c>
      <c r="E537" s="5" t="inlineStr">
        <is>
          <t>Zor</t>
        </is>
      </c>
      <c r="F537" s="5" t="inlineStr"/>
      <c r="G537" s="6" t="inlineStr"/>
      <c r="H537" s="6" t="inlineStr">
        <is>
          <t>Ateş yandı, sadece bir kamp sandalyesi biraz eridi. Gece güzel geçti.</t>
        </is>
      </c>
      <c r="I537" s="6" t="inlineStr">
        <is>
          <t>Arkadaş gerçekten biliyormuş. Harika bir ateş, harika sohbet, tek bir yanık mısır.</t>
        </is>
      </c>
      <c r="J537" s="6" t="inlineStr">
        <is>
          <t>Ateş bir türlü yanmadı. Arkadaş gece boyunca rüzgârı suçladı.</t>
        </is>
      </c>
      <c r="K537" s="6" t="inlineStr">
        <is>
          <t>Ateş biraz fazla yandı; çadırın yarısı gökyüzüne karıştı. “Kesin güvenli” diyen arkadaş kovayla koştu; kovada su yoktu. Kalan yarım çadırda dört kişi uyudunuz; o dışarıda.</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n">
        <v>2</v>
      </c>
      <c r="Z537" s="6" t="inlineStr">
        <is>
          <t>Arkadaşının 'Kesin güvenli' dediği kamp ateşinin başında. Arkadaş fikrini değiştirmedi.</t>
        </is>
      </c>
      <c r="AA537" s="5" t="inlineStr"/>
      <c r="AB537" s="5" t="inlineStr"/>
      <c r="AC537" s="5" t="inlineStr"/>
      <c r="AD537" s="5" t="inlineStr"/>
      <c r="AE537" s="5" t="inlineStr"/>
      <c r="AF537" s="5" t="inlineStr"/>
      <c r="AG537" s="5" t="inlineStr"/>
      <c r="AH537" s="5" t="inlineStr"/>
      <c r="AI537" s="5" t="inlineStr"/>
      <c r="AJ537" s="5" t="inlineStr"/>
    </row>
    <row r="538">
      <c r="A538" s="5" t="inlineStr">
        <is>
          <t>b6-kamp-atesi</t>
        </is>
      </c>
      <c r="B538" s="5" t="n">
        <v>3</v>
      </c>
      <c r="C538" s="6" t="inlineStr">
        <is>
          <t>Ateşi sen yak</t>
        </is>
      </c>
      <c r="D538" s="5" t="inlineStr">
        <is>
          <t>Dayanıklılık</t>
        </is>
      </c>
      <c r="E538" s="5" t="inlineStr">
        <is>
          <t>Orta</t>
        </is>
      </c>
      <c r="F538" s="5" t="inlineStr"/>
      <c r="G538" s="6" t="inlineStr"/>
      <c r="H538" s="6" t="inlineStr">
        <is>
          <t>Tek kibritle yaktın. Gecenin kalanı senin hikâyelerinle geçti.</t>
        </is>
      </c>
      <c r="I538" s="6" t="inlineStr">
        <is>
          <t>Ateşi tek kibritle yaktın, üstüne çaydanlığı oturttun. O gece kimse “Ben bilirim” demedi; o arkadaş bile çayını sana doldurttu.</t>
        </is>
      </c>
      <c r="J538" s="6" t="inlineStr">
        <is>
          <t>On yedi kibrit yaktın. On sekizincisi kutunun kendisiydi.</t>
        </is>
      </c>
      <c r="K538" s="6" t="inlineStr">
        <is>
          <t>Ateş tutmayınca bütün çakmak gazını odunlara boşalttın. Ateş bir anda parladı; kaşların da gitti. Kampta adın artık “Kaşsız”; o yazın bütün fotoğraflarında şaşkın bakıyorsun.</t>
        </is>
      </c>
      <c r="L538" s="6" t="inlineStr"/>
      <c r="M538" s="5" t="inlineStr"/>
      <c r="N538" s="5" t="inlineStr"/>
      <c r="O538" s="6" t="inlineStr"/>
      <c r="P538" s="6" t="inlineStr"/>
      <c r="Q538" s="5" t="inlineStr"/>
      <c r="R538" s="5" t="inlineStr"/>
      <c r="S538" s="5" t="inlineStr"/>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c r="AI538" s="5" t="inlineStr">
        <is>
          <t>Kaşsız</t>
        </is>
      </c>
      <c r="AJ538" s="5" t="inlineStr"/>
    </row>
    <row r="539">
      <c r="A539" s="5" t="inlineStr">
        <is>
          <t>mb-ilk-gun-karti</t>
        </is>
      </c>
      <c r="B539" s="5" t="n">
        <v>1</v>
      </c>
      <c r="C539" s="6" t="inlineStr">
        <is>
          <t>Lobide bekle</t>
        </is>
      </c>
      <c r="D539" s="5" t="inlineStr"/>
      <c r="E539" s="5" t="inlineStr"/>
      <c r="F539" s="5" t="inlineStr">
        <is>
          <t>Dayanıklılık +1</t>
        </is>
      </c>
      <c r="G539" s="6" t="inlineStr">
        <is>
          <t>İlk günün lobide geçti. Yakana 'ZİYARETÇİ' kartı takıldı. Sonraki üç ay kendini de öyle hissettin.</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c r="AI539" s="5" t="inlineStr"/>
      <c r="AJ539" s="5" t="inlineStr"/>
    </row>
    <row r="540">
      <c r="A540" s="5" t="inlineStr">
        <is>
          <t>mb-ilk-gun-karti</t>
        </is>
      </c>
      <c r="B540" s="5" t="n">
        <v>2</v>
      </c>
      <c r="C540" s="6" t="inlineStr">
        <is>
          <t>İnsan kaynaklarını ara</t>
        </is>
      </c>
      <c r="D540" s="5" t="inlineStr">
        <is>
          <t>Çene</t>
        </is>
      </c>
      <c r="E540" s="5" t="inlineStr">
        <is>
          <t>Kolay</t>
        </is>
      </c>
      <c r="F540" s="5" t="inlineStr"/>
      <c r="G540" s="6" t="inlineStr"/>
      <c r="H540" s="6" t="inlineStr">
        <is>
          <t>İnsan kaynaklarını aradın; on dakikada kartın tanımlandı. Turnike ilk kez yeşil yandı, güvenlik görevlisi kısa bir alkış tuttu. Akşam annen “Kartını verdiler mi?” diye sordu; fotoğrafını çekip yolladın.</t>
        </is>
      </c>
      <c r="I540" s="6" t="inlineStr">
        <is>
          <t>Kartın tanımlandı; yanlışlıkla yönetim katına da yetki verildi. Kimseye söylemedin.</t>
        </is>
      </c>
      <c r="J540" s="6" t="inlineStr">
        <is>
          <t>İnsan kaynakları “Sistemde görünmüyorsunuz” dedi. Öğle yemeğini lobide güvenlik görevlisiyle yedin. Annen iki kez arayıp “Patron ne dedi?” diye sordu; patronu henüz görmemiştin.</t>
        </is>
      </c>
      <c r="K540" s="6" t="inlineStr">
        <is>
          <t>Seni işe alan kişinin dün ayrıldığını öğrendin. Sistemde o yok, sen de yoksun. Güvenlik görevlisi öğle yemeğini seninle paylaştı: “Ben de ilk gün böyleydim. On iki yıl önce.”</t>
        </is>
      </c>
      <c r="L540" s="6" t="inlineStr"/>
      <c r="M540" s="5" t="inlineStr"/>
      <c r="N540" s="5" t="inlineStr"/>
      <c r="O540" s="6" t="inlineStr"/>
      <c r="P540" s="6" t="inlineStr"/>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c r="AI540" s="5" t="inlineStr"/>
      <c r="AJ540" s="5" t="inlineStr"/>
    </row>
    <row r="541">
      <c r="A541" s="5" t="inlineStr">
        <is>
          <t>mb-ilk-gun-karti</t>
        </is>
      </c>
      <c r="B541" s="5" t="n">
        <v>3</v>
      </c>
      <c r="C541" s="6" t="inlineStr">
        <is>
          <t>Kuryenin arkasından geç</t>
        </is>
      </c>
      <c r="D541" s="5" t="inlineStr">
        <is>
          <t>Kurnazlık</t>
        </is>
      </c>
      <c r="E541" s="5" t="inlineStr">
        <is>
          <t>Orta</t>
        </is>
      </c>
      <c r="F541" s="5" t="inlineStr"/>
      <c r="G541" s="6" t="inlineStr"/>
      <c r="H541" s="6" t="inlineStr">
        <is>
          <t>Turnikeden ikişer geçtiniz. Kurumsal hayata arka kapıdan, ama zamanında girdin.</t>
        </is>
      </c>
      <c r="I541" s="6" t="inlineStr">
        <is>
          <t>Kuryeyle geçtin, kurye de sana bir yemek siparişi teslim etti. İlk gün öğle yemeği çözüldü.</t>
        </is>
      </c>
      <c r="J541" s="6" t="inlineStr">
        <is>
          <t>Turnike ikinizi birden sıkıştırdı. Güvenlik kamerası ilk gününü arşivledi.</t>
        </is>
      </c>
      <c r="K541" s="6" t="inlineStr">
        <is>
          <t>Alarm çaldı. Oryantasyon eğitimin güvenlik odasında, ifade vererek başladı.</t>
        </is>
      </c>
      <c r="L541" s="6" t="inlineStr"/>
      <c r="M541" s="5" t="inlineStr"/>
      <c r="N541" s="5" t="inlineStr"/>
      <c r="O541" s="6" t="inlineStr"/>
      <c r="P541" s="6" t="inlineStr"/>
      <c r="Q541" s="5" t="inlineStr"/>
      <c r="R541" s="5" t="inlineStr"/>
      <c r="S541" s="5" t="inlineStr">
        <is>
          <t>Kurnazlık</t>
        </is>
      </c>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c r="AI541" s="5" t="inlineStr"/>
      <c r="AJ541" s="5" t="inlineStr"/>
    </row>
    <row r="542">
      <c r="A542" s="5" t="inlineStr">
        <is>
          <t>me-dukkan-acilisi</t>
        </is>
      </c>
      <c r="B542" s="5" t="n">
        <v>1</v>
      </c>
      <c r="C542" s="6" t="inlineStr">
        <is>
          <t>Cama 'Açılışa özel' yaz</t>
        </is>
      </c>
      <c r="D542" s="5" t="inlineStr"/>
      <c r="E542" s="5" t="inlineStr"/>
      <c r="F542" s="5" t="inlineStr">
        <is>
          <t>Çene +1, Kurnazlık +1</t>
        </is>
      </c>
      <c r="G542" s="6" t="inlineStr">
        <is>
          <t>Camına 'Açılışa özel' yazdın. Yazı on yedi yıl orada kalacak.</t>
        </is>
      </c>
      <c r="H542" s="6" t="inlineStr"/>
      <c r="I542" s="6" t="inlineStr"/>
      <c r="J542" s="6" t="inlineStr"/>
      <c r="K542" s="6" t="inlineStr"/>
      <c r="L542" s="6" t="inlineStr"/>
      <c r="M542" s="5" t="inlineStr"/>
      <c r="N542" s="5" t="inlineStr"/>
      <c r="O542" s="6" t="inlineStr"/>
      <c r="P542" s="6" t="inlineStr"/>
      <c r="Q542" s="5" t="inlineStr"/>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c r="AI542" s="5" t="inlineStr"/>
      <c r="AJ542" s="5" t="inlineStr"/>
    </row>
    <row r="543">
      <c r="A543" s="5" t="inlineStr">
        <is>
          <t>me-dukkan-acilisi</t>
        </is>
      </c>
      <c r="B543" s="5" t="n">
        <v>2</v>
      </c>
      <c r="C543" s="6" t="inlineStr">
        <is>
          <t>Vitrini düzenle</t>
        </is>
      </c>
      <c r="D543" s="5" t="inlineStr">
        <is>
          <t>Akıl</t>
        </is>
      </c>
      <c r="E543" s="5" t="inlineStr">
        <is>
          <t>Orta</t>
        </is>
      </c>
      <c r="F543" s="5" t="inlineStr"/>
      <c r="G543" s="6" t="inlineStr"/>
      <c r="H543" s="6" t="inlineStr">
        <is>
          <t>Vitrin kusursuz. Yoldan geçenler durup baktı, sonra yürümeye devam etti. Ama durdular.</t>
        </is>
      </c>
      <c r="I543" s="6" t="inlineStr">
        <is>
          <t>Vitrin o kadar güzel oldu ki karşı dükkânın çırağı gizlice fotoğrafını çekti. Ertesi sabah onların vitrini de aynıydı; sadece kapıda senin kedin yoktu.</t>
        </is>
      </c>
      <c r="J543" s="6" t="inlineStr">
        <is>
          <t>Kutular yamuk durdu. Müşteriler bunu 'samimi bir işletme' olarak yorumladı.</t>
        </is>
      </c>
      <c r="K543" s="6" t="inlineStr">
        <is>
          <t>Vitrin açılıştan on dakika önce çöktü; kutular kaldırıma kadar yuvarlandı. Karşı kaldırımdaki esnaflar çaylarını bırakmadan izledi. Siftahı ezilmiş bir kutuyla, yarı fiyatına yaptın.</t>
        </is>
      </c>
      <c r="L543" s="6" t="inlineStr">
        <is>
          <t>Vitrin ayakta ama bir kutu hafif eğik. Her sabah düzelteceksin; her akşam yine eğilecek.</t>
        </is>
      </c>
      <c r="M543" s="5" t="inlineStr">
        <is>
          <t>tower</t>
        </is>
      </c>
      <c r="N543" s="5" t="inlineStr">
        <is>
          <t>Vitrin Düzeni</t>
        </is>
      </c>
      <c r="O543" s="6" t="inlineStr">
        <is>
          <t>Kaymadan üst üste dizmek için doğru anda BIRAK'a bas.</t>
        </is>
      </c>
      <c r="P543" s="6" t="inlineStr">
        <is>
          <t>{"item": "📦"}</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c r="AI543" s="5" t="inlineStr"/>
      <c r="AJ543" s="5" t="inlineStr"/>
    </row>
    <row r="544">
      <c r="A544" s="5" t="inlineStr">
        <is>
          <t>me-dukkan-acilisi</t>
        </is>
      </c>
      <c r="B544" s="5" t="n">
        <v>3</v>
      </c>
      <c r="C544" s="6" t="inlineStr">
        <is>
          <t>Kapıda müşteri çevir</t>
        </is>
      </c>
      <c r="D544" s="5" t="inlineStr">
        <is>
          <t>Çene</t>
        </is>
      </c>
      <c r="E544" s="5" t="inlineStr">
        <is>
          <t>Kolay</t>
        </is>
      </c>
      <c r="F544" s="5" t="inlineStr"/>
      <c r="G544" s="6" t="inlineStr"/>
      <c r="H544" s="6" t="inlineStr">
        <is>
          <t>Geçen üç kişiden ikisini içeri aldın. Biri gerçekten bir şey aldı.</t>
        </is>
      </c>
      <c r="I544" s="6" t="inlineStr">
        <is>
          <t>Sokaktan geçen herkesi içeri aldın. Kira toplamaya gelen dükkân sahibi bile bir şey aldı.</t>
        </is>
      </c>
      <c r="J544" s="6" t="inlineStr">
        <is>
          <t>Seslendin, çağırdın. Sokak seni bir süre izledi, sonra karşı kaldırıma geçti.</t>
        </is>
      </c>
      <c r="K544" s="6" t="inlineStr">
        <is>
          <t>O kadar ısrarcı oldun ki mahallenin mesaj grubunda 'Dikkat, kapıda çeviren dükkân' uyarısı dolaşıma girdi.</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c r="AI544" s="5" t="inlineStr"/>
      <c r="AJ544" s="5" t="inlineStr"/>
    </row>
    <row r="545">
      <c r="A545" s="5" t="inlineStr">
        <is>
          <t>me-dukkan-acilisi</t>
        </is>
      </c>
      <c r="B545" s="5" t="n">
        <v>4</v>
      </c>
      <c r="C545" s="6" t="inlineStr">
        <is>
          <t>Siftahı törenle yap</t>
        </is>
      </c>
      <c r="D545" s="5" t="inlineStr">
        <is>
          <t>Çene</t>
        </is>
      </c>
      <c r="E545" s="5" t="inlineStr">
        <is>
          <t>Kolay</t>
        </is>
      </c>
      <c r="F545" s="5" t="inlineStr"/>
      <c r="G545" s="6" t="inlineStr"/>
      <c r="H545" s="6" t="inlineStr">
        <is>
          <t>İlk müşteriye bereket indirimi yaptın, parayı alnına değdirip kasaya koydun. Karşıdaki yaşlı esnaf uzaktan başını salladı: “Usul biliyor.”</t>
        </is>
      </c>
      <c r="I545" s="6" t="inlineStr">
        <is>
          <t>Siftah parasını çerçeveletip kasanın üstüne astın. Annen dükkâna geldiğinde önce paraya, sonra sana baktı; gözleri doldu. Akşama kadar kapı boş kalmadı.</t>
        </is>
      </c>
      <c r="J545" s="6" t="inlineStr">
        <is>
          <t>Siftah parasını çerçevelemek istedin; o parayla para üstü vermen gerekti. Çerçeve boş kaldı.</t>
        </is>
      </c>
      <c r="K545" s="6" t="inlineStr">
        <is>
          <t>İlk müşteriye bereket indirimi yaptın. Müşteri hesabı kendi yaptı. Siftah zararla açıldı.</t>
        </is>
      </c>
      <c r="L545" s="6" t="inlineStr"/>
      <c r="M545" s="5" t="inlineStr"/>
      <c r="N545" s="5" t="inlineStr"/>
      <c r="O545" s="6" t="inlineStr"/>
      <c r="P545" s="6" t="inlineStr"/>
      <c r="Q545" s="5" t="inlineStr">
        <is>
          <t>Küçük Tüccar</t>
        </is>
      </c>
      <c r="R545" s="5" t="inlineStr"/>
      <c r="S545" s="5" t="inlineStr"/>
      <c r="T545" s="5" t="inlineStr"/>
      <c r="U545" s="5" t="inlineStr"/>
      <c r="V545" s="5" t="inlineStr"/>
      <c r="W545" s="5" t="inlineStr"/>
      <c r="X545" s="5" t="inlineStr"/>
      <c r="Y545" s="5" t="inlineStr"/>
      <c r="Z545" s="6" t="inlineStr"/>
      <c r="AA545" s="5" t="inlineStr"/>
      <c r="AB545" s="5" t="inlineStr"/>
      <c r="AC545" s="5" t="inlineStr"/>
      <c r="AD545" s="5" t="inlineStr"/>
      <c r="AE545" s="5" t="inlineStr"/>
      <c r="AF545" s="5" t="inlineStr"/>
      <c r="AG545" s="5" t="inlineStr"/>
      <c r="AH545" s="5" t="inlineStr"/>
      <c r="AI545" s="5" t="inlineStr"/>
      <c r="AJ545" s="5" t="inlineStr"/>
      <c r="AL545" t="n">
        <v>1</v>
      </c>
    </row>
    <row r="546">
      <c r="A546" s="5" t="inlineStr">
        <is>
          <t>mm-ilk-atama</t>
        </is>
      </c>
      <c r="B546" s="5" t="n">
        <v>1</v>
      </c>
      <c r="C546" s="6" t="inlineStr">
        <is>
          <t>Göreve başlama belgesini imzala</t>
        </is>
      </c>
      <c r="D546" s="5" t="inlineStr">
        <is>
          <t>Dayanıklılık</t>
        </is>
      </c>
      <c r="E546" s="5" t="inlineStr">
        <is>
          <t>Kolay</t>
        </is>
      </c>
      <c r="F546" s="5" t="inlineStr"/>
      <c r="G546" s="6" t="inlineStr"/>
      <c r="H546" s="6" t="inlineStr">
        <is>
          <t>Göreve başlama belgesini imzaladın. Şef mürekkebi üfledi, belgeyi rafa kaldırdı: “Geçmiş olsun. Otuz yıl.”</t>
        </is>
      </c>
      <c r="I546" s="6" t="inlineStr">
        <is>
          <t>İmzan o kadar düzgün çıktı ki şube şefi fotokopisini 'örnek imza' klasörüne koydu.</t>
        </is>
      </c>
      <c r="J546" s="6" t="inlineStr">
        <is>
          <t>İmzan yamuk çıktı. Otuz yıl boyunca her imzayı bu yamuğa sadık atman gerekecek.</t>
        </is>
      </c>
      <c r="K546" s="6" t="inlineStr">
        <is>
          <t>İmzayı yanlış satıra attın. Kayıtlara göre kasabanın yeni temizlik malzemesi sorumlususun.</t>
        </is>
      </c>
      <c r="L546" s="6" t="inlineStr">
        <is>
          <t>İmza tuttu ama biraz titrek. Kurum bunu 'heyecan' olarak dosyaladı.</t>
        </is>
      </c>
      <c r="M546" s="5" t="inlineStr">
        <is>
          <t>trace</t>
        </is>
      </c>
      <c r="N546" s="5" t="inlineStr">
        <is>
          <t>İlk Resmî İmza</t>
        </is>
      </c>
      <c r="O546" s="6" t="inlineStr">
        <is>
          <t>İmzanı çizgiden taşmadan tek hamlede at. Bu imza otuz yıl boyunca her şeyin altında olacak.</t>
        </is>
      </c>
      <c r="P546" s="6" t="inlineStr">
        <is>
          <t>{"shape": "imza"}</t>
        </is>
      </c>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c r="AI546" s="5" t="inlineStr"/>
      <c r="AJ546" s="5" t="inlineStr"/>
    </row>
    <row r="547">
      <c r="A547" s="5" t="inlineStr">
        <is>
          <t>mm-ilk-atama</t>
        </is>
      </c>
      <c r="B547" s="5" t="n">
        <v>2</v>
      </c>
      <c r="C547" s="6" t="inlineStr">
        <is>
          <t>İlk gün tayin dilekçesi ver</t>
        </is>
      </c>
      <c r="D547" s="5" t="inlineStr">
        <is>
          <t>Akıl</t>
        </is>
      </c>
      <c r="E547" s="5" t="inlineStr">
        <is>
          <t>Orta</t>
        </is>
      </c>
      <c r="F547" s="5" t="inlineStr"/>
      <c r="G547" s="6" t="inlineStr"/>
      <c r="H547" s="6" t="inlineStr">
        <is>
          <t>Dilekçen kayda girdi, sıra numarası aldı. İki yıl sonra değerlendirilecek. Sen de öyle.</t>
        </is>
      </c>
      <c r="I547" s="6" t="inlineStr">
        <is>
          <t>Dilekçen o kadar iyi yazılmıştı ki müdürlük onu örnek dilekçe olarak arşivledi. Tayinini de iki yıl sonraya.</t>
        </is>
      </c>
      <c r="J547" s="6" t="inlineStr">
        <is>
          <t>Şef 'Yeni gelen herkes verir' dedi ve dilekçeni, yeni gelen herkesin dilekçesinin üstüne koydu.</t>
        </is>
      </c>
      <c r="K547" s="6" t="inlineStr">
        <is>
          <t>Dilekçeyi yanlış birime verdin. Kasabanın içinde, daha da uzak bir mahalleye tayin edildin.</t>
        </is>
      </c>
      <c r="L547" s="6" t="inlineStr"/>
      <c r="M547" s="5" t="inlineStr"/>
      <c r="N547" s="5" t="inlineStr"/>
      <c r="O547" s="6" t="inlineStr"/>
      <c r="P547" s="6" t="inlineStr"/>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c r="AI547" s="5" t="inlineStr"/>
      <c r="AJ547" s="5" t="inlineStr"/>
    </row>
    <row r="548">
      <c r="A548" s="5" t="inlineStr">
        <is>
          <t>mm-ilk-atama</t>
        </is>
      </c>
      <c r="B548" s="5" t="n">
        <v>3</v>
      </c>
      <c r="C548" s="6" t="inlineStr">
        <is>
          <t>Fırıncıyla tanış</t>
        </is>
      </c>
      <c r="D548" s="5" t="inlineStr">
        <is>
          <t>Sosyal Radar</t>
        </is>
      </c>
      <c r="E548" s="5" t="inlineStr">
        <is>
          <t>Kolay</t>
        </is>
      </c>
      <c r="F548" s="5" t="inlineStr"/>
      <c r="G548" s="6" t="inlineStr"/>
      <c r="H548" s="6" t="inlineStr">
        <is>
          <t>Fırıncıyla dost oldun. Ekmeğin sıcak, dosyaların hızlı.</t>
        </is>
      </c>
      <c r="I548" s="6" t="inlineStr">
        <is>
          <t>Fırıncı müdürün kayınbiraderi çıktı. Her sabah ekmeğinin yanında bir de müdürün selamı geliyor. İlk yıl hiç geç kalmadın; kalsan da kimse fark etmezdi.</t>
        </is>
      </c>
      <c r="J548" s="6" t="inlineStr">
        <is>
          <t>Fırıncı yeni gelen memurlara ekmeği biraz daha pahalı veriyormuş. Tanışmak da dahil.</t>
        </is>
      </c>
      <c r="K548" s="6" t="inlineStr">
        <is>
          <t>Fırıncıya müdürü çekiştirdin. Kasabada tek fırın var; akşama kadar bütün kasaba, ertesi sabah da müdür biliyordu. Ekmeğin o günden beri bayat geliyor.</t>
        </is>
      </c>
      <c r="L548" s="6" t="inlineStr"/>
      <c r="M548" s="5" t="inlineStr"/>
      <c r="N548" s="5" t="inlineStr"/>
      <c r="O548" s="6" t="inlineStr"/>
      <c r="P548" s="6" t="inlineStr"/>
      <c r="Q548" s="5" t="inlineStr"/>
      <c r="R548" s="5" t="inlineStr"/>
      <c r="S548" s="5" t="inlineStr">
        <is>
          <t>Kurnazlık</t>
        </is>
      </c>
      <c r="T548" s="5" t="inlineStr"/>
      <c r="U548" s="5" t="inlineStr"/>
      <c r="V548" s="5" t="inlineStr"/>
      <c r="W548" s="5" t="inlineStr">
        <is>
          <t>memur-mudur-dusmani</t>
        </is>
      </c>
      <c r="X548" s="5" t="inlineStr"/>
      <c r="Y548" s="5" t="inlineStr"/>
      <c r="Z548" s="6" t="inlineStr"/>
      <c r="AA548" s="5" t="inlineStr"/>
      <c r="AB548" s="5" t="inlineStr"/>
      <c r="AC548" s="5" t="inlineStr"/>
      <c r="AD548" s="5" t="inlineStr"/>
      <c r="AE548" s="5" t="inlineStr"/>
      <c r="AF548" s="5" t="inlineStr"/>
      <c r="AG548" s="5" t="inlineStr"/>
      <c r="AH548" s="5" t="inlineStr"/>
      <c r="AI548" s="5" t="inlineStr"/>
      <c r="AJ548" s="5" t="inlineStr"/>
    </row>
    <row r="549">
      <c r="A549" s="5" t="inlineStr">
        <is>
          <t>mm-ilk-atama</t>
        </is>
      </c>
      <c r="B549" s="5" t="n">
        <v>4</v>
      </c>
      <c r="C549" s="6" t="inlineStr">
        <is>
          <t>Lojmana yerleş</t>
        </is>
      </c>
      <c r="D549" s="5" t="inlineStr"/>
      <c r="E549" s="5" t="inlineStr"/>
      <c r="F549" s="5" t="inlineStr">
        <is>
          <t>Dayanıklılık +1, İtibar +1</t>
        </is>
      </c>
      <c r="G549" s="6" t="inlineStr">
        <is>
          <t>Musluktan ilk gün yalnızca ses geldi. Akşam alt kattaki memurun eşi bir bidon suyla bir tabak börek getirdi: “Biz de ilk yıl böyleydik.”</t>
        </is>
      </c>
      <c r="H549" s="6" t="inlineStr"/>
      <c r="I549" s="6" t="inlineStr"/>
      <c r="J549" s="6" t="inlineStr"/>
      <c r="K549" s="6" t="inlineStr"/>
      <c r="L549" s="6" t="inlineStr"/>
      <c r="M549" s="5" t="inlineStr"/>
      <c r="N549" s="5" t="inlineStr"/>
      <c r="O549" s="6" t="inlineStr"/>
      <c r="P549" s="6" t="inlineStr"/>
      <c r="Q549" s="5" t="inlineStr"/>
      <c r="R549" s="5" t="inlineStr"/>
      <c r="S549" s="5" t="inlineStr"/>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c r="AI549" s="5" t="inlineStr"/>
      <c r="AJ549" s="5" t="inlineStr"/>
    </row>
    <row r="550">
      <c r="A550" s="5" t="inlineStr">
        <is>
          <t>ms-ilk-musteri</t>
        </is>
      </c>
      <c r="B550" s="5" t="n">
        <v>1</v>
      </c>
      <c r="C550" s="6" t="inlineStr">
        <is>
          <t>Fiyat ver</t>
        </is>
      </c>
      <c r="D550" s="5" t="inlineStr">
        <is>
          <t>Çene</t>
        </is>
      </c>
      <c r="E550" s="5" t="inlineStr">
        <is>
          <t>Orta</t>
        </is>
      </c>
      <c r="F550" s="5" t="inlineStr"/>
      <c r="G550" s="6" t="inlineStr"/>
      <c r="H550" s="6" t="inlineStr">
        <is>
          <t>Makul bir rakamda anlaştınız. Akşam ilk faturanı kestin; annen fotoğrafını isteyip aile grubuna attı. Teyzen sordu: “Fatura ödüyor mu, kesiyor mu?”</t>
        </is>
      </c>
      <c r="I550" s="6" t="inlineStr">
        <is>
          <t>Rakamını söyledin, müşteri hiç düşünmeden kabul etti. O an iki katını söylemen gerektiğini anladın. Neyse ki üstüne iki iş daha verdi.</t>
        </is>
      </c>
      <c r="J550" s="6" t="inlineStr">
        <is>
          <t>Anlaştınız. Ücret, kafede içtiğiniz iki kahveyi karşılamadı.</t>
        </is>
      </c>
      <c r="K550" s="6" t="inlineStr">
        <is>
          <t>Pazarlık bittiğinde müşteriye para ödemeyi kabul etmiştin. Kahveleri de sen ödedin.</t>
        </is>
      </c>
      <c r="L550" s="6" t="inlineStr">
        <is>
          <t>Ortada buluştunuz. Senin ortan biraz daha aşağıdaydı.</t>
        </is>
      </c>
      <c r="M550" s="5" t="inlineStr">
        <is>
          <t>duel</t>
        </is>
      </c>
      <c r="N550" s="5" t="inlineStr">
        <is>
          <t>İlk Teklif</t>
        </is>
      </c>
      <c r="O550" s="6" t="inlineStr">
        <is>
          <t>Karşındakinin sabrı bitmeden en iyi cevabı seç.</t>
        </is>
      </c>
      <c r="P550" s="6" t="inlineStr">
        <is>
          <t>{"who": "Müşteri", "item": "ilk iş", "mode": "sell"}</t>
        </is>
      </c>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c r="AI550" s="5" t="inlineStr"/>
      <c r="AJ550" s="5" t="inlineStr"/>
    </row>
    <row r="551">
      <c r="A551" s="5" t="inlineStr">
        <is>
          <t>ms-ilk-musteri</t>
        </is>
      </c>
      <c r="B551" s="5" t="n">
        <v>2</v>
      </c>
      <c r="C551" s="6" t="inlineStr">
        <is>
          <t>Arkadaş fiyatı yap</t>
        </is>
      </c>
      <c r="D551" s="5" t="inlineStr"/>
      <c r="E551" s="5" t="inlineStr"/>
      <c r="F551" s="5" t="inlineStr">
        <is>
          <t>İtibar +1</t>
        </is>
      </c>
      <c r="G551" s="6" t="inlineStr">
        <is>
          <t>Arkadaş fiyatı verdin. Müşteri arkadaşın değildi. Artık onun bütün arkadaşlarına da arkadaş fiyatın var.</t>
        </is>
      </c>
      <c r="H551" s="6" t="inlineStr"/>
      <c r="I551" s="6" t="inlineStr"/>
      <c r="J551" s="6" t="inlineStr"/>
      <c r="K551" s="6" t="inlineStr"/>
      <c r="L551" s="6" t="inlineStr"/>
      <c r="M551" s="5" t="inlineStr"/>
      <c r="N551" s="5" t="inlineStr"/>
      <c r="O551" s="6" t="inlineStr"/>
      <c r="P551" s="6" t="inlineStr"/>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c r="AI551" s="5" t="inlineStr"/>
      <c r="AJ551" s="5" t="inlineStr"/>
    </row>
    <row r="552">
      <c r="A552" s="5" t="inlineStr">
        <is>
          <t>ms-ilk-musteri</t>
        </is>
      </c>
      <c r="B552" s="5" t="n">
        <v>3</v>
      </c>
      <c r="C552" s="6" t="inlineStr">
        <is>
          <t>Rakibin rakamının biraz altını söyle</t>
        </is>
      </c>
      <c r="D552" s="5" t="inlineStr">
        <is>
          <t>Kurnazlık</t>
        </is>
      </c>
      <c r="E552" s="5" t="inlineStr">
        <is>
          <t>Kolay</t>
        </is>
      </c>
      <c r="F552" s="5" t="inlineStr"/>
      <c r="G552" s="6" t="inlineStr"/>
      <c r="H552" s="6" t="inlineStr">
        <is>
          <t>Rakibin teklifinin bir tık altına girdin. İş senin, rakip şaşkın.</t>
        </is>
      </c>
      <c r="I552" s="6" t="inlineStr">
        <is>
          <t>Rakibin bir tık altına girdin, bir de erken teslim sözü verdin. Üç gün erken teslim ettin. Müşteri telefonda sesini alçalttı: “Kimseye söylemeyin, sizi saklıyorum.”</t>
        </is>
      </c>
      <c r="J552" s="6" t="inlineStr">
        <is>
          <t>Rakibin teklifinin altına girdin; müşteri ikinizi birden bir tık daha aşağıya çekti.</t>
        </is>
      </c>
      <c r="K552" s="6" t="inlineStr">
        <is>
          <t>Ekranda gördüğün rakam aylık değil, saatlikmiş. Kendini aylığa sattın.</t>
        </is>
      </c>
      <c r="L552" s="6" t="inlineStr"/>
      <c r="M552" s="5" t="inlineStr"/>
      <c r="N552" s="5" t="inlineStr"/>
      <c r="O552" s="6" t="inlineStr"/>
      <c r="P552" s="6" t="inlineStr"/>
      <c r="Q552" s="5" t="inlineStr"/>
      <c r="R552" s="5" t="inlineStr"/>
      <c r="S552" s="5" t="inlineStr">
        <is>
          <t>Kurnazlık</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c r="AI552" s="5" t="inlineStr"/>
      <c r="AJ552" s="5" t="inlineStr"/>
    </row>
    <row r="553">
      <c r="A553" s="5" t="inlineStr">
        <is>
          <t>b6-is-gorusmesi</t>
        </is>
      </c>
      <c r="B553" s="5" t="n">
        <v>1</v>
      </c>
      <c r="C553" s="6" t="inlineStr">
        <is>
          <t>Dürüst cevap ver</t>
        </is>
      </c>
      <c r="D553" s="5" t="inlineStr"/>
      <c r="E553" s="5" t="inlineStr"/>
      <c r="F553" s="5" t="inlineStr">
        <is>
          <t>İtibar +1</t>
        </is>
      </c>
      <c r="G553" s="6" t="inlineStr">
        <is>
          <t>'Emekliliği planlarken' dedin. Gülüştüler. Başka adayı aldılar ama seni sevdiler.</t>
        </is>
      </c>
      <c r="H553" s="6" t="inlineStr"/>
      <c r="I553" s="6" t="inlineStr"/>
      <c r="J553" s="6" t="inlineStr"/>
      <c r="K553" s="6" t="inlineStr"/>
      <c r="L553" s="6" t="inlineStr"/>
      <c r="M553" s="5" t="inlineStr"/>
      <c r="N553" s="5" t="inlineStr"/>
      <c r="O553" s="6" t="inlineStr"/>
      <c r="P553" s="6" t="inlineStr"/>
      <c r="Q553" s="5" t="inlineStr"/>
      <c r="R553" s="5" t="inlineStr"/>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c r="AI553" s="5" t="inlineStr"/>
      <c r="AJ553" s="5" t="inlineStr"/>
    </row>
    <row r="554">
      <c r="A554" s="5" t="inlineStr">
        <is>
          <t>b6-is-gorusmesi</t>
        </is>
      </c>
      <c r="B554" s="5" t="n">
        <v>2</v>
      </c>
      <c r="C554" s="6" t="inlineStr">
        <is>
          <t>Soğukkanlılığını koru</t>
        </is>
      </c>
      <c r="D554" s="5" t="inlineStr">
        <is>
          <t>Dayanıklılık</t>
        </is>
      </c>
      <c r="E554" s="5" t="inlineStr">
        <is>
          <t>Orta</t>
        </is>
      </c>
      <c r="F554" s="5" t="inlineStr"/>
      <c r="G554" s="6" t="inlineStr"/>
      <c r="H554" s="6" t="inlineStr">
        <is>
          <t>Her soruyu sakin karşıladın. 'Size döneceğiz' dediler. Döndüler de.</t>
        </is>
      </c>
      <c r="I554" s="6" t="inlineStr">
        <is>
          <t>Görüşmenin sonunda seni onlar ikna etmeye çalıştı. Beklediğinden fazlasını teklif ettiler.</t>
        </is>
      </c>
      <c r="J554" s="6" t="inlineStr">
        <is>
          <t>Dördüncü soruda 'Neden bu şirket?' dediler. Şirketin adını unuttun.</t>
        </is>
      </c>
      <c r="K554" s="6" t="inlineStr">
        <is>
          <t>Zayıf yönünü sordular. 'Gerilince terlerim' dedin. Kanıt masadaydı.</t>
        </is>
      </c>
      <c r="L554" s="6" t="inlineStr">
        <is>
          <t>Bir soruda takıldın, sonra toparlandın. 'İkinci görüşmeye çağıracağız' dediler. Takvim belirsiz.</t>
        </is>
      </c>
      <c r="M554" s="5" t="inlineStr">
        <is>
          <t>lie</t>
        </is>
      </c>
      <c r="N554" s="5" t="inlineStr">
        <is>
          <t>Mülakat Soruları</t>
        </is>
      </c>
      <c r="O554" s="6" t="inlineStr">
        <is>
          <t>Söylediklerini aklında tut; sorulara çelişmeden cevap ver.</t>
        </is>
      </c>
      <c r="P554" s="6" t="inlineStr">
        <is>
          <t>{"who": "Mülakatçı", "facts": ["Önceki işimden kendi isteğimle ayrıldım.", "Beş yıllık tecrübem var.", "Maaş beklentim piyasa düzeyinde."], "qs": [{"q": "Neden ayrıldınız?", "o": ["Kendi isteğimle, yeni hedefler için.", "Beni çıkardılar.", "Patron beni sevmiyordu."]}, {"q": "Kaç yıllık tecrübeniz var?", "o": ["Beş yıl.", "Üç yıl.", "On yıl."]}, {"q": "Maaş beklentiniz?", "o": ["Piyasa düzeyinde.", "Ne verirseniz.", "İki katı."]}]}</t>
        </is>
      </c>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c r="AI554" s="5" t="inlineStr"/>
      <c r="AJ554" s="5" t="inlineStr"/>
    </row>
    <row r="555">
      <c r="A555" s="5" t="inlineStr">
        <is>
          <t>b6-is-gorusmesi</t>
        </is>
      </c>
      <c r="B555" s="5" t="n">
        <v>3</v>
      </c>
      <c r="C555" s="6" t="inlineStr">
        <is>
          <t>Sessiz olana oyna</t>
        </is>
      </c>
      <c r="D555" s="5" t="inlineStr">
        <is>
          <t>Sosyal Radar</t>
        </is>
      </c>
      <c r="E555" s="5" t="inlineStr">
        <is>
          <t>Kolay</t>
        </is>
      </c>
      <c r="F555" s="5" t="inlineStr"/>
      <c r="G555" s="6" t="inlineStr"/>
      <c r="H555" s="6" t="inlineStr">
        <is>
          <t>Cevaplarını ortadaki sessiz kişiye yönelttin. Görüşme bittiğinde sadece o gülümsüyordu. Yetti.</t>
        </is>
      </c>
      <c r="I555" s="6" t="inlineStr">
        <is>
          <t>Sessiz olan şirketin kurucusuymuş. Ertesi gün aradı: 'Ne zaman başlarsın?'</t>
        </is>
      </c>
      <c r="J555" s="6" t="inlineStr">
        <is>
          <t>Ortadakine baktın, o da sana. Kimse konuşmadı. Görüşme erken bitti.</t>
        </is>
      </c>
      <c r="K555" s="6" t="inlineStr">
        <is>
          <t>Sessiz olana öyle dikkatle baktın ki kalemini bıraktı: “Yüzümde bir şey mi var?” Diğer ikisi not aldı. Adının yanında tek kelime vardı: “Tuhaf.”</t>
        </is>
      </c>
      <c r="L555" s="6" t="inlineStr"/>
      <c r="M555" s="5" t="inlineStr"/>
      <c r="N555" s="5" t="inlineStr"/>
      <c r="O555" s="6" t="inlineStr"/>
      <c r="P555" s="6" t="inlineStr"/>
      <c r="Q555" s="5" t="inlineStr"/>
      <c r="R555" s="5" t="inlineStr"/>
      <c r="S555" s="5" t="inlineStr">
        <is>
          <t>Sosyal Radar</t>
        </is>
      </c>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c r="AI555" s="5" t="inlineStr"/>
      <c r="AJ555" s="5" t="inlineStr"/>
    </row>
    <row r="556">
      <c r="A556" s="5" t="inlineStr">
        <is>
          <t>b6-is-gorusmesi</t>
        </is>
      </c>
      <c r="B556" s="5" t="n">
        <v>4</v>
      </c>
      <c r="C556" s="6" t="inlineStr">
        <is>
          <t>Öte Diyar deneyimini anlat</t>
        </is>
      </c>
      <c r="D556" s="5" t="inlineStr">
        <is>
          <t>Çene</t>
        </is>
      </c>
      <c r="E556" s="5" t="inlineStr">
        <is>
          <t>Kolay</t>
        </is>
      </c>
      <c r="F556" s="5" t="inlineStr"/>
      <c r="G556" s="6" t="inlineStr"/>
      <c r="H556" s="6" t="inlineStr">
        <is>
          <t>Bir dönemlik değişim programını anlattıkça bir yıla uzattın. Görüşmecilerden biri dayanamayıp kendi değişim hikâyesini anlattı. Görüşmenin kalanı onun dönemiyle geçti; iş senin.</t>
        </is>
      </c>
      <c r="I556" s="6" t="inlineStr">
        <is>
          <t>Seni Öte Diyar'daki projelere önerdiler. Oradaki peynir hâlâ kötü, maaşsa iyi. Annen “Peynirini ben yollarım” dedi bile.</t>
        </is>
      </c>
      <c r="J556" s="6" t="inlineStr">
        <is>
          <t>Görüşmeci aynı şehirde iki yıl yaşamış. Anlattığın yerlerin hiçbirini tanımadı.</t>
        </is>
      </c>
      <c r="K556" s="6" t="inlineStr">
        <is>
          <t>Görüşmeci senin orada mikrodalgada yumurta patlattığın hikâyeyi zaten duymuş. Dünya küçük.</t>
        </is>
      </c>
      <c r="L556" s="6" t="inlineStr"/>
      <c r="M556" s="5" t="inlineStr"/>
      <c r="N556" s="5" t="inlineStr"/>
      <c r="O556" s="6" t="inlineStr"/>
      <c r="P556" s="6" t="inlineStr"/>
      <c r="Q556" s="5" t="inlineStr"/>
      <c r="R556" s="5" t="inlineStr">
        <is>
          <t>yurtdisi-gordu</t>
        </is>
      </c>
      <c r="S556" s="5" t="inlineStr"/>
      <c r="T556" s="5" t="inlineStr"/>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c r="AI556" s="5" t="inlineStr"/>
      <c r="AJ556" s="5" t="inlineStr"/>
    </row>
    <row r="557">
      <c r="A557" s="5" t="inlineStr">
        <is>
          <t>mb-acik-ofis</t>
        </is>
      </c>
      <c r="B557" s="5" t="n">
        <v>1</v>
      </c>
      <c r="C557" s="6" t="inlineStr">
        <is>
          <t>Kulaklığı tak</t>
        </is>
      </c>
      <c r="D557" s="5" t="inlineStr"/>
      <c r="E557" s="5" t="inlineStr"/>
      <c r="F557" s="5" t="inlineStr">
        <is>
          <t>Dayanıklılık +1</t>
        </is>
      </c>
      <c r="G557" s="6" t="inlineStr">
        <is>
          <t>Kulaklığı taktın; içinde hiçbir şey çalmıyor. Yan masadaki ikisi seni duymuyor sanıp maaşlarını konuştu. İkisininki de seninkinden yüksek.</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c r="AI557" s="5" t="inlineStr"/>
      <c r="AJ557" s="5" t="inlineStr"/>
    </row>
    <row r="558">
      <c r="A558" s="5" t="inlineStr">
        <is>
          <t>mb-acik-ofis</t>
        </is>
      </c>
      <c r="B558" s="5" t="n">
        <v>2</v>
      </c>
      <c r="C558" s="6" t="inlineStr">
        <is>
          <t>Masaya bitki koy, alan kazan</t>
        </is>
      </c>
      <c r="D558" s="5" t="inlineStr">
        <is>
          <t>Kurnazlık</t>
        </is>
      </c>
      <c r="E558" s="5" t="inlineStr">
        <is>
          <t>Kolay</t>
        </is>
      </c>
      <c r="F558" s="5" t="inlineStr"/>
      <c r="G558" s="6" t="inlineStr"/>
      <c r="H558" s="6" t="inlineStr">
        <is>
          <t>Bitkiyle başladın, dosya dolabıyla devam ettin. Açık ofiste kendi duvarını ördün.</t>
        </is>
      </c>
      <c r="I558" s="6" t="inlineStr">
        <is>
          <t>Masan öyle yeşillendi ki tesis yönetimi orayı 'dinlenme alanı' ilan etti. Tek kişilik.</t>
        </is>
      </c>
      <c r="J558" s="6" t="inlineStr">
        <is>
          <t>Bitki bir haftada kurudu. Klimanın tam altındaymışsın.</t>
        </is>
      </c>
      <c r="K558" s="6" t="inlineStr">
        <is>
          <t>Bitkiyi sularken klavyeye döktün. Katın geri kalanı için artık 'sulu masa' sensin.</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c r="AI558" s="5" t="inlineStr"/>
      <c r="AJ558" s="5" t="inlineStr"/>
    </row>
    <row r="559">
      <c r="A559" s="5" t="inlineStr">
        <is>
          <t>mb-acik-ofis</t>
        </is>
      </c>
      <c r="B559" s="5" t="n">
        <v>3</v>
      </c>
      <c r="C559" s="6" t="inlineStr">
        <is>
          <t>Herkesle kaynaş</t>
        </is>
      </c>
      <c r="D559" s="5" t="inlineStr">
        <is>
          <t>Sosyal Radar</t>
        </is>
      </c>
      <c r="E559" s="5" t="inlineStr">
        <is>
          <t>Zor</t>
        </is>
      </c>
      <c r="F559" s="5" t="inlineStr"/>
      <c r="G559" s="6" t="inlineStr"/>
      <c r="H559" s="6" t="inlineStr">
        <is>
          <t>Üç günde katın bütün dedikodu ağına bağlandın. Bilgi artık sende toplanıyor.</t>
        </is>
      </c>
      <c r="I559" s="6" t="inlineStr">
        <is>
          <t>Üç haftada kimin kime küs, kimin kiminle gizlice öğle yemeğine çıktığını çözdün. Bir gün müdürün masana eğildi, fısıldadı: “Bizim katta ben kime küsüm?”</t>
        </is>
      </c>
      <c r="J559" s="6" t="inlineStr">
        <is>
          <t>Kaynaşmaya çalıştın; herkes kulaklığını işaret etti.</t>
        </is>
      </c>
      <c r="K559" s="6" t="inlineStr">
        <is>
          <t>Kaynaşırken birini dedikodu yaparken yakaladın. O da seni. Aynı dedikoduyu yapıyordunuz.</t>
        </is>
      </c>
      <c r="L559" s="6" t="inlineStr"/>
      <c r="M559" s="5" t="inlineStr"/>
      <c r="N559" s="5" t="inlineStr"/>
      <c r="O559" s="6" t="inlineStr"/>
      <c r="P559" s="6" t="inlineStr"/>
      <c r="Q559" s="5" t="inlineStr"/>
      <c r="R559" s="5" t="inlineStr"/>
      <c r="S559" s="5" t="inlineStr"/>
      <c r="T559" s="5" t="inlineStr">
        <is>
          <t>Plaza Diplomatı</t>
        </is>
      </c>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c r="AI559" s="5" t="inlineStr"/>
      <c r="AJ559" s="5" t="inlineStr"/>
    </row>
    <row r="560">
      <c r="A560" s="5" t="inlineStr">
        <is>
          <t>b6-dugun-yagmuru</t>
        </is>
      </c>
      <c r="B560" s="5" t="n">
        <v>1</v>
      </c>
      <c r="C560" s="6" t="inlineStr">
        <is>
          <t>'Yakında' de ve gülümse</t>
        </is>
      </c>
      <c r="D560" s="5" t="inlineStr"/>
      <c r="E560" s="5" t="inlineStr"/>
      <c r="F560" s="5" t="inlineStr">
        <is>
          <t>Pişkinlik +1</t>
        </is>
      </c>
      <c r="G560" s="6" t="inlineStr">
        <is>
          <t>“Yakında” dedin. Teyze telefonunu çıkarıp takvime yazdı. Bir sonraki düğünde ilk sorusu şu oldu: “Ee, yakın geldi mi?”</t>
        </is>
      </c>
      <c r="H560" s="6" t="inlineStr"/>
      <c r="I560" s="6" t="inlineStr"/>
      <c r="J560" s="6" t="inlineStr"/>
      <c r="K560" s="6" t="inlineStr"/>
      <c r="L560" s="6" t="inlineStr"/>
      <c r="M560" s="5" t="inlineStr"/>
      <c r="N560" s="5" t="inlineStr"/>
      <c r="O560" s="6" t="inlineStr"/>
      <c r="P560" s="6" t="inlineStr"/>
      <c r="Q560" s="5" t="inlineStr"/>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c r="AI560" s="5" t="inlineStr"/>
      <c r="AJ560" s="5" t="inlineStr"/>
    </row>
    <row r="561">
      <c r="A561" s="5" t="inlineStr">
        <is>
          <t>b6-dugun-yagmuru</t>
        </is>
      </c>
      <c r="B561" s="5" t="n">
        <v>2</v>
      </c>
      <c r="C561" s="6" t="inlineStr">
        <is>
          <t>Halayın başına geç</t>
        </is>
      </c>
      <c r="D561" s="5" t="inlineStr">
        <is>
          <t>Cesaret</t>
        </is>
      </c>
      <c r="E561" s="5" t="inlineStr">
        <is>
          <t>Orta</t>
        </is>
      </c>
      <c r="F561" s="5" t="inlineStr"/>
      <c r="G561" s="6" t="inlineStr"/>
      <c r="H561" s="6" t="inlineStr">
        <is>
          <t>Mendili aldın, halayı başa çektin; dedeler bile kalktı. Halay bitince gelinin teyzesi doğruca annene gidip numaranı istedi.</t>
        </is>
      </c>
      <c r="I561" s="6" t="inlineStr">
        <is>
          <t>Halayı öyle çektin ki gelin damadı bırakıp arkana geçti, damat da gelinin arkasına. Kırk dakikalık halay bir saat sürdü; orkestra mola istedi, vermedin.</t>
        </is>
      </c>
      <c r="J561" s="6" t="inlineStr">
        <is>
          <t>Mendili aldın, adımları unuttun. Halay bir süre yerinde saydı.</t>
        </is>
      </c>
      <c r="K561" s="6" t="inlineStr">
        <is>
          <t>Mendili sallarken orkestranın mikrofonunu devirdin. Düğünün kalanı akustik devam etti.</t>
        </is>
      </c>
      <c r="L561" s="6" t="inlineStr">
        <is>
          <t>Halay iki kez yön değiştirdi ama kopmadı. Arkadaki dayın “Fena değil” dedi; dayından bundan fazlası çıkmaz.</t>
        </is>
      </c>
      <c r="M561" s="5" t="inlineStr">
        <is>
          <t>simon</t>
        </is>
      </c>
      <c r="N561" s="5" t="inlineStr">
        <is>
          <t>Halay Başı</t>
        </is>
      </c>
      <c r="O561" s="6" t="inlineStr">
        <is>
          <t>Sırayı dinle, aynı sırayla tekrar et.</t>
        </is>
      </c>
      <c r="P561" s="6" t="inlineStr">
        <is>
          <t>{"items": ["👣", "👏", "🪘", "🕺"]}</t>
        </is>
      </c>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c r="AI561" s="5" t="inlineStr"/>
      <c r="AJ561" s="5" t="inlineStr"/>
    </row>
    <row r="562">
      <c r="A562" s="5" t="inlineStr">
        <is>
          <t>b6-dugun-yagmuru</t>
        </is>
      </c>
      <c r="B562" s="5" t="n">
        <v>3</v>
      </c>
      <c r="C562" s="6" t="inlineStr">
        <is>
          <t>Teyzelerden kaç</t>
        </is>
      </c>
      <c r="D562" s="5" t="inlineStr">
        <is>
          <t>Kurnazlık</t>
        </is>
      </c>
      <c r="E562" s="5" t="inlineStr">
        <is>
          <t>Orta</t>
        </is>
      </c>
      <c r="F562" s="5" t="inlineStr"/>
      <c r="G562" s="6" t="inlineStr"/>
      <c r="H562" s="6" t="inlineStr">
        <is>
          <t>Tatlı servisinin kalabalığında kayboldun. Döndüğünde teyzeler yeğen fotoğraflarını başka birine gösteriyordu.</t>
        </is>
      </c>
      <c r="I562" s="6" t="inlineStr">
        <is>
          <t>Kaçarken teyzeleri bekâr kuzenine yönlendirdin. Kuzen bu yıl evleniyor. Sana davetiye verdi, teşekkür etmedi.</t>
        </is>
      </c>
      <c r="J562" s="6" t="inlineStr">
        <is>
          <t>Teyzeler seni otoparkta yakaladı. Yanlarında biri vardı. Daha selam vermeden adını, mesleğini ve annesinin memleketini biliyordun.</t>
        </is>
      </c>
      <c r="K562" s="6" t="inlineStr">
        <is>
          <t>Yanlış kapıdan çıktın, damadın odasına girdin. Aile fotoğrafına dahil edildin.</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c r="AI562" s="5" t="inlineStr"/>
      <c r="AJ562" s="5" t="inlineStr"/>
    </row>
    <row r="563">
      <c r="A563" s="5" t="inlineStr">
        <is>
          <t>b6-dugun-yagmuru</t>
        </is>
      </c>
      <c r="B563" s="5" t="n">
        <v>4</v>
      </c>
      <c r="C563" s="6" t="inlineStr">
        <is>
          <t>Mikrofonu al, şarkı söyle</t>
        </is>
      </c>
      <c r="D563" s="5" t="inlineStr">
        <is>
          <t>Pişkinlik</t>
        </is>
      </c>
      <c r="E563" s="5" t="inlineStr">
        <is>
          <t>Kolay</t>
        </is>
      </c>
      <c r="F563" s="5" t="inlineStr"/>
      <c r="G563" s="6" t="inlineStr"/>
      <c r="H563" s="6" t="inlineStr">
        <is>
          <t>Orkestra sana eşlik etti, salon nakarata katıldı. Gelinin annesi masasından kalkıp seni öptü; çıkarken cebinde iki düğün davetiyesi vardı.</t>
        </is>
      </c>
      <c r="I563" s="6" t="inlineStr">
        <is>
          <t>Üç ayrı düğüne davet edildin. Misafir olarak değil, sanatçı olarak.</t>
        </is>
      </c>
      <c r="J563" s="6" t="inlineStr">
        <is>
          <t>Sözleri unuttun, 'nanana' ile bitirdin. Alkış aldın, merhametten.</t>
        </is>
      </c>
      <c r="K563" s="6" t="inlineStr">
        <is>
          <t>Mikrofonu alıp gelinle damada konuşma yaptın; damadı, gelinin eski nişanlısının adıyla andın. Davul bile sustu. Damadın annesi o geceden beri seni “o arkadaş” diye anıyor.</t>
        </is>
      </c>
      <c r="L563" s="6" t="inlineStr"/>
      <c r="M563" s="5" t="inlineStr"/>
      <c r="N563" s="5" t="inlineStr"/>
      <c r="O563" s="6" t="inlineStr"/>
      <c r="P563" s="6" t="inlineStr"/>
      <c r="Q563" s="5" t="inlineStr">
        <is>
          <t>Sahne Sever</t>
        </is>
      </c>
      <c r="R563" s="5" t="inlineStr"/>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c r="AI563" s="5" t="inlineStr"/>
      <c r="AJ563" s="5" t="inlineStr"/>
    </row>
    <row r="564">
      <c r="A564" s="5" t="inlineStr">
        <is>
          <t>b6-dukkan-anahtari</t>
        </is>
      </c>
      <c r="B564" s="5" t="n">
        <v>1</v>
      </c>
      <c r="C564" s="6" t="inlineStr">
        <is>
          <t>Olduğu gibi işlet</t>
        </is>
      </c>
      <c r="D564" s="5" t="inlineStr"/>
      <c r="E564" s="5" t="inlineStr"/>
      <c r="F564" s="5" t="inlineStr">
        <is>
          <t>İtibar +1</t>
        </is>
      </c>
      <c r="G564" s="6" t="inlineStr">
        <is>
          <t>Bir hafta her şey yolunda gitti. Usta döndü: 'Hiç aramadın.' Hem övgü hem sitem.</t>
        </is>
      </c>
      <c r="H564" s="6" t="inlineStr"/>
      <c r="I564" s="6" t="inlineStr"/>
      <c r="J564" s="6" t="inlineStr"/>
      <c r="K564" s="6" t="inlineStr"/>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c r="AI564" s="5" t="inlineStr"/>
      <c r="AJ564" s="5" t="inlineStr"/>
    </row>
    <row r="565">
      <c r="A565" s="5" t="inlineStr">
        <is>
          <t>b6-dukkan-anahtari</t>
        </is>
      </c>
      <c r="B565" s="5" t="n">
        <v>2</v>
      </c>
      <c r="C565" s="6" t="inlineStr">
        <is>
          <t>Vitrini yeniden düzenle</t>
        </is>
      </c>
      <c r="D565" s="5" t="inlineStr">
        <is>
          <t>Kurnazlık</t>
        </is>
      </c>
      <c r="E565" s="5" t="inlineStr">
        <is>
          <t>Orta</t>
        </is>
      </c>
      <c r="F565" s="5" t="inlineStr"/>
      <c r="G565" s="6" t="inlineStr"/>
      <c r="H565" s="6" t="inlineStr">
        <is>
          <t>Satışlar arttı. Usta döndüğünde vitrine bakıp uzun uzun sustu.</t>
        </is>
      </c>
      <c r="I565" s="6" t="inlineStr">
        <is>
          <t>Vitrini baştan dizdin; mahalleli durup fotoğraf çekti. Usta dönünce kapıda uzun uzun baktı: “Bunu kim yaptı?” Cevabı bildiği hâlde üç kişiye daha sordu.</t>
        </is>
      </c>
      <c r="J565" s="6" t="inlineStr">
        <is>
          <t>Vitrini baştan dizdin. Otuz yıllık müşteriler girip aradığını bulamadı; biri dışarı çıkıp tabelaya baktı: “Usta dükkânı değiştirmiş mi?”</t>
        </is>
      </c>
      <c r="K565" s="6" t="inlineStr">
        <is>
          <t>Ustanın babasından kalma tabelayı düşürdün. Eskiden “USTA” yazıyordu, şimdi “UST”. Usta döndüğünde tabelaya baktı, sana baktı, tek kelime etmedi; o harfi bir daha hiç taktırmadı.</t>
        </is>
      </c>
      <c r="L565" s="6" t="inlineStr"/>
      <c r="M565" s="5" t="inlineStr"/>
      <c r="N565" s="5" t="inlineStr"/>
      <c r="O565" s="6" t="inlineStr"/>
      <c r="P565" s="6" t="inlineStr"/>
      <c r="Q565" s="5" t="inlineStr"/>
      <c r="R565" s="5" t="inlineStr"/>
      <c r="S565" s="5" t="inlineStr"/>
      <c r="T565" s="5" t="inlineStr"/>
      <c r="U565" s="5" t="inlineStr"/>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c r="AI565" s="5" t="inlineStr"/>
      <c r="AJ565" s="5" t="inlineStr"/>
    </row>
    <row r="566">
      <c r="A566" s="5" t="inlineStr">
        <is>
          <t>b6-dukkan-anahtari</t>
        </is>
      </c>
      <c r="B566" s="5" t="n">
        <v>3</v>
      </c>
      <c r="C566" s="6" t="inlineStr">
        <is>
          <t>Büyük işi tek başına al</t>
        </is>
      </c>
      <c r="D566" s="5" t="inlineStr">
        <is>
          <t>Cesaret</t>
        </is>
      </c>
      <c r="E566" s="5" t="inlineStr">
        <is>
          <t>Zor</t>
        </is>
      </c>
      <c r="F566" s="5" t="inlineStr"/>
      <c r="G566" s="6" t="inlineStr"/>
      <c r="H566" s="6" t="inlineStr">
        <is>
          <t>İşi bitirdin. Usta döndüğünde müşteri seni sordu. Onu değil.</t>
        </is>
      </c>
      <c r="I566" s="6" t="inlineStr">
        <is>
          <t>Zamanından önce bitirdin. Usta tabelanın altına küçük bir tahta ekledi: senin adın.</t>
        </is>
      </c>
      <c r="J566" s="6" t="inlineStr">
        <is>
          <t>İşin yarısında ustayı aradın. Memlekette telefon çekmiyormuş.</t>
        </is>
      </c>
      <c r="K566" s="6" t="inlineStr">
        <is>
          <t>İşi yarıda bıraktın, müşteri ustayı memleketten aradı. Usta yeğeninin düğününden kalkıp otobüse bindi. Döndüğünde sana tek kelime etmedi; üç gün boyunca çayını kendisi koydu.</t>
        </is>
      </c>
      <c r="L566" s="6" t="inlineStr"/>
      <c r="M566" s="5" t="inlineStr"/>
      <c r="N566" s="5" t="inlineStr"/>
      <c r="O566" s="6" t="inlineStr"/>
      <c r="P566" s="6" t="inlineStr"/>
      <c r="Q566" s="5" t="inlineStr"/>
      <c r="R566" s="5" t="inlineStr">
        <is>
          <t>usta-eli</t>
        </is>
      </c>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c r="AI566" s="5" t="inlineStr"/>
      <c r="AJ566" s="5" t="inlineStr"/>
    </row>
    <row r="567">
      <c r="A567" s="5" t="inlineStr">
        <is>
          <t>b6-dukkan-anahtari</t>
        </is>
      </c>
      <c r="B567" s="5" t="n">
        <v>4</v>
      </c>
      <c r="C567" s="6" t="inlineStr">
        <is>
          <t>Kendi müşterini bul</t>
        </is>
      </c>
      <c r="D567" s="5" t="inlineStr">
        <is>
          <t>Çene</t>
        </is>
      </c>
      <c r="E567" s="5" t="inlineStr">
        <is>
          <t>Orta</t>
        </is>
      </c>
      <c r="F567" s="5" t="inlineStr"/>
      <c r="G567" s="6" t="inlineStr"/>
      <c r="H567" s="6" t="inlineStr">
        <is>
          <t>Arkadaşlarını müşteri yaptın. Hepsi indirim bekledi, hepsine yaptın.</t>
        </is>
      </c>
      <c r="I567" s="6" t="inlineStr">
        <is>
          <t>Üç yeni müşteri getirdin. Usta seni çıraklıktan kalfalığa terfi ettirdi. Maaş aynı.</t>
        </is>
      </c>
      <c r="J567" s="6" t="inlineStr">
        <is>
          <t>Getirdiğin müşteri ustayı istedi.</t>
        </is>
      </c>
      <c r="K567" s="6" t="inlineStr">
        <is>
          <t>Arkadaşına veresiye yaptın. Defterde yeni bir sayfa açıldı: senin adınla.</t>
        </is>
      </c>
      <c r="L567" s="6" t="inlineStr"/>
      <c r="M567" s="5" t="inlineStr"/>
      <c r="N567" s="5" t="inlineStr"/>
      <c r="O567" s="6" t="inlineStr"/>
      <c r="P567" s="6" t="inlineStr"/>
      <c r="Q567" s="5" t="inlineStr"/>
      <c r="R567" s="5" t="inlineStr"/>
      <c r="S567" s="5" t="inlineStr"/>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c r="AI567" s="5" t="inlineStr"/>
      <c r="AJ567" s="5" t="inlineStr"/>
    </row>
    <row r="568">
      <c r="A568" s="5" t="inlineStr">
        <is>
          <t>me-veresiye-defteri</t>
        </is>
      </c>
      <c r="B568" s="5" t="n">
        <v>1</v>
      </c>
      <c r="C568" s="6" t="inlineStr">
        <is>
          <t>Deftere yaz</t>
        </is>
      </c>
      <c r="D568" s="5" t="inlineStr"/>
      <c r="E568" s="5" t="inlineStr"/>
      <c r="F568" s="5" t="inlineStr">
        <is>
          <t>İtibar +1</t>
        </is>
      </c>
      <c r="G568" s="6" t="inlineStr">
        <is>
          <t>Kırmızı kapaklı bir defter aldın, ilk satırı yazdın. Ay başı geldi, geçti. Defterin ikinci sayfası açıldı; birinci sayfa hâlâ kapanmadı.</t>
        </is>
      </c>
      <c r="H568" s="6" t="inlineStr"/>
      <c r="I568" s="6" t="inlineStr"/>
      <c r="J568" s="6" t="inlineStr"/>
      <c r="K568" s="6" t="inlineStr"/>
      <c r="L568" s="6" t="inlineStr"/>
      <c r="M568" s="5" t="inlineStr"/>
      <c r="N568" s="5" t="inlineStr"/>
      <c r="O568" s="6" t="inlineStr"/>
      <c r="P568" s="6" t="inlineStr"/>
      <c r="Q568" s="5" t="inlineStr"/>
      <c r="R568" s="5" t="inlineStr"/>
      <c r="S568" s="5" t="inlineStr"/>
      <c r="T568" s="5" t="inlineStr"/>
      <c r="U568" s="5" t="inlineStr">
        <is>
          <t>esnaf-veresiye-batagi</t>
        </is>
      </c>
      <c r="V568" s="5" t="inlineStr"/>
      <c r="W568" s="5" t="inlineStr"/>
      <c r="X568" s="5" t="inlineStr"/>
      <c r="Y568" s="5" t="inlineStr"/>
      <c r="Z568" s="6" t="inlineStr"/>
      <c r="AA568" s="5" t="inlineStr"/>
      <c r="AB568" s="5" t="inlineStr"/>
      <c r="AC568" s="5" t="inlineStr"/>
      <c r="AD568" s="5" t="inlineStr"/>
      <c r="AE568" s="5" t="inlineStr"/>
      <c r="AF568" s="5" t="inlineStr"/>
      <c r="AG568" s="5" t="inlineStr"/>
      <c r="AH568" s="5" t="inlineStr"/>
      <c r="AI568" s="5" t="inlineStr"/>
      <c r="AJ568" s="5" t="inlineStr"/>
    </row>
    <row r="569">
      <c r="A569" s="5" t="inlineStr">
        <is>
          <t>me-veresiye-defteri</t>
        </is>
      </c>
      <c r="B569" s="5" t="n">
        <v>2</v>
      </c>
      <c r="C569" s="6" t="inlineStr">
        <is>
          <t>Kibarca reddet</t>
        </is>
      </c>
      <c r="D569" s="5" t="inlineStr">
        <is>
          <t>İtibar</t>
        </is>
      </c>
      <c r="E569" s="5" t="inlineStr">
        <is>
          <t>Orta</t>
        </is>
      </c>
      <c r="F569" s="5" t="inlineStr"/>
      <c r="G569" s="6" t="inlineStr"/>
      <c r="H569" s="6" t="inlineStr">
        <is>
          <t>'Veresiye yok ama indirim var' dedin. Nakit ödedi, indirimi de bütün mahalleye anlattı.</t>
        </is>
      </c>
      <c r="I569" s="6" t="inlineStr">
        <is>
          <t>Öyle kibar reddettin ki müşteri teşekkür edip peşin ödedi, bir de 'Kalsın' dedi.</t>
        </is>
      </c>
      <c r="J569" s="6" t="inlineStr">
        <is>
          <t>Reddettin. Müşteri karşı dükkâna gidip oraya borçlandı. Borç senden gitti, dedikodusu kaldı.</t>
        </is>
      </c>
      <c r="K569" s="6" t="inlineStr">
        <is>
          <t>Reddettin; müşteri mahalle grubuna 'Eskiden esnaf başkaydı' yazdı. Mesaj kırk üç beğeni aldı.</t>
        </is>
      </c>
      <c r="L569" s="6" t="inlineStr"/>
      <c r="M569" s="5" t="inlineStr"/>
      <c r="N569" s="5" t="inlineStr"/>
      <c r="O569" s="6" t="inlineStr"/>
      <c r="P569" s="6" t="inlineStr"/>
      <c r="Q569" s="5" t="inlineStr"/>
      <c r="R569" s="5" t="inlineStr"/>
      <c r="S569" s="5" t="inlineStr"/>
      <c r="T569" s="5" t="inlineStr"/>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c r="AI569" s="5" t="inlineStr"/>
      <c r="AJ569" s="5" t="inlineStr"/>
    </row>
    <row r="570">
      <c r="A570" s="5" t="inlineStr">
        <is>
          <t>me-veresiye-defteri</t>
        </is>
      </c>
      <c r="B570" s="5" t="n">
        <v>3</v>
      </c>
      <c r="C570" s="6" t="inlineStr">
        <is>
          <t>'Öbür defterler nasıl gidiyor?' diye sor</t>
        </is>
      </c>
      <c r="D570" s="5" t="inlineStr">
        <is>
          <t>Sosyal Radar</t>
        </is>
      </c>
      <c r="E570" s="5" t="inlineStr">
        <is>
          <t>Kolay</t>
        </is>
      </c>
      <c r="F570" s="5" t="inlineStr"/>
      <c r="G570" s="6" t="inlineStr"/>
      <c r="H570" s="6" t="inlineStr">
        <is>
          <t>Sordun. Müşteri cüzdanı çıkardı, peşin ödedi ve bir daha deftere yazdırmayı teklif etmedi.</t>
        </is>
      </c>
      <c r="I570" s="6" t="inlineStr">
        <is>
          <t>Müşteri öyle utandı ki o gün üç dükkândaki borcunu birden kapattı; seninkinden başladı. Köşedeki esnaf sana çay yolladı: “Bunu nasıl yaptın?”</t>
        </is>
      </c>
      <c r="J570" s="6" t="inlineStr">
        <is>
          <t>İma anlaşılmadı. Müşteri 'Evet, herkes bana güvenir' dedi ve deftere adını kendi yazdı.</t>
        </is>
      </c>
      <c r="K570" s="6" t="inlineStr">
        <is>
          <t>Soruyu yüksek sesle sordun. Kasadaki sırada bekleyen iki kişi de aynı defterlerdeydi.</t>
        </is>
      </c>
      <c r="L570" s="6" t="inlineStr"/>
      <c r="M570" s="5" t="inlineStr"/>
      <c r="N570" s="5" t="inlineStr"/>
      <c r="O570" s="6" t="inlineStr"/>
      <c r="P570" s="6" t="inlineStr"/>
      <c r="Q570" s="5" t="inlineStr"/>
      <c r="R570" s="5" t="inlineStr"/>
      <c r="S570" s="5" t="inlineStr">
        <is>
          <t>Sosyal Radar</t>
        </is>
      </c>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c r="AI570" s="5" t="inlineStr"/>
      <c r="AJ570" s="5" t="inlineStr"/>
    </row>
    <row r="571">
      <c r="A571" s="5" t="inlineStr">
        <is>
          <t>me-veresiye-defteri</t>
        </is>
      </c>
      <c r="B571" s="5" t="n">
        <v>4</v>
      </c>
      <c r="C571" s="6" t="inlineStr">
        <is>
          <t>Ödeme planı çıkar</t>
        </is>
      </c>
      <c r="D571" s="5" t="inlineStr">
        <is>
          <t>Akıl</t>
        </is>
      </c>
      <c r="E571" s="5" t="inlineStr">
        <is>
          <t>Kolay</t>
        </is>
      </c>
      <c r="F571" s="5" t="inlineStr"/>
      <c r="G571" s="6" t="inlineStr"/>
      <c r="H571" s="6" t="inlineStr">
        <is>
          <t>Borcu üç taksite böldün, tarihleri müşterinin telefonuna kaydettin. Sistem çalıştı.</t>
        </is>
      </c>
      <c r="I571" s="6" t="inlineStr">
        <is>
          <t>Plan o kadar netti ki müşteri ilk taksiti iki gün erken getirdi; yanında annesi vardı. Annesi deftere baktı, sana döndü: “Benim oğlana da biri böyle hesap sormalıydı.”</t>
        </is>
      </c>
      <c r="J571" s="6" t="inlineStr">
        <is>
          <t>Plan mükemmeldi. Müşteri planı sonuna kadar dinledi ve 'Sen yine deftere yaz' dedi.</t>
        </is>
      </c>
      <c r="K571" s="6" t="inlineStr">
        <is>
          <t>Hesabı yaparken kendi aleyhine yuvarladın. Kâğıt üstünde müşteri sana borçlu değil, alacaklı çıktı.</t>
        </is>
      </c>
      <c r="L571" s="6" t="inlineStr"/>
      <c r="M571" s="5" t="inlineStr"/>
      <c r="N571" s="5" t="inlineStr"/>
      <c r="O571" s="6" t="inlineStr"/>
      <c r="P571" s="6" t="inlineStr"/>
      <c r="Q571" s="5" t="inlineStr">
        <is>
          <t>Para Üstü Radarı</t>
        </is>
      </c>
      <c r="R571" s="5" t="inlineStr"/>
      <c r="S571" s="5" t="inlineStr"/>
      <c r="T571" s="5" t="inlineStr"/>
      <c r="U571" s="5" t="inlineStr"/>
      <c r="V571" s="5" t="inlineStr"/>
      <c r="W571" s="5" t="inlineStr">
        <is>
          <t>esnaf-veresiye-batagi</t>
        </is>
      </c>
      <c r="X571" s="5" t="inlineStr"/>
      <c r="Y571" s="5" t="inlineStr"/>
      <c r="Z571" s="6" t="inlineStr"/>
      <c r="AA571" s="5" t="inlineStr"/>
      <c r="AB571" s="5" t="inlineStr"/>
      <c r="AC571" s="5" t="inlineStr"/>
      <c r="AD571" s="5" t="inlineStr"/>
      <c r="AE571" s="5" t="inlineStr"/>
      <c r="AF571" s="5" t="inlineStr"/>
      <c r="AG571" s="5" t="inlineStr"/>
      <c r="AH571" s="5" t="inlineStr"/>
      <c r="AI571" s="5" t="inlineStr"/>
      <c r="AJ571" s="5" t="inlineStr"/>
    </row>
    <row r="572">
      <c r="A572" s="5" t="inlineStr">
        <is>
          <t>mm-islak-imza</t>
        </is>
      </c>
      <c r="B572" s="5" t="n">
        <v>1</v>
      </c>
      <c r="C572" s="6" t="inlineStr">
        <is>
          <t>Evrakları ayıkla</t>
        </is>
      </c>
      <c r="D572" s="5" t="inlineStr">
        <is>
          <t>Akıl</t>
        </is>
      </c>
      <c r="E572" s="5" t="inlineStr">
        <is>
          <t>Zor</t>
        </is>
      </c>
      <c r="F572" s="5" t="inlineStr"/>
      <c r="G572" s="6" t="inlineStr"/>
      <c r="H572" s="6" t="inlineStr">
        <is>
          <t>Evrakları ayırdın; masan boşaldı, koridor doldu. İade ettiğin dilekçenin sahibi teyze sana uzun uzun baktı: “Annen biliyor mu böyle yaptığını?”</t>
        </is>
      </c>
      <c r="I572" s="6" t="inlineStr">
        <is>
          <t>Hepsi doğru. Şef masana gelip “Sen bu işi biliyorsun” dedi. Ertesi sabah masanda bütün katın evrakı vardı.</t>
        </is>
      </c>
      <c r="J572" s="6" t="inlineStr">
        <is>
          <t>Eksik bir dilekçeyi imzaladın. Üst makama gitti, sana geri döndü; üstünde senin adınla.</t>
        </is>
      </c>
      <c r="K572" s="6" t="inlineStr">
        <is>
          <t>Hepsini ters ayırdın. Gün sonunda iade ettiğin tek eksiksiz evrak, kendi izin dilekçendi.</t>
        </is>
      </c>
      <c r="L572" s="6" t="inlineStr">
        <is>
          <t>Çoğu doğru. Yanlışları kimse fark etmez; ta ki denetime kadar.</t>
        </is>
      </c>
      <c r="M572" s="5" t="inlineStr">
        <is>
          <t>diff</t>
        </is>
      </c>
      <c r="N572" s="5" t="inlineStr">
        <is>
          <t>Eksik Evrak</t>
        </is>
      </c>
      <c r="O572" s="6" t="inlineStr">
        <is>
          <t>İki evrak yığını aynı olmalı: farklı olan kâğıtları bul.</t>
        </is>
      </c>
      <c r="P572" s="6" t="inlineStr">
        <is>
          <t>{"set": ["📄", "📑", "📝", "🗂️", "🖋️"]}</t>
        </is>
      </c>
      <c r="Q572" s="5" t="inlineStr"/>
      <c r="R572" s="5" t="inlineStr"/>
      <c r="S572" s="5" t="inlineStr"/>
      <c r="T572" s="5" t="inlineStr">
        <is>
          <t>Islak İmza Ustası</t>
        </is>
      </c>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c r="AI572" s="5" t="inlineStr"/>
      <c r="AJ572" s="5" t="inlineStr"/>
    </row>
    <row r="573">
      <c r="A573" s="5" t="inlineStr">
        <is>
          <t>mm-islak-imza</t>
        </is>
      </c>
      <c r="B573" s="5" t="n">
        <v>2</v>
      </c>
      <c r="C573" s="6" t="inlineStr">
        <is>
          <t>Hepsini imzala</t>
        </is>
      </c>
      <c r="D573" s="5" t="inlineStr">
        <is>
          <t>Pişkinlik</t>
        </is>
      </c>
      <c r="E573" s="5" t="inlineStr">
        <is>
          <t>Kolay</t>
        </is>
      </c>
      <c r="F573" s="5" t="inlineStr"/>
      <c r="G573" s="6" t="inlineStr"/>
      <c r="H573" s="6" t="inlineStr">
        <is>
          <t>Hepsini imzaladın. Hiçbiri geri dönmedi. Henüz.</t>
        </is>
      </c>
      <c r="I573" s="6" t="inlineStr">
        <is>
          <t>Hepsini imzaladın; tek bir tanesi bile geri dönmedi. Şef dosyaları kontrol etti, gözlüğünü çıkardı, bir daha taktı. Öğleden sonra seni odasına çağırdı; sadece yüzüne bakmak için.</t>
        </is>
      </c>
      <c r="J573" s="6" t="inlineStr">
        <is>
          <t>İçlerinden biri, kendi tayin dilekçene yapılmış bir itirazmış.</t>
        </is>
      </c>
      <c r="K573" s="6" t="inlineStr">
        <is>
          <t>Birinin altında 'Masanın koridora taşınmasına onay veriyorum' yazıyordu. Masan koridorda.</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c r="AI573" s="5" t="inlineStr"/>
      <c r="AJ573" s="5" t="inlineStr"/>
    </row>
    <row r="574">
      <c r="A574" s="5" t="inlineStr">
        <is>
          <t>mm-islak-imza</t>
        </is>
      </c>
      <c r="B574" s="5" t="n">
        <v>3</v>
      </c>
      <c r="C574" s="6" t="inlineStr">
        <is>
          <t>Evrakı yarına bırak</t>
        </is>
      </c>
      <c r="D574" s="5" t="inlineStr"/>
      <c r="E574" s="5" t="inlineStr"/>
      <c r="F574" s="5" t="inlineStr">
        <is>
          <t>Dayanıklılık +1</t>
        </is>
      </c>
      <c r="G574" s="6" t="inlineStr">
        <is>
          <t>Evrakı yarına bıraktın. Yarın da onları yarına bırakacak. Bu, dairenin en köklü geleneği.</t>
        </is>
      </c>
      <c r="H574" s="6" t="inlineStr"/>
      <c r="I574" s="6" t="inlineStr"/>
      <c r="J574" s="6" t="inlineStr"/>
      <c r="K574" s="6" t="inlineStr"/>
      <c r="L574" s="6" t="inlineStr"/>
      <c r="M574" s="5" t="inlineStr"/>
      <c r="N574" s="5" t="inlineStr"/>
      <c r="O574" s="6" t="inlineStr"/>
      <c r="P574" s="6" t="inlineStr"/>
      <c r="Q574" s="5" t="inlineStr"/>
      <c r="R574" s="5" t="inlineStr"/>
      <c r="S574" s="5" t="inlineStr"/>
      <c r="T574" s="5" t="inlineStr"/>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c r="AI574" s="5" t="inlineStr"/>
      <c r="AJ574" s="5" t="inlineStr"/>
    </row>
    <row r="575">
      <c r="A575" s="5" t="inlineStr">
        <is>
          <t>ms-gorunurluk-teklifi</t>
        </is>
      </c>
      <c r="B575" s="5" t="n">
        <v>1</v>
      </c>
      <c r="C575" s="6" t="inlineStr">
        <is>
          <t>Kabul et</t>
        </is>
      </c>
      <c r="D575" s="5" t="inlineStr"/>
      <c r="E575" s="5" t="inlineStr"/>
      <c r="F575" s="5" t="inlineStr">
        <is>
          <t>Dayanıklılık +1</t>
        </is>
      </c>
      <c r="G575" s="6" t="inlineStr">
        <is>
          <t>İşi teslim ettin. Adın afişte en alta, tuvaleti gösteren okun hemen üstüne yazıldı.</t>
        </is>
      </c>
      <c r="H575" s="6" t="inlineStr"/>
      <c r="I575" s="6" t="inlineStr"/>
      <c r="J575" s="6" t="inlineStr"/>
      <c r="K575" s="6" t="inlineStr"/>
      <c r="L575" s="6" t="inlineStr"/>
      <c r="M575" s="5" t="inlineStr"/>
      <c r="N575" s="5" t="inlineStr"/>
      <c r="O575" s="6" t="inlineStr"/>
      <c r="P575" s="6" t="inlineStr"/>
      <c r="Q575" s="5" t="inlineStr"/>
      <c r="R575" s="5" t="inlineStr"/>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c r="AI575" s="5" t="inlineStr"/>
      <c r="AJ575" s="5" t="inlineStr"/>
    </row>
    <row r="576">
      <c r="A576" s="5" t="inlineStr">
        <is>
          <t>ms-gorunurluk-teklifi</t>
        </is>
      </c>
      <c r="B576" s="5" t="n">
        <v>2</v>
      </c>
      <c r="C576" s="6" t="inlineStr">
        <is>
          <t>Görünürlük karşılığı fatura kes</t>
        </is>
      </c>
      <c r="D576" s="5" t="inlineStr">
        <is>
          <t>Pişkinlik</t>
        </is>
      </c>
      <c r="E576" s="5" t="inlineStr">
        <is>
          <t>Orta</t>
        </is>
      </c>
      <c r="F576" s="5" t="inlineStr"/>
      <c r="G576" s="6" t="inlineStr"/>
      <c r="H576" s="6" t="inlineStr">
        <is>
          <t>Faturaya 'görünürlük bedeli' yazdın. Utandılar ve küçük bir ücret ödediler.</t>
        </is>
      </c>
      <c r="I576" s="6" t="inlineStr">
        <is>
          <t>Faturanı paylaştın: “Görünürlük bedeli: 1 adet görünürlük.” Paylaşım yayıldı; üç şirket gerçek ücretle teklif yolladı. Biri aynı şirketti.</t>
        </is>
      </c>
      <c r="J576" s="6" t="inlineStr">
        <is>
          <t>Faturayı gönderdin. Cevap geldi: “Faturanızı çok beğendik, sayfamızda paylaşabilir miyiz? Size görünürlük sağlar.”</t>
        </is>
      </c>
      <c r="K576" s="6" t="inlineStr">
        <is>
          <t>Yazışmanın ekran görüntüsü yayıldı. 'Zor çalışılan kişi' olarak nihayet görünür oldun.</t>
        </is>
      </c>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c r="AI576" s="5" t="inlineStr"/>
      <c r="AJ576" s="5" t="inlineStr"/>
    </row>
    <row r="577">
      <c r="A577" s="5" t="inlineStr">
        <is>
          <t>ms-gorunurluk-teklifi</t>
        </is>
      </c>
      <c r="B577" s="5" t="n">
        <v>3</v>
      </c>
      <c r="C577" s="6" t="inlineStr">
        <is>
          <t>Nazikçe ama net reddet</t>
        </is>
      </c>
      <c r="D577" s="5" t="inlineStr">
        <is>
          <t>Cesaret</t>
        </is>
      </c>
      <c r="E577" s="5" t="inlineStr">
        <is>
          <t>Zor</t>
        </is>
      </c>
      <c r="F577" s="5" t="inlineStr"/>
      <c r="G577" s="6" t="inlineStr"/>
      <c r="H577" s="6" t="inlineStr">
        <is>
          <t>'Ücretli işlerde görüşelim' dedin. Bir ay sonra ücretli bir teklifle döndüler.</t>
        </is>
      </c>
      <c r="I577" s="6" t="inlineStr">
        <is>
          <t>Reddedişin öyle netti ki bütçe bulundu. Bütçe hep varmış.</t>
        </is>
      </c>
      <c r="J577" s="6" t="inlineStr">
        <is>
          <t>Reddettin; işi ücretsiz yapacak başka birini buldular. Kuyruk uzun.</t>
        </is>
      </c>
      <c r="K577" s="6" t="inlineStr">
        <is>
          <t>Reddettin; ertesi gün aynı şirket seni 'kötü örnek' diye bir panelde andı. Ücretsiz görünürlük.</t>
        </is>
      </c>
      <c r="L577" s="6" t="inlineStr"/>
      <c r="M577" s="5" t="inlineStr"/>
      <c r="N577" s="5" t="inlineStr"/>
      <c r="O577" s="6" t="inlineStr"/>
      <c r="P577" s="6" t="inlineStr"/>
      <c r="Q577" s="5" t="inlineStr"/>
      <c r="R577" s="5" t="inlineStr"/>
      <c r="S577" s="5" t="inlineStr"/>
      <c r="T577" s="5" t="inlineStr">
        <is>
          <t>Kendi Patronu</t>
        </is>
      </c>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c r="AI577" s="5" t="inlineStr"/>
      <c r="AJ577" s="5" t="inlineStr"/>
    </row>
    <row r="578">
      <c r="A578" s="5" t="inlineStr">
        <is>
          <t>ms-gorunurluk-teklifi</t>
        </is>
      </c>
      <c r="B578" s="5" t="n">
        <v>4</v>
      </c>
      <c r="C578" s="6" t="inlineStr">
        <is>
          <t>Takipçilerine sor: 'Ücretsiz çalışmalı mıyım?'</t>
        </is>
      </c>
      <c r="D578" s="5" t="inlineStr">
        <is>
          <t>Sosyal Radar</t>
        </is>
      </c>
      <c r="E578" s="5" t="inlineStr">
        <is>
          <t>Kolay</t>
        </is>
      </c>
      <c r="F578" s="5" t="inlineStr"/>
      <c r="G578" s="6" t="inlineStr"/>
      <c r="H578" s="6" t="inlineStr">
        <is>
          <t>Takipçilerin şirkete yorum yağdırdı. Bütçe mucizevi biçimde bulundu.</t>
        </is>
      </c>
      <c r="I578" s="6" t="inlineStr">
        <is>
          <t>Anket o kadar yayıldı ki şirket özür diledi ve ücretini iki katıyla ödedi.</t>
        </is>
      </c>
      <c r="J578" s="6" t="inlineStr">
        <is>
          <t>Takipçilerinin yüzde altmışı 'Evet, görünürlük önemli' dedi. Hepsi de serbest çalışan.</t>
        </is>
      </c>
      <c r="K578" s="6" t="inlineStr">
        <is>
          <t>Şirket anketini görüp seni etiketledi: 'Tabii ki gelin, görünürlük sağlarız.' Daha fazla görünürlük.</t>
        </is>
      </c>
      <c r="L578" s="6" t="inlineStr"/>
      <c r="M578" s="5" t="inlineStr"/>
      <c r="N578" s="5" t="inlineStr"/>
      <c r="O578" s="6" t="inlineStr"/>
      <c r="P578" s="6" t="inlineStr"/>
      <c r="Q578" s="5" t="inlineStr"/>
      <c r="R578" s="5" t="inlineStr">
        <is>
          <t>fenomen</t>
        </is>
      </c>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c r="AI578" s="5" t="inlineStr"/>
      <c r="AJ578" s="5" t="inlineStr"/>
    </row>
    <row r="579">
      <c r="A579" s="5" t="inlineStr">
        <is>
          <t>b6-taki-butcesi</t>
        </is>
      </c>
      <c r="B579" s="5" t="n">
        <v>1</v>
      </c>
      <c r="C579" s="6" t="inlineStr">
        <is>
          <t>Her düğüne çeyrek tak</t>
        </is>
      </c>
      <c r="D579" s="5" t="inlineStr"/>
      <c r="E579" s="5" t="inlineStr"/>
      <c r="F579" s="5" t="inlineStr">
        <is>
          <t>İtibar +1</t>
        </is>
      </c>
      <c r="G579" s="6" t="inlineStr">
        <is>
          <t>Üç çeyrek taktın. Kuyumcu seni tanıyıp gülümsüyor. Hesabın gülümsemiyor.</t>
        </is>
      </c>
      <c r="H579" s="6" t="inlineStr"/>
      <c r="I579" s="6" t="inlineStr"/>
      <c r="J579" s="6" t="inlineStr"/>
      <c r="K579" s="6" t="inlineStr"/>
      <c r="L579" s="6" t="inlineStr"/>
      <c r="M579" s="5" t="inlineStr"/>
      <c r="N579" s="5" t="inlineStr"/>
      <c r="O579" s="6" t="inlineStr"/>
      <c r="P579" s="6" t="inlineStr"/>
      <c r="Q579" s="5" t="inlineStr"/>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c r="AI579" s="5" t="inlineStr"/>
      <c r="AJ579" s="5" t="inlineStr"/>
    </row>
    <row r="580">
      <c r="A580" s="5" t="inlineStr">
        <is>
          <t>b6-taki-butcesi</t>
        </is>
      </c>
      <c r="B580" s="5" t="n">
        <v>2</v>
      </c>
      <c r="C580" s="6" t="inlineStr">
        <is>
          <t>Zarfa para koy, kalın kâğıt seç</t>
        </is>
      </c>
      <c r="D580" s="5" t="inlineStr">
        <is>
          <t>Kurnazlık</t>
        </is>
      </c>
      <c r="E580" s="5" t="inlineStr">
        <is>
          <t>Orta</t>
        </is>
      </c>
      <c r="F580" s="5" t="inlineStr"/>
      <c r="G580" s="6" t="inlineStr"/>
      <c r="H580" s="6" t="inlineStr">
        <is>
          <t>Zarf kalın, içerik makul. Kimse saymadı, çünkü herkes zarfları sayıyordu.</t>
        </is>
      </c>
      <c r="I580" s="6" t="inlineStr">
        <is>
          <t>Zarf o kadar şıktı ki gelin çerçeveletti. İçine hiç bakmadı.</t>
        </is>
      </c>
      <c r="J580" s="6" t="inlineStr">
        <is>
          <t>Zarfı gelinin annesi açtı, önünde. Parayı saydı, sonra zarfı çevirip bir daha baktı; arkasında da vardır diye.</t>
        </is>
      </c>
      <c r="K580" s="6" t="inlineStr">
        <is>
          <t>Zarfa adını yazmayı unuttun. Anonim bağışçı oldun; herkes o cimrinin kim olduğunu tartıştı.</t>
        </is>
      </c>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c r="AI580" s="5" t="inlineStr"/>
      <c r="AJ580" s="5" t="inlineStr"/>
    </row>
    <row r="581">
      <c r="A581" s="5" t="inlineStr">
        <is>
          <t>b6-taki-butcesi</t>
        </is>
      </c>
      <c r="B581" s="5" t="n">
        <v>3</v>
      </c>
      <c r="C581" s="6" t="inlineStr">
        <is>
          <t>Arkadaşlarla toplu hediye organize et</t>
        </is>
      </c>
      <c r="D581" s="5" t="inlineStr">
        <is>
          <t>Çene</t>
        </is>
      </c>
      <c r="E581" s="5" t="inlineStr">
        <is>
          <t>Kolay</t>
        </is>
      </c>
      <c r="F581" s="5" t="inlineStr"/>
      <c r="G581" s="6" t="inlineStr"/>
      <c r="H581" s="6" t="inlineStr">
        <is>
          <t>Altı arkadaş birleşip tek bir bilezik aldınız. Takı sırasında sunucu “Arkadaşlarından bilezik!” diye bağırdı; salon alkışladı. Kimse kişi başı kaça geldiğini sormadı.</t>
        </is>
      </c>
      <c r="I581" s="6" t="inlineStr">
        <is>
          <t>Hediye düğünün en çok alkışlanan anı oldu. Artanla bir sonraki düğün de karşılandı.</t>
        </is>
      </c>
      <c r="J581" s="6" t="inlineStr">
        <is>
          <t>Herkes 'Tamam' dedi. Parayı ödeyen sen oldun. Tahsilat sürüyor.</t>
        </is>
      </c>
      <c r="K581" s="6" t="inlineStr">
        <is>
          <t>İki kişi parayı iki kez yatırdı, biri hiç yatırmadı. Aradaki fark senin cebinden çıktı; arkadaş grubunun adı o günden beri “Borç Defteri”.</t>
        </is>
      </c>
      <c r="L581" s="6" t="inlineStr"/>
      <c r="M581" s="5" t="inlineStr"/>
      <c r="N581" s="5" t="inlineStr"/>
      <c r="O581" s="6" t="inlineStr"/>
      <c r="P581" s="6" t="inlineStr"/>
      <c r="Q581" s="5" t="inlineStr">
        <is>
          <t>Kuralı Koyan</t>
        </is>
      </c>
      <c r="R581" s="5" t="inlineStr"/>
      <c r="S581" s="5" t="inlineStr"/>
      <c r="T581" s="5" t="inlineStr"/>
      <c r="U581" s="5" t="inlineStr"/>
      <c r="V581" s="5" t="inlineStr"/>
      <c r="W581" s="5" t="inlineStr"/>
      <c r="X581" s="5" t="inlineStr"/>
      <c r="Y581" s="5" t="inlineStr"/>
      <c r="Z581" s="6" t="inlineStr"/>
      <c r="AA581" s="5" t="inlineStr"/>
      <c r="AB581" s="5" t="inlineStr"/>
      <c r="AC581" s="5" t="inlineStr"/>
      <c r="AD581" s="5" t="inlineStr"/>
      <c r="AE581" s="5" t="inlineStr"/>
      <c r="AF581" s="5" t="inlineStr"/>
      <c r="AG581" s="5" t="inlineStr"/>
      <c r="AH581" s="5" t="inlineStr"/>
      <c r="AI581" s="5" t="inlineStr"/>
      <c r="AJ581" s="5" t="inlineStr"/>
    </row>
    <row r="582">
      <c r="A582" s="5" t="inlineStr">
        <is>
          <t>b6-taki-butcesi</t>
        </is>
      </c>
      <c r="B582" s="5" t="n">
        <v>4</v>
      </c>
      <c r="C582" s="6" t="inlineStr">
        <is>
          <t>Kuyumcuyla pazarlık et</t>
        </is>
      </c>
      <c r="D582" s="5" t="inlineStr">
        <is>
          <t>Çene</t>
        </is>
      </c>
      <c r="E582" s="5" t="inlineStr">
        <is>
          <t>Orta</t>
        </is>
      </c>
      <c r="F582" s="5" t="inlineStr"/>
      <c r="G582" s="6" t="inlineStr"/>
      <c r="H582" s="6" t="inlineStr">
        <is>
          <t>Kuyumcu işçilikten indirdi ve seni 'bizim düğüncü' diye kaydetti.</t>
        </is>
      </c>
      <c r="I582" s="6" t="inlineStr">
        <is>
          <t>Kuyumcuyla yılın bütün düğünleri için sabit fiyatta anlaştın. Kuyumcu artık seni kapıda görünce davetiyeyi soruyor: “Bu hafta kim evleniyor?”</t>
        </is>
      </c>
      <c r="J582" s="6" t="inlineStr">
        <is>
          <t>Kuyumcu 'Fiyat benim elimde değil' dedi. Haklıydı.</t>
        </is>
      </c>
      <c r="K582" s="6" t="inlineStr">
        <is>
          <t>Pazarlık ederken çeyreği düşürdün. Vitrinin altına kaçtı. Yirmi dakika birlikte yerde aradınız.</t>
        </is>
      </c>
      <c r="L582" s="6" t="inlineStr"/>
      <c r="M582" s="5" t="inlineStr"/>
      <c r="N582" s="5" t="inlineStr"/>
      <c r="O582" s="6" t="inlineStr"/>
      <c r="P582" s="6" t="inlineStr"/>
      <c r="Q582" s="5" t="inlineStr">
        <is>
          <t>Küçük Tüccar</t>
        </is>
      </c>
      <c r="R582" s="5" t="inlineStr"/>
      <c r="S582" s="5" t="inlineStr"/>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c r="AI582" s="5" t="inlineStr"/>
      <c r="AJ582" s="5" t="inlineStr"/>
    </row>
    <row r="583">
      <c r="A583" s="5" t="inlineStr">
        <is>
          <t>b6-taki-butcesi</t>
        </is>
      </c>
      <c r="B583" s="5" t="n">
        <v>5</v>
      </c>
      <c r="C583" s="6" t="inlineStr">
        <is>
          <t>Takıyı sahnede, anonsla tak</t>
        </is>
      </c>
      <c r="D583" s="5" t="inlineStr">
        <is>
          <t>Pişkinlik</t>
        </is>
      </c>
      <c r="E583" s="5" t="inlineStr">
        <is>
          <t>Orta</t>
        </is>
      </c>
      <c r="F583" s="5" t="inlineStr"/>
      <c r="G583" s="6" t="inlineStr"/>
      <c r="H583" s="6" t="inlineStr">
        <is>
          <t>Çeyreği gelinin yakasına iğneledin, sunucu adını iki kez okudu. Teyzeler kimin ne taktığını aklına yazdı; sen iyi bir satıra düştün.</t>
        </is>
      </c>
      <c r="I583" s="6" t="inlineStr">
        <is>
          <t>Sunucu mikrofona eğildi: “Damadın can dostundan… bir bilezik!” Salon ayağa kalktı. Bileziğin yarısı kredi kartından, alkışın tamamı senin.</t>
        </is>
      </c>
      <c r="J583" s="6" t="inlineStr">
        <is>
          <t>Sırada önündeki bilezik taktı. Senin çeyreğin anons edilirken salon hâlâ bileziği konuşuyordu.</t>
        </is>
      </c>
      <c r="K583" s="6" t="inlineStr">
        <is>
          <t>Çeyreği iğnelerken gelinin elbisesine taktın; kumaş yırtıldı. Sunucu mikrofona “Bu da bir hatıra!” dedi. Gelinin annesi bu hatırayı hiç unutmadı.</t>
        </is>
      </c>
      <c r="L583" s="6" t="inlineStr"/>
      <c r="M583" s="5" t="inlineStr"/>
      <c r="N583" s="5" t="inlineStr"/>
      <c r="O583" s="6" t="inlineStr"/>
      <c r="P583" s="6" t="inlineStr"/>
      <c r="Q583" s="5" t="inlineStr"/>
      <c r="R583" s="5" t="inlineStr"/>
      <c r="S583" s="5" t="inlineStr"/>
      <c r="T583" s="5" t="inlineStr"/>
      <c r="U583" s="5" t="inlineStr"/>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c r="AI583" s="5" t="inlineStr"/>
      <c r="AJ583" s="5" t="inlineStr"/>
    </row>
    <row r="584">
      <c r="A584" s="5" t="inlineStr">
        <is>
          <t>b6-ilk-araba</t>
        </is>
      </c>
      <c r="B584" s="5" t="n">
        <v>1</v>
      </c>
      <c r="C584" s="6" t="inlineStr">
        <is>
          <t>İlana güvenip al</t>
        </is>
      </c>
      <c r="D584" s="5" t="inlineStr"/>
      <c r="E584" s="5" t="inlineStr"/>
      <c r="F584" s="5" t="inlineStr">
        <is>
          <t>İtibar +1</t>
        </is>
      </c>
      <c r="G584" s="6" t="inlineStr">
        <is>
          <t>İlana güvendin, aldın. İlk hafta sanayideki usta seni adınla tanıdı, ikinci hafta sen onun çocuklarının adını. Üçüncü hafta usta sordu: “Doktordan mı aldın bunu?” “Evet” dedin; güldü.</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c r="AI584" s="5" t="inlineStr"/>
      <c r="AJ584" s="5" t="inlineStr"/>
    </row>
    <row r="585">
      <c r="A585" s="5" t="inlineStr">
        <is>
          <t>b6-ilk-araba</t>
        </is>
      </c>
      <c r="B585" s="5" t="n">
        <v>2</v>
      </c>
      <c r="C585" s="6" t="inlineStr">
        <is>
          <t>Test sürüşünde yokuş seç</t>
        </is>
      </c>
      <c r="D585" s="5" t="inlineStr">
        <is>
          <t>Cesaret</t>
        </is>
      </c>
      <c r="E585" s="5" t="inlineStr">
        <is>
          <t>Orta</t>
        </is>
      </c>
      <c r="F585" s="5" t="inlineStr"/>
      <c r="G585" s="6" t="inlineStr"/>
      <c r="H585" s="6" t="inlineStr">
        <is>
          <t>Araba yokuşta mükemmeldi. Satıcının yüzü öyle değildi. Fiyattan indi.</t>
        </is>
      </c>
      <c r="I585" s="6" t="inlineStr">
        <is>
          <t>Bütün kusurları tek sürüşte buldun. Fiyat yarıya indi. Satıcı hâlâ nerede hata yaptığını düşünüyor.</t>
        </is>
      </c>
      <c r="J585" s="6" t="inlineStr">
        <is>
          <t>Araba yokuşta stop etti. Satıcı “Motor soğuk” dedi. Araba sabahtan beri güneşin altındaydı.</t>
        </is>
      </c>
      <c r="K585" s="6" t="inlineStr">
        <is>
          <t>El freni elinde kaldı. Araba sessizce aşağı indi, bir çöp konteynerinde durdu. Satıcı yine de fiyattan inmedi.</t>
        </is>
      </c>
      <c r="L585" s="6" t="inlineStr"/>
      <c r="M585" s="5" t="inlineStr"/>
      <c r="N585" s="5" t="inlineStr"/>
      <c r="O585" s="6" t="inlineStr"/>
      <c r="P585" s="6" t="inlineStr"/>
      <c r="Q585" s="5" t="inlineStr"/>
      <c r="R585" s="5" t="inlineStr">
        <is>
          <t>ehliyetli</t>
        </is>
      </c>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c r="AI585" s="5" t="inlineStr"/>
      <c r="AJ585" s="5" t="inlineStr"/>
    </row>
    <row r="586">
      <c r="A586" s="5" t="inlineStr">
        <is>
          <t>b6-ilk-araba</t>
        </is>
      </c>
      <c r="B586" s="5" t="n">
        <v>3</v>
      </c>
      <c r="C586" s="6" t="inlineStr">
        <is>
          <t>Boya ölçtür</t>
        </is>
      </c>
      <c r="D586" s="5" t="inlineStr">
        <is>
          <t>Kurnazlık</t>
        </is>
      </c>
      <c r="E586" s="5" t="inlineStr">
        <is>
          <t>Kolay</t>
        </is>
      </c>
      <c r="F586" s="5" t="inlineStr"/>
      <c r="G586" s="6" t="inlineStr"/>
      <c r="H586" s="6" t="inlineStr">
        <is>
          <t>Kaput üç kat boyalı çıktı. Satıcı 'Boya değil, cila' dedi. Yirmi dakika sonra fiyattan indi.</t>
        </is>
      </c>
      <c r="I586" s="6" t="inlineStr">
        <is>
          <t>Arabanın bütün geçmişini çıkardın. Satıcı seni bir ekspertiz firmasına iş teklifiyle uğurladı.</t>
        </is>
      </c>
      <c r="J586" s="6" t="inlineStr">
        <is>
          <t>Ölçtün. Boya yok, çünkü kaportanın yarısı macun.</t>
        </is>
      </c>
      <c r="K586" s="6" t="inlineStr">
        <is>
          <t>Araba kusursuz çıktı. Yine de inanmadın, almadın. Ertesi gün iki katına satıldı.</t>
        </is>
      </c>
      <c r="L586" s="6" t="inlineStr"/>
      <c r="M586" s="5" t="inlineStr"/>
      <c r="N586" s="5" t="inlineStr"/>
      <c r="O586" s="6" t="inlineStr"/>
      <c r="P586" s="6" t="inlineStr"/>
      <c r="Q586" s="5" t="inlineStr"/>
      <c r="R586" s="5" t="inlineStr"/>
      <c r="S586" s="5" t="inlineStr">
        <is>
          <t>Kurnazlık</t>
        </is>
      </c>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c r="AI586" s="5" t="inlineStr"/>
      <c r="AJ586" s="5" t="inlineStr"/>
    </row>
    <row r="587">
      <c r="A587" s="5" t="inlineStr">
        <is>
          <t>b6-ilk-araba</t>
        </is>
      </c>
      <c r="B587" s="5" t="n">
        <v>4</v>
      </c>
      <c r="C587" s="6" t="inlineStr">
        <is>
          <t>Kredi çek, sıfır al</t>
        </is>
      </c>
      <c r="D587" s="5" t="inlineStr">
        <is>
          <t>Pişkinlik</t>
        </is>
      </c>
      <c r="E587" s="5" t="inlineStr">
        <is>
          <t>Orta</t>
        </is>
      </c>
      <c r="F587" s="5" t="inlineStr"/>
      <c r="G587" s="6" t="inlineStr"/>
      <c r="H587" s="6" t="inlineStr">
        <is>
          <t>Sıfır araba aldın. Kokusu bir ay sürdü, kredisi altmış ay.</t>
        </is>
      </c>
      <c r="I587" s="6" t="inlineStr">
        <is>
          <t>Kampanyayla ilk üç ay taksit yok. Dördüncü ayı düşünmemeye karar verdin.</t>
        </is>
      </c>
      <c r="J587" s="6" t="inlineStr">
        <is>
          <t>Bayiden çıktığı an değeri düştü. Seninki de.</t>
        </is>
      </c>
      <c r="K587" s="6" t="inlineStr">
        <is>
          <t>İlk gün kaldırıma sürttün; çamurlukta bir karış çizik. Baban eğilip baktı: “Benim ilk arabamda da vardı.” Onunki ikinci eldi.</t>
        </is>
      </c>
      <c r="L587" s="6" t="inlineStr"/>
      <c r="M587" s="5" t="inlineStr"/>
      <c r="N587" s="5" t="inlineStr"/>
      <c r="O587" s="6" t="inlineStr"/>
      <c r="P587" s="6" t="inlineStr"/>
      <c r="Q587" s="5" t="inlineStr"/>
      <c r="R587" s="5" t="inlineStr"/>
      <c r="S587" s="5" t="inlineStr"/>
      <c r="T587" s="5" t="inlineStr"/>
      <c r="U587" s="5" t="inlineStr">
        <is>
          <t>borclu</t>
        </is>
      </c>
      <c r="V587" s="5" t="inlineStr"/>
      <c r="W587" s="5" t="inlineStr"/>
      <c r="X587" s="5" t="inlineStr"/>
      <c r="Y587" s="5" t="inlineStr"/>
      <c r="Z587" s="6" t="inlineStr"/>
      <c r="AA587" s="5" t="inlineStr"/>
      <c r="AB587" s="5" t="inlineStr"/>
      <c r="AC587" s="5" t="inlineStr">
        <is>
          <t>Fakir</t>
        </is>
      </c>
      <c r="AD587" s="5" t="inlineStr"/>
      <c r="AE587" s="5" t="inlineStr"/>
      <c r="AF587" s="5" t="inlineStr"/>
      <c r="AG587" s="5" t="inlineStr"/>
      <c r="AH587" s="5" t="inlineStr"/>
      <c r="AI587" s="5" t="inlineStr"/>
      <c r="AJ587" s="5" t="inlineStr"/>
    </row>
    <row r="588">
      <c r="A588" s="5" t="inlineStr">
        <is>
          <t>b6-uzaktan-calisma</t>
        </is>
      </c>
      <c r="B588" s="5" t="n">
        <v>1</v>
      </c>
      <c r="C588" s="6" t="inlineStr">
        <is>
          <t>Düzenli rutin kur</t>
        </is>
      </c>
      <c r="D588" s="5" t="inlineStr"/>
      <c r="E588" s="5" t="inlineStr"/>
      <c r="F588" s="5" t="inlineStr">
        <is>
          <t>Dayanıklılık +1</t>
        </is>
      </c>
      <c r="G588" s="6" t="inlineStr">
        <is>
          <t>Her sabah giyinip masaya oturdun. Akşam altıda “Ben çıktım” deyip odanın kapısını kapattın; salona yürümen beş saniye sürdü.</t>
        </is>
      </c>
      <c r="H588" s="6" t="inlineStr"/>
      <c r="I588" s="6" t="inlineStr"/>
      <c r="J588" s="6" t="inlineStr"/>
      <c r="K588" s="6" t="inlineStr"/>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c r="AI588" s="5" t="inlineStr"/>
      <c r="AJ588" s="5" t="inlineStr"/>
    </row>
    <row r="589">
      <c r="A589" s="5" t="inlineStr">
        <is>
          <t>b6-uzaktan-calisma</t>
        </is>
      </c>
      <c r="B589" s="5" t="n">
        <v>2</v>
      </c>
      <c r="C589" s="6" t="inlineStr">
        <is>
          <t>Kamerayı kapalı tut</t>
        </is>
      </c>
      <c r="D589" s="5" t="inlineStr">
        <is>
          <t>Kurnazlık</t>
        </is>
      </c>
      <c r="E589" s="5" t="inlineStr">
        <is>
          <t>Orta</t>
        </is>
      </c>
      <c r="F589" s="5" t="inlineStr"/>
      <c r="G589" s="6" t="inlineStr"/>
      <c r="H589" s="6" t="inlineStr">
        <is>
          <t>'Bağlantım zayıf' dedin. Üç ay kimse yüzünü görmedi. Terfi alan senin sesindi.</t>
        </is>
      </c>
      <c r="I589" s="6" t="inlineStr">
        <is>
          <t>Yöneticin seni ekibin en çalışkanı sandı. Toplantı boyunca kahvaltı ediyordun.</t>
        </is>
      </c>
      <c r="J589" s="6" t="inlineStr">
        <is>
          <t>Yönetici 'Sesin çok net geliyor ama' dedi.</t>
        </is>
      </c>
      <c r="K589" s="6" t="inlineStr">
        <is>
          <t>Kameran açıktı. Ekip seni pijamayla buzdolabını açıp kavanozdan kaşıkla reçel yerken izledi. O günden beri toplantı davetlerinin altında bir not var: “Lütfen giyinik katılın.”</t>
        </is>
      </c>
      <c r="L589" s="6" t="inlineStr"/>
      <c r="M589" s="5" t="inlineStr"/>
      <c r="N589" s="5" t="inlineStr"/>
      <c r="O589" s="6" t="inlineStr"/>
      <c r="P589" s="6" t="inlineStr"/>
      <c r="Q589" s="5" t="inlineStr"/>
      <c r="R589" s="5" t="inlineStr"/>
      <c r="S589" s="5" t="inlineStr"/>
      <c r="T589" s="5" t="inlineStr"/>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c r="AI589" s="5" t="inlineStr"/>
      <c r="AJ589" s="5" t="inlineStr"/>
    </row>
    <row r="590">
      <c r="A590" s="5" t="inlineStr">
        <is>
          <t>b6-uzaktan-calisma</t>
        </is>
      </c>
      <c r="B590" s="5" t="n">
        <v>3</v>
      </c>
      <c r="C590" s="6" t="inlineStr">
        <is>
          <t>Sahildeki kafeden bağlan</t>
        </is>
      </c>
      <c r="D590" s="5" t="inlineStr">
        <is>
          <t>Pişkinlik</t>
        </is>
      </c>
      <c r="E590" s="5" t="inlineStr">
        <is>
          <t>Zor</t>
        </is>
      </c>
      <c r="F590" s="5" t="inlineStr"/>
      <c r="G590" s="6" t="inlineStr"/>
      <c r="H590" s="6" t="inlineStr">
        <is>
          <t>Arkanda deniz, önünde tablo. Toplantıda kimse sunuma bakmadı; herkes arkandaki dalgaya baktı. Bir sonraki toplantıya müdürün de sahilden bağlandı.</t>
        </is>
      </c>
      <c r="I590" s="6" t="inlineStr">
        <is>
          <t>Verimliliğin arttı. Şirket uzaktan çalışma yönergesine senin fotoğrafını koydu.</t>
        </is>
      </c>
      <c r="J590" s="6" t="inlineStr">
        <is>
          <t>Rüzgâr sesinden başka kimse bir şey duymadı.</t>
        </is>
      </c>
      <c r="K590" s="6" t="inlineStr">
        <is>
          <t>Bir martı tostunu kaptı. Kamera açıktı. Video şirketin yıl sonu sunumunda.</t>
        </is>
      </c>
      <c r="L590" s="6" t="inlineStr"/>
      <c r="M590" s="5" t="inlineStr"/>
      <c r="N590" s="5" t="inlineStr"/>
      <c r="O590" s="6" t="inlineStr"/>
      <c r="P590" s="6" t="inlineStr"/>
      <c r="Q590" s="5" t="inlineStr"/>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c r="AI590" s="5" t="inlineStr"/>
      <c r="AJ590" s="5" t="inlineStr"/>
    </row>
    <row r="591">
      <c r="A591" s="5" t="inlineStr">
        <is>
          <t>mb-kamera-kapali</t>
        </is>
      </c>
      <c r="B591" s="5" t="n">
        <v>1</v>
      </c>
      <c r="C591" s="6" t="inlineStr">
        <is>
          <t>Kamerayı aç</t>
        </is>
      </c>
      <c r="D591" s="5" t="inlineStr"/>
      <c r="E591" s="5" t="inlineStr"/>
      <c r="F591" s="5" t="inlineStr">
        <is>
          <t>Cesaret +1</t>
        </is>
      </c>
      <c r="G591" s="6" t="inlineStr">
        <is>
          <t>Kamerayı açtın: üstte gömlek, altta pijama. Toplantı boyunca hiç kalkmadın. Yöneticin sonunda “Bugün çok derli toplusun” dedi; kalkmadığın için.</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c r="AI591" s="5" t="inlineStr"/>
      <c r="AJ591" s="5" t="inlineStr"/>
    </row>
    <row r="592">
      <c r="A592" s="5" t="inlineStr">
        <is>
          <t>mb-kamera-kapali</t>
        </is>
      </c>
      <c r="B592" s="5" t="n">
        <v>2</v>
      </c>
      <c r="C592" s="6" t="inlineStr">
        <is>
          <t>Mikrofonu aç, cevap ver</t>
        </is>
      </c>
      <c r="D592" s="5" t="inlineStr">
        <is>
          <t>Akıl</t>
        </is>
      </c>
      <c r="E592" s="5" t="inlineStr">
        <is>
          <t>Orta</t>
        </is>
      </c>
      <c r="F592" s="5" t="inlineStr"/>
      <c r="G592" s="6" t="inlineStr"/>
      <c r="H592" s="6" t="inlineStr">
        <is>
          <t>Soruyu duymadın ama 'Katılıyorum, ölçeklenmeli' dedin. Herkes katıldı.</t>
        </is>
      </c>
      <c r="I592" s="6" t="inlineStr">
        <is>
          <t>Duymadığın soruya öyle genel bir cevap verdin ki toplantı notlarına 'vizyon' olarak geçti.</t>
        </is>
      </c>
      <c r="J592" s="6" t="inlineStr">
        <is>
          <t>Cevap verdin; soru aynı adı taşıyan başka birineymiş.</t>
        </is>
      </c>
      <c r="K592" s="6" t="inlineStr">
        <is>
          <t>Mikrofonu açtın. Tam o an ziyarete gelen annen mutfaktan seslendi: “Kuzum, yemek soğuyor!” Şirkette adın artık “Kuzum”.</t>
        </is>
      </c>
      <c r="L592" s="6" t="inlineStr"/>
      <c r="M592" s="5" t="inlineStr"/>
      <c r="N592" s="5" t="inlineStr"/>
      <c r="O592" s="6" t="inlineStr"/>
      <c r="P592" s="6" t="inlineStr"/>
      <c r="Q592" s="5" t="inlineStr"/>
      <c r="R592" s="5" t="inlineStr"/>
      <c r="S592" s="5" t="inlineStr"/>
      <c r="T592" s="5" t="inlineStr"/>
      <c r="U592" s="5" t="inlineStr"/>
      <c r="V592" s="5" t="inlineStr"/>
      <c r="W592" s="5" t="inlineStr"/>
      <c r="X592" s="5" t="inlineStr"/>
      <c r="Y592" s="5" t="inlineStr"/>
      <c r="Z592" s="6" t="inlineStr"/>
      <c r="AA592" s="5" t="inlineStr"/>
      <c r="AB592" s="5" t="inlineStr"/>
      <c r="AC592" s="5" t="inlineStr"/>
      <c r="AD592" s="5" t="inlineStr"/>
      <c r="AE592" s="5" t="inlineStr"/>
      <c r="AF592" s="5" t="inlineStr"/>
      <c r="AG592" s="5" t="inlineStr"/>
      <c r="AH592" s="5" t="inlineStr"/>
      <c r="AI592" s="5" t="inlineStr">
        <is>
          <t>Kuzum</t>
        </is>
      </c>
      <c r="AJ592" s="5" t="inlineStr"/>
    </row>
    <row r="593">
      <c r="A593" s="5" t="inlineStr">
        <is>
          <t>mb-kamera-kapali</t>
        </is>
      </c>
      <c r="B593" s="5" t="n">
        <v>3</v>
      </c>
      <c r="C593" s="6" t="inlineStr">
        <is>
          <t>'Sesiniz gidip geliyor' de</t>
        </is>
      </c>
      <c r="D593" s="5" t="inlineStr">
        <is>
          <t>Pişkinlik</t>
        </is>
      </c>
      <c r="E593" s="5" t="inlineStr">
        <is>
          <t>Zor</t>
        </is>
      </c>
      <c r="F593" s="5" t="inlineStr"/>
      <c r="G593" s="6" t="inlineStr"/>
      <c r="H593" s="6" t="inlineStr">
        <is>
          <t>Bağlantın “düzelene” kadar toplantı bitti. Akşam yöneticin yazdı: “Senin internet hep toplantıda mı bozuluyor?” Cevap yazacaktın; bağlantın koptu.</t>
        </is>
      </c>
      <c r="I593" s="6" t="inlineStr">
        <is>
          <t>Senin sesin gidip geldi, yöneticinin bağlantısı gerçekten koptu. Toplantı iptal.</t>
        </is>
      </c>
      <c r="J593" s="6" t="inlineStr">
        <is>
          <t>'Sesiniz gidip geliyor' dedin. Çok net duyuldu.</t>
        </is>
      </c>
      <c r="K593" s="6" t="inlineStr">
        <is>
          <t>Sesini kesik kesik verdin: “Se… ni… duy…” Yönetici “Ekranını paylaşıyorsun” dedi. Ekranda “kopuk ses efekti” diye bir video açıktı.</t>
        </is>
      </c>
      <c r="L593" s="6" t="inlineStr"/>
      <c r="M593" s="5" t="inlineStr"/>
      <c r="N593" s="5" t="inlineStr"/>
      <c r="O593" s="6" t="inlineStr"/>
      <c r="P593" s="6" t="inlineStr"/>
      <c r="Q593" s="5" t="inlineStr"/>
      <c r="R593" s="5" t="inlineStr"/>
      <c r="S593" s="5" t="inlineStr">
        <is>
          <t>Pişkinlik</t>
        </is>
      </c>
      <c r="T593" s="5" t="inlineStr">
        <is>
          <t>Sessize Alma Ustası</t>
        </is>
      </c>
      <c r="U593" s="5" t="inlineStr"/>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c r="AI593" s="5" t="inlineStr"/>
      <c r="AJ593" s="5" t="inlineStr"/>
    </row>
    <row r="594">
      <c r="A594" s="5" t="inlineStr">
        <is>
          <t>mb-kamera-kapali</t>
        </is>
      </c>
      <c r="B594" s="5" t="n">
        <v>4</v>
      </c>
      <c r="C594" s="6" t="inlineStr">
        <is>
          <t>Yapay avatarını toplantıya gönder</t>
        </is>
      </c>
      <c r="D594" s="5" t="inlineStr">
        <is>
          <t>Kurnazlık</t>
        </is>
      </c>
      <c r="E594" s="5" t="inlineStr">
        <is>
          <t>Orta</t>
        </is>
      </c>
      <c r="F594" s="5" t="inlineStr"/>
      <c r="G594" s="6" t="inlineStr"/>
      <c r="H594" s="6" t="inlineStr">
        <is>
          <t>Avatarın başıyla onayladı, sen kahvaltı ettin. Verimlilik rekor.</t>
        </is>
      </c>
      <c r="I594" s="6" t="inlineStr">
        <is>
          <t>Avatarın o kadar iyi katıldı ki terfi listesine girdi. Sen giremedin.</t>
        </is>
      </c>
      <c r="J594" s="6" t="inlineStr">
        <is>
          <t>Avatar donunca yöneticin 'İyi misin?' diye sordu. Avatara.</t>
        </is>
      </c>
      <c r="K594" s="6" t="inlineStr">
        <is>
          <t>Avatarın bir soruya 'Ben bir yapay zekâyım' diye cevap verdi. Dürüstlükte seni geçti.</t>
        </is>
      </c>
      <c r="L594" s="6" t="inlineStr"/>
      <c r="M594" s="5" t="inlineStr"/>
      <c r="N594" s="5" t="inlineStr"/>
      <c r="O594" s="6" t="inlineStr"/>
      <c r="P594" s="6" t="inlineStr"/>
      <c r="Q594" s="5" t="inlineStr">
        <is>
          <t>Şifreyi Bilen</t>
        </is>
      </c>
      <c r="R594" s="5" t="inlineStr"/>
      <c r="S594" s="5" t="inlineStr"/>
      <c r="T594" s="5" t="inlineStr"/>
      <c r="U594" s="5" t="inlineStr"/>
      <c r="V594" s="5" t="inlineStr"/>
      <c r="W594" s="5" t="inlineStr"/>
      <c r="X594" s="5" t="inlineStr"/>
      <c r="Y594" s="5" t="inlineStr"/>
      <c r="Z594" s="6" t="inlineStr"/>
      <c r="AA594" s="5" t="inlineStr"/>
      <c r="AB594" s="5" t="inlineStr"/>
      <c r="AC594" s="5" t="inlineStr"/>
      <c r="AD594" s="5" t="inlineStr"/>
      <c r="AE594" s="5" t="inlineStr"/>
      <c r="AF594" s="5" t="inlineStr"/>
      <c r="AG594" s="5" t="inlineStr"/>
      <c r="AH594" s="5" t="inlineStr"/>
      <c r="AI594" s="5" t="inlineStr"/>
      <c r="AJ594" s="5" t="inlineStr"/>
    </row>
    <row r="595">
      <c r="A595" s="5" t="inlineStr">
        <is>
          <t>me-karsi-dukkan</t>
        </is>
      </c>
      <c r="B595" s="5" t="n">
        <v>1</v>
      </c>
      <c r="C595" s="6" t="inlineStr">
        <is>
          <t>Lokumla “Kolay gelsin” demeye git</t>
        </is>
      </c>
      <c r="D595" s="5" t="inlineStr"/>
      <c r="E595" s="5" t="inlineStr"/>
      <c r="F595" s="5" t="inlineStr">
        <is>
          <t>İtibar +1, Sosyal Radar +1</t>
        </is>
      </c>
      <c r="G595" s="6" t="inlineStr">
        <is>
          <t>Bir kutu lokumla karşıya geçtin: “Kolay gelsin.” “Size de” dediler. Çaylar içildi; iki taraf da öbürüne hiç kolay gelmemesini diliyordu.</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c r="AI595" s="5" t="inlineStr"/>
      <c r="AJ595" s="5" t="inlineStr"/>
    </row>
    <row r="596">
      <c r="A596" s="5" t="inlineStr">
        <is>
          <t>me-karsi-dukkan</t>
        </is>
      </c>
      <c r="B596" s="5" t="n">
        <v>2</v>
      </c>
      <c r="C596" s="6" t="inlineStr">
        <is>
          <t>Toptancıyla pazarlık et</t>
        </is>
      </c>
      <c r="D596" s="5" t="inlineStr">
        <is>
          <t>Çene</t>
        </is>
      </c>
      <c r="E596" s="5" t="inlineStr">
        <is>
          <t>Orta</t>
        </is>
      </c>
      <c r="F596" s="5" t="inlineStr"/>
      <c r="G596" s="6" t="inlineStr"/>
      <c r="H596" s="6" t="inlineStr">
        <is>
          <t>Toptancıdan iyi fiyat kopardın. Etiketleri karşı dükkânın bir tık altına çektin.</t>
        </is>
      </c>
      <c r="I596" s="6" t="inlineStr">
        <is>
          <t>Toptancı seni en eski müşterisi gibi karşıladı; aynı fiyatı karşıya vermedi. Karşı dükkânın balonları ertesi sabah sönmüştü, tabelası bir ay sonra indi.</t>
        </is>
      </c>
      <c r="J596" s="6" t="inlineStr">
        <is>
          <t>Toptancı 'Bu fiyata ben de senden alırım' dedi. Pazarlık çay faslında bitti.</t>
        </is>
      </c>
      <c r="K596" s="6" t="inlineStr">
        <is>
          <t>Fazla ısrar ettin; toptancı karşı dükkânı 'daha makul esnaf' olarak kaydetti. Artık onlar senden ucuz.</t>
        </is>
      </c>
      <c r="L596" s="6" t="inlineStr">
        <is>
          <t>Fiyat biraz düştü. Etiketi değiştirmeye yetti, kâra yetmedi.</t>
        </is>
      </c>
      <c r="M596" s="5" t="inlineStr">
        <is>
          <t>duel</t>
        </is>
      </c>
      <c r="N596" s="5" t="inlineStr">
        <is>
          <t>Toptancı Pazarlığı</t>
        </is>
      </c>
      <c r="O596" s="6" t="inlineStr">
        <is>
          <t>Karşındakinin sabrı bitmeden en iyi cevabı seç.</t>
        </is>
      </c>
      <c r="P596" s="6" t="inlineStr">
        <is>
          <t>{"who": "Toptancı", "item": "toptan mal", "mode": "buy"}</t>
        </is>
      </c>
      <c r="Q596" s="5" t="inlineStr"/>
      <c r="R596" s="5" t="inlineStr"/>
      <c r="S596" s="5" t="inlineStr"/>
      <c r="T596" s="5" t="inlineStr"/>
      <c r="U596" s="5" t="inlineStr"/>
      <c r="V596" s="5" t="inlineStr"/>
      <c r="W596" s="5" t="inlineStr">
        <is>
          <t>esnaf-komsu-rakip</t>
        </is>
      </c>
      <c r="X596" s="5" t="inlineStr"/>
      <c r="Y596" s="5" t="inlineStr"/>
      <c r="Z596" s="6" t="inlineStr"/>
      <c r="AA596" s="5" t="inlineStr"/>
      <c r="AB596" s="5" t="inlineStr"/>
      <c r="AC596" s="5" t="inlineStr"/>
      <c r="AD596" s="5" t="inlineStr"/>
      <c r="AE596" s="5" t="inlineStr"/>
      <c r="AF596" s="5" t="inlineStr"/>
      <c r="AG596" s="5" t="inlineStr"/>
      <c r="AH596" s="5" t="inlineStr"/>
      <c r="AI596" s="5" t="inlineStr"/>
      <c r="AJ596" s="5" t="inlineStr"/>
    </row>
    <row r="597">
      <c r="A597" s="5" t="inlineStr">
        <is>
          <t>me-karsi-dukkan</t>
        </is>
      </c>
      <c r="B597" s="5" t="n">
        <v>3</v>
      </c>
      <c r="C597" s="6" t="inlineStr">
        <is>
          <t>Fiyat savaşı başlat</t>
        </is>
      </c>
      <c r="D597" s="5" t="inlineStr">
        <is>
          <t>Cesaret</t>
        </is>
      </c>
      <c r="E597" s="5" t="inlineStr">
        <is>
          <t>Zor</t>
        </is>
      </c>
      <c r="F597" s="5" t="inlineStr"/>
      <c r="G597" s="6" t="inlineStr"/>
      <c r="H597" s="6" t="inlineStr">
        <is>
          <t>Etiketleri kırdın, karşı dükkân balonlarını topladı. Tabelası bir hafta içinde küçüldü.</t>
        </is>
      </c>
      <c r="I597" s="6" t="inlineStr">
        <is>
          <t>Karşı dükkân ortaklık teklif etti. Kabul etmedin; tabelasını ucuza satın aldın.</t>
        </is>
      </c>
      <c r="J597" s="6" t="inlineStr">
        <is>
          <t>Savaş başladı. Üç ay sonra iki dükkân da zararda, mahalle ise hayatından çok memnun.</t>
        </is>
      </c>
      <c r="K597" s="6" t="inlineStr">
        <is>
          <t>Fiyatı öyle kırdın ki karşı dükkân malını toptancıdan değil, senden almaya başladı. Zararına.</t>
        </is>
      </c>
      <c r="L597" s="6" t="inlineStr"/>
      <c r="M597" s="5" t="inlineStr"/>
      <c r="N597" s="5" t="inlineStr"/>
      <c r="O597" s="6" t="inlineStr"/>
      <c r="P597" s="6" t="inlineStr"/>
      <c r="Q597" s="5" t="inlineStr"/>
      <c r="R597" s="5" t="inlineStr"/>
      <c r="S597" s="5" t="inlineStr"/>
      <c r="T597" s="5" t="inlineStr">
        <is>
          <t>Pazarlık Duayeni</t>
        </is>
      </c>
      <c r="U597" s="5" t="inlineStr">
        <is>
          <t>esnaf-komsu-rakip</t>
        </is>
      </c>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is>
          <t>Cesaret 30</t>
        </is>
      </c>
      <c r="AI597" s="5" t="inlineStr"/>
      <c r="AJ597" s="5" t="inlineStr"/>
      <c r="AL597" t="n">
        <v>1</v>
      </c>
    </row>
    <row r="598">
      <c r="A598" s="5" t="inlineStr">
        <is>
          <t>me-karsi-dukkan</t>
        </is>
      </c>
      <c r="B598" s="5" t="n">
        <v>4</v>
      </c>
      <c r="C598" s="6" t="inlineStr">
        <is>
          <t>Ortak kampanya öner</t>
        </is>
      </c>
      <c r="D598" s="5" t="inlineStr">
        <is>
          <t>Sosyal Radar</t>
        </is>
      </c>
      <c r="E598" s="5" t="inlineStr">
        <is>
          <t>Kolay</t>
        </is>
      </c>
      <c r="F598" s="5" t="inlineStr"/>
      <c r="G598" s="6" t="inlineStr"/>
      <c r="H598" s="6" t="inlineStr">
        <is>
          <t>'Birinden alana öbüründe indirim' kampanyası kurdun. Sokak bir alışveriş rotasına dönüştü.</t>
        </is>
      </c>
      <c r="I598" s="6" t="inlineStr">
        <is>
          <t>Kampanya tuttu; sokağın girişine 'Çarşının en uyumlu köşesi' tabelası asıldı. Tabelayı kimin astığı bilinmiyor. Sendin.</t>
        </is>
      </c>
      <c r="J598" s="6" t="inlineStr">
        <is>
          <t>Fikrini çay ocağında anlattın; beğendiler. Ertesi hafta adını değiştirip tek başlarına uyguladılar.</t>
        </is>
      </c>
      <c r="K598" s="6" t="inlineStr">
        <is>
          <t>Kampanyayı başlattın; bütün indirimi sen karşıladın, müşteriyi karşı dükkân aldı. Akşam karşının sahibi sana bir kutu lokum getirdi: “Kolay gelsin komşu.” Lokum senin raftan alınmıştı; indirimli.</t>
        </is>
      </c>
      <c r="L598" s="6" t="inlineStr"/>
      <c r="M598" s="5" t="inlineStr"/>
      <c r="N598" s="5" t="inlineStr"/>
      <c r="O598" s="6" t="inlineStr"/>
      <c r="P598" s="6" t="inlineStr"/>
      <c r="Q598" s="5" t="inlineStr">
        <is>
          <t>Sofra Müteahhidi</t>
        </is>
      </c>
      <c r="R598" s="5" t="inlineStr"/>
      <c r="S598" s="5" t="inlineStr"/>
      <c r="T598" s="5" t="inlineStr"/>
      <c r="U598" s="5" t="inlineStr"/>
      <c r="V598" s="5" t="inlineStr"/>
      <c r="W598" s="5" t="inlineStr">
        <is>
          <t>esnaf-komsu-rakip</t>
        </is>
      </c>
      <c r="X598" s="5" t="inlineStr"/>
      <c r="Y598" s="5" t="inlineStr"/>
      <c r="Z598" s="6" t="inlineStr"/>
      <c r="AA598" s="5" t="inlineStr"/>
      <c r="AB598" s="5" t="inlineStr"/>
      <c r="AC598" s="5" t="inlineStr"/>
      <c r="AD598" s="5" t="inlineStr"/>
      <c r="AE598" s="5" t="inlineStr"/>
      <c r="AF598" s="5" t="inlineStr"/>
      <c r="AG598" s="5" t="inlineStr"/>
      <c r="AH598" s="5" t="inlineStr"/>
      <c r="AI598" s="5" t="inlineStr"/>
      <c r="AJ598" s="5" t="inlineStr"/>
    </row>
    <row r="599">
      <c r="A599" s="5" t="inlineStr">
        <is>
          <t>mm-saat-1658</t>
        </is>
      </c>
      <c r="B599" s="5" t="n">
        <v>1</v>
      </c>
      <c r="C599" s="6" t="inlineStr">
        <is>
          <t>'Yarın gelin' de</t>
        </is>
      </c>
      <c r="D599" s="5" t="inlineStr"/>
      <c r="E599" s="5" t="inlineStr"/>
      <c r="F599" s="5" t="inlineStr">
        <is>
          <t>Dayanıklılık +1, Pişkinlik +1</t>
        </is>
      </c>
      <c r="G599" s="6" t="inlineStr">
        <is>
          <t>Kurumun en eski cümlesini ilk kez sen kurdun. Ağzında tuhaf bir tat bıraktı: kıdem.</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c r="AI599" s="5" t="inlineStr"/>
      <c r="AJ599" s="5" t="inlineStr"/>
    </row>
    <row r="600">
      <c r="A600" s="5" t="inlineStr">
        <is>
          <t>mm-saat-1658</t>
        </is>
      </c>
      <c r="B600" s="5" t="n">
        <v>2</v>
      </c>
      <c r="C600" s="6" t="inlineStr">
        <is>
          <t>17.00'den önce kaşeyi bas</t>
        </is>
      </c>
      <c r="D600" s="5" t="inlineStr">
        <is>
          <t>Akıl</t>
        </is>
      </c>
      <c r="E600" s="5" t="inlineStr">
        <is>
          <t>Orta</t>
        </is>
      </c>
      <c r="F600" s="5" t="inlineStr"/>
      <c r="G600" s="6" t="inlineStr"/>
      <c r="H600" s="6" t="inlineStr">
        <is>
          <t>16.59'da kaşeyi bastın. Vatandaş teşekkür etti, sen de otobüse yetiştin.</t>
        </is>
      </c>
      <c r="I600" s="6" t="inlineStr">
        <is>
          <t>16.59.59'da son kaşe. Vatandaş, kapı görevlisi ve temizlik ekibi seni alkışladı.</t>
        </is>
      </c>
      <c r="J600" s="6" t="inlineStr">
        <is>
          <t>Kaşe 17.00'de indi. Belge bir dakika geç tarihli; vatandaş yarın yeniden gelecek.</t>
        </is>
      </c>
      <c r="K600" s="6" t="inlineStr">
        <is>
          <t>Kaşeyi masaya bastın, dosyaya değil. Masan artık resmen 'Onaylanmıştır'.</t>
        </is>
      </c>
      <c r="L600" s="6" t="inlineStr">
        <is>
          <t>Kaşe bastın, imza yarım kaldı. Vatandaş yarın gelip imzayı tamamlatacak.</t>
        </is>
      </c>
      <c r="M600" s="5" t="inlineStr">
        <is>
          <t>timing</t>
        </is>
      </c>
      <c r="N600" s="5" t="inlineStr">
        <is>
          <t>16.59'da Kaşe</t>
        </is>
      </c>
      <c r="O600" s="6" t="inlineStr">
        <is>
          <t>Saat 17.00 olmadan kaşeyi bas. Bir saniye geç kalırsan işlem mesai dışı sayılır.</t>
        </is>
      </c>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c r="AI600" s="5" t="inlineStr"/>
      <c r="AJ600" s="5" t="inlineStr"/>
    </row>
    <row r="601">
      <c r="A601" s="5" t="inlineStr">
        <is>
          <t>mm-saat-1658</t>
        </is>
      </c>
      <c r="B601" s="5" t="n">
        <v>3</v>
      </c>
      <c r="C601" s="6" t="inlineStr">
        <is>
          <t>Yedi imzanın haritasını çıkar</t>
        </is>
      </c>
      <c r="D601" s="5" t="inlineStr">
        <is>
          <t>Çene</t>
        </is>
      </c>
      <c r="E601" s="5" t="inlineStr">
        <is>
          <t>Kolay</t>
        </is>
      </c>
      <c r="F601" s="5" t="inlineStr"/>
      <c r="G601" s="6" t="inlineStr"/>
      <c r="H601" s="6" t="inlineStr">
        <is>
          <t>Listeyi verdin. Vatandaş yarın yedi imzayla, tek seferde gelecek.</t>
        </is>
      </c>
      <c r="I601" s="6" t="inlineStr">
        <is>
          <t>Yedi imzanın hangi masalarda toplanacağını çizdin. Harita fotokopiyle çoğaltılıp bütün koridora asıldı.</t>
        </is>
      </c>
      <c r="J601" s="6" t="inlineStr">
        <is>
          <t>Vatandaş 'Ama sadece bir imza' dedi. Yedi kez.</t>
        </is>
      </c>
      <c r="K601" s="6" t="inlineStr">
        <is>
          <t>Vatandaş şefe gidip 'Bu memur beni yedi imzayla korkuttu' dedi. Şimdi senin dosyanda bir imza eksik.</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c r="AI601" s="5" t="inlineStr"/>
      <c r="AJ601" s="5" t="inlineStr"/>
    </row>
    <row r="602">
      <c r="A602" s="5" t="inlineStr">
        <is>
          <t>mm-saat-1658</t>
        </is>
      </c>
      <c r="B602" s="5" t="n">
        <v>4</v>
      </c>
      <c r="C602" s="6" t="inlineStr">
        <is>
          <t>Mesaiyi uzat</t>
        </is>
      </c>
      <c r="D602" s="5" t="inlineStr"/>
      <c r="E602" s="5" t="inlineStr"/>
      <c r="F602" s="5" t="inlineStr">
        <is>
          <t>İtibar +1</t>
        </is>
      </c>
      <c r="G602" s="6" t="inlineStr">
        <is>
          <t>Yarım saat fazla kaldın. Kayıtlara geçmedi; vatandaşın aile grubuna 'Böyle memur mu olur' diye geçti. İyi anlamda.</t>
        </is>
      </c>
      <c r="H602" s="6" t="inlineStr"/>
      <c r="I602" s="6" t="inlineStr"/>
      <c r="J602" s="6" t="inlineStr"/>
      <c r="K602" s="6" t="inlineStr"/>
      <c r="L602" s="6" t="inlineStr"/>
      <c r="M602" s="5" t="inlineStr"/>
      <c r="N602" s="5" t="inlineStr"/>
      <c r="O602" s="6" t="inlineStr"/>
      <c r="P602" s="6" t="inlineStr"/>
      <c r="Q602" s="5" t="inlineStr"/>
      <c r="R602" s="5" t="inlineStr"/>
      <c r="S602" s="5" t="inlineStr"/>
      <c r="T602" s="5" t="inlineStr"/>
      <c r="U602" s="5" t="inlineStr"/>
      <c r="V602" s="5" t="inlineStr"/>
      <c r="W602" s="5" t="inlineStr"/>
      <c r="X602" s="5" t="inlineStr"/>
      <c r="Y602" s="5" t="inlineStr"/>
      <c r="Z602" s="6" t="inlineStr"/>
      <c r="AA602" s="5" t="inlineStr"/>
      <c r="AB602" s="5" t="inlineStr"/>
      <c r="AC602" s="5" t="inlineStr"/>
      <c r="AD602" s="5" t="inlineStr"/>
      <c r="AE602" s="5" t="inlineStr"/>
      <c r="AF602" s="5" t="inlineStr"/>
      <c r="AG602" s="5" t="inlineStr"/>
      <c r="AH602" s="5" t="inlineStr"/>
      <c r="AI602" s="5" t="inlineStr"/>
      <c r="AJ602" s="5" t="inlineStr"/>
    </row>
    <row r="603">
      <c r="A603" s="5" t="inlineStr">
        <is>
          <t>b6-ev-sahibi-kavgasi</t>
        </is>
      </c>
      <c r="B603" s="5" t="n">
        <v>1</v>
      </c>
      <c r="C603" s="6" t="inlineStr">
        <is>
          <t>Artışı kabul et</t>
        </is>
      </c>
      <c r="D603" s="5" t="inlineStr"/>
      <c r="E603" s="5" t="inlineStr"/>
      <c r="F603" s="5" t="inlineStr">
        <is>
          <t>Dayanıklılık +1</t>
        </is>
      </c>
      <c r="G603" s="6" t="inlineStr">
        <is>
          <t>Kabul ettin. Ay sonunda annen telefonda “Sesin bir tuhaf” dedi. Sesin değil, buzdolabın boştu.</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c r="AI603" s="5" t="inlineStr"/>
      <c r="AJ603" s="5" t="inlineStr"/>
    </row>
    <row r="604">
      <c r="A604" s="5" t="inlineStr">
        <is>
          <t>b6-ev-sahibi-kavgasi</t>
        </is>
      </c>
      <c r="B604" s="5" t="n">
        <v>2</v>
      </c>
      <c r="C604" s="6" t="inlineStr">
        <is>
          <t>Sözleşmeyi bul, maddeleri oku</t>
        </is>
      </c>
      <c r="D604" s="5" t="inlineStr">
        <is>
          <t>Akıl</t>
        </is>
      </c>
      <c r="E604" s="5" t="inlineStr">
        <is>
          <t>Orta</t>
        </is>
      </c>
      <c r="F604" s="5" t="inlineStr"/>
      <c r="G604" s="6" t="inlineStr"/>
      <c r="H604" s="6" t="inlineStr">
        <is>
          <t>Artış maddesini buldun. Ev sahibi 'Tamam, makul olsun' dedi.</t>
        </is>
      </c>
      <c r="I604" s="6" t="inlineStr">
        <is>
          <t>Sözleşmenin dördüncü sayfasında ev sahibinin unuttuğu bir madde buldun: boya ve kombi bakımı onda. Telefonda okudun; uzun bir sessizlik oldu, sonra: “Sen hukuk mu okudun?” Artış yarıya indi, kombi de bakıma girdi.</t>
        </is>
      </c>
      <c r="J604" s="6" t="inlineStr">
        <is>
          <t>Buldun. İmzaladığın sayfa eksikmiş.</t>
        </is>
      </c>
      <c r="K604" s="6" t="inlineStr">
        <is>
          <t>Buldun. Madde senin aleyhine. Ev sahibi okuduğunu da biliyor.</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c r="AI604" s="5" t="inlineStr"/>
      <c r="AJ604" s="5" t="inlineStr"/>
    </row>
    <row r="605">
      <c r="A605" s="5" t="inlineStr">
        <is>
          <t>b6-ev-sahibi-kavgasi</t>
        </is>
      </c>
      <c r="B605" s="5" t="n">
        <v>3</v>
      </c>
      <c r="C605" s="6" t="inlineStr">
        <is>
          <t>'Yeğeniniz ne zaman taşınıyor?' diye sor</t>
        </is>
      </c>
      <c r="D605" s="5" t="inlineStr">
        <is>
          <t>Sosyal Radar</t>
        </is>
      </c>
      <c r="E605" s="5" t="inlineStr">
        <is>
          <t>Kolay</t>
        </is>
      </c>
      <c r="F605" s="5" t="inlineStr"/>
      <c r="G605" s="6" t="inlineStr"/>
      <c r="H605" s="6" t="inlineStr">
        <is>
          <t>Kısa bir sessizlik. Sonra: 'Biraz daha düşünelim.'</t>
        </is>
      </c>
      <c r="I605" s="6" t="inlineStr">
        <is>
          <t>Ev sahibi önce sustu, sonra güldü: “Yeğen yok.” Artışı yarıya indirdi. O günden beri kirayı almaya gelirken bir kavanoz turşu bırakıyor. Yeğen hâlâ yok.</t>
        </is>
      </c>
      <c r="J605" s="6" t="inlineStr">
        <is>
          <t>Yeğen gerçekten varmış. Gelecek ay taşınıyor. Sen de.</t>
        </is>
      </c>
      <c r="K605" s="6" t="inlineStr">
        <is>
          <t>Ev sahibi alındı ve mahalleye 'huysuz kiracı' olduğunu anlattı. Bakkal bile selam vermiyor.</t>
        </is>
      </c>
      <c r="L605" s="6" t="inlineStr"/>
      <c r="M605" s="5" t="inlineStr"/>
      <c r="N605" s="5" t="inlineStr"/>
      <c r="O605" s="6" t="inlineStr"/>
      <c r="P605" s="6" t="inlineStr"/>
      <c r="Q605" s="5" t="inlineStr"/>
      <c r="R605" s="5" t="inlineStr"/>
      <c r="S605" s="5" t="inlineStr">
        <is>
          <t>Sosyal Radar</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c r="AI605" s="5" t="inlineStr"/>
      <c r="AJ605" s="5" t="inlineStr"/>
    </row>
    <row r="606">
      <c r="A606" s="5" t="inlineStr">
        <is>
          <t>b6-ev-sahibi-kavgasi</t>
        </is>
      </c>
      <c r="B606" s="5" t="n">
        <v>4</v>
      </c>
      <c r="C606" s="6" t="inlineStr">
        <is>
          <t>Hakkını sonuna kadar ara</t>
        </is>
      </c>
      <c r="D606" s="5" t="inlineStr">
        <is>
          <t>Cesaret</t>
        </is>
      </c>
      <c r="E606" s="5" t="inlineStr">
        <is>
          <t>Zor</t>
        </is>
      </c>
      <c r="F606" s="5" t="inlineStr"/>
      <c r="G606" s="6" t="inlineStr"/>
      <c r="H606" s="6" t="inlineStr">
        <is>
          <t>Tebligat, arabulucu, iki telefon. Artış makule çekildi. Ev sahibi selamı kesti.</t>
        </is>
      </c>
      <c r="I606" s="6" t="inlineStr">
        <is>
          <t>Haklı çıktın. Ev sahibi özür mesajı attı. Sonunda bir çiçek vardı.</t>
        </is>
      </c>
      <c r="J606" s="6" t="inlineStr">
        <is>
          <t>Arabulucuya gittin. Ev sahibi oraya annesiyle gelmişti; teyze bütün görüşme boyunca sana “Yazık değil mi oğluma?” diye baktı. Artışın yarısını kabul edip çıktın.</t>
        </is>
      </c>
      <c r="K606" s="6" t="inlineStr">
        <is>
          <t>Ev sahibi tahliye için avukat tuttu. Taşınma günü kapıda bekliyordu; elinde senin çektiğin çizik fotoğrafları vardı, yeni çizikler kırmızıyla işaretliydi. Depozito gitti.</t>
        </is>
      </c>
      <c r="L606" s="6" t="inlineStr"/>
      <c r="M606" s="5" t="inlineStr"/>
      <c r="N606" s="5" t="inlineStr"/>
      <c r="O606" s="6" t="inlineStr"/>
      <c r="P606" s="6" t="inlineStr"/>
      <c r="Q606" s="5" t="inlineStr">
        <is>
          <t>Sözünü Geçirir</t>
        </is>
      </c>
      <c r="R606" s="5" t="inlineStr"/>
      <c r="S606" s="5" t="inlineStr"/>
      <c r="T606" s="5" t="inlineStr"/>
      <c r="U606" s="5" t="inlineStr"/>
      <c r="V606" s="5" t="inlineStr"/>
      <c r="W606" s="5" t="inlineStr">
        <is>
          <t>depozito-yandi</t>
        </is>
      </c>
      <c r="X606" s="5" t="inlineStr"/>
      <c r="Y606" s="5" t="inlineStr"/>
      <c r="Z606" s="6" t="inlineStr"/>
      <c r="AA606" s="5" t="inlineStr"/>
      <c r="AB606" s="5" t="inlineStr"/>
      <c r="AC606" s="5" t="inlineStr"/>
      <c r="AD606" s="5" t="inlineStr"/>
      <c r="AE606" s="5" t="inlineStr"/>
      <c r="AF606" s="5" t="inlineStr"/>
      <c r="AG606" s="5" t="inlineStr"/>
      <c r="AH606" s="5" t="inlineStr"/>
      <c r="AI606" s="5" t="inlineStr"/>
      <c r="AJ606" s="5" t="inlineStr"/>
    </row>
    <row r="607">
      <c r="A607" s="5" t="inlineStr">
        <is>
          <t>b6-kargo-takibi</t>
        </is>
      </c>
      <c r="B607" s="5" t="n">
        <v>1</v>
      </c>
      <c r="C607" s="6" t="inlineStr">
        <is>
          <t>Beklemeye devam et</t>
        </is>
      </c>
      <c r="D607" s="5" t="inlineStr"/>
      <c r="E607" s="5" t="inlineStr"/>
      <c r="F607" s="5" t="inlineStr">
        <is>
          <t>Dayanıklılık +1</t>
        </is>
      </c>
      <c r="G607" s="6" t="inlineStr">
        <is>
          <t>Sekizinci gün teslim edildi. Kapının önüne, yağmurun altına.</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c r="AI607" s="5" t="inlineStr"/>
      <c r="AJ607" s="5" t="inlineStr"/>
    </row>
    <row r="608">
      <c r="A608" s="5" t="inlineStr">
        <is>
          <t>b6-kargo-takibi</t>
        </is>
      </c>
      <c r="B608" s="5" t="n">
        <v>2</v>
      </c>
      <c r="C608" s="6" t="inlineStr">
        <is>
          <t>Müşteri hizmetlerini ara</t>
        </is>
      </c>
      <c r="D608" s="5" t="inlineStr">
        <is>
          <t>Çene</t>
        </is>
      </c>
      <c r="E608" s="5" t="inlineStr">
        <is>
          <t>Orta</t>
        </is>
      </c>
      <c r="F608" s="5" t="inlineStr"/>
      <c r="G608" s="6" t="inlineStr"/>
      <c r="H608" s="6" t="inlineStr">
        <is>
          <t>Kırk dakika bekleme müziğinden sonra bir insana ulaştın. Kargo ertesi gün geldi.</t>
        </is>
      </c>
      <c r="I608" s="6" t="inlineStr">
        <is>
          <t>Temsilci kargoyu kendi getirtti. Yanında bir özür çikolatası vardı.</t>
        </is>
      </c>
      <c r="J608" s="6" t="inlineStr">
        <is>
          <t>'Talebiniz oluşturuldu' dendi. Talep, kargodan hızlı ilerlemiyor.</t>
        </is>
      </c>
      <c r="K608" s="6" t="inlineStr">
        <is>
          <t>Sesli asistan seni 'Anlaşılmadı' döngüsüne soktu. Sonunda iadeyi onayladın. Kendi siparişini.</t>
        </is>
      </c>
      <c r="L608" s="6" t="inlineStr"/>
      <c r="M608" s="5" t="inlineStr"/>
      <c r="N608" s="5" t="inlineStr"/>
      <c r="O608" s="6" t="inlineStr"/>
      <c r="P608" s="6" t="inlineStr"/>
      <c r="Q608" s="5" t="inlineStr"/>
      <c r="R608" s="5" t="inlineStr"/>
      <c r="S608" s="5" t="inlineStr"/>
      <c r="T608" s="5" t="inlineStr"/>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c r="AI608" s="5" t="inlineStr"/>
      <c r="AJ608" s="5" t="inlineStr"/>
    </row>
    <row r="609">
      <c r="A609" s="5" t="inlineStr">
        <is>
          <t>b6-kargo-takibi</t>
        </is>
      </c>
      <c r="B609" s="5" t="n">
        <v>3</v>
      </c>
      <c r="C609" s="6" t="inlineStr">
        <is>
          <t>Köşedeki büfeye uğra</t>
        </is>
      </c>
      <c r="D609" s="5" t="inlineStr">
        <is>
          <t>Sosyal Radar</t>
        </is>
      </c>
      <c r="E609" s="5" t="inlineStr">
        <is>
          <t>Kolay</t>
        </is>
      </c>
      <c r="F609" s="5" t="inlineStr"/>
      <c r="G609" s="6" t="inlineStr"/>
      <c r="H609" s="6" t="inlineStr">
        <is>
          <t>Büfeci paketini rafın arkasından çıkardı. Yanında üç komşunun paketi daha vardı.</t>
        </is>
      </c>
      <c r="I609" s="6" t="inlineStr">
        <is>
          <t>Büfeci paketini çıkardı, sonra sokağın bütün paketlerini sana emanet etti. Akşam komşular sırayla kapını çalıyor; biri teşekkür için kek getirdi. Kek de kargoyla gelmişti.</t>
        </is>
      </c>
      <c r="J609" s="6" t="inlineStr">
        <is>
          <t>Büfeci 'Paket yok' dedi. Arkasında adının yazılı olduğu bir kutu vardı. Göz göze geldiniz.</t>
        </is>
      </c>
      <c r="K609" s="6" t="inlineStr">
        <is>
          <t>Paketin oradaymış. Açılmış. İçindeki kulaklık büfecinin kulağında.</t>
        </is>
      </c>
      <c r="L609" s="6" t="inlineStr"/>
      <c r="M609" s="5" t="inlineStr"/>
      <c r="N609" s="5" t="inlineStr"/>
      <c r="O609" s="6" t="inlineStr"/>
      <c r="P609" s="6" t="inlineStr"/>
      <c r="Q609" s="5" t="inlineStr"/>
      <c r="R609" s="5" t="inlineStr"/>
      <c r="S609" s="5" t="inlineStr">
        <is>
          <t>Kurnazlık</t>
        </is>
      </c>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c r="AI609" s="5" t="inlineStr"/>
      <c r="AJ609" s="5" t="inlineStr"/>
    </row>
    <row r="610">
      <c r="A610" s="5" t="inlineStr">
        <is>
          <t>b6-kargo-takibi</t>
        </is>
      </c>
      <c r="B610" s="5" t="n">
        <v>4</v>
      </c>
      <c r="C610" s="6" t="inlineStr">
        <is>
          <t>Kuryeyi haritadan takip et</t>
        </is>
      </c>
      <c r="D610" s="5" t="inlineStr">
        <is>
          <t>Cesaret</t>
        </is>
      </c>
      <c r="E610" s="5" t="inlineStr">
        <is>
          <t>Orta</t>
        </is>
      </c>
      <c r="F610" s="5" t="inlineStr"/>
      <c r="G610" s="6" t="inlineStr"/>
      <c r="H610" s="6" t="inlineStr">
        <is>
          <t>Haritadaki noktayı izleyip kuryeyi köşede yakaladın. Paket teslim.</t>
        </is>
      </c>
      <c r="I610" s="6" t="inlineStr">
        <is>
          <t>Kuryeye yetiştin; nefes nefese, terlikli. Kurye sokağın kapı numaralarının yıllardır ters olduğunu anlattı. Ertesi gün kapıcıyla bütün kapılara yeni numara yapıştırdınız. Sokağa artık kargo geliyor; sana da “Numaracı” diyorlar.</t>
        </is>
      </c>
      <c r="J610" s="6" t="inlineStr">
        <is>
          <t>Yakaladığın başka bir kuryeydi. Ona yol tarif ettin. Seninki hâlâ yolda.</t>
        </is>
      </c>
      <c r="K610" s="6" t="inlineStr">
        <is>
          <t>Terlikle koştun. Kurye motordaydı. Sen üç sokak öteye, terliğin biri dördüncüye ulaştı.</t>
        </is>
      </c>
      <c r="L610" s="6" t="inlineStr">
        <is>
          <t>Kuryeye yetiştin, paketi aldın; terliğin birini yolda bıraktın. Paket tam, çift eksik.</t>
        </is>
      </c>
      <c r="M610" s="5" t="inlineStr">
        <is>
          <t>hidden</t>
        </is>
      </c>
      <c r="N610" s="5" t="inlineStr">
        <is>
          <t>Terlikle Takip</t>
        </is>
      </c>
      <c r="O610" s="6" t="inlineStr">
        <is>
          <t>Kalabalık kaldırımda kuryeyi (🛵) bul.</t>
        </is>
      </c>
      <c r="P610" s="6" t="inlineStr">
        <is>
          <t>{"target": "🛵", "decoys": ["🚲", "🛴", "🚶", "🛒", "🐕"]}</t>
        </is>
      </c>
      <c r="Q610" s="5" t="inlineStr"/>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c r="AI610" s="5" t="inlineStr"/>
      <c r="AJ610" s="5" t="inlineStr"/>
    </row>
    <row r="611">
      <c r="A611" s="5" t="inlineStr">
        <is>
          <t>ms-pijama-ekonomisi</t>
        </is>
      </c>
      <c r="B611" s="5" t="n">
        <v>1</v>
      </c>
      <c r="C611" s="6" t="inlineStr">
        <is>
          <t>Giyin, masaya otur</t>
        </is>
      </c>
      <c r="D611" s="5" t="inlineStr"/>
      <c r="E611" s="5" t="inlineStr"/>
      <c r="F611" s="5" t="inlineStr">
        <is>
          <t>Dayanıklılık +1</t>
        </is>
      </c>
      <c r="G611" s="6" t="inlineStr">
        <is>
          <t>Gömlek ve ayakkabı giydin. Evde ayakkabıyla çalışan tek kişi oldun. Verim arttı, komşu şüphelendi.</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c r="AI611" s="5" t="inlineStr"/>
      <c r="AJ611" s="5" t="inlineStr"/>
    </row>
    <row r="612">
      <c r="A612" s="5" t="inlineStr">
        <is>
          <t>ms-pijama-ekonomisi</t>
        </is>
      </c>
      <c r="B612" s="5" t="n">
        <v>2</v>
      </c>
      <c r="C612" s="6" t="inlineStr">
        <is>
          <t>Üçünü aynı anda bitir</t>
        </is>
      </c>
      <c r="D612" s="5" t="inlineStr">
        <is>
          <t>Akıl</t>
        </is>
      </c>
      <c r="E612" s="5" t="inlineStr">
        <is>
          <t>Zor</t>
        </is>
      </c>
      <c r="F612" s="5" t="inlineStr"/>
      <c r="G612" s="6" t="inlineStr"/>
      <c r="H612" s="6" t="inlineStr">
        <is>
          <t>Üç işi tek gecede bitirdin. Uyku yarın, fatura bugün.</t>
        </is>
      </c>
      <c r="I612" s="6" t="inlineStr">
        <is>
          <t>Üçünü bitirdin, birini erken teslim ettin. Müşteri şoktan iki gün cevap veremedi.</t>
        </is>
      </c>
      <c r="J612" s="6" t="inlineStr">
        <is>
          <t>Üçünü bitirdin, dosyaları karıştırıp yanlış müşterilere gönderdin. İkisi fark etmedi; üçüncüsü “Bizim logomuz neden kırmızı?” diye sordu. Gece yeniden yaptın.</t>
        </is>
      </c>
      <c r="K612" s="6" t="inlineStr">
        <is>
          <t>Üç dosyayı tek dosyada birleştirdin ve üçüne de aynısını yolladın. Üç müşteri aynı gün aradı.</t>
        </is>
      </c>
      <c r="L612" s="6" t="inlineStr"/>
      <c r="M612" s="5" t="inlineStr"/>
      <c r="N612" s="5" t="inlineStr"/>
      <c r="O612" s="6" t="inlineStr"/>
      <c r="P612" s="6" t="inlineStr"/>
      <c r="Q612" s="5" t="inlineStr"/>
      <c r="R612" s="5" t="inlineStr"/>
      <c r="S612" s="5" t="inlineStr"/>
      <c r="T612" s="5" t="inlineStr">
        <is>
          <t>Ukala Ama Haklı</t>
        </is>
      </c>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c r="AI612" s="5" t="inlineStr"/>
      <c r="AJ612" s="5" t="inlineStr"/>
    </row>
    <row r="613">
      <c r="A613" s="5" t="inlineStr">
        <is>
          <t>ms-pijama-ekonomisi</t>
        </is>
      </c>
      <c r="B613" s="5" t="n">
        <v>3</v>
      </c>
      <c r="C613" s="6" t="inlineStr">
        <is>
          <t>Kafeye taşın</t>
        </is>
      </c>
      <c r="D613" s="5" t="inlineStr">
        <is>
          <t>Kurnazlık</t>
        </is>
      </c>
      <c r="E613" s="5" t="inlineStr">
        <is>
          <t>Kolay</t>
        </is>
      </c>
      <c r="F613" s="5" t="inlineStr"/>
      <c r="G613" s="6" t="inlineStr"/>
      <c r="H613" s="6" t="inlineStr">
        <is>
          <t>Prize en yakın masayı kaptın. Bir çayla altı saat çalıştın. Verimli ve biraz ayıp.</t>
        </is>
      </c>
      <c r="I613" s="6" t="inlineStr">
        <is>
          <t>Kafede yan masadaki bir girişimci iş teklif etti. Ofisin artık resmen kafe.</t>
        </is>
      </c>
      <c r="J613" s="6" t="inlineStr">
        <is>
          <t>Priz yoktu. Şarj bitti. Sen de.</t>
        </is>
      </c>
      <c r="K613" s="6" t="inlineStr">
        <is>
          <t>Tek çayla dokuz saat oturdun. Garson sonunda sandalye kirası kesti.</t>
        </is>
      </c>
      <c r="L613" s="6" t="inlineStr"/>
      <c r="M613" s="5" t="inlineStr"/>
      <c r="N613" s="5" t="inlineStr"/>
      <c r="O613" s="6" t="inlineStr"/>
      <c r="P613" s="6" t="inlineStr"/>
      <c r="Q613" s="5" t="inlineStr"/>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c r="AI613" s="5" t="inlineStr"/>
      <c r="AJ613" s="5" t="inlineStr"/>
    </row>
    <row r="614">
      <c r="A614" s="5" t="inlineStr">
        <is>
          <t>ms-pijama-ekonomisi</t>
        </is>
      </c>
      <c r="B614" s="5" t="n">
        <v>4</v>
      </c>
      <c r="C614" s="6" t="inlineStr">
        <is>
          <t>Kendine bir takvim sistemi kur</t>
        </is>
      </c>
      <c r="D614" s="5" t="inlineStr">
        <is>
          <t>Akıl</t>
        </is>
      </c>
      <c r="E614" s="5" t="inlineStr">
        <is>
          <t>Kolay</t>
        </is>
      </c>
      <c r="F614" s="5" t="inlineStr"/>
      <c r="G614" s="6" t="inlineStr"/>
      <c r="H614" s="6" t="inlineStr">
        <is>
          <t>Renkli bir takvim kurdun. Günlerin artık düzenli. Pijama sadece cuma.</t>
        </is>
      </c>
      <c r="I614" s="6" t="inlineStr">
        <is>
          <t>Takvimin öyle iyi çalıştı ki üç işi de zamanında teslim ettin. Annen ekran görüntüsünü aile grubuna attı; teyzen hemen kendi tahlil günlerini yolladı: “Bunları da koy.”</t>
        </is>
      </c>
      <c r="J614" s="6" t="inlineStr">
        <is>
          <t>Takvimi kurmak bütün gün sürdü. Üç teslim de takvimde güzel duruyor.</t>
        </is>
      </c>
      <c r="K614" s="6" t="inlineStr">
        <is>
          <t>Bütün hatırlatıcıları aynı saate kurmuşsun. Saat on beşte telefon üç teslimi, iki faturayı, “Su iç”i ve annenin doğum gününü birden hatırlattı. Annenin doğum günü dündü.</t>
        </is>
      </c>
      <c r="L614" s="6" t="inlineStr"/>
      <c r="M614" s="5" t="inlineStr"/>
      <c r="N614" s="5" t="inlineStr"/>
      <c r="O614" s="6" t="inlineStr"/>
      <c r="P614" s="6" t="inlineStr"/>
      <c r="Q614" s="5" t="inlineStr">
        <is>
          <t>Kuralı Koyan</t>
        </is>
      </c>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c r="AI614" s="5" t="inlineStr"/>
      <c r="AJ614" s="5" t="inlineStr"/>
    </row>
    <row r="615">
      <c r="A615" s="5" t="inlineStr">
        <is>
          <t>b6-ilk-vergi</t>
        </is>
      </c>
      <c r="B615" s="5" t="n">
        <v>1</v>
      </c>
      <c r="C615" s="6" t="inlineStr">
        <is>
          <t>Formu olduğu gibi doldur</t>
        </is>
      </c>
      <c r="D615" s="5" t="inlineStr"/>
      <c r="E615" s="5" t="inlineStr"/>
      <c r="F615" s="5" t="inlineStr">
        <is>
          <t>İtibar +1</t>
        </is>
      </c>
      <c r="G615" s="6" t="inlineStr">
        <is>
          <t>Memur baktı, 'Bu kutu yanlış' dedi ve kendi düzeltti. Devletten ilk yardımın.</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c r="AI615" s="5" t="inlineStr"/>
      <c r="AJ615" s="5" t="inlineStr"/>
    </row>
    <row r="616">
      <c r="A616" s="5" t="inlineStr">
        <is>
          <t>b6-ilk-vergi</t>
        </is>
      </c>
      <c r="B616" s="5" t="n">
        <v>2</v>
      </c>
      <c r="C616" s="6" t="inlineStr">
        <is>
          <t>Muhasebeci tut</t>
        </is>
      </c>
      <c r="D616" s="5" t="inlineStr">
        <is>
          <t>Kurnazlık</t>
        </is>
      </c>
      <c r="E616" s="5" t="inlineStr">
        <is>
          <t>Kolay</t>
        </is>
      </c>
      <c r="F616" s="5" t="inlineStr"/>
      <c r="G616" s="6" t="inlineStr"/>
      <c r="H616" s="6" t="inlineStr">
        <is>
          <t>Form beş dakikada doldu. Faturası seni bir saat düşündürdü.</t>
        </is>
      </c>
      <c r="I616" s="6" t="inlineStr">
        <is>
          <t>Muhasebeci senin için bir iade hakkı buldu. İade, ücretinden biraz fazlaydı. Kârdasın.</t>
        </is>
      </c>
      <c r="J616" s="6" t="inlineStr">
        <is>
          <t>Muhasebeci bir kutuyu yanlış işaretledi. Artık o da bir yazı bekliyor.</t>
        </is>
      </c>
      <c r="K616" s="6" t="inlineStr">
        <is>
          <t>Muhasebeci “Hallederiz” dedi. Halletmedi; ceza yazısı geldi. Yazıyı görünce de “Bunu da hallederiz” dedi.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inlineStr"/>
      <c r="Z616" s="6" t="inlineStr"/>
      <c r="AA616" s="5" t="inlineStr"/>
      <c r="AB616" s="5" t="inlineStr"/>
      <c r="AC616" s="5" t="inlineStr"/>
      <c r="AD616" s="5" t="inlineStr"/>
      <c r="AE616" s="5" t="inlineStr"/>
      <c r="AF616" s="5" t="inlineStr"/>
      <c r="AG616" s="5" t="inlineStr"/>
      <c r="AH616" s="5" t="inlineStr"/>
      <c r="AI616" s="5" t="inlineStr"/>
      <c r="AJ616" s="5" t="inlineStr"/>
    </row>
    <row r="617">
      <c r="A617" s="5" t="inlineStr">
        <is>
          <t>b6-ilk-vergi</t>
        </is>
      </c>
      <c r="B617" s="5" t="n">
        <v>3</v>
      </c>
      <c r="C617" s="6" t="inlineStr">
        <is>
          <t>Tablona dök, kendin çöz</t>
        </is>
      </c>
      <c r="D617" s="5" t="inlineStr">
        <is>
          <t>Akıl</t>
        </is>
      </c>
      <c r="E617" s="5" t="inlineStr">
        <is>
          <t>Orta</t>
        </is>
      </c>
      <c r="F617" s="5" t="inlineStr"/>
      <c r="G617" s="6" t="inlineStr"/>
      <c r="H617" s="6" t="inlineStr">
        <is>
          <t>Hesapladın, doldurdun. Memur kaşlarını kaldırdı: 'Bu nadir.'</t>
        </is>
      </c>
      <c r="I617" s="6" t="inlineStr">
        <is>
          <t>Form masadan masaya dolaştırıldı. Dairede ilk kez bir kutu doğru işaretlenmişti.</t>
        </is>
      </c>
      <c r="J617" s="6" t="inlineStr">
        <is>
          <t>Hesapladın. Borcun çıktı. Tablo haklıymış.</t>
        </is>
      </c>
      <c r="K617" s="6" t="inlineStr">
        <is>
          <t>Virgülü kaydırdın. Kayıtlara göre büyük bir şirketin sahibisin. Denetim yolda.</t>
        </is>
      </c>
      <c r="L617" s="6" t="inlineStr"/>
      <c r="M617" s="5" t="inlineStr"/>
      <c r="N617" s="5" t="inlineStr"/>
      <c r="O617" s="6" t="inlineStr"/>
      <c r="P617" s="6" t="inlineStr"/>
      <c r="Q617" s="5" t="inlineStr">
        <is>
          <t>Bütçe Tablocusu</t>
        </is>
      </c>
      <c r="R617" s="5" t="inlineStr"/>
      <c r="S617" s="5" t="inlineStr"/>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c r="AI617" s="5" t="inlineStr"/>
      <c r="AJ617" s="5" t="inlineStr"/>
    </row>
    <row r="618">
      <c r="A618" s="5" t="inlineStr">
        <is>
          <t>b6-ilk-vergi</t>
        </is>
      </c>
      <c r="B618" s="5" t="n">
        <v>4</v>
      </c>
      <c r="C618" s="6" t="inlineStr">
        <is>
          <t>Sıradakinin formuna göz at</t>
        </is>
      </c>
      <c r="D618" s="5" t="inlineStr">
        <is>
          <t>Kurnazlık</t>
        </is>
      </c>
      <c r="E618" s="5" t="inlineStr">
        <is>
          <t>Orta</t>
        </is>
      </c>
      <c r="F618" s="5" t="inlineStr"/>
      <c r="G618" s="6" t="inlineStr"/>
      <c r="H618" s="6" t="inlineStr">
        <is>
          <t>Onun cevaplarına bakıp doldurdun. Doğruymuş. İkiniz de şaşırdınız.</t>
        </is>
      </c>
      <c r="I618" s="6" t="inlineStr">
        <is>
          <t>Sıradaki bir mali müşavirmiş. Formunu da doldurdu, kartını da verdi.</t>
        </is>
      </c>
      <c r="J618" s="6" t="inlineStr">
        <is>
          <t>O bir şirket formu dolduruyormuş. Senin formun şimdi bir şirketi anlatıyor.</t>
        </is>
      </c>
      <c r="K618" s="6" t="inlineStr">
        <is>
          <t>Sıradakinin formuna eğildin. Adam yüksek sesle sordu: “Kopya mı çekiyorsun?” Bütün daire sana döndü, memur gözlüğünün üstünden baktı. Formun kalanını kolunla kapatarak doldurdun.</t>
        </is>
      </c>
      <c r="L618" s="6" t="inlineStr"/>
      <c r="M618" s="5" t="inlineStr"/>
      <c r="N618" s="5" t="inlineStr"/>
      <c r="O618" s="6" t="inlineStr"/>
      <c r="P618" s="6" t="inlineStr"/>
      <c r="Q618" s="5" t="inlineStr"/>
      <c r="R618" s="5" t="inlineStr"/>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c r="AI618" s="5" t="inlineStr"/>
      <c r="AJ618" s="5" t="inlineStr"/>
    </row>
    <row r="619">
      <c r="A619" s="5" t="inlineStr">
        <is>
          <t>b6-kombi</t>
        </is>
      </c>
      <c r="B619" s="5" t="n">
        <v>1</v>
      </c>
      <c r="C619" s="6" t="inlineStr">
        <is>
          <t>Üç gün bekle</t>
        </is>
      </c>
      <c r="D619" s="5" t="inlineStr"/>
      <c r="E619" s="5" t="inlineStr"/>
      <c r="F619" s="5" t="inlineStr">
        <is>
          <t>Dayanıklılık +1</t>
        </is>
      </c>
      <c r="G619" s="6" t="inlineStr">
        <is>
          <t>Üç gün battaniye altında yaşadın. Tamirci bir düğmeye bastı: 'Bu kadar.' Fatura bu kadar değildi.</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c r="AI619" s="5" t="inlineStr"/>
      <c r="AJ619" s="5" t="inlineStr"/>
    </row>
    <row r="620">
      <c r="A620" s="5" t="inlineStr">
        <is>
          <t>b6-kombi</t>
        </is>
      </c>
      <c r="B620" s="5" t="n">
        <v>2</v>
      </c>
      <c r="C620" s="6" t="inlineStr">
        <is>
          <t>Videoya bakıp kendin tamir et</t>
        </is>
      </c>
      <c r="D620" s="5" t="inlineStr">
        <is>
          <t>Akıl</t>
        </is>
      </c>
      <c r="E620" s="5" t="inlineStr">
        <is>
          <t>Zor</t>
        </is>
      </c>
      <c r="F620" s="5" t="inlineStr"/>
      <c r="G620" s="6" t="inlineStr"/>
      <c r="H620" s="6" t="inlineStr">
        <is>
          <t>İki vida, bir düğme ve kombi çalıştı. Kendine kahraman gözüyle bakıyorsun. Haklısın.</t>
        </is>
      </c>
      <c r="I620" s="6" t="inlineStr">
        <is>
          <t>Kombiyi tamir edip ayarını da düzelttin; fatura düştü. Apartman yöneticisi seni kat kat tanıttı: “Bizim kombici.” Artık her kış kapın çalınıyor.</t>
        </is>
      </c>
      <c r="J620" s="6" t="inlineStr">
        <is>
          <t>İki vidayı söktün, üçüncü bir vida çıktı. Yeri yok. Tamirciyi yine bekliyorsun, ek ücretle.</t>
        </is>
      </c>
      <c r="K620" s="6" t="inlineStr">
        <is>
          <t>Kombi artık sıcak su yerine hafif bir melodi çalıyor. Tamirci dinledi: 'Bu yeni.'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n">
        <v>3</v>
      </c>
      <c r="Z620" s="6" t="inlineStr">
        <is>
          <t>Kombiyi internetteki bir videoya bakarak tamir ederken. Video hâlâ 'Çok basit' diyor.</t>
        </is>
      </c>
      <c r="AA620" s="5" t="inlineStr"/>
      <c r="AB620" s="5" t="inlineStr"/>
      <c r="AC620" s="5" t="inlineStr"/>
      <c r="AD620" s="5" t="inlineStr"/>
      <c r="AE620" s="5" t="inlineStr"/>
      <c r="AF620" s="5" t="inlineStr"/>
      <c r="AG620" s="5" t="inlineStr"/>
      <c r="AH620" s="5" t="inlineStr"/>
      <c r="AI620" s="5" t="inlineStr"/>
      <c r="AJ620" s="5" t="inlineStr"/>
    </row>
    <row r="621">
      <c r="A621" s="5" t="inlineStr">
        <is>
          <t>b6-kombi</t>
        </is>
      </c>
      <c r="B621" s="5" t="n">
        <v>3</v>
      </c>
      <c r="C621" s="6" t="inlineStr">
        <is>
          <t>Alt kattaki kombiciyle barış</t>
        </is>
      </c>
      <c r="D621" s="5" t="inlineStr">
        <is>
          <t>Çene</t>
        </is>
      </c>
      <c r="E621" s="5" t="inlineStr">
        <is>
          <t>Orta</t>
        </is>
      </c>
      <c r="F621" s="5" t="inlineStr"/>
      <c r="G621" s="6" t="inlineStr"/>
      <c r="H621" s="6" t="inlineStr">
        <is>
          <t>Otopark meselesini kapattınız. Kombi yarım saatte açıldı.</t>
        </is>
      </c>
      <c r="I621" s="6" t="inlineStr">
        <is>
          <t>Barıştınız, kombi çalıştı, otopark yeri de sana kaldı. Kış boyu birlikte çay içiyorsunuz.</t>
        </is>
      </c>
      <c r="J621" s="6" t="inlineStr">
        <is>
          <t>Sen 'Kombi' dedin, o 'Otopark' dedi. Kapı kapandı.</t>
        </is>
      </c>
      <c r="K621" s="6" t="inlineStr">
        <is>
          <t>Otopark meselesini yeniden açtın. Hem soğuktasın hem apartman grubunda bir oylamanın konususun.</t>
        </is>
      </c>
      <c r="L621" s="6" t="inlineStr"/>
      <c r="M621" s="5" t="inlineStr"/>
      <c r="N621" s="5" t="inlineStr"/>
      <c r="O621" s="6" t="inlineStr"/>
      <c r="P621" s="6" t="inlineStr"/>
      <c r="Q621" s="5" t="inlineStr"/>
      <c r="R621" s="5" t="inlineStr"/>
      <c r="S621" s="5" t="inlineStr">
        <is>
          <t>Kurnazlık</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c r="AI621" s="5" t="inlineStr"/>
      <c r="AJ621" s="5" t="inlineStr"/>
    </row>
    <row r="622">
      <c r="A622" s="5" t="inlineStr">
        <is>
          <t>b6-kombi</t>
        </is>
      </c>
      <c r="B622" s="5" t="n">
        <v>4</v>
      </c>
      <c r="C622" s="6" t="inlineStr">
        <is>
          <t>Ustadan kalma numarayı dene</t>
        </is>
      </c>
      <c r="D622" s="5" t="inlineStr">
        <is>
          <t>Dayanıklılık</t>
        </is>
      </c>
      <c r="E622" s="5" t="inlineStr">
        <is>
          <t>Kolay</t>
        </is>
      </c>
      <c r="F622" s="5" t="inlineStr"/>
      <c r="G622" s="6" t="inlineStr"/>
      <c r="H622" s="6" t="inlineStr">
        <is>
          <t>Ustanın numarasıyla kombiye nazikçe vurdun. Çalıştı. Usta gurur duyardı.</t>
        </is>
      </c>
      <c r="I622" s="6" t="inlineStr">
        <is>
          <t>Kombiyi söktün, temizledin, taktın; bir saatte ev ısındı. Akşam alt kattaki teyze bir tabak dolmayla kapını çaldı: “Bizimki de soğuk evladım.” O kış apartmanın yarısının kombisini dolmaya tamir ettin.</t>
        </is>
      </c>
      <c r="J622" s="6" t="inlineStr">
        <is>
          <t>Numarayı denedin. Kombi usta ile hiç tanışmamıştı, anlamadı.</t>
        </is>
      </c>
      <c r="K622" s="6" t="inlineStr">
        <is>
          <t>Ustanın numarasıyla kombiye vurdun. Kombi durdu; bir dakika sonra bütün apartmanın sıcak suyu da. Üst kattaki teyze başında havluyla merdivene çıktı: “Kim dokundu kombiye?” Bütün kapılar aynı anda açıldı; hepsi sana baktı.</t>
        </is>
      </c>
      <c r="L622" s="6" t="inlineStr"/>
      <c r="M622" s="5" t="inlineStr"/>
      <c r="N622" s="5" t="inlineStr"/>
      <c r="O622" s="6" t="inlineStr"/>
      <c r="P622" s="6" t="inlineStr"/>
      <c r="Q622" s="5" t="inlineStr"/>
      <c r="R622" s="5" t="inlineStr">
        <is>
          <t>usta-eli</t>
        </is>
      </c>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c r="AI622" s="5" t="inlineStr"/>
      <c r="AJ622" s="5" t="inlineStr"/>
    </row>
    <row r="623">
      <c r="A623" s="5" t="inlineStr">
        <is>
          <t>b7-kira-artisi</t>
        </is>
      </c>
      <c r="B623" s="5" t="n">
        <v>1</v>
      </c>
      <c r="C623" s="6" t="inlineStr">
        <is>
          <t>Kabul et</t>
        </is>
      </c>
      <c r="D623" s="5" t="inlineStr"/>
      <c r="E623" s="5" t="inlineStr"/>
      <c r="F623" s="5" t="inlineStr">
        <is>
          <t>Dayanıklılık +1</t>
        </is>
      </c>
      <c r="G623" s="6" t="inlineStr">
        <is>
          <t>Artışı kabul ettin. Ev sahibi “Sen bizim evladımız gibisin” dedi; evladına da aynı zammı yapardı. Akşam annen aradı: “Gel bizde kal.” Teklif her ay yenileniyor.</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c r="AI623" s="5" t="inlineStr"/>
      <c r="AJ623" s="5" t="inlineStr"/>
    </row>
    <row r="624">
      <c r="A624" s="5" t="inlineStr">
        <is>
          <t>b7-kira-artisi</t>
        </is>
      </c>
      <c r="B624" s="5" t="n">
        <v>2</v>
      </c>
      <c r="C624" s="6" t="inlineStr">
        <is>
          <t>Pazarlık et</t>
        </is>
      </c>
      <c r="D624" s="5" t="inlineStr">
        <is>
          <t>Çene</t>
        </is>
      </c>
      <c r="E624" s="5" t="inlineStr">
        <is>
          <t>Orta</t>
        </is>
      </c>
      <c r="F624" s="5" t="inlineStr"/>
      <c r="G624" s="6" t="inlineStr"/>
      <c r="H624" s="6" t="inlineStr">
        <is>
          <t>Artışı biraz aşağı çektin. Ev sahibi 'Sen de haklısın' dedi; bu cümle ilk kez senin lehine kullanıldı.</t>
        </is>
      </c>
      <c r="I624" s="6" t="inlineStr">
        <is>
          <t>Ev sahibi zammı geri aldı, üstüne kombiyi de yeniletti. Kombiyi takan usta fısıldadı: “Yirmi yıldır bu adamın evlerine gelirim, kazanan kiracıyı ilk kez görüyorum.”</t>
        </is>
      </c>
      <c r="J624" s="6" t="inlineStr">
        <is>
          <t>Pazarlık ettin. Ev sahibi “Düşüneyim” dedi; ertesi sabah aynı rakamı bu kez “Kusura bakma” diye bitirerek gönderdi.</t>
        </is>
      </c>
      <c r="K624" s="6" t="inlineStr">
        <is>
          <t>Pazarlık ettin; ev sahibi emlakçı yeğenini arayıp hoparlörü açtı. Yeğen “Dayı, bu muhitte bu fiyata ev mi kaldı?” dedi; ikinci cümlede zam iki katına çıktı. Ev sahibi kapıda omzunu sıvazladı: “Araya ben girdim, yoksa daha fazlasını isterdi.”</t>
        </is>
      </c>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c r="AI624" s="5" t="inlineStr"/>
      <c r="AJ624" s="5" t="inlineStr"/>
    </row>
    <row r="625">
      <c r="A625" s="5" t="inlineStr">
        <is>
          <t>b7-kira-artisi</t>
        </is>
      </c>
      <c r="B625" s="5" t="n">
        <v>3</v>
      </c>
      <c r="C625" s="6" t="inlineStr">
        <is>
          <t>'Kızınız dönüyor, değil mi?' de</t>
        </is>
      </c>
      <c r="D625" s="5" t="inlineStr">
        <is>
          <t>Sosyal Radar</t>
        </is>
      </c>
      <c r="E625" s="5" t="inlineStr">
        <is>
          <t>Kolay</t>
        </is>
      </c>
      <c r="F625" s="5" t="inlineStr"/>
      <c r="G625" s="6" t="inlineStr"/>
      <c r="H625" s="6" t="inlineStr">
        <is>
          <t>Ev sahibi sustu. Sonra “Bir yıl daha kalın, eski rakamdan” dedi. Kapıda kızının döndüğünü nereden bildiğini sordu; söylemedin.</t>
        </is>
      </c>
      <c r="I625" s="6" t="inlineStr">
        <is>
          <t>Ev sahibi o kadar etkilendi ki kızının taşınmasına yardım etmeni rica etti. Kira donduruldu, sen koli taşıdın.</t>
        </is>
      </c>
      <c r="J625" s="6" t="inlineStr">
        <is>
          <t>Kızı dönmüyormuş, oğlu evleniyormuş. Üç yıldır evleniyor. Artış yerinde kaldı.</t>
        </is>
      </c>
      <c r="K625" s="6" t="inlineStr">
        <is>
          <t>Kızı dönmüyormuş; sen söyleyince ev sahibinin aklına yattı. O akşam kızını aradı: “Gel, ev boşalıyor.” Ay sonunda noterden kâğıt geldi; ev sahibi merdivende elini sıktı: “Sağ ol evladım, sen olmasan aklıma gelmezdi.”</t>
        </is>
      </c>
      <c r="L625" s="6" t="inlineStr"/>
      <c r="M625" s="5" t="inlineStr"/>
      <c r="N625" s="5" t="inlineStr"/>
      <c r="O625" s="6" t="inlineStr"/>
      <c r="P625" s="6" t="inlineStr"/>
      <c r="Q625" s="5" t="inlineStr"/>
      <c r="R625" s="5" t="inlineStr"/>
      <c r="S625" s="5" t="inlineStr">
        <is>
          <t>Sosyal Radar</t>
        </is>
      </c>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c r="AI625" s="5" t="inlineStr"/>
      <c r="AJ625" s="5" t="inlineStr"/>
    </row>
    <row r="626">
      <c r="A626" s="5" t="inlineStr">
        <is>
          <t>b7-kira-artisi</t>
        </is>
      </c>
      <c r="B626" s="5" t="n">
        <v>4</v>
      </c>
      <c r="C626" s="6" t="inlineStr">
        <is>
          <t>'Ben zaten ev bakıyordum' de</t>
        </is>
      </c>
      <c r="D626" s="5" t="inlineStr">
        <is>
          <t>Pişkinlik</t>
        </is>
      </c>
      <c r="E626" s="5" t="inlineStr">
        <is>
          <t>Orta</t>
        </is>
      </c>
      <c r="F626" s="5" t="inlineStr"/>
      <c r="G626" s="6" t="inlineStr"/>
      <c r="H626" s="6" t="inlineStr">
        <is>
          <t>Ev sahibi bir an boş evi, boş evin kombisini, kombinin kışını düşündü. “Eh, sen de eski kiracısın” dedi; artış yarıya indi.</t>
        </is>
      </c>
      <c r="I626" s="6" t="inlineStr">
        <is>
          <t>Blöfün öyle inandırıcıydı ki ev sahibi seni kalman için ikna etmeye çalıştı. Kira sabitlendi, üstüne tatlı geldi.</t>
        </is>
      </c>
      <c r="J626" s="6" t="inlineStr">
        <is>
          <t>Ev sahibi 'Tabii, bak' dedi. Sen de baktın. Bakacak bir şey yoktu.</t>
        </is>
      </c>
      <c r="K626" s="6" t="inlineStr">
        <is>
          <t>Ev sahibi “Harika, yarın gösterime açıyorum” dedi. Ertesi sabah emlakçı arkasında üç aileyle kapındaydı. Pijamanla salonu gezdirdin; biri buzdolabını açıp sordu: “Siz ne zaman çıkıyorsunuz?”</t>
        </is>
      </c>
      <c r="L626" s="6" t="inlineStr"/>
      <c r="M626" s="5" t="inlineStr"/>
      <c r="N626" s="5" t="inlineStr"/>
      <c r="O626" s="6" t="inlineStr"/>
      <c r="P626" s="6" t="inlineStr"/>
      <c r="Q626" s="5" t="inlineStr">
        <is>
          <t>Yüzü Kızarmaz</t>
        </is>
      </c>
      <c r="R626" s="5" t="inlineStr"/>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c r="AI626" s="5" t="inlineStr"/>
      <c r="AJ626" s="5" t="inlineStr"/>
    </row>
    <row r="627">
      <c r="A627" s="5" t="inlineStr">
        <is>
          <t>b7-eski-sinif-arkadasi</t>
        </is>
      </c>
      <c r="B627" s="5" t="n">
        <v>1</v>
      </c>
      <c r="C627" s="6" t="inlineStr">
        <is>
          <t>Tebrik et</t>
        </is>
      </c>
      <c r="D627" s="5" t="inlineStr"/>
      <c r="E627" s="5" t="inlineStr"/>
      <c r="F627" s="5" t="inlineStr">
        <is>
          <t>İtibar +1</t>
        </is>
      </c>
      <c r="G627" s="6" t="inlineStr">
        <is>
          <t>“Çok sevindim, yolun açık olsun” yazdın. Yazarken dişlerini sıktın. Annen yorumunu görünce aradı: “Sen de bir şey yapsana artık.”</t>
        </is>
      </c>
      <c r="H627" s="6" t="inlineStr"/>
      <c r="I627" s="6" t="inlineStr"/>
      <c r="J627" s="6" t="inlineStr"/>
      <c r="K627" s="6" t="inlineStr"/>
      <c r="L627" s="6" t="inlineStr"/>
      <c r="M627" s="5" t="inlineStr"/>
      <c r="N627" s="5" t="inlineStr"/>
      <c r="O627" s="6" t="inlineStr"/>
      <c r="P627" s="6" t="inlineStr"/>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c r="AI627" s="5" t="inlineStr"/>
      <c r="AJ627" s="5" t="inlineStr"/>
    </row>
    <row r="628">
      <c r="A628" s="5" t="inlineStr">
        <is>
          <t>b7-eski-sinif-arkadasi</t>
        </is>
      </c>
      <c r="B628" s="5" t="n">
        <v>2</v>
      </c>
      <c r="C628" s="6" t="inlineStr">
        <is>
          <t>Fotoğrafı büyütüp ofisi incele</t>
        </is>
      </c>
      <c r="D628" s="5" t="inlineStr"/>
      <c r="E628" s="5" t="inlineStr"/>
      <c r="F628" s="5" t="inlineStr">
        <is>
          <t>Sosyal Radar +1</t>
        </is>
      </c>
      <c r="G628" s="6" t="inlineStr">
        <is>
          <t>Ofisin arkasındaki bitki yapaymış. Bu bilgi seni gereğinden fazla rahatlattı.</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c r="AI628" s="5" t="inlineStr"/>
      <c r="AJ628" s="5" t="inlineStr"/>
    </row>
    <row r="629">
      <c r="A629" s="5" t="inlineStr">
        <is>
          <t>b7-eski-sinif-arkadasi</t>
        </is>
      </c>
      <c r="B629" s="5" t="n">
        <v>3</v>
      </c>
      <c r="C629" s="6" t="inlineStr">
        <is>
          <t>'Bir kahve içelim' yaz</t>
        </is>
      </c>
      <c r="D629" s="5" t="inlineStr">
        <is>
          <t>Çene</t>
        </is>
      </c>
      <c r="E629" s="5" t="inlineStr">
        <is>
          <t>Orta</t>
        </is>
      </c>
      <c r="F629" s="5" t="inlineStr"/>
      <c r="G629" s="6" t="inlineStr"/>
      <c r="H629" s="6" t="inlineStr">
        <is>
          <t>Kahve içtiniz. Başarının sırrını sordun; “Sabah beşte kalkıyorum” dedi. Eve dönünce alarmı beşe kurdun. Sabah beşte kapattın.</t>
        </is>
      </c>
      <c r="I629" s="6" t="inlineStr">
        <is>
          <t>Kahvenin sonunda sana iş teklif etti. Sınıfın en sessizi artık patronun; toplantılarda o susuyor, sen konuşuyorsun.</t>
        </is>
      </c>
      <c r="J629" s="6" t="inlineStr">
        <is>
          <t>Mesajın üç gündür “görüldü”de. Dördüncü gün yeni bir fotoğraf paylaştı: “Kahve molası.” Seninle değil.</t>
        </is>
      </c>
      <c r="K629" s="6" t="inlineStr">
        <is>
          <t>Kahvede sana 'yatırım fırsatı' anlattı. Anlatılan şeyin adı dijital paraydı. Kahveyi sen ödedin.</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c r="AI629" s="5" t="inlineStr"/>
      <c r="AJ629" s="5" t="inlineStr"/>
    </row>
    <row r="630">
      <c r="A630" s="5" t="inlineStr">
        <is>
          <t>b7-eski-sinif-arkadasi</t>
        </is>
      </c>
      <c r="B630" s="5" t="n">
        <v>4</v>
      </c>
      <c r="C630" s="6" t="inlineStr">
        <is>
          <t>Sınıf başkanı sıfatıyla mezunlar buluşması düzenle</t>
        </is>
      </c>
      <c r="D630" s="5" t="inlineStr">
        <is>
          <t>Sosyal Radar</t>
        </is>
      </c>
      <c r="E630" s="5" t="inlineStr">
        <is>
          <t>Orta</t>
        </is>
      </c>
      <c r="F630" s="5" t="inlineStr"/>
      <c r="G630" s="6" t="inlineStr"/>
      <c r="H630" s="6" t="inlineStr">
        <is>
          <t>Herkes geldi. Başarılı olan arkadaş son dakika iptal etti. Buluşmanın konusu o oldu.</t>
        </is>
      </c>
      <c r="I630" s="6" t="inlineStr">
        <is>
          <t>Herkes geldi, sınıf öğretmeniniz bile. Gece sonunda öğretmen seni kenara çekti: “Sen hâlâ başkansın evladım.” Garson da öyle bildi; hesabı sana getirdi.</t>
        </is>
      </c>
      <c r="J630" s="6" t="inlineStr">
        <is>
          <t>Buluşmaya dört kişi geldi. Üçü seni yanlışlıkla başka biri sandı.</t>
        </is>
      </c>
      <c r="K630" s="6" t="inlineStr">
        <is>
          <t>Buluşma grubunu kurdun; bir haftada 900 mesaj oldu. Önce bebek fotoğrafları, sonra kim kime borçlu, en son siyaset. Buluşmaya kimse gelmedi; grup hâlâ kavga ediyor, yöneticisi sensin.</t>
        </is>
      </c>
      <c r="L630" s="6" t="inlineStr"/>
      <c r="M630" s="5" t="inlineStr"/>
      <c r="N630" s="5" t="inlineStr"/>
      <c r="O630" s="6" t="inlineStr"/>
      <c r="P630" s="6" t="inlineStr"/>
      <c r="Q630" s="5" t="inlineStr"/>
      <c r="R630" s="5" t="inlineStr">
        <is>
          <t>baskan</t>
        </is>
      </c>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c r="AI630" s="5" t="inlineStr"/>
      <c r="AJ630" s="5" t="inlineStr"/>
    </row>
    <row r="631">
      <c r="A631" s="5" t="inlineStr">
        <is>
          <t>mb-eposta-yagmuru</t>
        </is>
      </c>
      <c r="B631" s="5" t="n">
        <v>1</v>
      </c>
      <c r="C631" s="6" t="inlineStr">
        <is>
          <t>Tek tek ayıkla</t>
        </is>
      </c>
      <c r="D631" s="5" t="inlineStr">
        <is>
          <t>Akıl</t>
        </is>
      </c>
      <c r="E631" s="5" t="inlineStr">
        <is>
          <t>Orta</t>
        </is>
      </c>
      <c r="F631" s="5" t="inlineStr"/>
      <c r="G631" s="6" t="inlineStr"/>
      <c r="H631" s="6" t="inlineStr">
        <is>
          <t>Gelen kutusu sıfırlandı. Otuz saniye boyunca huzur vardı.</t>
        </is>
      </c>
      <c r="I631" s="6" t="inlineStr">
        <is>
          <t>Sıfırladın, üstüne bir kural yazdın. 'Herkese Yanıt' e-postaları artık seni atlıyor.</t>
        </is>
      </c>
      <c r="J631" s="6" t="inlineStr">
        <is>
          <t>Önemli bir e-postayı arşivledin. Müşteri üç gün sonra 'Tamam o zaman' yazdı.</t>
        </is>
      </c>
      <c r="K631" s="6" t="inlineStr">
        <is>
          <t>Yanlışlıkla bütün şirkete “Tamam” yazdın. Önce yüz kişi “Neye tamam?” diye yanıtladı, sonra yüz kişi “Lütfen beni listeden çıkarın” diye. En son genel müdür yazdı: “Tamam.”</t>
        </is>
      </c>
      <c r="L631" s="6" t="inlineStr">
        <is>
          <t>Yarısını ayıkladın. Diğer yarısı hâlâ orada, sessizce çoğalıyor.</t>
        </is>
      </c>
      <c r="M631" s="5" t="inlineStr">
        <is>
          <t>hidden</t>
        </is>
      </c>
      <c r="N631" s="5" t="inlineStr">
        <is>
          <t>Önemli E-posta</t>
        </is>
      </c>
      <c r="O631" s="6" t="inlineStr">
        <is>
          <t>Gelen kutusunda gerçekten önemli tek e-postayı (📧) bul.</t>
        </is>
      </c>
      <c r="P631" s="6" t="inlineStr">
        <is>
          <t>{"target": "📧", "decoys": ["📰", "📢", "🎁", "🛍️", "📎"]}</t>
        </is>
      </c>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c r="AI631" s="5" t="inlineStr"/>
      <c r="AJ631" s="5" t="inlineStr"/>
    </row>
    <row r="632">
      <c r="A632" s="5" t="inlineStr">
        <is>
          <t>mb-eposta-yagmuru</t>
        </is>
      </c>
      <c r="B632" s="5" t="n">
        <v>2</v>
      </c>
      <c r="C632" s="6" t="inlineStr">
        <is>
          <t>Hepsini okundu işaretle</t>
        </is>
      </c>
      <c r="D632" s="5" t="inlineStr"/>
      <c r="E632" s="5" t="inlineStr"/>
      <c r="F632" s="5" t="inlineStr">
        <is>
          <t>Pişkinlik +1</t>
        </is>
      </c>
      <c r="G632" s="6" t="inlineStr">
        <is>
          <t>Tek tıkla sıfırladın. Önemli olan tekrar yazar. Yazmadı. Demek önemli değilmiş.</t>
        </is>
      </c>
      <c r="H632" s="6" t="inlineStr"/>
      <c r="I632" s="6" t="inlineStr"/>
      <c r="J632" s="6" t="inlineStr"/>
      <c r="K632" s="6" t="inlineStr"/>
      <c r="L632" s="6" t="inlineStr"/>
      <c r="M632" s="5" t="inlineStr"/>
      <c r="N632" s="5" t="inlineStr"/>
      <c r="O632" s="6" t="inlineStr"/>
      <c r="P632" s="6" t="inlineStr"/>
      <c r="Q632" s="5" t="inlineStr"/>
      <c r="R632" s="5" t="inlineStr"/>
      <c r="S632" s="5" t="inlineStr"/>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c r="AI632" s="5" t="inlineStr"/>
      <c r="AJ632" s="5" t="inlineStr"/>
    </row>
    <row r="633">
      <c r="A633" s="5" t="inlineStr">
        <is>
          <t>mb-eposta-yagmuru</t>
        </is>
      </c>
      <c r="B633" s="5" t="n">
        <v>3</v>
      </c>
      <c r="C633" s="6" t="inlineStr">
        <is>
          <t>Otomatik yanıtı bir hafta daha açık tut</t>
        </is>
      </c>
      <c r="D633" s="5" t="inlineStr">
        <is>
          <t>Kurnazlık</t>
        </is>
      </c>
      <c r="E633" s="5" t="inlineStr">
        <is>
          <t>Kolay</t>
        </is>
      </c>
      <c r="F633" s="5" t="inlineStr"/>
      <c r="G633" s="6" t="inlineStr"/>
      <c r="H633" s="6" t="inlineStr">
        <is>
          <t>Tatil fiziksel olarak bitti, dijital olarak sürüyor. Bir hafta kimse senden bir şey istemedi.</t>
        </is>
      </c>
      <c r="I633" s="6" t="inlineStr">
        <is>
          <t>Otomatik yanıtın o kadar ikna ediciydi ki yöneticin sana iyi tatiller diledi. Yan masadan.</t>
        </is>
      </c>
      <c r="J633" s="6" t="inlineStr">
        <is>
          <t>Yöneticin yan masadan 'Buradasın ama?' diye yazdı. Otomatik yanıt aldı.</t>
        </is>
      </c>
      <c r="K633" s="6" t="inlineStr">
        <is>
          <t>Otomatik yanıtın en büyük müşterinin şikâyetine de gitti: “Tatildeyim, dönünce ilgileneceğim.” Müşteri yöneticini aradı. Yöneticin telefonu kapattı, sandalyesini senin masana çevirdi: “Dönünce ilgilen, olur mu?”</t>
        </is>
      </c>
      <c r="L633" s="6" t="inlineStr"/>
      <c r="M633" s="5" t="inlineStr"/>
      <c r="N633" s="5" t="inlineStr"/>
      <c r="O633" s="6" t="inlineStr"/>
      <c r="P633" s="6" t="inlineStr"/>
      <c r="Q633" s="5" t="inlineStr"/>
      <c r="R633" s="5" t="inlineStr"/>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c r="AI633" s="5" t="inlineStr"/>
      <c r="AJ633" s="5" t="inlineStr"/>
    </row>
    <row r="634">
      <c r="A634" s="5" t="inlineStr">
        <is>
          <t>me-kira-artisi</t>
        </is>
      </c>
      <c r="B634" s="5" t="n">
        <v>1</v>
      </c>
      <c r="C634" s="6" t="inlineStr">
        <is>
          <t>Artışı kabul et</t>
        </is>
      </c>
      <c r="D634" s="5" t="inlineStr"/>
      <c r="E634" s="5" t="inlineStr"/>
      <c r="F634" s="5" t="inlineStr">
        <is>
          <t>Dayanıklılık +1</t>
        </is>
      </c>
      <c r="G634" s="6" t="inlineStr">
        <is>
          <t>Artışı kabul ettin; akşam etiket makinesini çıkardın. Ertesi sabah her gün aynı peyniri alan teyze paketi eline alıp sana baktı: “Ne oldu evladım, peynir de mi kiraya girdi?”</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c r="AI634" s="5" t="inlineStr"/>
      <c r="AJ634" s="5" t="inlineStr"/>
    </row>
    <row r="635">
      <c r="A635" s="5" t="inlineStr">
        <is>
          <t>me-kira-artisi</t>
        </is>
      </c>
      <c r="B635" s="5" t="n">
        <v>2</v>
      </c>
      <c r="C635" s="6" t="inlineStr">
        <is>
          <t>Pazarlık et</t>
        </is>
      </c>
      <c r="D635" s="5" t="inlineStr">
        <is>
          <t>Çene</t>
        </is>
      </c>
      <c r="E635" s="5" t="inlineStr">
        <is>
          <t>Orta</t>
        </is>
      </c>
      <c r="F635" s="5" t="inlineStr"/>
      <c r="G635" s="6" t="inlineStr"/>
      <c r="H635" s="6" t="inlineStr">
        <is>
          <t>Artışı yarıya indirdin. Karşılığında dükkân sahibi her sabah çayını sende içecek.</t>
        </is>
      </c>
      <c r="I635" s="6" t="inlineStr">
        <is>
          <t>Beş yıllık sözleşme kopardın. Dükkân sahibi imzadan sonra hesap makinesine uzun uzun baktı.</t>
        </is>
      </c>
      <c r="J635" s="6" t="inlineStr">
        <is>
          <t>'Düşünürüm' dedi ve düşünmeden rakamı mesajla gönderdi.</t>
        </is>
      </c>
      <c r="K635" s="6" t="inlineStr">
        <is>
          <t>“Bu rakama karşıdaki boş dükkânı tutarım” dedin. Ertesi gün karşının camına “Kiralandı” yazıldı. Kiralayan dükkân sahibinin kendisiydi; senin sattığın her şeyi satmaya başladı, bir bozukluk ucuza.</t>
        </is>
      </c>
      <c r="L635" s="6" t="inlineStr"/>
      <c r="M635" s="5" t="inlineStr"/>
      <c r="N635" s="5" t="inlineStr"/>
      <c r="O635" s="6" t="inlineStr"/>
      <c r="P635" s="6" t="inlineStr"/>
      <c r="Q635" s="5" t="inlineStr"/>
      <c r="R635" s="5" t="inlineStr"/>
      <c r="S635" s="5" t="inlineStr"/>
      <c r="T635" s="5" t="inlineStr"/>
      <c r="U635" s="5" t="inlineStr"/>
      <c r="V635" s="5" t="inlineStr"/>
      <c r="W635" s="5" t="inlineStr"/>
      <c r="X635" s="5" t="inlineStr"/>
      <c r="Y635" s="5" t="inlineStr"/>
      <c r="Z635" s="6" t="inlineStr"/>
      <c r="AA635" s="5" t="inlineStr"/>
      <c r="AB635" s="5" t="inlineStr"/>
      <c r="AC635" s="5" t="inlineStr"/>
      <c r="AD635" s="5" t="inlineStr"/>
      <c r="AE635" s="5" t="inlineStr"/>
      <c r="AF635" s="5" t="inlineStr"/>
      <c r="AG635" s="5" t="inlineStr"/>
      <c r="AH635" s="5" t="inlineStr"/>
      <c r="AI635" s="5" t="inlineStr"/>
      <c r="AJ635" s="5" t="inlineStr"/>
    </row>
    <row r="636">
      <c r="A636" s="5" t="inlineStr">
        <is>
          <t>me-kira-artisi</t>
        </is>
      </c>
      <c r="B636" s="5" t="n">
        <v>3</v>
      </c>
      <c r="C636" s="6" t="inlineStr">
        <is>
          <t>'Dükkânı bana satın' de</t>
        </is>
      </c>
      <c r="D636" s="5" t="inlineStr">
        <is>
          <t>Sosyal Radar</t>
        </is>
      </c>
      <c r="E636" s="5" t="inlineStr">
        <is>
          <t>Orta</t>
        </is>
      </c>
      <c r="F636" s="5" t="inlineStr"/>
      <c r="G636" s="6" t="inlineStr"/>
      <c r="H636" s="6" t="inlineStr">
        <is>
          <t>Pazarlık iki çay sürdü; dükkân on yıllık senetle senin. Kira bitti, taksit başladı. Rakam aynı ama artık duvara çivi çakabiliyorsun.</t>
        </is>
      </c>
      <c r="I636" s="6" t="inlineStr">
        <is>
          <t>Dükkânı taksitle sana verdi; ilk taksiti “Öte Diyar'a iki paket çay” diye aldı. Tabelaya artık “sahibi” yazdırabilirsin.</t>
        </is>
      </c>
      <c r="J636" s="6" t="inlineStr">
        <is>
          <t>Teklif ettin; “Oğlumla bir konuşayım” dedi. Oğlu fiyatı Öte Diyar parasıyla söyledi. Kirayı ödemeye devam.</t>
        </is>
      </c>
      <c r="K636" s="6" t="inlineStr">
        <is>
          <t>Teklifini yeğenine anlattı, yeğen senden hızlı davrandı. Kirayı artık yeğene ödüyorsun; artışıyla.</t>
        </is>
      </c>
      <c r="L636" s="6" t="inlineStr"/>
      <c r="M636" s="5" t="inlineStr"/>
      <c r="N636" s="5" t="inlineStr"/>
      <c r="O636" s="6" t="inlineStr"/>
      <c r="P636" s="6" t="inlineStr"/>
      <c r="Q636" s="5" t="inlineStr"/>
      <c r="R636" s="5" t="inlineStr"/>
      <c r="S636" s="5" t="inlineStr">
        <is>
          <t>Sosyal Radar</t>
        </is>
      </c>
      <c r="T636" s="5" t="inlineStr"/>
      <c r="U636" s="5" t="inlineStr"/>
      <c r="V636" s="5" t="inlineStr"/>
      <c r="W636" s="5" t="inlineStr"/>
      <c r="X636" s="5" t="inlineStr"/>
      <c r="Y636" s="5" t="inlineStr"/>
      <c r="Z636" s="6" t="inlineStr"/>
      <c r="AA636" s="5" t="inlineStr"/>
      <c r="AB636" s="5" t="inlineStr"/>
      <c r="AC636" s="5" t="inlineStr"/>
      <c r="AD636" s="5" t="inlineStr"/>
      <c r="AE636" s="5" t="inlineStr"/>
      <c r="AF636" s="5" t="inlineStr"/>
      <c r="AG636" s="5" t="inlineStr"/>
      <c r="AH636" s="5" t="inlineStr"/>
      <c r="AI636" s="5" t="inlineStr"/>
      <c r="AJ636" s="5" t="inlineStr"/>
    </row>
    <row r="637">
      <c r="A637" s="5" t="inlineStr">
        <is>
          <t>me-kira-artisi</t>
        </is>
      </c>
      <c r="B637" s="5" t="n">
        <v>4</v>
      </c>
      <c r="C637" s="6" t="inlineStr">
        <is>
          <t>Ödemeyi ertelet</t>
        </is>
      </c>
      <c r="D637" s="5" t="inlineStr">
        <is>
          <t>Pişkinlik</t>
        </is>
      </c>
      <c r="E637" s="5" t="inlineStr">
        <is>
          <t>Zor</t>
        </is>
      </c>
      <c r="F637" s="5" t="inlineStr"/>
      <c r="G637" s="6" t="inlineStr"/>
      <c r="H637" s="6" t="inlineStr">
        <is>
          <t>'Ay sonuna kadar' dedin ve ay sonu gerçekten ödedin. Dükkân sahibi hâlâ şaşkın.</t>
        </is>
      </c>
      <c r="I637" s="6" t="inlineStr">
        <is>
          <t>Kirayı ay sonuna ertelettin, gecikme bedelini de sildirdin. Dükkân sahibi giderken iç çekti: “Sen yine iyisin evladım, öbür kiracı üç aydır beni görünce kepenk indiriyor.”</t>
        </is>
      </c>
      <c r="J637" s="6" t="inlineStr">
        <is>
          <t>Erteleme istedin; dükkân sahibi başka yerlere de borçlu olduğunu çoktan duymuştu.</t>
        </is>
      </c>
      <c r="K637" s="6" t="inlineStr">
        <is>
          <t>Ertelettin. Ertesi gün kira, gecikme bedeli ve 'aramızda kalsın' notuyla iki katına çıktı.</t>
        </is>
      </c>
      <c r="L637" s="6" t="inlineStr"/>
      <c r="M637" s="5" t="inlineStr"/>
      <c r="N637" s="5" t="inlineStr"/>
      <c r="O637" s="6" t="inlineStr"/>
      <c r="P637" s="6" t="inlineStr"/>
      <c r="Q637" s="5" t="inlineStr"/>
      <c r="R637" s="5" t="inlineStr">
        <is>
          <t>borclu</t>
        </is>
      </c>
      <c r="S637" s="5" t="inlineStr"/>
      <c r="T637" s="5" t="inlineStr"/>
      <c r="U637" s="5" t="inlineStr"/>
      <c r="V637" s="5" t="inlineStr"/>
      <c r="W637" s="5" t="inlineStr"/>
      <c r="X637" s="5" t="inlineStr"/>
      <c r="Y637" s="5" t="inlineStr"/>
      <c r="Z637" s="6" t="inlineStr"/>
      <c r="AA637" s="5" t="inlineStr"/>
      <c r="AB637" s="5" t="inlineStr"/>
      <c r="AC637" s="5" t="inlineStr"/>
      <c r="AD637" s="5" t="inlineStr"/>
      <c r="AE637" s="5" t="inlineStr"/>
      <c r="AF637" s="5" t="inlineStr"/>
      <c r="AG637" s="5" t="inlineStr"/>
      <c r="AH637" s="5" t="inlineStr"/>
      <c r="AI637" s="5" t="inlineStr"/>
      <c r="AJ637" s="5" t="inlineStr"/>
    </row>
    <row r="638">
      <c r="A638" s="5" t="inlineStr">
        <is>
          <t>mm-yeni-mudur</t>
        </is>
      </c>
      <c r="B638" s="5" t="n">
        <v>1</v>
      </c>
      <c r="C638" s="6" t="inlineStr">
        <is>
          <t>Yeni düzene uy</t>
        </is>
      </c>
      <c r="D638" s="5" t="inlineStr"/>
      <c r="E638" s="5" t="inlineStr"/>
      <c r="F638" s="5" t="inlineStr">
        <is>
          <t>Sosyal Radar +1, Dayanıklılık +1</t>
        </is>
      </c>
      <c r="G638" s="6" t="inlineStr">
        <is>
          <t>Kahveye artık her sabah iki dakika fazla yürüyorsun. Müdüre göre bu verimlilik.</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c r="AI638" s="5" t="inlineStr"/>
      <c r="AJ638" s="5" t="inlineStr"/>
    </row>
    <row r="639">
      <c r="A639" s="5" t="inlineStr">
        <is>
          <t>mm-yeni-mudur</t>
        </is>
      </c>
      <c r="B639" s="5" t="n">
        <v>2</v>
      </c>
      <c r="C639" s="6" t="inlineStr">
        <is>
          <t>Eski müdürü öv</t>
        </is>
      </c>
      <c r="D639" s="5" t="inlineStr">
        <is>
          <t>Pişkinlik</t>
        </is>
      </c>
      <c r="E639" s="5" t="inlineStr">
        <is>
          <t>Zor</t>
        </is>
      </c>
      <c r="F639" s="5" t="inlineStr"/>
      <c r="G639" s="6" t="inlineStr"/>
      <c r="H639" s="6" t="inlineStr">
        <is>
          <t>Yeni müdür 'Sadakat güzel şey' dedi ve seni önemli bir dosyaya verdi.</t>
        </is>
      </c>
      <c r="I639" s="6" t="inlineStr">
        <is>
          <t>Sen eski müdürü anlatırken yeni müdür telefonu açıp onu aradı: “Senin çocuk burada, seni anlatıyor.” İki müdür yirmi dakika telefonda güldü; kapatınca yeni müdür sana çay söyledi.</t>
        </is>
      </c>
      <c r="J639" s="6" t="inlineStr">
        <is>
          <t>Müdür not aldı. Not defterinin kapağında 'Muhalefet' yazıyor.</t>
        </is>
      </c>
      <c r="K639" s="6" t="inlineStr">
        <is>
          <t>Eski müdür, yeni müdürün en büyük rakibiymiş. Artık ikinci kattaki penceresiz odadasın.</t>
        </is>
      </c>
      <c r="L639" s="6" t="inlineStr"/>
      <c r="M639" s="5" t="inlineStr"/>
      <c r="N639" s="5" t="inlineStr"/>
      <c r="O639" s="6" t="inlineStr"/>
      <c r="P639" s="6" t="inlineStr"/>
      <c r="Q639" s="5" t="inlineStr"/>
      <c r="R639" s="5" t="inlineStr"/>
      <c r="S639" s="5" t="inlineStr"/>
      <c r="T639" s="5" t="inlineStr"/>
      <c r="U639" s="5" t="inlineStr"/>
      <c r="V639" s="5" t="inlineStr"/>
      <c r="W639" s="5" t="inlineStr">
        <is>
          <t>memur-mudur-dusmani</t>
        </is>
      </c>
      <c r="X639" s="5" t="inlineStr"/>
      <c r="Y639" s="5" t="inlineStr"/>
      <c r="Z639" s="6" t="inlineStr"/>
      <c r="AA639" s="5" t="inlineStr"/>
      <c r="AB639" s="5" t="inlineStr"/>
      <c r="AC639" s="5" t="inlineStr"/>
      <c r="AD639" s="5" t="inlineStr"/>
      <c r="AE639" s="5" t="inlineStr"/>
      <c r="AF639" s="5" t="inlineStr"/>
      <c r="AG639" s="5" t="inlineStr"/>
      <c r="AH639" s="5" t="inlineStr"/>
      <c r="AI639" s="5" t="inlineStr"/>
      <c r="AJ639" s="5" t="inlineStr"/>
    </row>
    <row r="640">
      <c r="A640" s="5" t="inlineStr">
        <is>
          <t>mm-yeni-mudur</t>
        </is>
      </c>
      <c r="B640" s="5" t="n">
        <v>3</v>
      </c>
      <c r="C640" s="6" t="inlineStr">
        <is>
          <t>Kahve makinesini geri taşı</t>
        </is>
      </c>
      <c r="D640" s="5" t="inlineStr">
        <is>
          <t>Cesaret</t>
        </is>
      </c>
      <c r="E640" s="5" t="inlineStr">
        <is>
          <t>Zor</t>
        </is>
      </c>
      <c r="F640" s="5" t="inlineStr"/>
      <c r="G640" s="6" t="inlineStr"/>
      <c r="H640" s="6" t="inlineStr">
        <is>
          <t>Müdür ertesi sabah kahvesini eski yerden aldı ve hiçbir şey demedi. Koridorda sana ilk kez “Günaydın” dedi; soğuk ama dedi.</t>
        </is>
      </c>
      <c r="I640" s="6" t="inlineStr">
        <is>
          <t>Müdür bunu cesaret olarak gördü ve 'Fikirlerini söyle' dedi. Fikirlerin artık resmî yazıyla isteniyor.</t>
        </is>
      </c>
      <c r="J640" s="6" t="inlineStr">
        <is>
          <t>Kablo yetmedi. Makine koridorun ortasında kaldı, sen de.</t>
        </is>
      </c>
      <c r="K640" s="6" t="inlineStr">
        <is>
          <t>Makineyi taşırken kablo prizden kurtuldu, sürahi koridora boşaldı; müdür tam o anda kapıdan çıktı, ayakkabıları ıslak. Ertesi sabah masanda bir tutanak vardı: “Kurum demirbaşının izinsiz yer değiştirmesi.” Kat o günden beri kahvesini sessiz içiyor.</t>
        </is>
      </c>
      <c r="L640" s="6" t="inlineStr"/>
      <c r="M640" s="5" t="inlineStr"/>
      <c r="N640" s="5" t="inlineStr"/>
      <c r="O640" s="6" t="inlineStr"/>
      <c r="P640" s="6" t="inlineStr"/>
      <c r="Q640" s="5" t="inlineStr"/>
      <c r="R640" s="5" t="inlineStr"/>
      <c r="S640" s="5" t="inlineStr"/>
      <c r="T640" s="5" t="inlineStr"/>
      <c r="U640" s="5" t="inlineStr"/>
      <c r="V640" s="5" t="inlineStr"/>
      <c r="W640" s="5" t="inlineStr">
        <is>
          <t>memur-mudur-dusmani</t>
        </is>
      </c>
      <c r="X640" s="5" t="inlineStr"/>
      <c r="Y640" s="5" t="inlineStr"/>
      <c r="Z640" s="6" t="inlineStr"/>
      <c r="AA640" s="5" t="inlineStr"/>
      <c r="AB640" s="5" t="inlineStr"/>
      <c r="AC640" s="5" t="inlineStr"/>
      <c r="AD640" s="5" t="inlineStr"/>
      <c r="AE640" s="5" t="inlineStr"/>
      <c r="AF640" s="5" t="inlineStr"/>
      <c r="AG640" s="5" t="inlineStr"/>
      <c r="AH640" s="5" t="inlineStr"/>
      <c r="AI640" s="5" t="inlineStr"/>
      <c r="AJ640" s="5" t="inlineStr"/>
    </row>
    <row r="641">
      <c r="A641" s="5" t="inlineStr">
        <is>
          <t>mm-yeni-mudur</t>
        </is>
      </c>
      <c r="B641" s="5" t="n">
        <v>4</v>
      </c>
      <c r="C641" s="6" t="inlineStr">
        <is>
          <t>Toplantıda sadece dinle</t>
        </is>
      </c>
      <c r="D641" s="5" t="inlineStr">
        <is>
          <t>Sosyal Radar</t>
        </is>
      </c>
      <c r="E641" s="5" t="inlineStr">
        <is>
          <t>Kolay</t>
        </is>
      </c>
      <c r="F641" s="5" t="inlineStr"/>
      <c r="G641" s="6" t="inlineStr"/>
      <c r="H641" s="6" t="inlineStr">
        <is>
          <t>Konuşmadın, not aldın. Müdür sonradan notlarını istedi. Tutanaklar artık sende.</t>
        </is>
      </c>
      <c r="I641" s="6" t="inlineStr">
        <is>
          <t>Notlarında müdürün söylediği her şeyin bir yönetmelik maddesiyle çeliştiği yazıyordu. Müdür sana danışman gibi davranmaya başladı.</t>
        </is>
      </c>
      <c r="J641" s="6" t="inlineStr">
        <is>
          <t>Dinledin. Toplantı dört saat sürdü. Not alacak bir şey çıkmadı.</t>
        </is>
      </c>
      <c r="K641" s="6" t="inlineStr">
        <is>
          <t>Dinlerken uyuklamışsın. Tutanakta 'Katılımcı görüş bildirmedi; gözlerini de açmadı' yazıyor.</t>
        </is>
      </c>
      <c r="L641" s="6" t="inlineStr"/>
      <c r="M641" s="5" t="inlineStr"/>
      <c r="N641" s="5" t="inlineStr"/>
      <c r="O641" s="6" t="inlineStr"/>
      <c r="P641" s="6" t="inlineStr"/>
      <c r="Q641" s="5" t="inlineStr">
        <is>
          <t>Sessiz Gözlemci</t>
        </is>
      </c>
      <c r="R641" s="5" t="inlineStr"/>
      <c r="S641" s="5" t="inlineStr"/>
      <c r="T641" s="5" t="inlineStr"/>
      <c r="U641" s="5" t="inlineStr"/>
      <c r="V641" s="5" t="inlineStr"/>
      <c r="W641" s="5" t="inlineStr">
        <is>
          <t>memur-mudur-dusmani</t>
        </is>
      </c>
      <c r="X641" s="5" t="inlineStr"/>
      <c r="Y641" s="5" t="inlineStr"/>
      <c r="Z641" s="6" t="inlineStr"/>
      <c r="AA641" s="5" t="inlineStr"/>
      <c r="AB641" s="5" t="inlineStr"/>
      <c r="AC641" s="5" t="inlineStr"/>
      <c r="AD641" s="5" t="inlineStr"/>
      <c r="AE641" s="5" t="inlineStr"/>
      <c r="AF641" s="5" t="inlineStr"/>
      <c r="AG641" s="5" t="inlineStr"/>
      <c r="AH641" s="5" t="inlineStr"/>
      <c r="AI641" s="5" t="inlineStr"/>
      <c r="AJ641" s="5" t="inlineStr"/>
    </row>
    <row r="642">
      <c r="A642" s="5" t="inlineStr">
        <is>
          <t>b7-trafik-cezasi</t>
        </is>
      </c>
      <c r="B642" s="5" t="n">
        <v>1</v>
      </c>
      <c r="C642" s="6" t="inlineStr">
        <is>
          <t>Erken öde, indirimden yararlan</t>
        </is>
      </c>
      <c r="D642" s="5" t="inlineStr"/>
      <c r="E642" s="5" t="inlineStr"/>
      <c r="F642" s="5" t="inlineStr">
        <is>
          <t>Akıl +1</t>
        </is>
      </c>
      <c r="G642" s="6" t="inlineStr">
        <is>
          <t>Cezayı ilk hafta, indirimle ödedin. Baban duyunca gururlandı: “Aferin, devletle bile pazarlık ettin.”</t>
        </is>
      </c>
      <c r="H642" s="6" t="inlineStr"/>
      <c r="I642" s="6" t="inlineStr"/>
      <c r="J642" s="6" t="inlineStr"/>
      <c r="K642" s="6" t="inlineStr"/>
      <c r="L642" s="6" t="inlineStr"/>
      <c r="M642" s="5" t="inlineStr"/>
      <c r="N642" s="5" t="inlineStr"/>
      <c r="O642" s="6" t="inlineStr"/>
      <c r="P642" s="6" t="inlineStr"/>
      <c r="Q642" s="5" t="inlineStr"/>
      <c r="R642" s="5" t="inlineStr"/>
      <c r="S642" s="5" t="inlineStr"/>
      <c r="T642" s="5" t="inlineStr"/>
      <c r="U642" s="5" t="inlineStr"/>
      <c r="V642" s="5" t="inlineStr"/>
      <c r="W642" s="5" t="inlineStr"/>
      <c r="X642" s="5" t="inlineStr"/>
      <c r="Y642" s="5" t="inlineStr"/>
      <c r="Z642" s="6" t="inlineStr"/>
      <c r="AA642" s="5" t="inlineStr"/>
      <c r="AB642" s="5" t="inlineStr"/>
      <c r="AC642" s="5" t="inlineStr"/>
      <c r="AD642" s="5" t="inlineStr"/>
      <c r="AE642" s="5" t="inlineStr"/>
      <c r="AF642" s="5" t="inlineStr"/>
      <c r="AG642" s="5" t="inlineStr"/>
      <c r="AH642" s="5" t="inlineStr"/>
      <c r="AI642" s="5" t="inlineStr"/>
      <c r="AJ642" s="5" t="inlineStr"/>
    </row>
    <row r="643">
      <c r="A643" s="5" t="inlineStr">
        <is>
          <t>b7-trafik-cezasi</t>
        </is>
      </c>
      <c r="B643" s="5" t="n">
        <v>2</v>
      </c>
      <c r="C643" s="6" t="inlineStr">
        <is>
          <t>İtiraz dilekçesi yaz</t>
        </is>
      </c>
      <c r="D643" s="5" t="inlineStr">
        <is>
          <t>Akıl</t>
        </is>
      </c>
      <c r="E643" s="5" t="inlineStr">
        <is>
          <t>Zor</t>
        </is>
      </c>
      <c r="F643" s="5" t="inlineStr"/>
      <c r="G643" s="6" t="inlineStr"/>
      <c r="H643" s="6" t="inlineStr">
        <is>
          <t>Işığın arızalı olduğunu kanıtladın. Ceza iptal. Dilekçe arşivde örnek olarak saklanıyor.</t>
        </is>
      </c>
      <c r="I643" s="6" t="inlineStr">
        <is>
          <t>İtirazın kabul edildi, kavşaktaki ışık da değiştirildi. Belediye bir teşekkür yazısı gönderdi. Bu yazı da postayla geldi.</t>
        </is>
      </c>
      <c r="J643" s="6" t="inlineStr">
        <is>
          <t>Dilekçe 'süresi içinde yapılmadığı' için reddedildi. Süre, zarfın sana ulaşmasından önce dolmuş.</t>
        </is>
      </c>
      <c r="K643" s="6" t="inlineStr">
        <is>
          <t>İtiraz sürecinde indirim süresi geçti. Artık cezanın tamamını, gururla ödüyorsun.</t>
        </is>
      </c>
      <c r="L643" s="6" t="inlineStr"/>
      <c r="M643" s="5" t="inlineStr"/>
      <c r="N643" s="5" t="inlineStr"/>
      <c r="O643" s="6" t="inlineStr"/>
      <c r="P643" s="6" t="inlineStr"/>
      <c r="Q643" s="5" t="inlineStr"/>
      <c r="R643" s="5" t="inlineStr"/>
      <c r="S643" s="5" t="inlineStr"/>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c r="AI643" s="5" t="inlineStr"/>
      <c r="AJ643" s="5" t="inlineStr"/>
    </row>
    <row r="644">
      <c r="A644" s="5" t="inlineStr">
        <is>
          <t>b7-trafik-cezasi</t>
        </is>
      </c>
      <c r="B644" s="5" t="n">
        <v>3</v>
      </c>
      <c r="C644" s="6" t="inlineStr">
        <is>
          <t>'Fotoğraftaki ben değilim' de</t>
        </is>
      </c>
      <c r="D644" s="5" t="inlineStr">
        <is>
          <t>Pişkinlik</t>
        </is>
      </c>
      <c r="E644" s="5" t="inlineStr">
        <is>
          <t>Zor</t>
        </is>
      </c>
      <c r="F644" s="5" t="inlineStr"/>
      <c r="G644" s="6" t="inlineStr"/>
      <c r="H644" s="6" t="inlineStr">
        <is>
          <t>Görevli fotoğrafa baktı, sana baktı, pes etti. Dosya 'kimliği belirsiz' klasörüne girdi.</t>
        </is>
      </c>
      <c r="I644" s="6" t="inlineStr">
        <is>
          <t>Görevli seni ikna edici buldu ve fotoğraftaki kişi hakkında seninle birlikte tutanak tuttu.</t>
        </is>
      </c>
      <c r="J644" s="6" t="inlineStr">
        <is>
          <t>Fotoğrafta tişörtündeki yazı okunuyordu. Aynı tişört şu an üzerinde.</t>
        </is>
      </c>
      <c r="K644" s="6" t="inlineStr">
        <is>
          <t>İnkâr ettin; görevli çekmeceden ikinci fotoğrafı çıkardı. Aynı kavşak, aynı kırmızı; bu sefer yan koltukta annen var, kameraya el sallıyor.</t>
        </is>
      </c>
      <c r="L644" s="6" t="inlineStr"/>
      <c r="M644" s="5" t="inlineStr"/>
      <c r="N644" s="5" t="inlineStr"/>
      <c r="O644" s="6" t="inlineStr"/>
      <c r="P644" s="6" t="inlineStr"/>
      <c r="Q644" s="5" t="inlineStr"/>
      <c r="R644" s="5" t="inlineStr">
        <is>
          <t>yalanci</t>
        </is>
      </c>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c r="AI644" s="5" t="inlineStr"/>
      <c r="AJ644" s="5" t="inlineStr"/>
    </row>
    <row r="645">
      <c r="A645" s="5" t="inlineStr">
        <is>
          <t>ms-fatura-kovalamaca</t>
        </is>
      </c>
      <c r="B645" s="5" t="n">
        <v>1</v>
      </c>
      <c r="C645" s="6" t="inlineStr">
        <is>
          <t>Nazik bir hatırlatma daha yaz</t>
        </is>
      </c>
      <c r="D645" s="5" t="inlineStr"/>
      <c r="E645" s="5" t="inlineStr"/>
      <c r="F645" s="5" t="inlineStr">
        <is>
          <t>İtibar +1</t>
        </is>
      </c>
      <c r="G645" s="6" t="inlineStr">
        <is>
          <t>Yedinci nazik hatırlatmayı yazdın: “Tekrar rahatsız ettiğim için kusura bakmayın.” Kusura bakmadılar, cevap da vermediler. Akşam annen sordu: “O para geldi mi?” “Sistemde” dedin. Annen “O sistemin annesi babası yok mu?” dedi.</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is>
          <t>serbest-alacakli</t>
        </is>
      </c>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c r="AI645" s="5" t="inlineStr"/>
      <c r="AJ645" s="5" t="inlineStr"/>
    </row>
    <row r="646">
      <c r="A646" s="5" t="inlineStr">
        <is>
          <t>ms-fatura-kovalamaca</t>
        </is>
      </c>
      <c r="B646" s="5" t="n">
        <v>2</v>
      </c>
      <c r="C646" s="6" t="inlineStr">
        <is>
          <t>Her gün ara</t>
        </is>
      </c>
      <c r="D646" s="5" t="inlineStr">
        <is>
          <t>Dayanıklılık</t>
        </is>
      </c>
      <c r="E646" s="5" t="inlineStr">
        <is>
          <t>Zor</t>
        </is>
      </c>
      <c r="F646" s="5" t="inlineStr"/>
      <c r="G646" s="6" t="inlineStr"/>
      <c r="H646" s="6" t="inlineStr">
        <is>
          <t>Kırk üçüncü aramada para yattı. Muhasebeci sesini tanıdı: 'Yine mi siz?'</t>
        </is>
      </c>
      <c r="I646" s="6" t="inlineStr">
        <is>
          <t>Muhasebe seni ödeme listesinin en başına yazdı, yanına da not düştü: “Önce bunu öde, yoksa yine arar.” Para ertesi sabah yattı. Öğleden sonra santral aradı; sesini duymayınca merak etmişler.</t>
        </is>
      </c>
      <c r="J646" s="6" t="inlineStr">
        <is>
          <t>Santral seni bekleme müziğine bağladı. Müziği ezberledin, para gelmedi.</t>
        </is>
      </c>
      <c r="K646" s="6" t="inlineStr">
        <is>
          <t>Ödeme sonunda yapıldı; başka bir serbest çalışanın hesabına. O kişi sana teşekkür mesajı attı: “Hayatımı kurtardınız. Geri ödemek için bana da altmış gün verin.”</t>
        </is>
      </c>
      <c r="L646" s="6" t="inlineStr"/>
      <c r="M646" s="5" t="inlineStr"/>
      <c r="N646" s="5" t="inlineStr"/>
      <c r="O646" s="6" t="inlineStr"/>
      <c r="P646" s="6" t="inlineStr"/>
      <c r="Q646" s="5" t="inlineStr"/>
      <c r="R646" s="5" t="inlineStr"/>
      <c r="S646" s="5" t="inlineStr"/>
      <c r="T646" s="5" t="inlineStr">
        <is>
          <t>Fatura Avcısı</t>
        </is>
      </c>
      <c r="U646" s="5" t="inlineStr"/>
      <c r="V646" s="5" t="inlineStr"/>
      <c r="W646" s="5" t="inlineStr">
        <is>
          <t>serbest-alacakli</t>
        </is>
      </c>
      <c r="X646" s="5" t="inlineStr"/>
      <c r="Y646" s="5" t="inlineStr"/>
      <c r="Z646" s="6" t="inlineStr"/>
      <c r="AA646" s="5" t="inlineStr"/>
      <c r="AB646" s="5" t="inlineStr"/>
      <c r="AC646" s="5" t="inlineStr"/>
      <c r="AD646" s="5" t="inlineStr"/>
      <c r="AE646" s="5" t="inlineStr"/>
      <c r="AF646" s="5" t="inlineStr"/>
      <c r="AG646" s="5" t="inlineStr"/>
      <c r="AH646" s="5" t="inlineStr"/>
      <c r="AI646" s="5" t="inlineStr"/>
      <c r="AJ646" s="5" t="inlineStr"/>
    </row>
    <row r="647">
      <c r="A647" s="5" t="inlineStr">
        <is>
          <t>ms-fatura-kovalamaca</t>
        </is>
      </c>
      <c r="B647" s="5" t="n">
        <v>3</v>
      </c>
      <c r="C647" s="6" t="inlineStr">
        <is>
          <t>Muhasebeciye doğum günü mesajı at</t>
        </is>
      </c>
      <c r="D647" s="5" t="inlineStr">
        <is>
          <t>Çene</t>
        </is>
      </c>
      <c r="E647" s="5" t="inlineStr">
        <is>
          <t>Kolay</t>
        </is>
      </c>
      <c r="F647" s="5" t="inlineStr"/>
      <c r="G647" s="6" t="inlineStr"/>
      <c r="H647" s="6" t="inlineStr">
        <is>
          <t>Doğum günü mesajına teşekkür geldi. Yarım saat sonra ödeme de geldi.</t>
        </is>
      </c>
      <c r="I647" s="6" t="inlineStr">
        <is>
          <t>Muhasebeciyle arkadaş oldunuz. Faturaların artık ekleme bile gerek kalmadan ödeniyor.</t>
        </is>
      </c>
      <c r="J647" s="6" t="inlineStr">
        <is>
          <t>Mesajına kalp bıraktı. Ödeme hâlâ onay bekliyor.</t>
        </is>
      </c>
      <c r="K647" s="6" t="inlineStr">
        <is>
          <t>Mesajı yanlış muhasebeciye attın: “İyi ki doğdunuz, bu arada faturam…” Doğum günü değilmiş; emekliliğine de bir hafta kalmış. Faturan onunla birlikte emekli oldu.</t>
        </is>
      </c>
      <c r="L647" s="6" t="inlineStr"/>
      <c r="M647" s="5" t="inlineStr"/>
      <c r="N647" s="5" t="inlineStr"/>
      <c r="O647" s="6" t="inlineStr"/>
      <c r="P647" s="6" t="inlineStr"/>
      <c r="Q647" s="5" t="inlineStr"/>
      <c r="R647" s="5" t="inlineStr"/>
      <c r="S647" s="5" t="inlineStr">
        <is>
          <t>Çene</t>
        </is>
      </c>
      <c r="T647" s="5" t="inlineStr"/>
      <c r="U647" s="5" t="inlineStr"/>
      <c r="V647" s="5" t="inlineStr"/>
      <c r="W647" s="5" t="inlineStr"/>
      <c r="X647" s="5" t="inlineStr"/>
      <c r="Y647" s="5" t="inlineStr"/>
      <c r="Z647" s="6" t="inlineStr"/>
      <c r="AA647" s="5" t="inlineStr"/>
      <c r="AB647" s="5" t="inlineStr"/>
      <c r="AC647" s="5" t="inlineStr"/>
      <c r="AD647" s="5" t="inlineStr"/>
      <c r="AE647" s="5" t="inlineStr"/>
      <c r="AF647" s="5" t="inlineStr"/>
      <c r="AG647" s="5" t="inlineStr"/>
      <c r="AH647" s="5" t="inlineStr"/>
      <c r="AI647" s="5" t="inlineStr"/>
      <c r="AJ647" s="5" t="inlineStr"/>
    </row>
    <row r="648">
      <c r="A648" s="5" t="inlineStr">
        <is>
          <t>ms-fatura-kovalamaca</t>
        </is>
      </c>
      <c r="B648" s="5" t="n">
        <v>4</v>
      </c>
      <c r="C648" s="6" t="inlineStr">
        <is>
          <t>Resmî ihtar gönder</t>
        </is>
      </c>
      <c r="D648" s="5" t="inlineStr">
        <is>
          <t>Cesaret</t>
        </is>
      </c>
      <c r="E648" s="5" t="inlineStr">
        <is>
          <t>Orta</t>
        </is>
      </c>
      <c r="F648" s="5" t="inlineStr"/>
      <c r="G648" s="6" t="inlineStr"/>
      <c r="H648" s="6" t="inlineStr">
        <is>
          <t>İhtar ulaştı. Ödeme ertesi sabah yapıldı, gecikme faiziyle.</t>
        </is>
      </c>
      <c r="I648" s="6" t="inlineStr">
        <is>
          <t>İhtardan sonra şirket bütün serbest çalışanlara birden ödeme yaptı. Tanımadığın on dört kişiden teşekkür mesajı geldi; biri kapına bir tepsi baklava bıraktı.</t>
        </is>
      </c>
      <c r="J648" s="6" t="inlineStr">
        <is>
          <t>İhtar gönderdin; şirket adres değiştirmiş.</t>
        </is>
      </c>
      <c r="K648" s="6" t="inlineStr">
        <is>
          <t>Para ertesi gün yattı; yanında tek satırlık bir e-posta: “Bir daha birlikte çalışmayalım.” Sektörün ne kadar küçük olduğunu o hafta öğrendin; iki müşteri daha telefonu açmadı.</t>
        </is>
      </c>
      <c r="L648" s="6" t="inlineStr"/>
      <c r="M648" s="5" t="inlineStr"/>
      <c r="N648" s="5" t="inlineStr"/>
      <c r="O648" s="6" t="inlineStr"/>
      <c r="P648" s="6" t="inlineStr"/>
      <c r="Q648" s="5" t="inlineStr">
        <is>
          <t>Geri Adım Atmaz</t>
        </is>
      </c>
      <c r="R648" s="5" t="inlineStr"/>
      <c r="S648" s="5" t="inlineStr"/>
      <c r="T648" s="5" t="inlineStr"/>
      <c r="U648" s="5" t="inlineStr"/>
      <c r="V648" s="5" t="inlineStr"/>
      <c r="W648" s="5" t="inlineStr"/>
      <c r="X648" s="5" t="inlineStr"/>
      <c r="Y648" s="5" t="inlineStr"/>
      <c r="Z648" s="6" t="inlineStr"/>
      <c r="AA648" s="5" t="inlineStr"/>
      <c r="AB648" s="5" t="inlineStr"/>
      <c r="AC648" s="5" t="inlineStr"/>
      <c r="AD648" s="5" t="inlineStr"/>
      <c r="AE648" s="5" t="inlineStr"/>
      <c r="AF648" s="5" t="inlineStr"/>
      <c r="AG648" s="5" t="inlineStr"/>
      <c r="AH648" s="5" t="inlineStr"/>
      <c r="AI648" s="5" t="inlineStr"/>
      <c r="AJ648" s="5" t="inlineStr"/>
    </row>
    <row r="649">
      <c r="A649" s="5" t="inlineStr">
        <is>
          <t>b7-araba-alma</t>
        </is>
      </c>
      <c r="B649" s="5" t="n">
        <v>1</v>
      </c>
      <c r="C649" s="6" t="inlineStr">
        <is>
          <t>Toplu taşımaya devam</t>
        </is>
      </c>
      <c r="D649" s="5" t="inlineStr"/>
      <c r="E649" s="5" t="inlineStr"/>
      <c r="F649" s="5" t="inlineStr">
        <is>
          <t>Dayanıklılık +1</t>
        </is>
      </c>
      <c r="G649" s="6" t="inlineStr">
        <is>
          <t>Arabayı almadın. Kartına yükleme yaptın. Sabah yedi otuzda insan kalabalığı seni ısıttı.</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c r="AI649" s="5" t="inlineStr"/>
      <c r="AJ649" s="5" t="inlineStr"/>
    </row>
    <row r="650">
      <c r="A650" s="5" t="inlineStr">
        <is>
          <t>b7-araba-alma</t>
        </is>
      </c>
      <c r="B650" s="5" t="n">
        <v>2</v>
      </c>
      <c r="C650" s="6" t="inlineStr">
        <is>
          <t>Kaputu açıp ciddi ciddi bak</t>
        </is>
      </c>
      <c r="D650" s="5" t="inlineStr">
        <is>
          <t>Kurnazlık</t>
        </is>
      </c>
      <c r="E650" s="5" t="inlineStr">
        <is>
          <t>Orta</t>
        </is>
      </c>
      <c r="F650" s="5" t="inlineStr"/>
      <c r="G650" s="6" t="inlineStr"/>
      <c r="H650" s="6" t="inlineStr">
        <is>
          <t>Neye baktığını bilmiyordun ama satıcı bildiğini sandı. Fiyat düştü.</t>
        </is>
      </c>
      <c r="I650" s="6" t="inlineStr">
        <is>
          <t>Kaputa bakarken gerçekten bir sorun buldun. Satıcı seni usta sandı ve kendi arabasını da sordu.</t>
        </is>
      </c>
      <c r="J650" s="6" t="inlineStr">
        <is>
          <t>Kaputu açtın, bir süre baktın, kapattın. Satıcı 'Güzel değil mi?' dedi. Evet dedin.</t>
        </is>
      </c>
      <c r="K650" s="6" t="inlineStr">
        <is>
          <t>Ciddi ciddi baktın, “Motor sıfır gibi” dedin, aldın. Enişten ekspertize götürdü: iki parça değişen, kaput boyalı, kilometre geri alınmış. Enişten bu hikâyeyi her bayram anlatacak.</t>
        </is>
      </c>
      <c r="L650" s="6" t="inlineStr"/>
      <c r="M650" s="5" t="inlineStr"/>
      <c r="N650" s="5" t="inlineStr"/>
      <c r="O650" s="6" t="inlineStr"/>
      <c r="P650" s="6" t="inlineStr"/>
      <c r="Q650" s="5" t="inlineStr"/>
      <c r="R650" s="5" t="inlineStr"/>
      <c r="S650" s="5" t="inlineStr"/>
      <c r="T650" s="5" t="inlineStr"/>
      <c r="U650" s="5" t="inlineStr"/>
      <c r="V650" s="5" t="inlineStr">
        <is>
          <t>arabali</t>
        </is>
      </c>
      <c r="W650" s="5" t="inlineStr">
        <is>
          <t>arabali</t>
        </is>
      </c>
      <c r="X650" s="5" t="inlineStr"/>
      <c r="Y650" s="5" t="inlineStr"/>
      <c r="Z650" s="6" t="inlineStr"/>
      <c r="AA650" s="5" t="inlineStr"/>
      <c r="AB650" s="5" t="inlineStr"/>
      <c r="AC650" s="5" t="inlineStr"/>
      <c r="AD650" s="5" t="inlineStr"/>
      <c r="AE650" s="5" t="inlineStr"/>
      <c r="AF650" s="5" t="inlineStr"/>
      <c r="AG650" s="5" t="inlineStr"/>
      <c r="AH650" s="5" t="inlineStr"/>
      <c r="AI650" s="5" t="inlineStr"/>
      <c r="AJ650" s="5" t="inlineStr"/>
    </row>
    <row r="651">
      <c r="A651" s="5" t="inlineStr">
        <is>
          <t>b7-araba-alma</t>
        </is>
      </c>
      <c r="B651" s="5" t="n">
        <v>3</v>
      </c>
      <c r="C651" s="6" t="inlineStr">
        <is>
          <t>Test sürüşünde otoyola çık</t>
        </is>
      </c>
      <c r="D651" s="5" t="inlineStr">
        <is>
          <t>Cesaret</t>
        </is>
      </c>
      <c r="E651" s="5" t="inlineStr">
        <is>
          <t>Zor</t>
        </is>
      </c>
      <c r="F651" s="5" t="inlineStr"/>
      <c r="G651" s="6" t="inlineStr"/>
      <c r="H651" s="6" t="inlineStr">
        <is>
          <t>Araba otoyolu sevdi. Sen de. Anlaşma yolda yapıldı.</t>
        </is>
      </c>
      <c r="I651" s="6" t="inlineStr">
        <is>
          <t>Test sürüşü o kadar iyi geçti ki satıcı 'Siz bunu hak ediyorsunuz' dedi ve indirime yakın bir şey yaptı.</t>
        </is>
      </c>
      <c r="J651" s="6" t="inlineStr">
        <is>
          <t>Araba 90'da titremeye başladı. Satıcı 'Rodaj' dedi. Arabanın yaşı 14.</t>
        </is>
      </c>
      <c r="K651" s="6" t="inlineStr">
        <is>
          <t>Otoyolda 120'de kaput açıldı. Yolu kaputun aralığından görerek emniyet şeridine çektin. Satıcı “Kilidi biraz hassastır” dedi; araba çekiciyle, sen titreyerek döndün.</t>
        </is>
      </c>
      <c r="L651" s="6" t="inlineStr"/>
      <c r="M651" s="5" t="inlineStr"/>
      <c r="N651" s="5" t="inlineStr"/>
      <c r="O651" s="6" t="inlineStr"/>
      <c r="P651" s="6" t="inlineStr"/>
      <c r="Q651" s="5" t="inlineStr"/>
      <c r="R651" s="5" t="inlineStr"/>
      <c r="S651" s="5" t="inlineStr"/>
      <c r="T651" s="5" t="inlineStr"/>
      <c r="U651" s="5" t="inlineStr"/>
      <c r="V651" s="5" t="inlineStr">
        <is>
          <t>arabali</t>
        </is>
      </c>
      <c r="W651" s="5" t="inlineStr"/>
      <c r="X651" s="5" t="inlineStr"/>
      <c r="Y651" s="5" t="n">
        <v>1</v>
      </c>
      <c r="Z651" s="6" t="inlineStr">
        <is>
          <t>İkinci el arabanın test sürüşünde, 'keyif için satılık' ibaresini fazla ciddiye alarak.</t>
        </is>
      </c>
      <c r="AA651" s="5" t="inlineStr"/>
      <c r="AB651" s="5" t="inlineStr"/>
      <c r="AC651" s="5" t="inlineStr"/>
      <c r="AD651" s="5" t="inlineStr"/>
      <c r="AE651" s="5" t="inlineStr"/>
      <c r="AF651" s="5" t="inlineStr"/>
      <c r="AG651" s="5" t="inlineStr"/>
      <c r="AH651" s="5" t="inlineStr"/>
      <c r="AI651" s="5" t="inlineStr"/>
      <c r="AJ651" s="5" t="inlineStr"/>
    </row>
    <row r="652">
      <c r="A652" s="5" t="inlineStr">
        <is>
          <t>b7-araba-alma</t>
        </is>
      </c>
      <c r="B652" s="5" t="n">
        <v>4</v>
      </c>
      <c r="C652" s="6" t="inlineStr">
        <is>
          <t>Satıcıyla pazar usulü konuş</t>
        </is>
      </c>
      <c r="D652" s="5" t="inlineStr">
        <is>
          <t>Çene</t>
        </is>
      </c>
      <c r="E652" s="5" t="inlineStr">
        <is>
          <t>Kolay</t>
        </is>
      </c>
      <c r="F652" s="5" t="inlineStr"/>
      <c r="G652" s="6" t="inlineStr"/>
      <c r="H652" s="6" t="inlineStr">
        <is>
          <t>Fiyatı yuvarladın, üstüne paspas koparttın. Satıcı parayı sayarken söylendi: “Bu çocuk çarşıda büyümüş.”</t>
        </is>
      </c>
      <c r="I652" s="6" t="inlineStr">
        <is>
          <t>Paspas, stepne ve satıcının güneş gözlüğü de pakete dahil oldu.</t>
        </is>
      </c>
      <c r="J652" s="6" t="inlineStr">
        <is>
          <t>Satıcı daha usta çıktı. Paspası ayrıca ödedin.</t>
        </is>
      </c>
      <c r="K652" s="6" t="inlineStr">
        <is>
          <t>Pazarlık o kadar uzadı ki satıcı “Sen beni üzdün” deyip arabayı başkasına sattı. Ertesi gün aynı araba yeni ilanda: “Hanımefendi aracı”, iki bin fazlasına.</t>
        </is>
      </c>
      <c r="L652" s="6" t="inlineStr"/>
      <c r="M652" s="5" t="inlineStr"/>
      <c r="N652" s="5" t="inlineStr"/>
      <c r="O652" s="6" t="inlineStr"/>
      <c r="P652" s="6" t="inlineStr"/>
      <c r="Q652" s="5" t="inlineStr">
        <is>
          <t>Küçük Tüccar</t>
        </is>
      </c>
      <c r="R652" s="5" t="inlineStr"/>
      <c r="S652" s="5" t="inlineStr"/>
      <c r="T652" s="5" t="inlineStr"/>
      <c r="U652" s="5" t="inlineStr"/>
      <c r="V652" s="5" t="inlineStr">
        <is>
          <t>arabali</t>
        </is>
      </c>
      <c r="W652" s="5" t="inlineStr"/>
      <c r="X652" s="5" t="inlineStr"/>
      <c r="Y652" s="5" t="inlineStr"/>
      <c r="Z652" s="6" t="inlineStr"/>
      <c r="AA652" s="5" t="inlineStr"/>
      <c r="AB652" s="5" t="inlineStr"/>
      <c r="AC652" s="5" t="inlineStr"/>
      <c r="AD652" s="5" t="inlineStr"/>
      <c r="AE652" s="5" t="inlineStr"/>
      <c r="AF652" s="5" t="inlineStr"/>
      <c r="AG652" s="5" t="inlineStr"/>
      <c r="AH652" s="5" t="inlineStr"/>
      <c r="AI652" s="5" t="inlineStr"/>
      <c r="AJ652" s="5" t="inlineStr"/>
    </row>
    <row r="653">
      <c r="A653" s="5" t="inlineStr">
        <is>
          <t>b7-ne-zaman-evleneceksin</t>
        </is>
      </c>
      <c r="B653" s="5" t="n">
        <v>1</v>
      </c>
      <c r="C653" s="6" t="inlineStr">
        <is>
          <t>'Görürüz' de, gülümse</t>
        </is>
      </c>
      <c r="D653" s="5" t="inlineStr"/>
      <c r="E653" s="5" t="inlineStr"/>
      <c r="F653" s="5" t="inlineStr">
        <is>
          <t>Dayanıklılık +1</t>
        </is>
      </c>
      <c r="G653" s="6" t="inlineStr">
        <is>
          <t>“Görürüz” dedin. On bir kez. Onuncusunda teyzen “Bu gözler görmeden gitmesin” dedi. On birincisinde sen de güldün; o gülmedi.</t>
        </is>
      </c>
      <c r="H653" s="6" t="inlineStr"/>
      <c r="I653" s="6" t="inlineStr"/>
      <c r="J653" s="6" t="inlineStr"/>
      <c r="K653" s="6" t="inlineStr"/>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c r="AI653" s="5" t="inlineStr"/>
      <c r="AJ653" s="5" t="inlineStr"/>
    </row>
    <row r="654">
      <c r="A654" s="5" t="inlineStr">
        <is>
          <t>b7-ne-zaman-evleneceksin</t>
        </is>
      </c>
      <c r="B654" s="5" t="n">
        <v>2</v>
      </c>
      <c r="C654" s="6" t="inlineStr">
        <is>
          <t>'Sizinki ne zaman boşanacak?' diye sor</t>
        </is>
      </c>
      <c r="D654" s="5" t="inlineStr">
        <is>
          <t>Pişkinlik</t>
        </is>
      </c>
      <c r="E654" s="5" t="inlineStr">
        <is>
          <t>Zor</t>
        </is>
      </c>
      <c r="F654" s="5" t="inlineStr"/>
      <c r="G654" s="6" t="inlineStr"/>
      <c r="H654" s="6" t="inlineStr">
        <is>
          <t>Masa bir an dondu, sonra güldü. O akşam kimse sana soru sormadı.</t>
        </is>
      </c>
      <c r="I654" s="6" t="inlineStr">
        <is>
          <t>Soruyu tam halay arasında sordun; masa dondu, sonra eniştenin kahkahası patladı. O akşamdan sonra teyzeler sana soru sormadan önce birbirine bakıyor.</t>
        </is>
      </c>
      <c r="J654" s="6" t="inlineStr">
        <is>
          <t>Kimse gülmedi. Teyzen yalnızca “Ay” dedi ve eliyle göğsünü tuttu. Annen masanın altından bacağını çimdikledi.</t>
        </is>
      </c>
      <c r="K654" s="6" t="inlineStr">
        <is>
          <t>Soruyu sorduğun çift gerçekten boşanıyormuş; daha kimseye söylememişler. Teyzen ağlayarak masadan kalktı, enişten “Oldu mu şimdi?” diye arkasından gitti, bütün salon izledi. Düğünün kalanında herkes gelini değil, seni konuştu.</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c r="AI654" s="5" t="inlineStr"/>
      <c r="AJ654" s="5" t="inlineStr"/>
    </row>
    <row r="655">
      <c r="A655" s="5" t="inlineStr">
        <is>
          <t>b7-ne-zaman-evleneceksin</t>
        </is>
      </c>
      <c r="B655" s="5" t="n">
        <v>3</v>
      </c>
      <c r="C655" s="6" t="inlineStr">
        <is>
          <t>Konuyu başka bir kuzene yönlendir</t>
        </is>
      </c>
      <c r="D655" s="5" t="inlineStr">
        <is>
          <t>Sosyal Radar</t>
        </is>
      </c>
      <c r="E655" s="5" t="inlineStr">
        <is>
          <t>Orta</t>
        </is>
      </c>
      <c r="F655" s="5" t="inlineStr"/>
      <c r="G655" s="6" t="inlineStr"/>
      <c r="H655" s="6" t="inlineStr">
        <is>
          <t>Kuzenin ev aldığını duyurdun. Bütün teyzeler o yöne döndü. Kuzenin seni hiç affetmeyecek.</t>
        </is>
      </c>
      <c r="I655" s="6" t="inlineStr">
        <is>
          <t>Konuyu öyle ustaca yönlendirdin ki masa iki saat kuzenin kariyerini tartıştı. Sen pastayı yedin.</t>
        </is>
      </c>
      <c r="J655" s="6" t="inlineStr">
        <is>
          <t>Yönlendirdiğin kuzen daha önce evlenmiş. Soru daha keskin olarak geri döndü.</t>
        </is>
      </c>
      <c r="K655" s="6" t="inlineStr">
        <is>
          <t>Kuzeni işaret ettin; kuzen seni işaret etti. Teyzeler ikinize baktı. Tam o sırada gelin çiçeği atıldı ve kucağına düştü. Bütün masa ayağa kalktı; teyzen ağlıyordu.</t>
        </is>
      </c>
      <c r="L655" s="6" t="inlineStr"/>
      <c r="M655" s="5" t="inlineStr"/>
      <c r="N655" s="5" t="inlineStr"/>
      <c r="O655" s="6" t="inlineStr"/>
      <c r="P655" s="6" t="inlineStr"/>
      <c r="Q655" s="5" t="inlineStr"/>
      <c r="R655" s="5" t="inlineStr"/>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c r="AI655" s="5" t="inlineStr"/>
      <c r="AJ655" s="5" t="inlineStr"/>
    </row>
    <row r="656">
      <c r="A656" s="5" t="inlineStr">
        <is>
          <t>b7-flort-uygulamasi</t>
        </is>
      </c>
      <c r="B656" s="5" t="n">
        <v>1</v>
      </c>
      <c r="C656" s="6" t="inlineStr">
        <is>
          <t>Uygulamayı sil</t>
        </is>
      </c>
      <c r="D656" s="5" t="inlineStr"/>
      <c r="E656" s="5" t="inlineStr"/>
      <c r="F656" s="5" t="inlineStr">
        <is>
          <t>İtibar +1, Dayanıklılık +1</t>
        </is>
      </c>
      <c r="G656" s="6" t="inlineStr">
        <is>
          <t>Uygulamayı sildin. Telefon hafifledi. Kalp aynı ağırlıkta.</t>
        </is>
      </c>
      <c r="H656" s="6" t="inlineStr"/>
      <c r="I656" s="6" t="inlineStr"/>
      <c r="J656" s="6" t="inlineStr"/>
      <c r="K656" s="6" t="inlineStr"/>
      <c r="L656" s="6" t="inlineStr"/>
      <c r="M656" s="5" t="inlineStr"/>
      <c r="N656" s="5" t="inlineStr"/>
      <c r="O656" s="6" t="inlineStr"/>
      <c r="P656" s="6" t="inlineStr"/>
      <c r="Q656" s="5" t="inlineStr"/>
      <c r="R656" s="5" t="inlineStr"/>
      <c r="S656" s="5" t="inlineStr"/>
      <c r="T656" s="5" t="inlineStr"/>
      <c r="U656" s="5" t="inlineStr">
        <is>
          <t>flort-emeklisi</t>
        </is>
      </c>
      <c r="V656" s="5" t="inlineStr"/>
      <c r="W656" s="5" t="inlineStr"/>
      <c r="X656" s="5" t="inlineStr"/>
      <c r="Y656" s="5" t="inlineStr"/>
      <c r="Z656" s="6" t="inlineStr"/>
      <c r="AA656" s="5" t="inlineStr"/>
      <c r="AB656" s="5" t="inlineStr"/>
      <c r="AC656" s="5" t="inlineStr"/>
      <c r="AD656" s="5" t="inlineStr"/>
      <c r="AE656" s="5" t="inlineStr"/>
      <c r="AF656" s="5" t="inlineStr"/>
      <c r="AG656" s="5" t="inlineStr"/>
      <c r="AH656" s="5" t="inlineStr"/>
      <c r="AI656" s="5" t="inlineStr"/>
      <c r="AJ656" s="5" t="inlineStr"/>
    </row>
    <row r="657">
      <c r="A657" s="5" t="inlineStr">
        <is>
          <t>b7-flort-uygulamasi</t>
        </is>
      </c>
      <c r="B657" s="5" t="n">
        <v>2</v>
      </c>
      <c r="C657" s="6" t="inlineStr">
        <is>
          <t>Özgün bir ilk mesaj yaz</t>
        </is>
      </c>
      <c r="D657" s="5" t="inlineStr">
        <is>
          <t>Gönül</t>
        </is>
      </c>
      <c r="E657" s="5" t="inlineStr">
        <is>
          <t>Orta</t>
        </is>
      </c>
      <c r="F657" s="5" t="inlineStr"/>
      <c r="G657" s="6" t="inlineStr"/>
      <c r="H657" s="6" t="inlineStr">
        <is>
          <t>İlk mesajın cevap aldı, ikincisi de. Üçüncüde “Bir kahve?” yazan o oldu; telefonu iki kere masaya bırakıp geri aldın.</t>
        </is>
      </c>
      <c r="I657" s="6" t="inlineStr">
        <is>
          <t>Mesajının ekran görüntüsünü arkadaş grubuna atmış: “Bu kişiyle evlenirim.” Grup tek ağızdan yazdı: “Ne bekliyorsun?”</t>
        </is>
      </c>
      <c r="J657" s="6" t="inlineStr">
        <is>
          <t>Üç gece düşündüğün mesaja “Merhaba :)” cevabı geldi. Sen de “Merhaba :)” yazdın. Sohbet orada, iki gülen suratla öldü.</t>
        </is>
      </c>
      <c r="K657" s="6" t="inlineStr">
        <is>
          <t>Özgün mesajı yanlışlıkla iş arkadaşına gönderdin. O da uygulamadaymış; “Ben de seni gördüm” yazdı. Pazartesi asansörde ikiniz de duvara baktınız. Asansör hiç bu kadar yavaş çıkmamıştı.</t>
        </is>
      </c>
      <c r="L657" s="6" t="inlineStr"/>
      <c r="M657" s="5" t="inlineStr"/>
      <c r="N657" s="5" t="inlineStr"/>
      <c r="O657" s="6" t="inlineStr"/>
      <c r="P657" s="6" t="inlineStr"/>
      <c r="Q657" s="5" t="inlineStr"/>
      <c r="R657" s="5" t="inlineStr"/>
      <c r="S657" s="5" t="inlineStr"/>
      <c r="T657" s="5" t="inlineStr"/>
      <c r="U657" s="5" t="inlineStr"/>
      <c r="V657" s="5" t="inlineStr"/>
      <c r="W657" s="5" t="inlineStr"/>
      <c r="X657" s="5" t="inlineStr"/>
      <c r="Y657" s="5" t="inlineStr"/>
      <c r="Z657" s="6" t="inlineStr"/>
      <c r="AA657" s="5" t="inlineStr"/>
      <c r="AB657" s="5" t="inlineStr"/>
      <c r="AC657" s="5" t="inlineStr"/>
      <c r="AD657" s="5" t="inlineStr"/>
      <c r="AE657" s="5" t="inlineStr"/>
      <c r="AF657" s="5" t="inlineStr"/>
      <c r="AG657" s="5" t="inlineStr"/>
      <c r="AH657" s="5" t="inlineStr"/>
      <c r="AI657" s="5" t="inlineStr"/>
      <c r="AJ657" s="5" t="inlineStr"/>
    </row>
    <row r="658">
      <c r="A658" s="5" t="inlineStr">
        <is>
          <t>b7-flort-uygulamasi</t>
        </is>
      </c>
      <c r="B658" s="5" t="n">
        <v>3</v>
      </c>
      <c r="C658" s="6" t="inlineStr">
        <is>
          <t>Hızlı hızlı kaydır, biri tutar</t>
        </is>
      </c>
      <c r="D658" s="5" t="inlineStr">
        <is>
          <t>Dayanıklılık</t>
        </is>
      </c>
      <c r="E658" s="5" t="inlineStr">
        <is>
          <t>Kolay</t>
        </is>
      </c>
      <c r="F658" s="5" t="inlineStr"/>
      <c r="G658" s="6" t="inlineStr"/>
      <c r="H658" s="6" t="inlineStr">
        <is>
          <t>Bir eşleşme oldu. Buluşmanın ilk on dakikası iyi, kalanı fena değildi.</t>
        </is>
      </c>
      <c r="I658" s="6" t="inlineStr">
        <is>
          <t>Eşleştiğin kişiyle ortak arkadaşınız çıktı; ilk buluşma bir doğum gününde gerçekleşti. Hikâyeniz resmen 'tanıştırıldık'.</t>
        </is>
      </c>
      <c r="J658" s="6" t="inlineStr">
        <is>
          <t>Yüz kez kaydırdın. Başparmağında yeni bir kas gelişti. Kalbinde değil.</t>
        </is>
      </c>
      <c r="K658" s="6" t="inlineStr">
        <is>
          <t>Kaydırırken annenin en yakın arkadaşının çocuğuna kalp attın. İki anne haberi seninle aynı anda aldı. Akşam ikisi de aynı cümleyi kurdu: “Hiç fena olmaz.”</t>
        </is>
      </c>
      <c r="L658" s="6" t="inlineStr"/>
      <c r="M658" s="5" t="inlineStr"/>
      <c r="N658" s="5" t="inlineStr"/>
      <c r="O658" s="6" t="inlineStr"/>
      <c r="P658" s="6" t="inlineStr"/>
      <c r="Q658" s="5" t="inlineStr"/>
      <c r="R658" s="5" t="inlineStr"/>
      <c r="S658" s="5" t="inlineStr"/>
      <c r="T658" s="5" t="inlineStr"/>
      <c r="U658" s="5" t="inlineStr"/>
      <c r="V658" s="5" t="inlineStr"/>
      <c r="W658" s="5" t="inlineStr"/>
      <c r="X658" s="5" t="inlineStr"/>
      <c r="Y658" s="5" t="inlineStr"/>
      <c r="Z658" s="6" t="inlineStr"/>
      <c r="AA658" s="5" t="inlineStr"/>
      <c r="AB658" s="5" t="inlineStr"/>
      <c r="AC658" s="5" t="inlineStr"/>
      <c r="AD658" s="5" t="inlineStr"/>
      <c r="AE658" s="5" t="inlineStr"/>
      <c r="AF658" s="5" t="inlineStr"/>
      <c r="AG658" s="5" t="inlineStr"/>
      <c r="AH658" s="5" t="inlineStr"/>
      <c r="AI658" s="5" t="inlineStr"/>
      <c r="AJ658" s="5" t="inlineStr"/>
    </row>
    <row r="659">
      <c r="A659" s="5" t="inlineStr">
        <is>
          <t>b7-flort-uygulamasi</t>
        </is>
      </c>
      <c r="B659" s="5" t="n">
        <v>4</v>
      </c>
      <c r="C659" s="6" t="inlineStr">
        <is>
          <t>Profilini fenomen kimliğinle güncelle</t>
        </is>
      </c>
      <c r="D659" s="5" t="inlineStr">
        <is>
          <t>Pişkinlik</t>
        </is>
      </c>
      <c r="E659" s="5" t="inlineStr">
        <is>
          <t>Kolay</t>
        </is>
      </c>
      <c r="F659" s="5" t="inlineStr"/>
      <c r="G659" s="6" t="inlineStr"/>
      <c r="H659" s="6" t="inlineStr">
        <is>
          <t>Takipçi sayını gören herkes yazdı. Hepsi reklam işbirliği istiyordu ama olsun.</t>
        </is>
      </c>
      <c r="I659" s="6" t="inlineStr">
        <is>
          <t>Bir eşleşme hem seni hem içeriğini sevdi. İlk buluşmayı çekmek için izin istedi, verdin.</t>
        </is>
      </c>
      <c r="J659" s="6" t="inlineStr">
        <is>
          <t>Profilin ilgi gördü, sen görmedin. Herkes seni 'o videodaki kişi' diye tanıyor.</t>
        </is>
      </c>
      <c r="K659" s="6" t="inlineStr">
        <is>
          <t>Uygulama hesabını “sahte ünlü” diye kapattı. Kanıt olsun diye kedinle fotoğrafını yükledin; kedinin hesabı açıldı, seninki açılmadı. Kedinin bugün üç eşleşmesi var.</t>
        </is>
      </c>
      <c r="L659" s="6" t="inlineStr"/>
      <c r="M659" s="5" t="inlineStr"/>
      <c r="N659" s="5" t="inlineStr"/>
      <c r="O659" s="6" t="inlineStr"/>
      <c r="P659" s="6" t="inlineStr"/>
      <c r="Q659" s="5" t="inlineStr"/>
      <c r="R659" s="5" t="inlineStr">
        <is>
          <t>fenomen</t>
        </is>
      </c>
      <c r="S659" s="5" t="inlineStr"/>
      <c r="T659" s="5" t="inlineStr"/>
      <c r="U659" s="5" t="inlineStr"/>
      <c r="V659" s="5" t="inlineStr"/>
      <c r="W659" s="5" t="inlineStr"/>
      <c r="X659" s="5" t="inlineStr"/>
      <c r="Y659" s="5" t="inlineStr"/>
      <c r="Z659" s="6" t="inlineStr"/>
      <c r="AA659" s="5" t="inlineStr"/>
      <c r="AB659" s="5" t="inlineStr"/>
      <c r="AC659" s="5" t="inlineStr"/>
      <c r="AD659" s="5" t="inlineStr"/>
      <c r="AE659" s="5" t="inlineStr"/>
      <c r="AF659" s="5" t="inlineStr"/>
      <c r="AG659" s="5" t="inlineStr"/>
      <c r="AH659" s="5" t="inlineStr"/>
      <c r="AI659" s="5" t="inlineStr"/>
      <c r="AJ659" s="5" t="inlineStr"/>
    </row>
    <row r="660">
      <c r="A660" s="5" t="inlineStr">
        <is>
          <t>b7-evlilik-karari</t>
        </is>
      </c>
      <c r="B660" s="5" t="n">
        <v>1</v>
      </c>
      <c r="C660" s="6" t="inlineStr">
        <is>
          <t>Sofradan sonra, balkonda sevdiğin kişiye teklif et</t>
        </is>
      </c>
      <c r="D660" s="5" t="inlineStr">
        <is>
          <t>Gönül</t>
        </is>
      </c>
      <c r="E660" s="5" t="inlineStr">
        <is>
          <t>Orta</t>
        </is>
      </c>
      <c r="F660" s="5" t="inlineStr"/>
      <c r="G660" s="6" t="inlineStr"/>
      <c r="H660" s="6" t="inlineStr">
        <is>
          <t>Sofradan sonra balkona çıktınız. Yüzüğü çıkardın; “Evet” dedi. İki ay sonra, bir misafir salonunda, tuzlu bir kahve seni bekliyor.</t>
        </is>
      </c>
      <c r="I660" s="6" t="inlineStr">
        <is>
          <t>Teklifi öyle bir kurdun ki balkonun altından komşular alkışladı, “Evet” alkışların arasında kayboldu. Tekrar sordun; yine evet.</t>
        </is>
      </c>
      <c r="J660" s="6" t="inlineStr">
        <is>
          <t>Teklifi prova ettin, cesaretin provada kaldı. Balkona çıkmadın, çay içildi, yüzük cebinde eve döndü. Çekmeceye girdi; sen de uzun bir bekârlığa.</t>
        </is>
      </c>
      <c r="K660" s="6" t="inlineStr">
        <is>
          <t>Diz çöktüğün anda yüzük elinden kaydı, balkon demirinden aşağıdaki bahçeye düştü. İkiniz telefon fenerleriyle indiniz; bir saat sonra o doğruldu, “Ben gideyim” dedi. Yüzük de o da bir daha bulunmadı.</t>
        </is>
      </c>
      <c r="L660" s="6" t="inlineStr"/>
      <c r="M660" s="5" t="inlineStr"/>
      <c r="N660" s="5" t="inlineStr"/>
      <c r="O660" s="6" t="inlineStr"/>
      <c r="P660" s="6" t="inlineStr"/>
      <c r="Q660" s="5" t="inlineStr"/>
      <c r="R660" s="5" t="inlineStr"/>
      <c r="S660" s="5" t="inlineStr"/>
      <c r="T660" s="5" t="inlineStr"/>
      <c r="U660" s="5" t="inlineStr"/>
      <c r="V660" s="5" t="inlineStr">
        <is>
          <t>evli, ask-evliligi, -evde-kaldi</t>
        </is>
      </c>
      <c r="W660" s="5" t="inlineStr"/>
      <c r="X660" s="5" t="inlineStr"/>
      <c r="Y660" s="5" t="inlineStr"/>
      <c r="Z660" s="6" t="inlineStr"/>
      <c r="AA660" s="5" t="inlineStr">
        <is>
          <t>Şen +1, Yalçın +1</t>
        </is>
      </c>
      <c r="AB660" s="5" t="inlineStr">
        <is>
          <t>bekar</t>
        </is>
      </c>
      <c r="AC660" s="5" t="inlineStr"/>
      <c r="AD660" s="5" t="inlineStr"/>
      <c r="AE660" s="5" t="inlineStr"/>
      <c r="AF660" s="5" t="inlineStr"/>
      <c r="AG660" s="5" t="inlineStr"/>
      <c r="AH660" s="5" t="inlineStr"/>
      <c r="AI660" s="5" t="inlineStr"/>
      <c r="AJ660" s="5" t="inlineStr"/>
    </row>
    <row r="661">
      <c r="A661" s="5" t="inlineStr">
        <is>
          <t>b7-evlilik-karari</t>
        </is>
      </c>
      <c r="B661" s="5" t="n">
        <v>2</v>
      </c>
      <c r="C661" s="6" t="inlineStr">
        <is>
          <t>Lisedeki ilk aşkını ara</t>
        </is>
      </c>
      <c r="D661" s="5" t="inlineStr">
        <is>
          <t>Gönül</t>
        </is>
      </c>
      <c r="E661" s="5" t="inlineStr">
        <is>
          <t>Kolay</t>
        </is>
      </c>
      <c r="F661" s="5" t="inlineStr"/>
      <c r="G661" s="6" t="inlineStr"/>
      <c r="H661" s="6" t="inlineStr">
        <is>
          <t>On üç yıl sonra aradın. “Ben de seni arayacaktım” dedi. İkiniz de yalan söylüyordunuz; ikiniz de mutluydunuz.</t>
        </is>
      </c>
      <c r="I661" s="6" t="inlineStr">
        <is>
          <t>Buluştunuz, aynı parka gittiniz, aynı bank hâlâ oradaydı. Bankın üstüne ikinizin adını kazıyan biri olmuş; siz değildiniz, ama saydınız.</t>
        </is>
      </c>
      <c r="J661" s="6" t="inlineStr">
        <is>
          <t>Aradın; numara bir kargo firmasının deposuna aitmiş. Depo sorumlusu çok anlayışlıydı.</t>
        </is>
      </c>
      <c r="K661" s="6" t="inlineStr">
        <is>
          <t>Aradın; eşi açtı. “Kim arıyor?” dedi. “Lise arkadaşı” dedin. Arkadan bir çocuk bağırdı: “Kim o?” Telefonu kapattın; sofrada teyzen hâlâ “Eee?” diye bakıyordu.</t>
        </is>
      </c>
      <c r="L661" s="6" t="inlineStr"/>
      <c r="M661" s="5" t="inlineStr"/>
      <c r="N661" s="5" t="inlineStr"/>
      <c r="O661" s="6" t="inlineStr"/>
      <c r="P661" s="6" t="inlineStr"/>
      <c r="Q661" s="5" t="inlineStr"/>
      <c r="R661" s="5" t="inlineStr">
        <is>
          <t>ilk-sevgili</t>
        </is>
      </c>
      <c r="S661" s="5" t="inlineStr"/>
      <c r="T661" s="5" t="inlineStr"/>
      <c r="U661" s="5" t="inlineStr"/>
      <c r="V661" s="5" t="inlineStr">
        <is>
          <t>evli, ask-evliligi, -evde-kaldi</t>
        </is>
      </c>
      <c r="W661" s="5" t="inlineStr"/>
      <c r="X661" s="5" t="inlineStr"/>
      <c r="Y661" s="5" t="inlineStr"/>
      <c r="Z661" s="6" t="inlineStr"/>
      <c r="AA661" s="5" t="inlineStr"/>
      <c r="AB661" s="5" t="inlineStr">
        <is>
          <t>bekar</t>
        </is>
      </c>
      <c r="AC661" s="5" t="inlineStr"/>
      <c r="AD661" s="5" t="inlineStr"/>
      <c r="AE661" s="5" t="inlineStr"/>
      <c r="AF661" s="5" t="inlineStr"/>
      <c r="AG661" s="5" t="inlineStr"/>
      <c r="AH661" s="5" t="inlineStr"/>
      <c r="AI661" s="5" t="inlineStr"/>
      <c r="AJ661" s="5" t="inlineStr"/>
    </row>
    <row r="662">
      <c r="A662" s="5" t="inlineStr">
        <is>
          <t>b7-evlilik-karari</t>
        </is>
      </c>
      <c r="B662" s="5" t="n">
        <v>3</v>
      </c>
      <c r="C662" s="6" t="inlineStr">
        <is>
          <t>Annene “Sadece bir kahve” de</t>
        </is>
      </c>
      <c r="D662" s="5" t="inlineStr"/>
      <c r="E662" s="5" t="inlineStr"/>
      <c r="F662" s="5" t="inlineStr">
        <is>
          <t>İtibar +1, Sosyal Radar +1</t>
        </is>
      </c>
      <c r="G662" s="6" t="inlineStr">
        <is>
          <t>Annen o akşam üç telefon açtı; üçüncüsünde sesini alçalttı: “Çok terbiyeli, ailesi de bizim gibi.” Kahve bir cumartesi içildi; ikincisi de, üçüncüsü de. Bir yıl dolmadan aynı kahveyi düğün salonunda, el ele içiyordunuz.</t>
        </is>
      </c>
      <c r="H662" s="6" t="inlineStr"/>
      <c r="I662" s="6" t="inlineStr"/>
      <c r="J662" s="6" t="inlineStr"/>
      <c r="K662" s="6" t="inlineStr"/>
      <c r="L662" s="6" t="inlineStr"/>
      <c r="M662" s="5" t="inlineStr"/>
      <c r="N662" s="5" t="inlineStr"/>
      <c r="O662" s="6" t="inlineStr"/>
      <c r="P662" s="6" t="inlineStr"/>
      <c r="Q662" s="5" t="inlineStr"/>
      <c r="R662" s="5" t="inlineStr"/>
      <c r="S662" s="5" t="inlineStr"/>
      <c r="T662" s="5" t="inlineStr"/>
      <c r="U662" s="5" t="inlineStr">
        <is>
          <t>evli, gorucu, -evde-kaldi</t>
        </is>
      </c>
      <c r="V662" s="5" t="inlineStr"/>
      <c r="W662" s="5" t="inlineStr"/>
      <c r="X662" s="5" t="inlineStr"/>
      <c r="Y662" s="5" t="inlineStr"/>
      <c r="Z662" s="6" t="inlineStr"/>
      <c r="AA662" s="5" t="inlineStr">
        <is>
          <t>Şen +1, Yalçın +1, Erdem +1, Varlı -1</t>
        </is>
      </c>
      <c r="AB662" s="5" t="inlineStr"/>
      <c r="AC662" s="5" t="inlineStr"/>
      <c r="AD662" s="5" t="inlineStr"/>
      <c r="AE662" s="5" t="inlineStr"/>
      <c r="AF662" s="5" t="inlineStr"/>
      <c r="AG662" s="5" t="inlineStr"/>
      <c r="AH662" s="5" t="inlineStr"/>
      <c r="AI662" s="5" t="inlineStr"/>
      <c r="AJ662" s="5" t="inlineStr"/>
    </row>
    <row r="663">
      <c r="A663" s="5" t="inlineStr">
        <is>
          <t>b7-evlilik-karari</t>
        </is>
      </c>
      <c r="B663" s="5" t="n">
        <v>4</v>
      </c>
      <c r="C663" s="6" t="inlineStr">
        <is>
          <t>Bekâr kalacağını ilan et</t>
        </is>
      </c>
      <c r="D663" s="5" t="inlineStr"/>
      <c r="E663" s="5" t="inlineStr"/>
      <c r="F663" s="5" t="inlineStr">
        <is>
          <t>Cesaret +1, Dayanıklılık +1</t>
        </is>
      </c>
      <c r="G663" s="6" t="inlineStr">
        <is>
          <t>Dolmayı yedin ve “Evlenmeyeceğim” dedin. Sofra sustu. Teyzen dolmayı tabağından geri aldı. O günden beri her bayram biri iç çekip “Sen bilirsin” diyor; her yıl başka bir tonda.</t>
        </is>
      </c>
      <c r="H663" s="6" t="inlineStr"/>
      <c r="I663" s="6" t="inlineStr"/>
      <c r="J663" s="6" t="inlineStr"/>
      <c r="K663" s="6" t="inlineStr"/>
      <c r="L663" s="6" t="inlineStr"/>
      <c r="M663" s="5" t="inlineStr"/>
      <c r="N663" s="5" t="inlineStr"/>
      <c r="O663" s="6" t="inlineStr"/>
      <c r="P663" s="6" t="inlineStr"/>
      <c r="Q663" s="5" t="inlineStr"/>
      <c r="R663" s="5" t="inlineStr"/>
      <c r="S663" s="5" t="inlineStr"/>
      <c r="T663" s="5" t="inlineStr"/>
      <c r="U663" s="5" t="inlineStr">
        <is>
          <t>bekar</t>
        </is>
      </c>
      <c r="V663" s="5" t="inlineStr"/>
      <c r="W663" s="5" t="inlineStr"/>
      <c r="X663" s="5" t="inlineStr"/>
      <c r="Y663" s="5" t="inlineStr"/>
      <c r="Z663" s="6" t="inlineStr"/>
      <c r="AA663" s="5" t="inlineStr">
        <is>
          <t>Şen -1, Yalçın -1</t>
        </is>
      </c>
      <c r="AB663" s="5" t="inlineStr"/>
      <c r="AC663" s="5" t="inlineStr"/>
      <c r="AD663" s="5" t="inlineStr"/>
      <c r="AE663" s="5" t="inlineStr"/>
      <c r="AF663" s="5" t="inlineStr"/>
      <c r="AG663" s="5" t="inlineStr"/>
      <c r="AH663" s="5" t="inlineStr"/>
      <c r="AI663" s="5" t="inlineStr"/>
      <c r="AJ663" s="5" t="inlineStr"/>
    </row>
    <row r="664">
      <c r="A664" s="5" t="inlineStr">
        <is>
          <t>b7-evlilik-karari</t>
        </is>
      </c>
      <c r="B664" s="5" t="n">
        <v>5</v>
      </c>
      <c r="C664" s="6" t="inlineStr">
        <is>
          <t>“Bakarız” de, bakmaya devam et</t>
        </is>
      </c>
      <c r="D664" s="5" t="inlineStr"/>
      <c r="E664" s="5" t="inlineStr"/>
      <c r="F664" s="5" t="inlineStr">
        <is>
          <t>Pişkinlik +1, Sosyal Radar +1</t>
        </is>
      </c>
      <c r="G664" s="6" t="inlineStr">
        <is>
          <t>“Bakarız” dedin. O akşamdan sonra telefonunda üç ayrı isimle buluşma planı, bir restoranda da üç ayrı akşam rezervasyonun var. Garson seni tanıyor; isimleri karıştırmıyor, sen karıştırıyorsun.</t>
        </is>
      </c>
      <c r="H664" s="6" t="inlineStr"/>
      <c r="I664" s="6" t="inlineStr"/>
      <c r="J664" s="6" t="inlineStr"/>
      <c r="K664" s="6" t="inlineStr"/>
      <c r="L664" s="6" t="inlineStr"/>
      <c r="M664" s="5" t="inlineStr"/>
      <c r="N664" s="5" t="inlineStr"/>
      <c r="O664" s="6" t="inlineStr"/>
      <c r="P664" s="6" t="inlineStr"/>
      <c r="Q664" s="5" t="inlineStr"/>
      <c r="R664" s="5" t="inlineStr">
        <is>
          <t>ilk-sevgili</t>
        </is>
      </c>
      <c r="S664" s="5" t="inlineStr"/>
      <c r="T664" s="5" t="inlineStr"/>
      <c r="U664" s="5" t="inlineStr">
        <is>
          <t>capkin</t>
        </is>
      </c>
      <c r="V664" s="5" t="inlineStr"/>
      <c r="W664" s="5" t="inlineStr"/>
      <c r="X664" s="5" t="inlineStr"/>
      <c r="Y664" s="5" t="inlineStr"/>
      <c r="Z664" s="6" t="inlineStr"/>
      <c r="AA664" s="5" t="inlineStr">
        <is>
          <t>Şen -1, Yalçın -1, Erdem -1</t>
        </is>
      </c>
      <c r="AB664" s="5" t="inlineStr"/>
      <c r="AC664" s="5" t="inlineStr"/>
      <c r="AD664" s="5" t="inlineStr"/>
      <c r="AE664" s="5" t="inlineStr"/>
      <c r="AF664" s="5" t="inlineStr"/>
      <c r="AG664" s="5" t="inlineStr"/>
      <c r="AH664" s="5" t="inlineStr"/>
      <c r="AI664" s="5" t="inlineStr"/>
      <c r="AJ664" s="5" t="inlineStr"/>
    </row>
    <row r="665">
      <c r="A665" s="5" t="inlineStr">
        <is>
          <t>mb-performans-karti</t>
        </is>
      </c>
      <c r="B665" s="5" t="n">
        <v>1</v>
      </c>
      <c r="C665" s="6" t="inlineStr">
        <is>
          <t>Başını salla, imzala</t>
        </is>
      </c>
      <c r="D665" s="5" t="inlineStr"/>
      <c r="E665" s="5" t="inlineStr"/>
      <c r="F665" s="5" t="inlineStr">
        <is>
          <t>Dayanıklılık +1</t>
        </is>
      </c>
      <c r="G665" s="6" t="inlineStr">
        <is>
          <t>'Beklentileri karşılıyor' aldın. Beklentilerin ne olduğu gizli kalmaya devam ediyor.</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c r="AI665" s="5" t="inlineStr"/>
      <c r="AJ665" s="5" t="inlineStr"/>
    </row>
    <row r="666">
      <c r="A666" s="5" t="inlineStr">
        <is>
          <t>mb-performans-karti</t>
        </is>
      </c>
      <c r="B666" s="5" t="n">
        <v>2</v>
      </c>
      <c r="C666" s="6" t="inlineStr">
        <is>
          <t>Başarılarını anlat</t>
        </is>
      </c>
      <c r="D666" s="5" t="inlineStr">
        <is>
          <t>Çene</t>
        </is>
      </c>
      <c r="E666" s="5" t="inlineStr">
        <is>
          <t>Zor</t>
        </is>
      </c>
      <c r="F666" s="5" t="inlineStr"/>
      <c r="G666" s="6" t="inlineStr"/>
      <c r="H666" s="6" t="inlineStr">
        <is>
          <t>Yaptıklarını anlattın, yapmadıklarını da iyi anlattın. Not: 'Beklentilerin üstünde.'</t>
        </is>
      </c>
      <c r="I666" s="6" t="inlineStr">
        <is>
          <t>Öyle anlattın ki yöneticin kendi raporuna senin cümlelerini kopyaladı.</t>
        </is>
      </c>
      <c r="J666" s="6" t="inlineStr">
        <is>
          <t>Anlattın; yöneticin 'Bunlar zaten işin' dedi.</t>
        </is>
      </c>
      <c r="K666" s="6" t="inlineStr">
        <is>
          <t>Başarılarını sayarken ekip arkadaşının projesini de saydın. Ekip arkadaşın da toplantıdaydı.</t>
        </is>
      </c>
      <c r="L666" s="6" t="inlineStr"/>
      <c r="M666" s="5" t="inlineStr"/>
      <c r="N666" s="5" t="inlineStr"/>
      <c r="O666" s="6" t="inlineStr"/>
      <c r="P666" s="6" t="inlineStr"/>
      <c r="Q666" s="5" t="inlineStr"/>
      <c r="R666" s="5" t="inlineStr"/>
      <c r="S666" s="5" t="inlineStr"/>
      <c r="T666" s="5" t="inlineStr">
        <is>
          <t>Sözünü Geçirir</t>
        </is>
      </c>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c r="AI666" s="5" t="inlineStr"/>
      <c r="AJ666" s="5" t="inlineStr"/>
    </row>
    <row r="667">
      <c r="A667" s="5" t="inlineStr">
        <is>
          <t>mb-performans-karti</t>
        </is>
      </c>
      <c r="B667" s="5" t="n">
        <v>3</v>
      </c>
      <c r="C667" s="6" t="inlineStr">
        <is>
          <t>'Notlar önceden girilmiş, değil mi?' de</t>
        </is>
      </c>
      <c r="D667" s="5" t="inlineStr">
        <is>
          <t>Pişkinlik</t>
        </is>
      </c>
      <c r="E667" s="5" t="inlineStr">
        <is>
          <t>Orta</t>
        </is>
      </c>
      <c r="F667" s="5" t="inlineStr"/>
      <c r="G667" s="6" t="inlineStr"/>
      <c r="H667" s="6" t="inlineStr">
        <is>
          <t>Yöneticin güldü, ekranı sana çevirdi. Birlikte bir puan yükselttiniz.</t>
        </is>
      </c>
      <c r="I667" s="6" t="inlineStr">
        <is>
          <t>Açık sözlülüğün 'şeffaflık yetkinliği' başlığında ayrıca puanlandı.</t>
        </is>
      </c>
      <c r="J667" s="6" t="inlineStr">
        <is>
          <t>Yöneticin 'Ne alakası var?' deyip ekranı kapattı. Çok hızlı kapattı.</t>
        </is>
      </c>
      <c r="K667" s="6" t="inlineStr">
        <is>
          <t>Evet, girilmiş. Şimdi bir de 'tutum' başlığı eklendi.</t>
        </is>
      </c>
      <c r="L667" s="6" t="inlineStr"/>
      <c r="M667" s="5" t="inlineStr"/>
      <c r="N667" s="5" t="inlineStr"/>
      <c r="O667" s="6" t="inlineStr"/>
      <c r="P667" s="6" t="inlineStr"/>
      <c r="Q667" s="5" t="inlineStr"/>
      <c r="R667" s="5" t="inlineStr"/>
      <c r="S667" s="5" t="inlineStr">
        <is>
          <t>Sosyal Radar</t>
        </is>
      </c>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c r="AI667" s="5" t="inlineStr"/>
      <c r="AJ667" s="5" t="inlineStr"/>
    </row>
    <row r="668">
      <c r="A668" s="5" t="inlineStr">
        <is>
          <t>mb-performans-karti</t>
        </is>
      </c>
      <c r="B668" s="5" t="n">
        <v>4</v>
      </c>
      <c r="C668" s="6" t="inlineStr">
        <is>
          <t>Kendine 5 üzerinden 5 ver</t>
        </is>
      </c>
      <c r="D668" s="5" t="inlineStr">
        <is>
          <t>Pişkinlik</t>
        </is>
      </c>
      <c r="E668" s="5" t="inlineStr">
        <is>
          <t>Kolay</t>
        </is>
      </c>
      <c r="F668" s="5" t="inlineStr"/>
      <c r="G668" s="6" t="inlineStr"/>
      <c r="H668" s="6" t="inlineStr">
        <is>
          <t>Kendine tam puan verdin. Yöneticin formu imzalarken mırıldandı: “Keşke ben de kendime böyle bakabilsem.”</t>
        </is>
      </c>
      <c r="I668" s="6" t="inlineStr">
        <is>
          <t>Kendine 5 verdin. Yöneticin itiraz etmek için ağzını açtı, saatine baktı, kapattı. Öğle arasıydı; formu imzaladı ve yemeğe koştu.</t>
        </is>
      </c>
      <c r="J668" s="6" t="inlineStr">
        <is>
          <t>Sen 5 verdin, yöneticin 2 verdi. Sistem ortalamayı aldı: 3,5. Virgülden sonrası bile canını yaktı.</t>
        </is>
      </c>
      <c r="K668" s="6" t="inlineStr">
        <is>
          <t>Öz değerlendirme formun yanlışlıkla bütün kata gönderildi. 'Liderlik: 5/5.' Kat bunu okudu.</t>
        </is>
      </c>
      <c r="L668" s="6" t="inlineStr"/>
      <c r="M668" s="5" t="inlineStr"/>
      <c r="N668" s="5" t="inlineStr"/>
      <c r="O668" s="6" t="inlineStr"/>
      <c r="P668" s="6" t="inlineStr"/>
      <c r="Q668" s="5" t="inlineStr">
        <is>
          <t>Yüzü Kızarmaz</t>
        </is>
      </c>
      <c r="R668" s="5" t="inlineStr"/>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c r="AI668" s="5" t="inlineStr"/>
      <c r="AJ668" s="5" t="inlineStr"/>
    </row>
    <row r="669">
      <c r="A669" s="5" t="inlineStr">
        <is>
          <t>me-zabita-denetimi</t>
        </is>
      </c>
      <c r="B669" s="5" t="n">
        <v>1</v>
      </c>
      <c r="C669" s="6" t="inlineStr">
        <is>
          <t>Kasaları içeri al</t>
        </is>
      </c>
      <c r="D669" s="5" t="inlineStr"/>
      <c r="E669" s="5" t="inlineStr"/>
      <c r="F669" s="5" t="inlineStr">
        <is>
          <t>İtibar +1, Dayanıklılık +1</t>
        </is>
      </c>
      <c r="G669" s="6" t="inlineStr">
        <is>
          <t>Kaldırımı boşalttın. Zabıta geçti. Kasalar yarın sabah yine dışarıda olacak.</t>
        </is>
      </c>
      <c r="H669" s="6" t="inlineStr"/>
      <c r="I669" s="6" t="inlineStr"/>
      <c r="J669" s="6" t="inlineStr"/>
      <c r="K669" s="6" t="inlineStr"/>
      <c r="L669" s="6" t="inlineStr"/>
      <c r="M669" s="5" t="inlineStr"/>
      <c r="N669" s="5" t="inlineStr"/>
      <c r="O669" s="6" t="inlineStr"/>
      <c r="P669" s="6" t="inlineStr"/>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c r="AI669" s="5" t="inlineStr"/>
      <c r="AJ669" s="5" t="inlineStr"/>
    </row>
    <row r="670">
      <c r="A670" s="5" t="inlineStr">
        <is>
          <t>me-zabita-denetimi</t>
        </is>
      </c>
      <c r="B670" s="5" t="n">
        <v>2</v>
      </c>
      <c r="C670" s="6" t="inlineStr">
        <is>
          <t>Yönetmeliği tartış</t>
        </is>
      </c>
      <c r="D670" s="5" t="inlineStr">
        <is>
          <t>Akıl</t>
        </is>
      </c>
      <c r="E670" s="5" t="inlineStr">
        <is>
          <t>Zor</t>
        </is>
      </c>
      <c r="F670" s="5" t="inlineStr"/>
      <c r="G670" s="6" t="inlineStr"/>
      <c r="H670" s="6" t="inlineStr">
        <is>
          <t>Yönetmelikte 'geçici teşhir' maddesini buldun. Kasalar resmen geçici, yani kalıcı.</t>
        </is>
      </c>
      <c r="I670" s="6" t="inlineStr">
        <is>
          <t>Yönetmeliği zabıtadan iyi bildiğin anlaşıldı. Zabıta defterini kapattı, telefonunu çıkardı: “Bir de eniştemin dükkânına bakar mısın? Tabelası beni geceleri uyutmuyor.”</t>
        </is>
      </c>
      <c r="J670" s="6" t="inlineStr">
        <is>
          <t>Tartıştın. Zabıta yönetmeliğin yeni baskısını gösterdi; seninki eski baskıymış.</t>
        </is>
      </c>
      <c r="K670" s="6" t="inlineStr">
        <is>
          <t>O kadar tartıştın ki tabelaya, tenteye, kapı paspasına ve kedinin mama kabına ayrı ayrı tutanak kesildi.</t>
        </is>
      </c>
      <c r="L670" s="6" t="inlineStr"/>
      <c r="M670" s="5" t="inlineStr"/>
      <c r="N670" s="5" t="inlineStr"/>
      <c r="O670" s="6" t="inlineStr"/>
      <c r="P670" s="6" t="inlineStr"/>
      <c r="Q670" s="5" t="inlineStr"/>
      <c r="R670" s="5" t="inlineStr"/>
      <c r="S670" s="5" t="inlineStr"/>
      <c r="T670" s="5" t="inlineStr"/>
      <c r="U670" s="5" t="inlineStr"/>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c r="AI670" s="5" t="inlineStr"/>
      <c r="AJ670" s="5" t="inlineStr"/>
    </row>
    <row r="671">
      <c r="A671" s="5" t="inlineStr">
        <is>
          <t>me-zabita-denetimi</t>
        </is>
      </c>
      <c r="B671" s="5" t="n">
        <v>3</v>
      </c>
      <c r="C671" s="6" t="inlineStr">
        <is>
          <t>Çay ikram et</t>
        </is>
      </c>
      <c r="D671" s="5" t="inlineStr">
        <is>
          <t>İtibar</t>
        </is>
      </c>
      <c r="E671" s="5" t="inlineStr">
        <is>
          <t>Orta</t>
        </is>
      </c>
      <c r="F671" s="5" t="inlineStr"/>
      <c r="G671" s="6" t="inlineStr"/>
      <c r="H671" s="6" t="inlineStr">
        <is>
          <t>Çay içildi, havadan sudan konuşuldu, tutanak defteri kapalı kaldı.</t>
        </is>
      </c>
      <c r="I671" s="6" t="inlineStr">
        <is>
          <t>Zabıta çayı beğendi. Ertesi denetimde sokakta uyarı almayan tek dükkân sendin.</t>
        </is>
      </c>
      <c r="J671" s="6" t="inlineStr">
        <is>
          <t>Çayı içti, teşekkür etti, tutanağı yazdı. Çay için ayrıca teşekkür etti.</t>
        </is>
      </c>
      <c r="K671" s="6" t="inlineStr">
        <is>
          <t>Tutanağa 'ısrarlı misafirperverlik' notu düşüldü. Böyle bir madde olduğunu kimse bilmiyordu.</t>
        </is>
      </c>
      <c r="L671" s="6" t="inlineStr"/>
      <c r="M671" s="5" t="inlineStr"/>
      <c r="N671" s="5" t="inlineStr"/>
      <c r="O671" s="6" t="inlineStr"/>
      <c r="P671" s="6" t="inlineStr"/>
      <c r="Q671" s="5" t="inlineStr"/>
      <c r="R671" s="5" t="inlineStr"/>
      <c r="S671" s="5" t="inlineStr"/>
      <c r="T671" s="5" t="inlineStr"/>
      <c r="U671" s="5" t="inlineStr"/>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c r="AI671" s="5" t="inlineStr"/>
      <c r="AJ671" s="5" t="inlineStr"/>
    </row>
    <row r="672">
      <c r="A672" s="5" t="inlineStr">
        <is>
          <t>me-zabita-denetimi</t>
        </is>
      </c>
      <c r="B672" s="5" t="n">
        <v>4</v>
      </c>
      <c r="C672" s="6" t="inlineStr">
        <is>
          <t>Karşı dükkânı işaret et</t>
        </is>
      </c>
      <c r="D672" s="5" t="inlineStr">
        <is>
          <t>Pişkinlik</t>
        </is>
      </c>
      <c r="E672" s="5" t="inlineStr">
        <is>
          <t>Orta</t>
        </is>
      </c>
      <c r="F672" s="5" t="inlineStr"/>
      <c r="G672" s="6" t="inlineStr"/>
      <c r="H672" s="6" t="inlineStr">
        <is>
          <t>'Asıl karşıdaki' dedin. Zabıta karşıya yürüdü. Tente savaşında ilk sayı senin.</t>
        </is>
      </c>
      <c r="I672" s="6" t="inlineStr">
        <is>
          <t>Karşı dükkânın tabelası söktürüldü. Sokakta artık tek bir tabela var: seninki.</t>
        </is>
      </c>
      <c r="J672" s="6" t="inlineStr">
        <is>
          <t>Zabıta ikinize de tutanak yazdı. Eşitlik bu sokağa böyle geldi.</t>
        </is>
      </c>
      <c r="K672" s="6" t="inlineStr">
        <is>
          <t>Karşı dükkân da seni işaret etti. Zabıta ikinizi yarım saat dinledi, sonra sokağa yeni bir tabela astı: 'Esnaf kavga etmez.'</t>
        </is>
      </c>
      <c r="L672" s="6" t="inlineStr"/>
      <c r="M672" s="5" t="inlineStr"/>
      <c r="N672" s="5" t="inlineStr"/>
      <c r="O672" s="6" t="inlineStr"/>
      <c r="P672" s="6" t="inlineStr"/>
      <c r="Q672" s="5" t="inlineStr"/>
      <c r="R672" s="5" t="inlineStr">
        <is>
          <t>esnaf-komsu-rakip</t>
        </is>
      </c>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c r="AI672" s="5" t="inlineStr"/>
      <c r="AJ672" s="5" t="inlineStr"/>
    </row>
    <row r="673">
      <c r="A673" s="5" t="inlineStr">
        <is>
          <t>b7-dugun-takilari</t>
        </is>
      </c>
      <c r="B673" s="5" t="n">
        <v>1</v>
      </c>
      <c r="C673" s="6" t="inlineStr">
        <is>
          <t>Takıları hızla topla, hiçbirini düşürme</t>
        </is>
      </c>
      <c r="D673" s="5" t="inlineStr">
        <is>
          <t>Dayanıklılık</t>
        </is>
      </c>
      <c r="E673" s="5" t="inlineStr">
        <is>
          <t>Orta</t>
        </is>
      </c>
      <c r="F673" s="5" t="inlineStr"/>
      <c r="G673" s="6" t="inlineStr"/>
      <c r="H673" s="6" t="inlineStr">
        <is>
          <t>Takıların hepsini topladın, kurdeleler bütün. Defterci amca gözlüğünü çıkardı: “Kırk yıldır tutarım, ilk kez hiçbir şey düşmedi.”</t>
        </is>
      </c>
      <c r="I673" s="6" t="inlineStr">
        <is>
          <t>Tek bir takıyı düşürmedin; üstüne yerde kalmış bir önceki düğünün takısını da buldun. Sahibi arandı, bulunamadı.</t>
        </is>
      </c>
      <c r="J673" s="6" t="inlineStr">
        <is>
          <t>Bir bilezik masanın altına kaçtı. Üç teyze ve bir garsondan oluşan ekip onu aradı. Hâlâ arıyorlar.</t>
        </is>
      </c>
      <c r="K673" s="6" t="inlineStr">
        <is>
          <t>Takıları toplarken kesenin dibi yırtıldı. Altınlar dans pistine saçıldı, orkestra çalmaya devam etti. Halay başı bir bilezikle oynamaya başladı.</t>
        </is>
      </c>
      <c r="L673" s="6" t="inlineStr">
        <is>
          <t>Çoğunu topladın. Bir çeyrek, halayda birinin ayakkabısına girdi ve eve onunla gitti.</t>
        </is>
      </c>
      <c r="M673" s="5" t="inlineStr">
        <is>
          <t>collect</t>
        </is>
      </c>
      <c r="N673" s="5" t="inlineStr">
        <is>
          <t>Takı Toplama</t>
        </is>
      </c>
      <c r="O673" s="6" t="inlineStr">
        <is>
          <t>Sahneye saçılan takılara hızla dokun. Defterci amca her şeyi görüyor.</t>
        </is>
      </c>
      <c r="P673" s="6" t="inlineStr">
        <is>
          <t>{"piece": "🪙"}</t>
        </is>
      </c>
      <c r="Q673" s="5" t="inlineStr"/>
      <c r="R673" s="5" t="inlineStr"/>
      <c r="S673" s="5" t="inlineStr"/>
      <c r="T673" s="5" t="inlineStr"/>
      <c r="U673" s="5" t="inlineStr"/>
      <c r="V673" s="5" t="inlineStr"/>
      <c r="W673" s="5" t="inlineStr"/>
      <c r="X673" s="5" t="inlineStr"/>
      <c r="Y673" s="5" t="inlineStr"/>
      <c r="Z673" s="6" t="inlineStr"/>
      <c r="AA673" s="5" t="inlineStr"/>
      <c r="AB673" s="5" t="inlineStr"/>
      <c r="AC673" s="5" t="inlineStr"/>
      <c r="AD673" s="5" t="inlineStr"/>
      <c r="AE673" s="5" t="inlineStr"/>
      <c r="AF673" s="5" t="inlineStr"/>
      <c r="AG673" s="5" t="inlineStr"/>
      <c r="AH673" s="5" t="inlineStr"/>
      <c r="AI673" s="5" t="inlineStr"/>
      <c r="AJ673" s="5" t="inlineStr"/>
    </row>
    <row r="674">
      <c r="A674" s="5" t="inlineStr">
        <is>
          <t>b7-dugun-takilari</t>
        </is>
      </c>
      <c r="B674" s="5" t="n">
        <v>2</v>
      </c>
      <c r="C674" s="6" t="inlineStr">
        <is>
          <t>Defteri kendin tut</t>
        </is>
      </c>
      <c r="D674" s="5" t="inlineStr"/>
      <c r="E674" s="5" t="inlineStr"/>
      <c r="F674" s="5" t="inlineStr">
        <is>
          <t>Akıl +1, Sosyal Radar +1</t>
        </is>
      </c>
      <c r="G674" s="6" t="inlineStr">
        <is>
          <t>Kim ne taktıysa deftere yazdın; halanın bileziğinin yanına küçük harfle “hafif” diye not düştün. Defter şimdi çeyiz sandığında. Onların düğününde açılacak; açılınca konuşulacak.</t>
        </is>
      </c>
      <c r="H674" s="6" t="inlineStr"/>
      <c r="I674" s="6" t="inlineStr"/>
      <c r="J674" s="6" t="inlineStr"/>
      <c r="K674" s="6" t="inlineStr"/>
      <c r="L674" s="6" t="inlineStr"/>
      <c r="M674" s="5" t="inlineStr"/>
      <c r="N674" s="5" t="inlineStr"/>
      <c r="O674" s="6" t="inlineStr"/>
      <c r="P674" s="6" t="inlineStr"/>
      <c r="Q674" s="5" t="inlineStr"/>
      <c r="R674" s="5" t="inlineStr"/>
      <c r="S674" s="5" t="inlineStr"/>
      <c r="T674" s="5" t="inlineStr"/>
      <c r="U674" s="5" t="inlineStr">
        <is>
          <t>taki-defteri</t>
        </is>
      </c>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c r="AI674" s="5" t="inlineStr"/>
      <c r="AJ674" s="5" t="inlineStr"/>
    </row>
    <row r="675">
      <c r="A675" s="5" t="inlineStr">
        <is>
          <t>b7-dugun-takilari</t>
        </is>
      </c>
      <c r="B675" s="5" t="n">
        <v>3</v>
      </c>
      <c r="C675" s="6" t="inlineStr">
        <is>
          <t>Takıların gramını anlık hesapla</t>
        </is>
      </c>
      <c r="D675" s="5" t="inlineStr">
        <is>
          <t>Akıl</t>
        </is>
      </c>
      <c r="E675" s="5" t="inlineStr">
        <is>
          <t>Kolay</t>
        </is>
      </c>
      <c r="F675" s="5" t="inlineStr"/>
      <c r="G675" s="6" t="inlineStr"/>
      <c r="H675" s="6" t="inlineStr">
        <is>
          <t>Merasim bitmeden toplamı biliyordun. Düğünün borcu kapandı; kimin ne eksik taktığını da bir tek sen biliyorsun.</t>
        </is>
      </c>
      <c r="I675" s="6" t="inlineStr">
        <is>
          <t>Gramajı takılar sahneden inmeden hesapladın. Kuyumcu dayın mikrofonu kaptı: “Bu çocuğu yarın dükkâna istiyorum!” Düğünün en büyük alkışı takıya değil, sana gitti.</t>
        </is>
      </c>
      <c r="J675" s="6" t="inlineStr">
        <is>
          <t>Hesapta bir sıfır kaydı. Bir saat boyunca zengin olduğunu sandın.</t>
        </is>
      </c>
      <c r="K675" s="6" t="inlineStr">
        <is>
          <t>Yüksek sesle hesap yaparken mikrofon açıktı. Salondaki herkes kendi takısının değerini öğrendi.</t>
        </is>
      </c>
      <c r="L675" s="6" t="inlineStr"/>
      <c r="M675" s="5" t="inlineStr"/>
      <c r="N675" s="5" t="inlineStr"/>
      <c r="O675" s="6" t="inlineStr"/>
      <c r="P675" s="6" t="inlineStr"/>
      <c r="Q675" s="5" t="inlineStr">
        <is>
          <t>Para Üstü Radarı</t>
        </is>
      </c>
      <c r="R675" s="5" t="inlineStr"/>
      <c r="S675" s="5" t="inlineStr"/>
      <c r="T675" s="5" t="inlineStr"/>
      <c r="U675" s="5" t="inlineStr">
        <is>
          <t>taki-defteri</t>
        </is>
      </c>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c r="AI675" s="5" t="inlineStr"/>
      <c r="AJ675" s="5" t="inlineStr"/>
    </row>
    <row r="676">
      <c r="A676" s="5" t="inlineStr">
        <is>
          <t>b7-balayi</t>
        </is>
      </c>
      <c r="B676" s="5" t="n">
        <v>1</v>
      </c>
      <c r="C676" s="6" t="inlineStr">
        <is>
          <t>Şezlongda yat</t>
        </is>
      </c>
      <c r="D676" s="5" t="inlineStr"/>
      <c r="E676" s="5" t="inlineStr"/>
      <c r="F676" s="5" t="inlineStr">
        <is>
          <t>Dayanıklılık +1</t>
        </is>
      </c>
      <c r="G676" s="6" t="inlineStr">
        <is>
          <t>Yedi gün aynı şezlongdan kalkmadın. Son gün havlu görevlisi vedalaşmaya geldi. Balayı fotoğraflarının hepsinde aynı şemsiye var.</t>
        </is>
      </c>
      <c r="H676" s="6" t="inlineStr"/>
      <c r="I676" s="6" t="inlineStr"/>
      <c r="J676" s="6" t="inlineStr"/>
      <c r="K676" s="6" t="inlineStr"/>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c r="AI676" s="5" t="inlineStr"/>
      <c r="AJ676" s="5" t="inlineStr"/>
    </row>
    <row r="677">
      <c r="A677" s="5" t="inlineStr">
        <is>
          <t>b7-balayi</t>
        </is>
      </c>
      <c r="B677" s="5" t="n">
        <v>2</v>
      </c>
      <c r="C677" s="6" t="inlineStr">
        <is>
          <t>Deniz paraşütüne bin</t>
        </is>
      </c>
      <c r="D677" s="5" t="inlineStr">
        <is>
          <t>Cesaret</t>
        </is>
      </c>
      <c r="E677" s="5" t="inlineStr">
        <is>
          <t>Zor</t>
        </is>
      </c>
      <c r="F677" s="5" t="inlineStr"/>
      <c r="G677" s="6" t="inlineStr"/>
      <c r="H677" s="6" t="inlineStr">
        <is>
          <t>Havadan sahili gördün; eşin aşağıda minicik el sallıyordu. İndiğinde ilk sözü “Bir daha beni bırakıp uçma” oldu. Fotoğraf hâlâ salonun duvarında.</t>
        </is>
      </c>
      <c r="I677" s="6" t="inlineStr">
        <is>
          <t>Yukarıda o kadar keyifli göründün ki operatör sana indirimli ikinci tur verdi. Balayı fotoğraflarının yarısı gökyüzünde.</t>
        </is>
      </c>
      <c r="J677" s="6" t="inlineStr">
        <is>
          <t>İp kısa sürdü. Bütün uçuş boyunca otelin çamaşırhanesini izledin.</t>
        </is>
      </c>
      <c r="K677" s="6" t="inlineStr">
        <is>
          <t>İp koptu, denize sen indin. Kurtarma botu seni çıkardı ama alyansını çıkaramadı. Balayının kalanında eşin her sabah iskeleden dalgıca “Bulundu mu?” diye sordu.</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2</v>
      </c>
      <c r="Z677" s="6" t="inlineStr">
        <is>
          <t>Balayında deniz paraşütünde, 'aşağıdan çok güzel görünüyorsun' mesajını okurken.</t>
        </is>
      </c>
      <c r="AA677" s="5" t="inlineStr"/>
      <c r="AB677" s="5" t="inlineStr"/>
      <c r="AC677" s="5" t="inlineStr"/>
      <c r="AD677" s="5" t="inlineStr"/>
      <c r="AE677" s="5" t="inlineStr"/>
      <c r="AF677" s="5" t="inlineStr"/>
      <c r="AG677" s="5" t="inlineStr"/>
      <c r="AH677" s="5" t="inlineStr"/>
      <c r="AI677" s="5" t="inlineStr"/>
      <c r="AJ677" s="5" t="inlineStr"/>
    </row>
    <row r="678">
      <c r="A678" s="5" t="inlineStr">
        <is>
          <t>b7-balayi</t>
        </is>
      </c>
      <c r="B678" s="5" t="n">
        <v>3</v>
      </c>
      <c r="C678" s="6" t="inlineStr">
        <is>
          <t>Açık büfede en iyi masayı kap</t>
        </is>
      </c>
      <c r="D678" s="5" t="inlineStr">
        <is>
          <t>Kurnazlık</t>
        </is>
      </c>
      <c r="E678" s="5" t="inlineStr">
        <is>
          <t>Kolay</t>
        </is>
      </c>
      <c r="F678" s="5" t="inlineStr"/>
      <c r="G678" s="6" t="inlineStr"/>
      <c r="H678" s="6" t="inlineStr">
        <is>
          <t>Deniz manzaralı masayı her sabah sen kaptın. Otel seni tanıyor, masayı da.</t>
        </is>
      </c>
      <c r="I678" s="6" t="inlineStr">
        <is>
          <t>Masayı kaptın, garsonla dost oldun, son gün pasta geldi. Balayını büfe kazandı.</t>
        </is>
      </c>
      <c r="J678" s="6" t="inlineStr">
        <is>
          <t>Havluyla ayırdığın masaya başka bir havlu konmuş. Havlu savaşı kaybedildi.</t>
        </is>
      </c>
      <c r="K678" s="6" t="inlineStr">
        <is>
          <t>Masa kaparken yanlış tabaktan bir dilim aldın. Tabak, yan masadaki çiftin kırkıncı yıl dönümü pastasıymış. Teyze ağladı, amca sana baktı; eşin balayını hâlâ “o pasta olayı” diye anlatıyor.</t>
        </is>
      </c>
      <c r="L678" s="6" t="inlineStr"/>
      <c r="M678" s="5" t="inlineStr"/>
      <c r="N678" s="5" t="inlineStr"/>
      <c r="O678" s="6" t="inlineStr"/>
      <c r="P678" s="6" t="inlineStr"/>
      <c r="Q678" s="5" t="inlineStr"/>
      <c r="R678" s="5" t="inlineStr"/>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c r="AI678" s="5" t="inlineStr"/>
      <c r="AJ678" s="5" t="inlineStr"/>
    </row>
    <row r="679">
      <c r="A679" s="5" t="inlineStr">
        <is>
          <t>b7-balayi</t>
        </is>
      </c>
      <c r="B679" s="5" t="n">
        <v>4</v>
      </c>
      <c r="C679" s="6" t="inlineStr">
        <is>
          <t>Eşine sürpriz akşam yemeği hazırlat</t>
        </is>
      </c>
      <c r="D679" s="5" t="inlineStr">
        <is>
          <t>Gönül</t>
        </is>
      </c>
      <c r="E679" s="5" t="inlineStr">
        <is>
          <t>Orta</t>
        </is>
      </c>
      <c r="F679" s="5" t="inlineStr"/>
      <c r="G679" s="6" t="inlineStr"/>
      <c r="H679" s="6" t="inlineStr">
        <is>
          <t>Sahilde mum ışığında bir masa ayarladın. Eşin “Ne zaman yaptın bunu?” dedi. Aile grubuna o akşamdan tek fotoğraf gitti; teyzen kalp yolladı.</t>
        </is>
      </c>
      <c r="I679" s="6" t="inlineStr">
        <is>
          <t>Garsonla anlaştın; iskelenin ucuna tek bir masa kuruldu. Eşin ağladı, balıkçılar alkışladı. Bu akşam yıllarca bayram sofralarında anlatılacak.</t>
        </is>
      </c>
      <c r="J679" s="6" t="inlineStr">
        <is>
          <t>Masa hazırdı, mum hazırdı, rüzgâr hazır değildi. Mum on kez söndü; yemeği içeride yediniz.</t>
        </is>
      </c>
      <c r="K679" s="6" t="inlineStr">
        <is>
          <t>Sürpriz masayı yanlış isme ayırttın. Garson mumları yakıp başka bir çifti oturttu; o çift de balayındaymış, ağladılar. Siz açık büfeden, onların masasını izleyerek yediniz.</t>
        </is>
      </c>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c r="AI679" s="5" t="inlineStr"/>
      <c r="AJ679" s="5" t="inlineStr"/>
    </row>
    <row r="680">
      <c r="A680" s="5" t="inlineStr">
        <is>
          <t>ms-acilis-gecesi</t>
        </is>
      </c>
      <c r="B680" s="5" t="n">
        <v>1</v>
      </c>
      <c r="C680" s="6" t="inlineStr">
        <is>
          <t>İkramları ye, erken kapat</t>
        </is>
      </c>
      <c r="D680" s="5" t="inlineStr"/>
      <c r="E680" s="5" t="inlineStr"/>
      <c r="F680" s="5" t="inlineStr">
        <is>
          <t>Dayanıklılık +1</t>
        </is>
      </c>
      <c r="G680" s="6" t="inlineStr">
        <is>
          <t>Sergi iki saat sürdü. Poğaçaların yarısını sen yedin, kalanını annen çantasına doldurdu: “İsraf olmasın.” Eser satılmadı ama ikram bitti.</t>
        </is>
      </c>
      <c r="H680" s="6" t="inlineStr"/>
      <c r="I680" s="6" t="inlineStr"/>
      <c r="J680" s="6" t="inlineStr"/>
      <c r="K680" s="6" t="inlineStr"/>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c r="AI680" s="5" t="inlineStr"/>
      <c r="AJ680" s="5" t="inlineStr"/>
    </row>
    <row r="681">
      <c r="A681" s="5" t="inlineStr">
        <is>
          <t>ms-acilis-gecesi</t>
        </is>
      </c>
      <c r="B681" s="5" t="n">
        <v>2</v>
      </c>
      <c r="C681" s="6" t="inlineStr">
        <is>
          <t>Üç kişiye tam bir sunum yap</t>
        </is>
      </c>
      <c r="D681" s="5" t="inlineStr">
        <is>
          <t>Çene</t>
        </is>
      </c>
      <c r="E681" s="5" t="inlineStr">
        <is>
          <t>Orta</t>
        </is>
      </c>
      <c r="F681" s="5" t="inlineStr"/>
      <c r="G681" s="6" t="inlineStr"/>
      <c r="H681" s="6" t="inlineStr">
        <is>
          <t>Üç kişiye stadyum coşkusuyla anlattın. Kurye kalıp bir eser satın aldı.</t>
        </is>
      </c>
      <c r="I681" s="6" t="inlineStr">
        <is>
          <t>Kurye anlattıklarını videoya çekti. Ertesi akşam sergide otuz kişi vardı.</t>
        </is>
      </c>
      <c r="J681" s="6" t="inlineStr">
        <is>
          <t>Anlattın; annen 'Bir de ceket giyseydin' dedi.</t>
        </is>
      </c>
      <c r="K681" s="6" t="inlineStr">
        <is>
          <t>Anlatırken kurye gitti, ev arkadaşın da. Annen hâlâ orada; o da taksi bekliyor.</t>
        </is>
      </c>
      <c r="L681" s="6" t="inlineStr"/>
      <c r="M681" s="5" t="inlineStr"/>
      <c r="N681" s="5" t="inlineStr"/>
      <c r="O681" s="6" t="inlineStr"/>
      <c r="P681" s="6" t="inlineStr"/>
      <c r="Q681" s="5" t="inlineStr"/>
      <c r="R681" s="5" t="inlineStr"/>
      <c r="S681" s="5" t="inlineStr"/>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c r="AI681" s="5" t="inlineStr"/>
      <c r="AJ681" s="5" t="inlineStr"/>
    </row>
    <row r="682">
      <c r="A682" s="5" t="inlineStr">
        <is>
          <t>ms-acilis-gecesi</t>
        </is>
      </c>
      <c r="B682" s="5" t="n">
        <v>3</v>
      </c>
      <c r="C682" s="6" t="inlineStr">
        <is>
          <t>Heykelinin yanında fotoğraf çektir</t>
        </is>
      </c>
      <c r="D682" s="5" t="inlineStr">
        <is>
          <t>Pişkinlik</t>
        </is>
      </c>
      <c r="E682" s="5" t="inlineStr">
        <is>
          <t>Kolay</t>
        </is>
      </c>
      <c r="F682" s="5" t="inlineStr"/>
      <c r="G682" s="6" t="inlineStr"/>
      <c r="H682" s="6" t="inlineStr">
        <is>
          <t>Fotoğraf çok beğenildi. Heykelden çok sen.</t>
        </is>
      </c>
      <c r="I682" s="6" t="inlineStr">
        <is>
          <t>Fotoğrafın bir sanat dergisine kapak oldu. Heykelin kenarı da görünüyor.</t>
        </is>
      </c>
      <c r="J682" s="6" t="inlineStr">
        <is>
          <t>Fotoğraftan önce heykel hafifçe sallandı. Sen de.</t>
        </is>
      </c>
      <c r="K682" s="6" t="inlineStr">
        <is>
          <t>Heykelin yanında poz verdin; heykel sana yaslandı, sen yere, heykel üstüne. Heykelin burnu kırıldı. Kurye ikinizi kaldırdı, fotoğrafı da o çekti; fotoğraf sergideki bütün eserlerden çok beğenildi.</t>
        </is>
      </c>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c r="AI682" s="5" t="inlineStr"/>
      <c r="AJ682" s="5" t="inlineStr"/>
    </row>
    <row r="683">
      <c r="A683" s="5" t="inlineStr">
        <is>
          <t>ms-acilis-gecesi</t>
        </is>
      </c>
      <c r="B683" s="5" t="n">
        <v>4</v>
      </c>
      <c r="C683" s="6" t="inlineStr">
        <is>
          <t>Açılışı canlı yayına aç</t>
        </is>
      </c>
      <c r="D683" s="5" t="inlineStr">
        <is>
          <t>Sosyal Radar</t>
        </is>
      </c>
      <c r="E683" s="5" t="inlineStr">
        <is>
          <t>Kolay</t>
        </is>
      </c>
      <c r="F683" s="5" t="inlineStr"/>
      <c r="G683" s="6" t="inlineStr"/>
      <c r="H683" s="6" t="inlineStr">
        <is>
          <t>Salonda üç, yayında üç yüz kişi vardı. Sergi internette kalabalık.</t>
        </is>
      </c>
      <c r="I683" s="6" t="inlineStr">
        <is>
          <t>Yayından bir koleksiyoncu eser istedi. Kurye paketi teslim etti.</t>
        </is>
      </c>
      <c r="J683" s="6" t="inlineStr">
        <is>
          <t>Yayına en çok annen yorum yazdı. Altı kez 'Aferin'.</t>
        </is>
      </c>
      <c r="K683" s="6" t="inlineStr">
        <is>
          <t>Yayında salonun boşluğu yankı yaptı. Yorum: 'Sergi mi, depo mu?'</t>
        </is>
      </c>
      <c r="L683" s="6" t="inlineStr"/>
      <c r="M683" s="5" t="inlineStr"/>
      <c r="N683" s="5" t="inlineStr"/>
      <c r="O683" s="6" t="inlineStr"/>
      <c r="P683" s="6" t="inlineStr"/>
      <c r="Q683" s="5" t="inlineStr"/>
      <c r="R683" s="5" t="inlineStr">
        <is>
          <t>fenomen</t>
        </is>
      </c>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c r="AI683" s="5" t="inlineStr"/>
      <c r="AJ683" s="5" t="inlineStr"/>
    </row>
    <row r="684">
      <c r="A684" s="5" t="inlineStr">
        <is>
          <t>b7-bulasik-makinesi</t>
        </is>
      </c>
      <c r="B684" s="5" t="n">
        <v>1</v>
      </c>
      <c r="C684" s="6" t="inlineStr">
        <is>
          <t>Özür dile, yeniden diz</t>
        </is>
      </c>
      <c r="D684" s="5" t="inlineStr"/>
      <c r="E684" s="5" t="inlineStr"/>
      <c r="F684" s="5" t="inlineStr">
        <is>
          <t>Gönül +2</t>
        </is>
      </c>
      <c r="G684" s="6" t="inlineStr">
        <is>
          <t>“Haklısın” dedin, tabakları yeniden dizdin. Eşin arkandan bir kez daha dizdi. Annen telefonda “Baban da otuz yıldır yanlış diziyor” dedi; teselli bu kadar.</t>
        </is>
      </c>
      <c r="H684" s="6" t="inlineStr"/>
      <c r="I684" s="6" t="inlineStr"/>
      <c r="J684" s="6" t="inlineStr"/>
      <c r="K684" s="6" t="inlineStr"/>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c r="AI684" s="5" t="inlineStr"/>
      <c r="AJ684" s="5" t="inlineStr"/>
    </row>
    <row r="685">
      <c r="A685" s="5" t="inlineStr">
        <is>
          <t>b7-bulasik-makinesi</t>
        </is>
      </c>
      <c r="B685" s="5" t="n">
        <v>2</v>
      </c>
      <c r="C685" s="6" t="inlineStr">
        <is>
          <t>Kendi yönteminin bilimsel olduğunu savun</t>
        </is>
      </c>
      <c r="D685" s="5" t="inlineStr">
        <is>
          <t>Çene</t>
        </is>
      </c>
      <c r="E685" s="5" t="inlineStr">
        <is>
          <t>Zor</t>
        </is>
      </c>
      <c r="F685" s="5" t="inlineStr"/>
      <c r="G685" s="6" t="inlineStr"/>
      <c r="H685" s="6" t="inlineStr">
        <is>
          <t>Tencerenin neden altta durması gerektiğini anlattın. Eşin bir şey demedi; ertesi sabah tencereyi alta koydu. Sana söylemedi; sen de görmemiş gibi yaptın.</t>
        </is>
      </c>
      <c r="I685" s="6" t="inlineStr">
        <is>
          <t>Savunman öyle güçlüydü ki eşin annesinin makinesini de senin yönteminle dizdi. Kayınvalide aradı: “Bu kimin fikri?” Sesinde övgü yoktu.</t>
        </is>
      </c>
      <c r="J685" s="6" t="inlineStr">
        <is>
          <t>Argümanın “Annemler hep böyle dizer”den ibaretti. Eşin “Annenler de bu yüzden her şeyi iki kere yıkıyor” dedi.</t>
        </is>
      </c>
      <c r="K685" s="6" t="inlineStr">
        <is>
          <t>Savunurken kapağı çarptın, bir bardak kırıldı. Kayınvalidenin çeyiz takımındanmış; on iki kişilik takım artık on bir kişilik. Pazar kahvaltısında bardaklar sayılacak.</t>
        </is>
      </c>
      <c r="L685" s="6" t="inlineStr"/>
      <c r="M685" s="5" t="inlineStr"/>
      <c r="N685" s="5" t="inlineStr"/>
      <c r="O685" s="6" t="inlineStr"/>
      <c r="P685" s="6" t="inlineStr"/>
      <c r="Q685" s="5" t="inlineStr"/>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c r="AI685" s="5" t="inlineStr"/>
      <c r="AJ685" s="5" t="inlineStr"/>
    </row>
    <row r="686">
      <c r="A686" s="5" t="inlineStr">
        <is>
          <t>b7-bulasik-makinesi</t>
        </is>
      </c>
      <c r="B686" s="5" t="n">
        <v>3</v>
      </c>
      <c r="C686" s="6" t="inlineStr">
        <is>
          <t>Makinenin kullanım kılavuzunu çıkar</t>
        </is>
      </c>
      <c r="D686" s="5" t="inlineStr">
        <is>
          <t>Akıl</t>
        </is>
      </c>
      <c r="E686" s="5" t="inlineStr">
        <is>
          <t>Kolay</t>
        </is>
      </c>
      <c r="F686" s="5" t="inlineStr"/>
      <c r="G686" s="6" t="inlineStr"/>
      <c r="H686" s="6" t="inlineStr">
        <is>
          <t>Kılavuz senden yanaydı. Tarihte ilk kez biri kullanım kılavuzunu okudu ve bir tartışma kazandı.</t>
        </is>
      </c>
      <c r="I686" s="6" t="inlineStr">
        <is>
          <t>Kılavuzda ikinizin de yanıldığı anlaşıldı. Ortak düşman bulundu: üretici.</t>
        </is>
      </c>
      <c r="J686" s="6" t="inlineStr">
        <is>
          <t>Kılavuz Makaryaca değilmiş. Dördüncü dilde senin yöntemin 'önerilmez' olarak geçiyor.</t>
        </is>
      </c>
      <c r="K686" s="6" t="inlineStr">
        <is>
          <t>Kılavuzu okurken makinenin düğünden beri yanlış programda çalıştığını fark ettin. Bu da senin hatan sayıldı.</t>
        </is>
      </c>
      <c r="L686" s="6" t="inlineStr"/>
      <c r="M686" s="5" t="inlineStr"/>
      <c r="N686" s="5" t="inlineStr"/>
      <c r="O686" s="6" t="inlineStr"/>
      <c r="P686" s="6" t="inlineStr"/>
      <c r="Q686" s="5" t="inlineStr"/>
      <c r="R686" s="5" t="inlineStr"/>
      <c r="S686" s="5" t="inlineStr">
        <is>
          <t>Akıl</t>
        </is>
      </c>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c r="AI686" s="5" t="inlineStr"/>
      <c r="AJ686" s="5" t="inlineStr"/>
    </row>
    <row r="687">
      <c r="A687" s="5" t="inlineStr">
        <is>
          <t>b7-bulasik-makinesi</t>
        </is>
      </c>
      <c r="B687" s="5" t="n">
        <v>4</v>
      </c>
      <c r="C687" s="6" t="inlineStr">
        <is>
          <t>'Bundan sonra elde yıkayalım' de</t>
        </is>
      </c>
      <c r="D687" s="5" t="inlineStr"/>
      <c r="E687" s="5" t="inlineStr"/>
      <c r="F687" s="5" t="inlineStr">
        <is>
          <t>Pişkinlik +1</t>
        </is>
      </c>
      <c r="G687" s="6" t="inlineStr">
        <is>
          <t>Önerin sessizlikle karşılandı. O gece iki kişi, ayrı ayrı, aynı tabağı yıkadı.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c r="AI687" s="5" t="inlineStr"/>
      <c r="AJ687" s="5" t="inlineStr"/>
    </row>
    <row r="688">
      <c r="A688" s="5" t="inlineStr">
        <is>
          <t>mm-sistem-coktu</t>
        </is>
      </c>
      <c r="B688" s="5" t="n">
        <v>1</v>
      </c>
      <c r="C688" s="6" t="inlineStr">
        <is>
          <t>Kâğıda geç</t>
        </is>
      </c>
      <c r="D688" s="5" t="inlineStr"/>
      <c r="E688" s="5" t="inlineStr"/>
      <c r="F688" s="5" t="inlineStr">
        <is>
          <t>Dayanıklılık +1, Akıl +1</t>
        </is>
      </c>
      <c r="G688" s="6" t="inlineStr">
        <is>
          <t>Eski defteri çekmeceden çıkardın. Sistem üç gün çöktü; defter bir dakika bile çökmedi.</t>
        </is>
      </c>
      <c r="H688" s="6" t="inlineStr"/>
      <c r="I688" s="6" t="inlineStr"/>
      <c r="J688" s="6" t="inlineStr"/>
      <c r="K688" s="6" t="inlineStr"/>
      <c r="L688" s="6" t="inlineStr"/>
      <c r="M688" s="5" t="inlineStr"/>
      <c r="N688" s="5" t="inlineStr"/>
      <c r="O688" s="6" t="inlineStr"/>
      <c r="P688" s="6" t="inlineStr"/>
      <c r="Q688" s="5" t="inlineStr"/>
      <c r="R688" s="5" t="inlineStr"/>
      <c r="S688" s="5" t="inlineStr"/>
      <c r="T688" s="5" t="inlineStr"/>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c r="AI688" s="5" t="inlineStr"/>
      <c r="AJ688" s="5" t="inlineStr"/>
    </row>
    <row r="689">
      <c r="A689" s="5" t="inlineStr">
        <is>
          <t>mm-sistem-coktu</t>
        </is>
      </c>
      <c r="B689" s="5" t="n">
        <v>2</v>
      </c>
      <c r="C689" s="6" t="inlineStr">
        <is>
          <t>Bilgi işlemi ara</t>
        </is>
      </c>
      <c r="D689" s="5" t="inlineStr">
        <is>
          <t>Çene</t>
        </is>
      </c>
      <c r="E689" s="5" t="inlineStr">
        <is>
          <t>Orta</t>
        </is>
      </c>
      <c r="F689" s="5" t="inlineStr"/>
      <c r="G689" s="6" t="inlineStr"/>
      <c r="H689" s="6" t="inlineStr">
        <is>
          <t>'Kapatıp açın' dediler. Kapatıp açtın. Çalıştı. Kimse nedenini bilmiyor.</t>
        </is>
      </c>
      <c r="I689" s="6" t="inlineStr">
        <is>
          <t>Arızayı telefonda tarif ettin; bilgi işlem iki dakikada buldu. Ertesi gün masana bir çikolata bıraktılar; artık her arızada önce seni arıyorlar, kendi telefonları bozulunca bile.</t>
        </is>
      </c>
      <c r="J689" s="6" t="inlineStr">
        <is>
          <t>Hat meşgul. Bilgi işlem de yeni sistemi kullanıyormuş.</t>
        </is>
      </c>
      <c r="K689" s="6" t="inlineStr">
        <is>
          <t>Uzaktan bağlandılar ve üç saat boyunca masaüstü arka planını tartıştılar.</t>
        </is>
      </c>
      <c r="L689" s="6" t="inlineStr"/>
      <c r="M689" s="5" t="inlineStr"/>
      <c r="N689" s="5" t="inlineStr"/>
      <c r="O689" s="6" t="inlineStr"/>
      <c r="P689" s="6" t="inlineStr"/>
      <c r="Q689" s="5" t="inlineStr"/>
      <c r="R689" s="5" t="inlineStr"/>
      <c r="S689" s="5" t="inlineStr"/>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c r="AI689" s="5" t="inlineStr"/>
      <c r="AJ689" s="5" t="inlineStr"/>
    </row>
    <row r="690">
      <c r="A690" s="5" t="inlineStr">
        <is>
          <t>mm-sistem-coktu</t>
        </is>
      </c>
      <c r="B690" s="5" t="n">
        <v>3</v>
      </c>
      <c r="C690" s="6" t="inlineStr">
        <is>
          <t>Sistemi kendin çöz</t>
        </is>
      </c>
      <c r="D690" s="5" t="inlineStr">
        <is>
          <t>Akıl</t>
        </is>
      </c>
      <c r="E690" s="5" t="inlineStr">
        <is>
          <t>Orta</t>
        </is>
      </c>
      <c r="F690" s="5" t="inlineStr"/>
      <c r="G690" s="6" t="inlineStr"/>
      <c r="H690" s="6" t="inlineStr">
        <is>
          <t>Yeniden başlatmanın gizli bir sırası olduğunu buldun. Dairenin en değerli bilgisi artık sende.</t>
        </is>
      </c>
      <c r="I690" s="6" t="inlineStr">
        <is>
          <t>Bütün müdürlükler senin yönteminle açıldı. Kayıtlarda adın yok; sistem o sırada kayıt tutmuyordu.</t>
        </is>
      </c>
      <c r="J690" s="6" t="inlineStr">
        <is>
          <t>Sistem bir kez daha çöktü. Bu sefer kayıtlarda senin kullanıcı adınla.</t>
        </is>
      </c>
      <c r="K690" s="6" t="inlineStr">
        <is>
          <t>Bütün kurumun ekranında senin masaüstün yansıdı. Masaüstünde 'emekliliğe kalan gün' tablosu açıktı.</t>
        </is>
      </c>
      <c r="L690" s="6" t="inlineStr"/>
      <c r="M690" s="5" t="inlineStr"/>
      <c r="N690" s="5" t="inlineStr"/>
      <c r="O690" s="6" t="inlineStr"/>
      <c r="P690" s="6" t="inlineStr"/>
      <c r="Q690" s="5" t="inlineStr">
        <is>
          <t>Şifreyi Bilen</t>
        </is>
      </c>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c r="AI690" s="5" t="inlineStr"/>
      <c r="AJ690" s="5" t="inlineStr"/>
    </row>
    <row r="691">
      <c r="A691" s="5" t="inlineStr">
        <is>
          <t>mm-sistem-coktu</t>
        </is>
      </c>
      <c r="B691" s="5" t="n">
        <v>4</v>
      </c>
      <c r="C691" s="6" t="inlineStr">
        <is>
          <t>'Sistemde görünmüyor' de</t>
        </is>
      </c>
      <c r="D691" s="5" t="inlineStr">
        <is>
          <t>Pişkinlik</t>
        </is>
      </c>
      <c r="E691" s="5" t="inlineStr">
        <is>
          <t>Kolay</t>
        </is>
      </c>
      <c r="F691" s="5" t="inlineStr"/>
      <c r="G691" s="6" t="inlineStr"/>
      <c r="H691" s="6" t="inlineStr">
        <is>
          <t>Doğruydu. Sistem de görünmüyordu.</t>
        </is>
      </c>
      <c r="I691" s="6" t="inlineStr">
        <is>
          <t>“Sistemde görünmüyor” dedin. Sıradaki teyze başını salladı: “Bizim oğlan da hiç görünmüyor, alıştık.” Kapıya kadar herkes teşekkür edip evine döndü.</t>
        </is>
      </c>
      <c r="J691" s="6" t="inlineStr">
        <is>
          <t>Vatandaş telefonundan kendi kaydını gösterdi. Onun sistemi çalışıyor.</t>
        </is>
      </c>
      <c r="K691" s="6" t="inlineStr">
        <is>
          <t>Herkesi yarına gönderdin. Yarın sistem yine çöktü. Kapıdaki sıra artık iki günlük.</t>
        </is>
      </c>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c r="AI691" s="5" t="inlineStr"/>
      <c r="AJ691" s="5" t="inlineStr"/>
    </row>
    <row r="692">
      <c r="A692" s="5" t="inlineStr">
        <is>
          <t>b7-kayinvalide</t>
        </is>
      </c>
      <c r="B692" s="5" t="n">
        <v>1</v>
      </c>
      <c r="C692" s="6" t="inlineStr">
        <is>
          <t>Gülümse, çay tazele</t>
        </is>
      </c>
      <c r="D692" s="5" t="inlineStr"/>
      <c r="E692" s="5" t="inlineStr"/>
      <c r="F692" s="5" t="inlineStr">
        <is>
          <t>Gönül +1</t>
        </is>
      </c>
      <c r="G692" s="6" t="inlineStr">
        <is>
          <t>Gülümsedin, çay tazeledin, sonra bir daha. Üçüncü çayda kayınvalide menemenden bir lokma daha aldı. Bu evde bu bir zafer sayılır.</t>
        </is>
      </c>
      <c r="H692" s="6" t="inlineStr"/>
      <c r="I692" s="6" t="inlineStr"/>
      <c r="J692" s="6" t="inlineStr"/>
      <c r="K692" s="6" t="inlineStr"/>
      <c r="L692" s="6" t="inlineStr"/>
      <c r="M692" s="5" t="inlineStr"/>
      <c r="N692" s="5" t="inlineStr"/>
      <c r="O692" s="6" t="inlineStr"/>
      <c r="P692" s="6" t="inlineStr"/>
      <c r="Q692" s="5" t="inlineStr"/>
      <c r="R692" s="5" t="inlineStr"/>
      <c r="S692" s="5" t="inlineStr"/>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c r="AI692" s="5" t="inlineStr"/>
      <c r="AJ692" s="5" t="inlineStr"/>
    </row>
    <row r="693">
      <c r="A693" s="5" t="inlineStr">
        <is>
          <t>b7-kayinvalide</t>
        </is>
      </c>
      <c r="B693" s="5" t="n">
        <v>2</v>
      </c>
      <c r="C693" s="6" t="inlineStr">
        <is>
          <t>Tarifi kayınvalideye danış</t>
        </is>
      </c>
      <c r="D693" s="5" t="inlineStr">
        <is>
          <t>Sosyal Radar</t>
        </is>
      </c>
      <c r="E693" s="5" t="inlineStr">
        <is>
          <t>Zor</t>
        </is>
      </c>
      <c r="F693" s="5" t="inlineStr"/>
      <c r="G693" s="6" t="inlineStr"/>
      <c r="H693" s="6" t="inlineStr">
        <is>
          <t>Tarifi sordun. Kayınvalide yirmi dakika anlattı; on beşinci dakikada eşine döndü: “Bu çocuk dinlemeyi biliyor.” Eşin bu cümleyi yirmi yıldır duymamıştı.</t>
        </is>
      </c>
      <c r="I693" s="6" t="inlineStr">
        <is>
          <t>Tarifi sordun, sonraki pazar birlikte menemen yaptınız. Aile grubunda eşinden önce sen etiketleniyorsun.</t>
        </is>
      </c>
      <c r="J693" s="6" t="inlineStr">
        <is>
          <t>Tarifi sordun. “Soğan koydun mu?” dedi. “Evet” dedin. “Hmm” dedi. Artık ne demek olduğunu biliyorsun.</t>
        </is>
      </c>
      <c r="K693" s="6" t="inlineStr">
        <is>
          <t>Tarifi sordun; kayınvalide kâğıda yazıp buzdolabına mıknatısla astı. Altına not düştü: “Tuzu ben koyarım.” Artık her pazar geliyor, tuzu koyuyor.</t>
        </is>
      </c>
      <c r="L693" s="6" t="inlineStr"/>
      <c r="M693" s="5" t="inlineStr"/>
      <c r="N693" s="5" t="inlineStr"/>
      <c r="O693" s="6" t="inlineStr"/>
      <c r="P693" s="6" t="inlineStr"/>
      <c r="Q693" s="5" t="inlineStr"/>
      <c r="R693" s="5" t="inlineStr"/>
      <c r="S693" s="5" t="inlineStr"/>
      <c r="T693" s="5" t="inlineStr">
        <is>
          <t>Kayınvalide Diplomatı</t>
        </is>
      </c>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c r="AI693" s="5" t="inlineStr"/>
      <c r="AJ693" s="5" t="inlineStr"/>
    </row>
    <row r="694">
      <c r="A694" s="5" t="inlineStr">
        <is>
          <t>b7-kayinvalide</t>
        </is>
      </c>
      <c r="B694" s="5" t="n">
        <v>3</v>
      </c>
      <c r="C694" s="6" t="inlineStr">
        <is>
          <t>'Menemeni eşim yaptı' de</t>
        </is>
      </c>
      <c r="D694" s="5" t="inlineStr">
        <is>
          <t>Pişkinlik</t>
        </is>
      </c>
      <c r="E694" s="5" t="inlineStr">
        <is>
          <t>Orta</t>
        </is>
      </c>
      <c r="F694" s="5" t="inlineStr"/>
      <c r="G694" s="6" t="inlineStr"/>
      <c r="H694" s="6" t="inlineStr">
        <is>
          <t>Kayınvalide bir lokma daha aldı: “Hah, bak bu olmuş.” Eşin sana baktı; sen tabağına baktın.</t>
        </is>
      </c>
      <c r="I694" s="6" t="inlineStr">
        <is>
          <t>Kayınvalide menemeni öyle övdü ki eşin sonraki bayram için menemen hazırlamakla görevlendirildi. Sen izledin.</t>
        </is>
      </c>
      <c r="J694" s="6" t="inlineStr">
        <is>
          <t>Eşin 'Ben yapmadım' dedi. Masada iki 'Hmm' vardı artık.</t>
        </is>
      </c>
      <c r="K694" s="6" t="inlineStr">
        <is>
          <t>Kayınvalide “O zaman bir daha yapsın, izleyelim” dedi. Eşin hayatında ilk kez menemen yaptı; yumurta tavaya değil ocağa gitti. Kayınvalide hiçbir şey demedi; sadece sana baktı.</t>
        </is>
      </c>
      <c r="L694" s="6" t="inlineStr"/>
      <c r="M694" s="5" t="inlineStr"/>
      <c r="N694" s="5" t="inlineStr"/>
      <c r="O694" s="6" t="inlineStr"/>
      <c r="P694" s="6" t="inlineStr"/>
      <c r="Q694" s="5" t="inlineStr"/>
      <c r="R694" s="5" t="inlineStr"/>
      <c r="S694" s="5" t="inlineStr">
        <is>
          <t>Sosyal Radar</t>
        </is>
      </c>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c r="AI694" s="5" t="inlineStr"/>
      <c r="AJ694" s="5" t="inlineStr"/>
    </row>
    <row r="695">
      <c r="A695" s="5" t="inlineStr">
        <is>
          <t>b7-kayinvalide</t>
        </is>
      </c>
      <c r="B695" s="5" t="n">
        <v>4</v>
      </c>
      <c r="C695" s="6" t="inlineStr">
        <is>
          <t>Kayınpederle maç sohbetine sığın</t>
        </is>
      </c>
      <c r="D695" s="5" t="inlineStr">
        <is>
          <t>Çene</t>
        </is>
      </c>
      <c r="E695" s="5" t="inlineStr">
        <is>
          <t>Kolay</t>
        </is>
      </c>
      <c r="F695" s="5" t="inlineStr"/>
      <c r="G695" s="6" t="inlineStr"/>
      <c r="H695" s="6" t="inlineStr">
        <is>
          <t>Şehrin büyük takımını konuştunuz. Kayınpeder seni masanın öbür ucundan korudu.</t>
        </is>
      </c>
      <c r="I695" s="6" t="inlineStr">
        <is>
          <t>Kayınpederle o kadar iyi anlaştın ki seni maça davet etti. Eşin davetsiz kaldı.</t>
        </is>
      </c>
      <c r="J695" s="6" t="inlineStr">
        <is>
          <t>Kayınpeder rakip takımı tutuyormuş. Masada ikinci bir cephe açıldı.</t>
        </is>
      </c>
      <c r="K695" s="6" t="inlineStr">
        <is>
          <t>Gol anını anlatırken masaya vurdun; menemen tavası kayınvalidenin eteğine kaydı. Kayınvalide “Hmm” bile demedi. Bu daha kötüydü.</t>
        </is>
      </c>
      <c r="L695" s="6" t="inlineStr"/>
      <c r="M695" s="5" t="inlineStr"/>
      <c r="N695" s="5" t="inlineStr"/>
      <c r="O695" s="6" t="inlineStr"/>
      <c r="P695" s="6" t="inlineStr"/>
      <c r="Q695" s="5" t="inlineStr"/>
      <c r="R695" s="5" t="inlineStr"/>
      <c r="S695" s="5" t="inlineStr"/>
      <c r="T695" s="5" t="inlineStr"/>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c r="AI695" s="5" t="inlineStr"/>
      <c r="AJ695" s="5" t="inlineStr"/>
    </row>
    <row r="696">
      <c r="A696" s="5" t="inlineStr">
        <is>
          <t>b7-akraba-tanisma</t>
        </is>
      </c>
      <c r="B696" s="5" t="n">
        <v>1</v>
      </c>
      <c r="C696" s="6" t="inlineStr">
        <is>
          <t>Nezaketle katıl, sonra kaç</t>
        </is>
      </c>
      <c r="D696" s="5" t="inlineStr"/>
      <c r="E696" s="5" t="inlineStr"/>
      <c r="F696" s="5" t="inlineStr">
        <is>
          <t>Sosyal Radar +1</t>
        </is>
      </c>
      <c r="G696" s="6" t="inlineStr">
        <is>
          <t>Kırk dakika kibarca çay içtiniz. Çıkışta teyzen sordu: “Eee, nasıl?” “Çok kibar biri” dedin. Teyzen bunu “evet” diye anladı; komşusu da.</t>
        </is>
      </c>
      <c r="H696" s="6" t="inlineStr"/>
      <c r="I696" s="6" t="inlineStr"/>
      <c r="J696" s="6" t="inlineStr"/>
      <c r="K696" s="6" t="inlineStr"/>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c r="AI696" s="5" t="inlineStr"/>
      <c r="AJ696" s="5" t="inlineStr"/>
    </row>
    <row r="697">
      <c r="A697" s="5" t="inlineStr">
        <is>
          <t>b7-akraba-tanisma</t>
        </is>
      </c>
      <c r="B697" s="5" t="n">
        <v>2</v>
      </c>
      <c r="C697" s="6" t="inlineStr">
        <is>
          <t>Komşunun yeğeniyle göz göze gel, teyzelere karşı birleş</t>
        </is>
      </c>
      <c r="D697" s="5" t="inlineStr">
        <is>
          <t>Sosyal Radar</t>
        </is>
      </c>
      <c r="E697" s="5" t="inlineStr">
        <is>
          <t>Kolay</t>
        </is>
      </c>
      <c r="F697" s="5" t="inlineStr"/>
      <c r="G697" s="6" t="inlineStr"/>
      <c r="H697" s="6" t="inlineStr">
        <is>
          <t>Aynı anda göz devirdiniz. Buluşmayı kendiniz sonlandırıp kahveye başka yerde devam ettiniz.</t>
        </is>
      </c>
      <c r="I697" s="6" t="inlineStr">
        <is>
          <t>İttifak o kadar iyi işledi ki iki teyzeyi birbirine tanıştırıp kalktınız. Teyzeler hâlâ görüşüyor.</t>
        </is>
      </c>
      <c r="J697" s="6" t="inlineStr">
        <is>
          <t>Göz kırptın. Komşunun yeğeni bunu başka türlü anladı, teyzeler de. İkinci buluşma ayarlandı.</t>
        </is>
      </c>
      <c r="K697" s="6" t="inlineStr">
        <is>
          <t>Göz devirirken teyzen seni yakaladı. Aile grubunda 'saygısızlık' başlıklı bir sesli mesaj dolaşıyor.</t>
        </is>
      </c>
      <c r="L697" s="6" t="inlineStr"/>
      <c r="M697" s="5" t="inlineStr"/>
      <c r="N697" s="5" t="inlineStr"/>
      <c r="O697" s="6" t="inlineStr"/>
      <c r="P697" s="6" t="inlineStr"/>
      <c r="Q697" s="5" t="inlineStr"/>
      <c r="R697" s="5" t="inlineStr"/>
      <c r="S697" s="5" t="inlineStr">
        <is>
          <t>Sosyal Radar</t>
        </is>
      </c>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c r="AI697" s="5" t="inlineStr"/>
      <c r="AJ697" s="5" t="inlineStr"/>
    </row>
    <row r="698">
      <c r="A698" s="5" t="inlineStr">
        <is>
          <t>b7-akraba-tanisma</t>
        </is>
      </c>
      <c r="B698" s="5" t="n">
        <v>3</v>
      </c>
      <c r="C698" s="6" t="inlineStr">
        <is>
          <t>Kendini olabildiğince sıkıcı anlat</t>
        </is>
      </c>
      <c r="D698" s="5" t="inlineStr">
        <is>
          <t>Pişkinlik</t>
        </is>
      </c>
      <c r="E698" s="5" t="inlineStr">
        <is>
          <t>Orta</t>
        </is>
      </c>
      <c r="F698" s="5" t="inlineStr"/>
      <c r="G698" s="6" t="inlineStr"/>
      <c r="H698" s="6" t="inlineStr">
        <is>
          <t>Vergi mevzuatını anlattın. Tanışma yirmi dakikada, herkesin rızasıyla sona erdi.</t>
        </is>
      </c>
      <c r="I698" s="6" t="inlineStr">
        <is>
          <t>Öyle sıkıcıydın ki komşunun yeğeni “Ben de tam böyle sakin birini arıyordum” dedi. İkinci buluşmayı sen istedin; teyzeler hâlâ nasıl olduğunu anlamadı.</t>
        </is>
      </c>
      <c r="J698" s="6" t="inlineStr">
        <is>
          <t>Sıkıcı olmak için vergi mevzuatını açtın. Komşunun yeğeni vergi dairesinde çalışıyormuş. Üç saat konuştunuz.</t>
        </is>
      </c>
      <c r="K698" s="6" t="inlineStr">
        <is>
          <t>Sıkıcılığın teyzelere 'ciddi insan' olarak yansıdı. Nişan tarihi konuşuluyor.</t>
        </is>
      </c>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c r="AI698" s="5" t="inlineStr"/>
      <c r="AJ698" s="5" t="inlineStr"/>
    </row>
    <row r="699">
      <c r="A699" s="5" t="inlineStr">
        <is>
          <t>b7-ortak-hesap</t>
        </is>
      </c>
      <c r="B699" s="5" t="n">
        <v>1</v>
      </c>
      <c r="C699" s="6" t="inlineStr">
        <is>
          <t>'Evet, şeffaflık' de</t>
        </is>
      </c>
      <c r="D699" s="5" t="inlineStr"/>
      <c r="E699" s="5" t="inlineStr"/>
      <c r="F699" s="5" t="inlineStr">
        <is>
          <t>İtibar +1</t>
        </is>
      </c>
      <c r="G699" s="6" t="inlineStr">
        <is>
          <t>Bildirimler ikinize de gidiyor. Gece yarısı yemek siparişleri artık kamuya açık.</t>
        </is>
      </c>
      <c r="H699" s="6" t="inlineStr"/>
      <c r="I699" s="6" t="inlineStr"/>
      <c r="J699" s="6" t="inlineStr"/>
      <c r="K699" s="6" t="inlineStr"/>
      <c r="L699" s="6" t="inlineStr"/>
      <c r="M699" s="5" t="inlineStr"/>
      <c r="N699" s="5" t="inlineStr"/>
      <c r="O699" s="6" t="inlineStr"/>
      <c r="P699" s="6" t="inlineStr"/>
      <c r="Q699" s="5" t="inlineStr"/>
      <c r="R699" s="5" t="inlineStr"/>
      <c r="S699" s="5" t="inlineStr"/>
      <c r="T699" s="5" t="inlineStr"/>
      <c r="U699" s="5" t="inlineStr"/>
      <c r="V699" s="5" t="inlineStr"/>
      <c r="W699" s="5" t="inlineStr"/>
      <c r="X699" s="5" t="inlineStr"/>
      <c r="Y699" s="5" t="inlineStr"/>
      <c r="Z699" s="6" t="inlineStr"/>
      <c r="AA699" s="5" t="inlineStr"/>
      <c r="AB699" s="5" t="inlineStr"/>
      <c r="AC699" s="5" t="inlineStr"/>
      <c r="AD699" s="5" t="inlineStr"/>
      <c r="AE699" s="5" t="inlineStr"/>
      <c r="AF699" s="5" t="inlineStr"/>
      <c r="AG699" s="5" t="inlineStr"/>
      <c r="AH699" s="5" t="inlineStr"/>
      <c r="AI699" s="5" t="inlineStr"/>
      <c r="AJ699" s="5" t="inlineStr"/>
    </row>
    <row r="700">
      <c r="A700" s="5" t="inlineStr">
        <is>
          <t>b7-ortak-hesap</t>
        </is>
      </c>
      <c r="B700" s="5" t="n">
        <v>2</v>
      </c>
      <c r="C700" s="6" t="inlineStr">
        <is>
          <t>Bütçe tablosu hazırla</t>
        </is>
      </c>
      <c r="D700" s="5" t="inlineStr">
        <is>
          <t>Akıl</t>
        </is>
      </c>
      <c r="E700" s="5" t="inlineStr">
        <is>
          <t>Zor</t>
        </is>
      </c>
      <c r="F700" s="5" t="inlineStr"/>
      <c r="G700" s="6" t="inlineStr"/>
      <c r="H700" s="6" t="inlineStr">
        <is>
          <t>Tablo hazır: gelir, gider, 'keyfi harcamalar'. Son sütun en kalabalık olanı.</t>
        </is>
      </c>
      <c r="I700" s="6" t="inlineStr">
        <is>
          <t>Eşin tabloyu ailesine gösterdi. Kayınpeder gözlüğünü taktı, uzun uzun baktı, sonra kendi emekli aylığı zarfını önüne koydu: “Bir de bunu yap.”</t>
        </is>
      </c>
      <c r="J700" s="6" t="inlineStr">
        <is>
          <t>Tablo hazırlandı. Kimse açmadı. Tablo şu an masaüstünde, 'yeni klasör (3)' içinde.</t>
        </is>
      </c>
      <c r="K700" s="6" t="inlineStr">
        <is>
          <t>Tabloya göre ikiniz altı aydır batıktasınız. Eşin tabloya baktı, sana baktı, sonra kalkıp evin bütün ışıklarını söndürdü. O akşam yemeği mum ışığında yediniz; romantik değildi.</t>
        </is>
      </c>
      <c r="L700" s="6" t="inlineStr"/>
      <c r="M700" s="5" t="inlineStr"/>
      <c r="N700" s="5" t="inlineStr"/>
      <c r="O700" s="6" t="inlineStr"/>
      <c r="P700" s="6" t="inlineStr"/>
      <c r="Q700" s="5" t="inlineStr"/>
      <c r="R700" s="5" t="inlineStr"/>
      <c r="S700" s="5" t="inlineStr"/>
      <c r="T700" s="5" t="inlineStr">
        <is>
          <t>Tablo Ustası</t>
        </is>
      </c>
      <c r="U700" s="5" t="inlineStr"/>
      <c r="V700" s="5" t="inlineStr"/>
      <c r="W700" s="5" t="inlineStr"/>
      <c r="X700" s="5" t="inlineStr"/>
      <c r="Y700" s="5" t="inlineStr"/>
      <c r="Z700" s="6" t="inlineStr"/>
      <c r="AA700" s="5" t="inlineStr"/>
      <c r="AB700" s="5" t="inlineStr"/>
      <c r="AC700" s="5" t="inlineStr"/>
      <c r="AD700" s="5" t="inlineStr"/>
      <c r="AE700" s="5" t="inlineStr"/>
      <c r="AF700" s="5" t="inlineStr"/>
      <c r="AG700" s="5" t="inlineStr"/>
      <c r="AH700" s="5" t="inlineStr"/>
      <c r="AI700" s="5" t="inlineStr"/>
      <c r="AJ700" s="5" t="inlineStr"/>
    </row>
    <row r="701">
      <c r="A701" s="5" t="inlineStr">
        <is>
          <t>b7-ortak-hesap</t>
        </is>
      </c>
      <c r="B701" s="5" t="n">
        <v>3</v>
      </c>
      <c r="C701" s="6" t="inlineStr">
        <is>
          <t>Gizli bir 'kendime' hesabı aç</t>
        </is>
      </c>
      <c r="D701" s="5" t="inlineStr">
        <is>
          <t>Kurnazlık</t>
        </is>
      </c>
      <c r="E701" s="5" t="inlineStr">
        <is>
          <t>Zor</t>
        </is>
      </c>
      <c r="F701" s="5" t="inlineStr"/>
      <c r="G701" s="6" t="inlineStr"/>
      <c r="H701" s="6" t="inlineStr">
        <is>
          <t>Yan hesap sessizce açıldı. Adı 'Acil durum'. Acil durum henüz tanımlanmadı.</t>
        </is>
      </c>
      <c r="I701" s="6" t="inlineStr">
        <is>
          <t>Gizli hesap o kadar iyi yönetildi ki yıl dönümü hediyesi oradan çıktı. Eşin çok sevindi, kaynağı sormadı.</t>
        </is>
      </c>
      <c r="J701" s="6" t="inlineStr">
        <is>
          <t>Banka temsilcisi yeni hesabı yüksek sesle onayladı. Eşin yanındaydı.</t>
        </is>
      </c>
      <c r="K701" s="6" t="inlineStr">
        <is>
          <t>Gizli hesabın bildirimi ortak telefona düştü. Hesabın adı “Kaçış Fonu”. Eşin telefonu sana uzattı ve hiçbir şey sormadı. Ertesi sabah hesabın adı “Ortak Tatil” olmuştu; şifreyi de eşin değiştirmişti.</t>
        </is>
      </c>
      <c r="L701" s="6" t="inlineStr"/>
      <c r="M701" s="5" t="inlineStr"/>
      <c r="N701" s="5" t="inlineStr"/>
      <c r="O701" s="6" t="inlineStr"/>
      <c r="P701" s="6" t="inlineStr"/>
      <c r="Q701" s="5" t="inlineStr"/>
      <c r="R701" s="5" t="inlineStr"/>
      <c r="S701" s="5" t="inlineStr"/>
      <c r="T701" s="5" t="inlineStr"/>
      <c r="U701" s="5" t="inlineStr"/>
      <c r="V701" s="5" t="inlineStr"/>
      <c r="W701" s="5" t="inlineStr"/>
      <c r="X701" s="5" t="inlineStr"/>
      <c r="Y701" s="5" t="inlineStr"/>
      <c r="Z701" s="6" t="inlineStr"/>
      <c r="AA701" s="5" t="inlineStr"/>
      <c r="AB701" s="5" t="inlineStr"/>
      <c r="AC701" s="5" t="inlineStr"/>
      <c r="AD701" s="5" t="inlineStr"/>
      <c r="AE701" s="5" t="inlineStr"/>
      <c r="AF701" s="5" t="inlineStr"/>
      <c r="AG701" s="5" t="inlineStr"/>
      <c r="AH701" s="5" t="inlineStr"/>
      <c r="AI701" s="5" t="inlineStr"/>
      <c r="AJ701" s="5" t="inlineStr"/>
    </row>
    <row r="702">
      <c r="A702" s="5" t="inlineStr">
        <is>
          <t>b7-ortak-hesap</t>
        </is>
      </c>
      <c r="B702" s="5" t="n">
        <v>4</v>
      </c>
      <c r="C702" s="6" t="inlineStr">
        <is>
          <t>Eski borçlarını masaya koy</t>
        </is>
      </c>
      <c r="D702" s="5" t="inlineStr">
        <is>
          <t>İtibar</t>
        </is>
      </c>
      <c r="E702" s="5" t="inlineStr">
        <is>
          <t>Orta</t>
        </is>
      </c>
      <c r="F702" s="5" t="inlineStr"/>
      <c r="G702" s="6" t="inlineStr"/>
      <c r="H702" s="6" t="inlineStr">
        <is>
          <t>Borçlarını itiraf ettin. Eşin sarıldı. Sonra hesap makinesini aldı.</t>
        </is>
      </c>
      <c r="I702" s="6" t="inlineStr">
        <is>
          <t>İtirafın o kadar dürüsttü ki eşin de kendi taksitlerini açıkladı. Ortak bir kapanış planı yapıldı.</t>
        </is>
      </c>
      <c r="J702" s="6" t="inlineStr">
        <is>
          <t>İtiraf ettin. Eşin 'Bu kadar mı?' dedi. Değildi.</t>
        </is>
      </c>
      <c r="K702" s="6" t="inlineStr">
        <is>
          <t>İtiraf ederken rakamı yanlış söyledin. Gerçeği ertesi ay ekstre söyledi.</t>
        </is>
      </c>
      <c r="L702" s="6" t="inlineStr"/>
      <c r="M702" s="5" t="inlineStr"/>
      <c r="N702" s="5" t="inlineStr"/>
      <c r="O702" s="6" t="inlineStr"/>
      <c r="P702" s="6" t="inlineStr"/>
      <c r="Q702" s="5" t="inlineStr"/>
      <c r="R702" s="5" t="inlineStr">
        <is>
          <t>borclu</t>
        </is>
      </c>
      <c r="S702" s="5" t="inlineStr"/>
      <c r="T702" s="5" t="inlineStr"/>
      <c r="U702" s="5" t="inlineStr"/>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c r="AI702" s="5" t="inlineStr"/>
      <c r="AJ702" s="5" t="inlineStr"/>
    </row>
    <row r="703">
      <c r="A703" s="5" t="inlineStr">
        <is>
          <t>b7-spor-salonu</t>
        </is>
      </c>
      <c r="B703" s="5" t="n">
        <v>1</v>
      </c>
      <c r="C703" s="6" t="inlineStr">
        <is>
          <t>Aylık al, bakarız</t>
        </is>
      </c>
      <c r="D703" s="5" t="inlineStr"/>
      <c r="E703" s="5" t="inlineStr"/>
      <c r="F703" s="5" t="inlineStr">
        <is>
          <t>Akıl +1</t>
        </is>
      </c>
      <c r="G703" s="6" t="inlineStr">
        <is>
          <t>Aylık üyelik aldın. Üç kez gittin. Dördüncü seferde kapıdaki görevli seni tanımadı.</t>
        </is>
      </c>
      <c r="H703" s="6" t="inlineStr"/>
      <c r="I703" s="6" t="inlineStr"/>
      <c r="J703" s="6" t="inlineStr"/>
      <c r="K703" s="6" t="inlineStr"/>
      <c r="L703" s="6" t="inlineStr"/>
      <c r="M703" s="5" t="inlineStr"/>
      <c r="N703" s="5" t="inlineStr"/>
      <c r="O703" s="6" t="inlineStr"/>
      <c r="P703" s="6" t="inlineStr"/>
      <c r="Q703" s="5" t="inlineStr"/>
      <c r="R703" s="5" t="inlineStr"/>
      <c r="S703" s="5" t="inlineStr"/>
      <c r="T703" s="5" t="inlineStr"/>
      <c r="U703" s="5" t="inlineStr"/>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c r="AI703" s="5" t="inlineStr"/>
      <c r="AJ703" s="5" t="inlineStr"/>
    </row>
    <row r="704">
      <c r="A704" s="5" t="inlineStr">
        <is>
          <t>b7-spor-salonu</t>
        </is>
      </c>
      <c r="B704" s="5" t="n">
        <v>2</v>
      </c>
      <c r="C704" s="6" t="inlineStr">
        <is>
          <t>Yıllık al, her sabah git</t>
        </is>
      </c>
      <c r="D704" s="5" t="inlineStr">
        <is>
          <t>Dayanıklılık</t>
        </is>
      </c>
      <c r="E704" s="5" t="inlineStr">
        <is>
          <t>Zor</t>
        </is>
      </c>
      <c r="F704" s="5" t="inlineStr"/>
      <c r="G704" s="6" t="inlineStr"/>
      <c r="H704" s="6" t="inlineStr">
        <is>
          <t>Bir yıl boyunca haftada üç gün gittin. Geçen kışın pantolonu kapandı; bayramda teyzen yanağını sıkmak için uzandı, vazgeçti: “Yanak kalmamış.”</t>
        </is>
      </c>
      <c r="I704" s="6" t="inlineStr">
        <is>
          <t>Salon girişindeki “önce / sonra” panosuna fotoğrafın asıldı; sen “sonra” tarafındasın. Annen fotoğrafı görünce telaşlandı: “Çok zayıflamışsın, hasta mısın?”</t>
        </is>
      </c>
      <c r="J704" s="6" t="inlineStr">
        <is>
          <t>Yıllık aldın. Mart ayında salonun yerini unuttun.</t>
        </is>
      </c>
      <c r="K704" s="6" t="inlineStr">
        <is>
          <t>Yıllık aldın, ilk gün ısınmadan çömeldin. Belin tuttu. Kalan on bir ay salona değil fizik tedaviye gittin; annen her gün arayıp “Sana kim dedi?” diye sordu.</t>
        </is>
      </c>
      <c r="L704" s="6" t="inlineStr"/>
      <c r="M704" s="5" t="inlineStr"/>
      <c r="N704" s="5" t="inlineStr"/>
      <c r="O704" s="6" t="inlineStr"/>
      <c r="P704" s="6" t="inlineStr"/>
      <c r="Q704" s="5" t="inlineStr"/>
      <c r="R704" s="5" t="inlineStr"/>
      <c r="S704" s="5" t="inlineStr"/>
      <c r="T704" s="5" t="inlineStr"/>
      <c r="U704" s="5" t="inlineStr"/>
      <c r="V704" s="5" t="inlineStr">
        <is>
          <t>sporcu</t>
        </is>
      </c>
      <c r="W704" s="5" t="inlineStr"/>
      <c r="X704" s="5" t="inlineStr"/>
      <c r="Y704" s="5" t="inlineStr"/>
      <c r="Z704" s="6" t="inlineStr"/>
      <c r="AA704" s="5" t="inlineStr"/>
      <c r="AB704" s="5" t="inlineStr"/>
      <c r="AC704" s="5" t="inlineStr"/>
      <c r="AD704" s="5" t="inlineStr"/>
      <c r="AE704" s="5" t="inlineStr"/>
      <c r="AF704" s="5" t="inlineStr"/>
      <c r="AG704" s="5" t="inlineStr"/>
      <c r="AH704" s="5" t="inlineStr"/>
      <c r="AI704" s="5" t="inlineStr"/>
      <c r="AJ704" s="5" t="inlineStr"/>
    </row>
    <row r="705">
      <c r="A705" s="5" t="inlineStr">
        <is>
          <t>b7-spor-salonu</t>
        </is>
      </c>
      <c r="B705" s="5" t="n">
        <v>3</v>
      </c>
      <c r="C705" s="6" t="inlineStr">
        <is>
          <t>İlk günden eğitmenin ağırlığını kaldırmaya çalış</t>
        </is>
      </c>
      <c r="D705" s="5" t="inlineStr">
        <is>
          <t>Cesaret</t>
        </is>
      </c>
      <c r="E705" s="5" t="inlineStr">
        <is>
          <t>Zor</t>
        </is>
      </c>
      <c r="F705" s="5" t="inlineStr"/>
      <c r="G705" s="6" t="inlineStr"/>
      <c r="H705" s="6" t="inlineStr">
        <is>
          <t>Kaldırdın. Eğitmen ilk kez karın kaslarını unuttu ve seni alkışladı.</t>
        </is>
      </c>
      <c r="I705" s="6" t="inlineStr">
        <is>
          <t>Kaldırdın, bir de rekor kırdın. Salonun sosyal medya hesabında 'motivasyon' başlıklı video oldun.</t>
        </is>
      </c>
      <c r="J705" s="6" t="inlineStr">
        <is>
          <t>Bar yarı yolda kaldı. Eğitmen 'Adım adım' dedi. Adımı o attı, barı o aldı.</t>
        </is>
      </c>
      <c r="K705" s="6" t="inlineStr">
        <is>
          <t>Barı kaldıramadın; bar da göğsünden kalkmadı. Üç kişi seni kurtardı, dördüncüsü videoya çekti. Video salonun hesabında “Bunu yapmayın” başlığıyla duruyor.</t>
        </is>
      </c>
      <c r="L705" s="6" t="inlineStr"/>
      <c r="M705" s="5" t="inlineStr"/>
      <c r="N705" s="5" t="inlineStr"/>
      <c r="O705" s="6" t="inlineStr"/>
      <c r="P705" s="6" t="inlineStr"/>
      <c r="Q705" s="5" t="inlineStr"/>
      <c r="R705" s="5" t="inlineStr"/>
      <c r="S705" s="5" t="inlineStr"/>
      <c r="T705" s="5" t="inlineStr"/>
      <c r="U705" s="5" t="inlineStr"/>
      <c r="V705" s="5" t="inlineStr">
        <is>
          <t>sporcu</t>
        </is>
      </c>
      <c r="W705" s="5" t="inlineStr"/>
      <c r="X705" s="5" t="inlineStr"/>
      <c r="Y705" s="5" t="n">
        <v>1</v>
      </c>
      <c r="Z705" s="6" t="inlineStr">
        <is>
          <t>Spor salonunun ilk gününde, eğitmene bir şey kanıtlamaya çalışırken.</t>
        </is>
      </c>
      <c r="AA705" s="5" t="inlineStr"/>
      <c r="AB705" s="5" t="inlineStr"/>
      <c r="AC705" s="5" t="inlineStr"/>
      <c r="AD705" s="5" t="inlineStr"/>
      <c r="AE705" s="5" t="inlineStr"/>
      <c r="AF705" s="5" t="inlineStr"/>
      <c r="AG705" s="5" t="inlineStr"/>
      <c r="AH705" s="5" t="inlineStr"/>
      <c r="AI705" s="5" t="inlineStr">
        <is>
          <t>Bunu Yapmayın</t>
        </is>
      </c>
      <c r="AJ705" s="5" t="inlineStr"/>
    </row>
    <row r="706">
      <c r="A706" s="5" t="inlineStr">
        <is>
          <t>b7-spor-salonu</t>
        </is>
      </c>
      <c r="B706" s="5" t="n">
        <v>4</v>
      </c>
      <c r="C706" s="6" t="inlineStr">
        <is>
          <t>Salona yalnızca buhar odası için git</t>
        </is>
      </c>
      <c r="D706" s="5" t="inlineStr">
        <is>
          <t>Dayanıklılık</t>
        </is>
      </c>
      <c r="E706" s="5" t="inlineStr">
        <is>
          <t>Kolay</t>
        </is>
      </c>
      <c r="F706" s="5" t="inlineStr"/>
      <c r="G706" s="6" t="inlineStr"/>
      <c r="H706" s="6" t="inlineStr">
        <is>
          <t>Salona düzenli gittin; çoğu zaman sadece duş aldın. Yine de sayılır.</t>
        </is>
      </c>
      <c r="I706" s="6" t="inlineStr">
        <is>
          <t>İstikrarın öyle yüksekti ki gerçekten spor yapmaya başladın. Ne zaman olduğunu kendin de fark etmedin.</t>
        </is>
      </c>
      <c r="J706" s="6" t="inlineStr">
        <is>
          <t>Buhar odasında uyuyakaldın. Temizlikçi abla ışıkları kapatırken seni buldu: “Evladım, burası otel değil.”</t>
        </is>
      </c>
      <c r="K706" s="6" t="inlineStr">
        <is>
          <t>Buhar odasında o kadar vakit geçirdin ki üyeliğin 'kaplıca' kategorisine alındı ve fiyatı arttı.</t>
        </is>
      </c>
      <c r="L706" s="6" t="inlineStr"/>
      <c r="M706" s="5" t="inlineStr"/>
      <c r="N706" s="5" t="inlineStr"/>
      <c r="O706" s="6" t="inlineStr"/>
      <c r="P706" s="6" t="inlineStr"/>
      <c r="Q706" s="5" t="inlineStr">
        <is>
          <t>Kolay Dağılmaz</t>
        </is>
      </c>
      <c r="R706" s="5" t="inlineStr"/>
      <c r="S706" s="5" t="inlineStr"/>
      <c r="T706" s="5" t="inlineStr"/>
      <c r="U706" s="5" t="inlineStr"/>
      <c r="V706" s="5" t="inlineStr">
        <is>
          <t>sporcu</t>
        </is>
      </c>
      <c r="W706" s="5" t="inlineStr"/>
      <c r="X706" s="5" t="inlineStr"/>
      <c r="Y706" s="5" t="inlineStr"/>
      <c r="Z706" s="6" t="inlineStr"/>
      <c r="AA706" s="5" t="inlineStr"/>
      <c r="AB706" s="5" t="inlineStr"/>
      <c r="AC706" s="5" t="inlineStr"/>
      <c r="AD706" s="5" t="inlineStr"/>
      <c r="AE706" s="5" t="inlineStr"/>
      <c r="AF706" s="5" t="inlineStr"/>
      <c r="AG706" s="5" t="inlineStr"/>
      <c r="AH706" s="5" t="inlineStr"/>
      <c r="AI706" s="5" t="inlineStr"/>
      <c r="AJ706" s="5" t="inlineStr"/>
    </row>
    <row r="707">
      <c r="A707" s="5" t="inlineStr">
        <is>
          <t>ms-viral</t>
        </is>
      </c>
      <c r="B707" s="5" t="n">
        <v>1</v>
      </c>
      <c r="C707" s="6" t="inlineStr">
        <is>
          <t>Canlı yayında tekrarla</t>
        </is>
      </c>
      <c r="D707" s="5" t="inlineStr">
        <is>
          <t>Pişkinlik</t>
        </is>
      </c>
      <c r="E707" s="5" t="inlineStr">
        <is>
          <t>Orta</t>
        </is>
      </c>
      <c r="F707" s="5" t="inlineStr"/>
      <c r="G707" s="6" t="inlineStr"/>
      <c r="H707" s="6" t="inlineStr">
        <is>
          <t>İki milyondan on iki bin kişi kaldı. Yayın bitince annen aradı: “On iki bin kişi! Düğün salonu dolar.”</t>
        </is>
      </c>
      <c r="I707" s="6" t="inlineStr">
        <is>
          <t>Canlı yayın rekor kırdı. Üç ajans aradı; biri gerçekti.</t>
        </is>
      </c>
      <c r="J707" s="6" t="inlineStr">
        <is>
          <t>Canlıda bir yerde takıldın. Yorumlar: 'Montajmış zaten.'</t>
        </is>
      </c>
      <c r="K707" s="6" t="inlineStr">
        <is>
          <t>Canlı yayında ritmi kaybettin. Bu kez o video viral oldu. Daha çok.</t>
        </is>
      </c>
      <c r="L707" s="6" t="inlineStr">
        <is>
          <t>Yarı yarıya tuttu. Yorumların yarısı 'efsane', yarısı 'eh'.</t>
        </is>
      </c>
      <c r="M707" s="5" t="inlineStr">
        <is>
          <t>simon</t>
        </is>
      </c>
      <c r="N707" s="5" t="inlineStr">
        <is>
          <t>Canlı Performans</t>
        </is>
      </c>
      <c r="O707" s="6" t="inlineStr">
        <is>
          <t>Sırayı dinle, aynı sırayla tekrar et.</t>
        </is>
      </c>
      <c r="P707" s="6" t="inlineStr">
        <is>
          <t>{"items": ["🎤", "💃", "🎸", "🎬"]}</t>
        </is>
      </c>
      <c r="Q707" s="5" t="inlineStr"/>
      <c r="R707" s="5" t="inlineStr"/>
      <c r="S707" s="5" t="inlineStr"/>
      <c r="T707" s="5" t="inlineStr"/>
      <c r="U707" s="5" t="inlineStr">
        <is>
          <t>serbest-viral-oldu</t>
        </is>
      </c>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c r="AI707" s="5" t="inlineStr"/>
      <c r="AJ707" s="5" t="inlineStr"/>
    </row>
    <row r="708">
      <c r="A708" s="5" t="inlineStr">
        <is>
          <t>ms-viral</t>
        </is>
      </c>
      <c r="B708" s="5" t="n">
        <v>2</v>
      </c>
      <c r="C708" s="6" t="inlineStr">
        <is>
          <t>Reklam teklifini kabul et</t>
        </is>
      </c>
      <c r="D708" s="5" t="inlineStr">
        <is>
          <t>Kurnazlık</t>
        </is>
      </c>
      <c r="E708" s="5" t="inlineStr">
        <is>
          <t>Kolay</t>
        </is>
      </c>
      <c r="F708" s="5" t="inlineStr"/>
      <c r="G708" s="6" t="inlineStr"/>
      <c r="H708" s="6" t="inlineStr">
        <is>
          <t>Mahallenin halı yıkamacısına reklam çektin; halıyı sen döverek anlattın. Üç aylık kira çözüldü, evin halıları da bedava yıkandı.</t>
        </is>
      </c>
      <c r="I708" s="6" t="inlineStr">
        <is>
          <t>Reklamın ikinci bölümü çekildi. Halı yıkamacının kamyoneti artık mahallede senin yüzünle dolaşıyor; annen her geçişinde balkondan el sallıyor.</t>
        </is>
      </c>
      <c r="J708" s="6" t="inlineStr">
        <is>
          <t>Reklamı çektin; ödeme 'görünürlük' olarak yapıldı. Tanıdık bir kavram.</t>
        </is>
      </c>
      <c r="K708" s="6" t="inlineStr">
        <is>
          <t>Reklamdan sonra yorumlar tek kelimeye indi: 'Satıldı.' Evet, ama çok ucuza.</t>
        </is>
      </c>
      <c r="L708" s="6" t="inlineStr"/>
      <c r="M708" s="5" t="inlineStr"/>
      <c r="N708" s="5" t="inlineStr"/>
      <c r="O708" s="6" t="inlineStr"/>
      <c r="P708" s="6" t="inlineStr"/>
      <c r="Q708" s="5" t="inlineStr"/>
      <c r="R708" s="5" t="inlineStr"/>
      <c r="S708" s="5" t="inlineStr"/>
      <c r="T708" s="5" t="inlineStr"/>
      <c r="U708" s="5" t="inlineStr">
        <is>
          <t>serbest-viral-oldu</t>
        </is>
      </c>
      <c r="V708" s="5" t="inlineStr"/>
      <c r="W708" s="5" t="inlineStr"/>
      <c r="X708" s="5" t="inlineStr"/>
      <c r="Y708" s="5" t="inlineStr"/>
      <c r="Z708" s="6" t="inlineStr"/>
      <c r="AA708" s="5" t="inlineStr"/>
      <c r="AB708" s="5" t="inlineStr"/>
      <c r="AC708" s="5" t="inlineStr"/>
      <c r="AD708" s="5" t="inlineStr"/>
      <c r="AE708" s="5" t="inlineStr"/>
      <c r="AF708" s="5" t="inlineStr"/>
      <c r="AG708" s="5" t="inlineStr"/>
      <c r="AH708" s="5" t="inlineStr"/>
      <c r="AI708" s="5" t="inlineStr"/>
      <c r="AJ708" s="5" t="inlineStr"/>
    </row>
    <row r="709">
      <c r="A709" s="5" t="inlineStr">
        <is>
          <t>ms-viral</t>
        </is>
      </c>
      <c r="B709" s="5" t="n">
        <v>3</v>
      </c>
      <c r="C709" s="6" t="inlineStr">
        <is>
          <t>Eski takipçi ordunu seferber et</t>
        </is>
      </c>
      <c r="D709" s="5" t="inlineStr">
        <is>
          <t>Sosyal Radar</t>
        </is>
      </c>
      <c r="E709" s="5" t="inlineStr">
        <is>
          <t>Kolay</t>
        </is>
      </c>
      <c r="F709" s="5" t="inlineStr"/>
      <c r="G709" s="6" t="inlineStr"/>
      <c r="H709" s="6" t="inlineStr">
        <is>
          <t>Eski takipçilerin 'Biz ilk günden biliyorduk' diye yazdı. Kitle ikiye katlandı.</t>
        </is>
      </c>
      <c r="I709" s="6" t="inlineStr">
        <is>
          <t>Eski ve yeni takipçiler birleşti. Belediye seni yaz şenliğine çağırdı. Afişte adın yanlış yazılmış ama büyük; annen afişin önünde fotoğraf çektirdi.</t>
        </is>
      </c>
      <c r="J709" s="6" t="inlineStr">
        <is>
          <t>Eski takipçilerin yeni takipçilerle tartıştı. Yorumlar senin dışında her şeyi konuşuyor.</t>
        </is>
      </c>
      <c r="K709" s="6" t="inlineStr">
        <is>
          <t>Eski takipçilerin, on iki yaşındayken kedin için yazdığın şiiri buldu. Yeni takipçiler şiiri sesli okuyup müzik yaptı. Artık seni o şiirle tanıyorlar.</t>
        </is>
      </c>
      <c r="L709" s="6" t="inlineStr"/>
      <c r="M709" s="5" t="inlineStr"/>
      <c r="N709" s="5" t="inlineStr"/>
      <c r="O709" s="6" t="inlineStr"/>
      <c r="P709" s="6" t="inlineStr"/>
      <c r="Q709" s="5" t="inlineStr"/>
      <c r="R709" s="5" t="inlineStr">
        <is>
          <t>fenomen</t>
        </is>
      </c>
      <c r="S709" s="5" t="inlineStr"/>
      <c r="T709" s="5" t="inlineStr"/>
      <c r="U709" s="5" t="inlineStr">
        <is>
          <t>serbest-viral-oldu</t>
        </is>
      </c>
      <c r="V709" s="5" t="inlineStr"/>
      <c r="W709" s="5" t="inlineStr"/>
      <c r="X709" s="5" t="inlineStr"/>
      <c r="Y709" s="5" t="inlineStr"/>
      <c r="Z709" s="6" t="inlineStr"/>
      <c r="AA709" s="5" t="inlineStr"/>
      <c r="AB709" s="5" t="inlineStr"/>
      <c r="AC709" s="5" t="inlineStr"/>
      <c r="AD709" s="5" t="inlineStr"/>
      <c r="AE709" s="5" t="inlineStr"/>
      <c r="AF709" s="5" t="inlineStr"/>
      <c r="AG709" s="5" t="inlineStr"/>
      <c r="AH709" s="5" t="inlineStr"/>
      <c r="AI709" s="5" t="inlineStr"/>
      <c r="AJ709" s="5" t="inlineStr"/>
    </row>
    <row r="710">
      <c r="A710" s="5" t="inlineStr">
        <is>
          <t>ms-viral</t>
        </is>
      </c>
      <c r="B710" s="5" t="n">
        <v>4</v>
      </c>
      <c r="C710" s="6" t="inlineStr">
        <is>
          <t>Telefonu bir hafta kapat</t>
        </is>
      </c>
      <c r="D710" s="5" t="inlineStr"/>
      <c r="E710" s="5" t="inlineStr"/>
      <c r="F710" s="5" t="inlineStr">
        <is>
          <t>Dayanıklılık +1</t>
        </is>
      </c>
      <c r="G710" s="6" t="inlineStr">
        <is>
          <t>Bir hafta sonra açtığında akım bitmiş, yerine bir kedi videosu gelmişti. Ün, on bir gün sürdü.</t>
        </is>
      </c>
      <c r="H710" s="6" t="inlineStr"/>
      <c r="I710" s="6" t="inlineStr"/>
      <c r="J710" s="6" t="inlineStr"/>
      <c r="K710" s="6" t="inlineStr"/>
      <c r="L710" s="6" t="inlineStr"/>
      <c r="M710" s="5" t="inlineStr"/>
      <c r="N710" s="5" t="inlineStr"/>
      <c r="O710" s="6" t="inlineStr"/>
      <c r="P710" s="6" t="inlineStr"/>
      <c r="Q710" s="5" t="inlineStr"/>
      <c r="R710" s="5" t="inlineStr"/>
      <c r="S710" s="5" t="inlineStr"/>
      <c r="T710" s="5" t="inlineStr"/>
      <c r="U710" s="5" t="inlineStr">
        <is>
          <t>serbest-viral-oldu</t>
        </is>
      </c>
      <c r="V710" s="5" t="inlineStr"/>
      <c r="W710" s="5" t="inlineStr"/>
      <c r="X710" s="5" t="inlineStr"/>
      <c r="Y710" s="5" t="inlineStr"/>
      <c r="Z710" s="6" t="inlineStr"/>
      <c r="AA710" s="5" t="inlineStr"/>
      <c r="AB710" s="5" t="inlineStr"/>
      <c r="AC710" s="5" t="inlineStr"/>
      <c r="AD710" s="5" t="inlineStr"/>
      <c r="AE710" s="5" t="inlineStr"/>
      <c r="AF710" s="5" t="inlineStr"/>
      <c r="AG710" s="5" t="inlineStr"/>
      <c r="AH710" s="5" t="inlineStr"/>
      <c r="AI710" s="5" t="inlineStr"/>
      <c r="AJ710" s="5" t="inlineStr"/>
    </row>
    <row r="711">
      <c r="A711" s="5" t="inlineStr">
        <is>
          <t>b7-cocuk-karari</t>
        </is>
      </c>
      <c r="B711" s="5" t="n">
        <v>1</v>
      </c>
      <c r="C711" s="6" t="inlineStr">
        <is>
          <t>'Evet, hazırım' de</t>
        </is>
      </c>
      <c r="D711" s="5" t="inlineStr"/>
      <c r="E711" s="5" t="inlineStr"/>
      <c r="F711" s="5" t="inlineStr">
        <is>
          <t>Cesaret +1, Gönül +1</t>
        </is>
      </c>
      <c r="G711" s="6" t="inlineStr">
        <is>
          <t>“Hazırım” dedin. Ertesi sabah annen örgüye başladı; cinsiyet belli olmadığı için her şey sarı. Dokuz ay sonra evde bir patik dağı ve bir bebek vardı. İlk gece üçünüz de ağladınız.</t>
        </is>
      </c>
      <c r="H711" s="6" t="inlineStr"/>
      <c r="I711" s="6" t="inlineStr"/>
      <c r="J711" s="6" t="inlineStr"/>
      <c r="K711" s="6" t="inlineStr"/>
      <c r="L711" s="6" t="inlineStr"/>
      <c r="M711" s="5" t="inlineStr"/>
      <c r="N711" s="5" t="inlineStr"/>
      <c r="O711" s="6" t="inlineStr"/>
      <c r="P711" s="6" t="inlineStr"/>
      <c r="Q711" s="5" t="inlineStr"/>
      <c r="R711" s="5" t="inlineStr"/>
      <c r="S711" s="5" t="inlineStr"/>
      <c r="T711" s="5" t="inlineStr"/>
      <c r="U711" s="5" t="inlineStr">
        <is>
          <t>cocuklu</t>
        </is>
      </c>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c r="AI711" s="5" t="inlineStr"/>
      <c r="AJ711" s="5" t="inlineStr"/>
    </row>
    <row r="712">
      <c r="A712" s="5" t="inlineStr">
        <is>
          <t>b7-cocuk-karari</t>
        </is>
      </c>
      <c r="B712" s="5" t="n">
        <v>2</v>
      </c>
      <c r="C712" s="6" t="inlineStr">
        <is>
          <t>'Önce biraz daha seyahat edelim' de</t>
        </is>
      </c>
      <c r="D712" s="5" t="inlineStr"/>
      <c r="E712" s="5" t="inlineStr"/>
      <c r="F712" s="5" t="inlineStr">
        <is>
          <t>Kurnazlık +1</t>
        </is>
      </c>
      <c r="G712" s="6" t="inlineStr">
        <is>
          <t>“Önce biraz gezelim” dedin. Eşin “Peki” dedi ve tabağını kaldırdı. O gece televizyonda yine bebek bezi reklamı çıktı; kumandaya ikiniz birden uzandınız.</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c r="AI712" s="5" t="inlineStr"/>
      <c r="AJ712" s="5" t="inlineStr"/>
    </row>
    <row r="713">
      <c r="A713" s="5" t="inlineStr">
        <is>
          <t>b7-cocuk-karari</t>
        </is>
      </c>
      <c r="B713" s="5" t="n">
        <v>3</v>
      </c>
      <c r="C713" s="6" t="inlineStr">
        <is>
          <t>Maliyet tablosu hazırla</t>
        </is>
      </c>
      <c r="D713" s="5" t="inlineStr">
        <is>
          <t>Akıl</t>
        </is>
      </c>
      <c r="E713" s="5" t="inlineStr">
        <is>
          <t>Orta</t>
        </is>
      </c>
      <c r="F713" s="5" t="inlineStr"/>
      <c r="G713" s="6" t="inlineStr"/>
      <c r="H713" s="6" t="inlineStr">
        <is>
          <t>Tablo korkunçtu ama eşin 'Yine de' dedi. Sen de 'Yine de' dedin. Aile büyüdü.</t>
        </is>
      </c>
      <c r="I713" s="6" t="inlineStr">
        <is>
          <t>Tablo o kadar iyiydi ki bebek odası bütçenin altında kuruldu. Tablo bebek albümüne kondu.</t>
        </is>
      </c>
      <c r="J713" s="6" t="inlineStr">
        <is>
          <t>Tablonun sonunda 'on sekiz yıl' yazıyordu. İkiniz de uzun süre sustunuz.</t>
        </is>
      </c>
      <c r="K713" s="6" t="inlineStr">
        <is>
          <t>Tabloyu sunarken bebek arabası fiyatlarını yüksek sesle okudun. Eşin bilgisayarı kapattı: “Asıl pahalı olan sensin.” O gece kanepede yattın; konu bir yıl açılmadı.</t>
        </is>
      </c>
      <c r="L713" s="6" t="inlineStr"/>
      <c r="M713" s="5" t="inlineStr"/>
      <c r="N713" s="5" t="inlineStr"/>
      <c r="O713" s="6" t="inlineStr"/>
      <c r="P713" s="6" t="inlineStr"/>
      <c r="Q713" s="5" t="inlineStr"/>
      <c r="R713" s="5" t="inlineStr"/>
      <c r="S713" s="5" t="inlineStr"/>
      <c r="T713" s="5" t="inlineStr"/>
      <c r="U713" s="5" t="inlineStr"/>
      <c r="V713" s="5" t="inlineStr">
        <is>
          <t>cocuklu</t>
        </is>
      </c>
      <c r="W713" s="5" t="inlineStr"/>
      <c r="X713" s="5" t="inlineStr"/>
      <c r="Y713" s="5" t="inlineStr"/>
      <c r="Z713" s="6" t="inlineStr"/>
      <c r="AA713" s="5" t="inlineStr"/>
      <c r="AB713" s="5" t="inlineStr"/>
      <c r="AC713" s="5" t="inlineStr"/>
      <c r="AD713" s="5" t="inlineStr"/>
      <c r="AE713" s="5" t="inlineStr"/>
      <c r="AF713" s="5" t="inlineStr"/>
      <c r="AG713" s="5" t="inlineStr"/>
      <c r="AH713" s="5" t="inlineStr"/>
      <c r="AI713" s="5" t="inlineStr"/>
      <c r="AJ713" s="5" t="inlineStr"/>
    </row>
    <row r="714">
      <c r="A714" s="5" t="inlineStr">
        <is>
          <t>b7-cocuk-karari</t>
        </is>
      </c>
      <c r="B714" s="5" t="n">
        <v>4</v>
      </c>
      <c r="C714" s="6" t="inlineStr">
        <is>
          <t>'Önce kedimizi soralım' de</t>
        </is>
      </c>
      <c r="D714" s="5" t="inlineStr">
        <is>
          <t>Pişkinlik</t>
        </is>
      </c>
      <c r="E714" s="5" t="inlineStr">
        <is>
          <t>Kolay</t>
        </is>
      </c>
      <c r="F714" s="5" t="inlineStr"/>
      <c r="G714" s="6" t="inlineStr"/>
      <c r="H714" s="6" t="inlineStr">
        <is>
          <t>Kedi gözlerini yavaşça kırptı. Eşin bunu “evet” saydı, sen itiraz etmedin. Aile büyüdü; kedinin henüz haberi yok.</t>
        </is>
      </c>
      <c r="I714" s="6" t="inlineStr">
        <is>
          <t>Kediyi kucağına aldın: çocukken eve getirttiğin kedinin torunu, düğünde annen sepetle getirmişti. Mırladı. Eşin ağladı, sen ağladın, kedi uyudu. Karar oy birliğiyle alındı.</t>
        </is>
      </c>
      <c r="J714" s="6" t="inlineStr">
        <is>
          <t>Kedi odayı terk etti. Oylama ertelendi.</t>
        </is>
      </c>
      <c r="K714" s="6" t="inlineStr">
        <is>
          <t>Kedi tam o anda vazoyu devirdi. Eşin kırıklara baktı, sonra kediye, sonra sana: “Bir bebeğimiz zaten var.” Kedi kuyruğunu salladı; oylama bitti.</t>
        </is>
      </c>
      <c r="L714" s="6" t="inlineStr"/>
      <c r="M714" s="5" t="inlineStr"/>
      <c r="N714" s="5" t="inlineStr"/>
      <c r="O714" s="6" t="inlineStr"/>
      <c r="P714" s="6" t="inlineStr"/>
      <c r="Q714" s="5" t="inlineStr"/>
      <c r="R714" s="5" t="inlineStr">
        <is>
          <t>kediGeldi</t>
        </is>
      </c>
      <c r="S714" s="5" t="inlineStr"/>
      <c r="T714" s="5" t="inlineStr"/>
      <c r="U714" s="5" t="inlineStr"/>
      <c r="V714" s="5" t="inlineStr">
        <is>
          <t>cocuklu</t>
        </is>
      </c>
      <c r="W714" s="5" t="inlineStr"/>
      <c r="X714" s="5" t="inlineStr"/>
      <c r="Y714" s="5" t="inlineStr"/>
      <c r="Z714" s="6" t="inlineStr"/>
      <c r="AA714" s="5" t="inlineStr"/>
      <c r="AB714" s="5" t="inlineStr"/>
      <c r="AC714" s="5" t="inlineStr"/>
      <c r="AD714" s="5" t="inlineStr"/>
      <c r="AE714" s="5" t="inlineStr"/>
      <c r="AF714" s="5" t="inlineStr"/>
      <c r="AG714" s="5" t="inlineStr"/>
      <c r="AH714" s="5" t="inlineStr"/>
      <c r="AI714" s="5" t="inlineStr"/>
      <c r="AJ714" s="5" t="inlineStr"/>
    </row>
    <row r="715">
      <c r="A715" s="5" t="inlineStr">
        <is>
          <t>b7-cocuk-karari</t>
        </is>
      </c>
      <c r="B715" s="5" t="n">
        <v>5</v>
      </c>
      <c r="C715" s="6" t="inlineStr">
        <is>
          <t>“Olursa olur” de, hayata bırak</t>
        </is>
      </c>
      <c r="D715" s="5" t="inlineStr">
        <is>
          <t>Dayanıklılık</t>
        </is>
      </c>
      <c r="E715" s="5" t="inlineStr">
        <is>
          <t>Orta</t>
        </is>
      </c>
      <c r="F715" s="5" t="inlineStr"/>
      <c r="G715" s="6" t="inlineStr"/>
      <c r="H715" s="6" t="inlineStr">
        <is>
          <t>Hayata bıraktınız; hayat hemen cevap verdi. Ultrasonda iki kalp atışı var. Doktor “Tebrikler” dedi; sonra bir daha “Tebrikler.”</t>
        </is>
      </c>
      <c r="I715" s="6" t="inlineStr">
        <is>
          <t>İkiz geldi; biri sana, biri eşine benziyor. Hangisinin kime benzediği konusunda aileler hâlâ anlaşamadı.</t>
        </is>
      </c>
      <c r="J715" s="6" t="inlineStr">
        <is>
          <t>Hayata bıraktınız; hayat bu konuda acele etmedi. Bir süre daha iki kişilik sofradasınız.</t>
        </is>
      </c>
      <c r="K715" s="6" t="inlineStr">
        <is>
          <t>Hayata bıraktınız, hayat kediyi gönderdi. Kapının önünde üç yavru var; bakımı sende.</t>
        </is>
      </c>
      <c r="L715" s="6" t="inlineStr"/>
      <c r="M715" s="5" t="inlineStr"/>
      <c r="N715" s="5" t="inlineStr"/>
      <c r="O715" s="6" t="inlineStr"/>
      <c r="P715" s="6" t="inlineStr"/>
      <c r="Q715" s="5" t="inlineStr"/>
      <c r="R715" s="5" t="inlineStr"/>
      <c r="S715" s="5" t="inlineStr"/>
      <c r="T715" s="5" t="inlineStr"/>
      <c r="U715" s="5" t="inlineStr"/>
      <c r="V715" s="5" t="inlineStr">
        <is>
          <t>cocuklu, ikiz</t>
        </is>
      </c>
      <c r="W715" s="5" t="inlineStr"/>
      <c r="X715" s="5" t="inlineStr"/>
      <c r="Y715" s="5" t="inlineStr"/>
      <c r="Z715" s="6" t="inlineStr"/>
      <c r="AA715" s="5" t="inlineStr"/>
      <c r="AB715" s="5" t="inlineStr"/>
      <c r="AC715" s="5" t="inlineStr"/>
      <c r="AD715" s="5" t="inlineStr"/>
      <c r="AE715" s="5" t="inlineStr"/>
      <c r="AF715" s="5" t="inlineStr"/>
      <c r="AG715" s="5" t="inlineStr"/>
      <c r="AH715" s="5" t="inlineStr"/>
      <c r="AI715" s="5" t="inlineStr"/>
      <c r="AJ715" s="5" t="inlineStr"/>
    </row>
    <row r="716">
      <c r="A716" s="5" t="inlineStr">
        <is>
          <t>me-kasa-ve-pos</t>
        </is>
      </c>
      <c r="B716" s="5" t="n">
        <v>1</v>
      </c>
      <c r="C716" s="6" t="inlineStr">
        <is>
          <t>Yere çömel, topla</t>
        </is>
      </c>
      <c r="D716" s="5" t="inlineStr">
        <is>
          <t>Dayanıklılık</t>
        </is>
      </c>
      <c r="E716" s="5" t="inlineStr">
        <is>
          <t>Kolay</t>
        </is>
      </c>
      <c r="F716" s="5" t="inlineStr"/>
      <c r="G716" s="6" t="inlineStr"/>
      <c r="H716" s="6" t="inlineStr">
        <is>
          <t>Bozuklukları topladın, para üstünü kuruşu kuruşuna verdin. Müşteri giderken söylendi: “Benim bankam bu kadar hızlı değil.”</t>
        </is>
      </c>
      <c r="I716" s="6" t="inlineStr">
        <is>
          <t>Bozuklukların yanında geçen yıl kaybolan iki madeni para daha buldun. Kasa ilk kez fazla verdi.</t>
        </is>
      </c>
      <c r="J716" s="6" t="inlineStr">
        <is>
          <t>Topladın ama para üstü eksik çıktı. Müşteri 'Kalsın' dedi. Bu cümleden daha pahalısı yok.</t>
        </is>
      </c>
      <c r="K716" s="6" t="inlineStr">
        <is>
          <t>Toplarken tezgâhın altına kafanı vurdun. Doğrulduğunda müşteri gitmiş, kasa açık, bozuk para kutusu boştu. Karşıdaki berber her şeyi görmüş: “Yerdekini topladın, kasadakini götürdüler.”</t>
        </is>
      </c>
      <c r="L716" s="6" t="inlineStr">
        <is>
          <t>Çoğunu topladın. Birkaçı raf altında yeni bir hayata başladı.</t>
        </is>
      </c>
      <c r="M716" s="5" t="inlineStr">
        <is>
          <t>collect</t>
        </is>
      </c>
      <c r="N716" s="5" t="inlineStr">
        <is>
          <t>Bozuk Para Seferberliği</t>
        </is>
      </c>
      <c r="O716" s="6" t="inlineStr">
        <is>
          <t>Dökülen bozuklukları müşterinin sabrı bitmeden topla. Buzdolabının altına kaçanlar gider yazılır.</t>
        </is>
      </c>
      <c r="P716" s="6" t="inlineStr">
        <is>
          <t>{"piece": "🪙"}</t>
        </is>
      </c>
      <c r="Q716" s="5" t="inlineStr"/>
      <c r="R716" s="5" t="inlineStr"/>
      <c r="S716" s="5" t="inlineStr"/>
      <c r="T716" s="5" t="inlineStr"/>
      <c r="U716" s="5" t="inlineStr"/>
      <c r="V716" s="5" t="inlineStr"/>
      <c r="W716" s="5" t="inlineStr"/>
      <c r="X716" s="5" t="inlineStr"/>
      <c r="Y716" s="5" t="inlineStr"/>
      <c r="Z716" s="6" t="inlineStr"/>
      <c r="AA716" s="5" t="inlineStr"/>
      <c r="AB716" s="5" t="inlineStr"/>
      <c r="AC716" s="5" t="inlineStr"/>
      <c r="AD716" s="5" t="inlineStr"/>
      <c r="AE716" s="5" t="inlineStr"/>
      <c r="AF716" s="5" t="inlineStr"/>
      <c r="AG716" s="5" t="inlineStr"/>
      <c r="AH716" s="5" t="inlineStr"/>
      <c r="AI716" s="5" t="inlineStr"/>
      <c r="AJ716" s="5" t="inlineStr"/>
    </row>
    <row r="717">
      <c r="A717" s="5" t="inlineStr">
        <is>
          <t>me-kasa-ve-pos</t>
        </is>
      </c>
      <c r="B717" s="5" t="n">
        <v>2</v>
      </c>
      <c r="C717" s="6" t="inlineStr">
        <is>
          <t>'Kartla ödeyin' de</t>
        </is>
      </c>
      <c r="D717" s="5" t="inlineStr"/>
      <c r="E717" s="5" t="inlineStr"/>
      <c r="F717" s="5" t="inlineStr">
        <is>
          <t>Çene +1, Akıl +1</t>
        </is>
      </c>
      <c r="G717" s="6" t="inlineStr">
        <is>
          <t>Pos cihazını uzattın. Cihaz 'bağlantı bekleniyor' yazdı. Müşteri de bekledi. Bozukluk kazandı.</t>
        </is>
      </c>
      <c r="H717" s="6" t="inlineStr"/>
      <c r="I717" s="6" t="inlineStr"/>
      <c r="J717" s="6" t="inlineStr"/>
      <c r="K717" s="6" t="inlineStr"/>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c r="AI717" s="5" t="inlineStr"/>
      <c r="AJ717" s="5" t="inlineStr"/>
    </row>
    <row r="718">
      <c r="A718" s="5" t="inlineStr">
        <is>
          <t>me-kasa-ve-pos</t>
        </is>
      </c>
      <c r="B718" s="5" t="n">
        <v>3</v>
      </c>
      <c r="C718" s="6" t="inlineStr">
        <is>
          <t>Para üstü yerine sakız ver</t>
        </is>
      </c>
      <c r="D718" s="5" t="inlineStr">
        <is>
          <t>Pişkinlik</t>
        </is>
      </c>
      <c r="E718" s="5" t="inlineStr">
        <is>
          <t>Orta</t>
        </is>
      </c>
      <c r="F718" s="5" t="inlineStr"/>
      <c r="G718" s="6" t="inlineStr"/>
      <c r="H718" s="6" t="inlineStr">
        <is>
          <t>Para üstü yerine sakız verdin. Müşteri itiraz etmedi, sakızı da beğendi.</t>
        </is>
      </c>
      <c r="I718" s="6" t="inlineStr">
        <is>
          <t>Sakızlı para üstü mahallede öyle yerleşti ki çocuklar harçlıklarını sakız olarak ister oldu.</t>
        </is>
      </c>
      <c r="J718" s="6" t="inlineStr">
        <is>
          <t>Müşteri sakızı geri verdi, para üstünü istedi; sakızın fiyatını da düşerek.</t>
        </is>
      </c>
      <c r="K718" s="6" t="inlineStr">
        <is>
          <t>Ertesi gün aynı müşteri sakızla ödeme yapmaya çalıştı. Mantığına itiraz edemedin.</t>
        </is>
      </c>
      <c r="L718" s="6" t="inlineStr"/>
      <c r="M718" s="5" t="inlineStr"/>
      <c r="N718" s="5" t="inlineStr"/>
      <c r="O718" s="6" t="inlineStr"/>
      <c r="P718" s="6" t="inlineStr"/>
      <c r="Q718" s="5" t="inlineStr"/>
      <c r="R718" s="5" t="inlineStr"/>
      <c r="S718" s="5" t="inlineStr"/>
      <c r="T718" s="5" t="inlineStr"/>
      <c r="U718" s="5" t="inlineStr"/>
      <c r="V718" s="5" t="inlineStr"/>
      <c r="W718" s="5" t="inlineStr"/>
      <c r="X718" s="5" t="inlineStr"/>
      <c r="Y718" s="5" t="inlineStr"/>
      <c r="Z718" s="6" t="inlineStr"/>
      <c r="AA718" s="5" t="inlineStr"/>
      <c r="AB718" s="5" t="inlineStr"/>
      <c r="AC718" s="5" t="inlineStr"/>
      <c r="AD718" s="5" t="inlineStr"/>
      <c r="AE718" s="5" t="inlineStr"/>
      <c r="AF718" s="5" t="inlineStr"/>
      <c r="AG718" s="5" t="inlineStr"/>
      <c r="AH718" s="5" t="inlineStr"/>
      <c r="AI718" s="5" t="inlineStr"/>
      <c r="AJ718" s="5" t="inlineStr"/>
    </row>
    <row r="719">
      <c r="A719" s="5" t="inlineStr">
        <is>
          <t>me-kasa-ve-pos</t>
        </is>
      </c>
      <c r="B719" s="5" t="n">
        <v>4</v>
      </c>
      <c r="C719" s="6" t="inlineStr">
        <is>
          <t>Yerdekileri tek bakışta say</t>
        </is>
      </c>
      <c r="D719" s="5" t="inlineStr">
        <is>
          <t>Akıl</t>
        </is>
      </c>
      <c r="E719" s="5" t="inlineStr">
        <is>
          <t>Kolay</t>
        </is>
      </c>
      <c r="F719" s="5" t="inlineStr"/>
      <c r="G719" s="6" t="inlineStr"/>
      <c r="H719" s="6" t="inlineStr">
        <is>
          <t>Yere baktın, toplamı söyledin. Müşteri saydı, tuttu. Kuruşu kuruşuna.</t>
        </is>
      </c>
      <c r="I719" s="6" t="inlineStr">
        <is>
          <t>Tek bakışta saydın, para üstünü ezbere verdin. Müşteri seni mahalleye 'insan hesap makinesi' diye tanıttı.</t>
        </is>
      </c>
      <c r="J719" s="6" t="inlineStr">
        <is>
          <t>Saydın; bir tanesi tezgâhın altındaymış. Hesap bir bozuk eksik, gurur bir ton.</t>
        </is>
      </c>
      <c r="K719" s="6" t="inlineStr">
        <is>
          <t>Yanlış saydın, kendinden emin söyledin. Müşteri para üstüyle birlikte bir de özür aldı.</t>
        </is>
      </c>
      <c r="L719" s="6" t="inlineStr"/>
      <c r="M719" s="5" t="inlineStr"/>
      <c r="N719" s="5" t="inlineStr"/>
      <c r="O719" s="6" t="inlineStr"/>
      <c r="P719" s="6" t="inlineStr"/>
      <c r="Q719" s="5" t="inlineStr">
        <is>
          <t>Para Üstü Radarı</t>
        </is>
      </c>
      <c r="R719" s="5" t="inlineStr"/>
      <c r="S719" s="5" t="inlineStr"/>
      <c r="T719" s="5" t="inlineStr"/>
      <c r="U719" s="5" t="inlineStr"/>
      <c r="V719" s="5" t="inlineStr"/>
      <c r="W719" s="5" t="inlineStr"/>
      <c r="X719" s="5" t="inlineStr"/>
      <c r="Y719" s="5" t="inlineStr"/>
      <c r="Z719" s="6" t="inlineStr"/>
      <c r="AA719" s="5" t="inlineStr"/>
      <c r="AB719" s="5" t="inlineStr"/>
      <c r="AC719" s="5" t="inlineStr"/>
      <c r="AD719" s="5" t="inlineStr"/>
      <c r="AE719" s="5" t="inlineStr"/>
      <c r="AF719" s="5" t="inlineStr"/>
      <c r="AG719" s="5" t="inlineStr"/>
      <c r="AH719" s="5" t="inlineStr"/>
      <c r="AI719" s="5" t="inlineStr"/>
      <c r="AJ719" s="5" t="inlineStr"/>
    </row>
    <row r="720">
      <c r="A720" s="5" t="inlineStr">
        <is>
          <t>b7-tek-kisilik-tatil</t>
        </is>
      </c>
      <c r="B720" s="5" t="n">
        <v>1</v>
      </c>
      <c r="C720" s="6" t="inlineStr">
        <is>
          <t>'Bir' de, gurur duy</t>
        </is>
      </c>
      <c r="D720" s="5" t="inlineStr"/>
      <c r="E720" s="5" t="inlineStr"/>
      <c r="F720" s="5" t="inlineStr">
        <is>
          <t>Cesaret +1, Dayanıklılık +1</t>
        </is>
      </c>
      <c r="G720" s="6" t="inlineStr">
        <is>
          <t>“Bir” dedin. Tek kişilik oda, iki kişiliğin yüzde doksanı fiyatına. Arkandaki çift fısıldaştı: “Biz de tek tek mi alsak?”</t>
        </is>
      </c>
      <c r="H720" s="6" t="inlineStr"/>
      <c r="I720" s="6" t="inlineStr"/>
      <c r="J720" s="6" t="inlineStr"/>
      <c r="K720" s="6" t="inlineStr"/>
      <c r="L720" s="6" t="inlineStr"/>
      <c r="M720" s="5" t="inlineStr"/>
      <c r="N720" s="5" t="inlineStr"/>
      <c r="O720" s="6" t="inlineStr"/>
      <c r="P720" s="6" t="inlineStr"/>
      <c r="Q720" s="5" t="inlineStr"/>
      <c r="R720" s="5" t="inlineStr"/>
      <c r="S720" s="5" t="inlineStr"/>
      <c r="T720" s="5" t="inlineStr"/>
      <c r="U720" s="5" t="inlineStr">
        <is>
          <t>yalniz-gezgin</t>
        </is>
      </c>
      <c r="V720" s="5" t="inlineStr"/>
      <c r="W720" s="5" t="inlineStr"/>
      <c r="X720" s="5" t="inlineStr"/>
      <c r="Y720" s="5" t="inlineStr"/>
      <c r="Z720" s="6" t="inlineStr"/>
      <c r="AA720" s="5" t="inlineStr"/>
      <c r="AB720" s="5" t="inlineStr"/>
      <c r="AC720" s="5" t="inlineStr"/>
      <c r="AD720" s="5" t="inlineStr"/>
      <c r="AE720" s="5" t="inlineStr"/>
      <c r="AF720" s="5" t="inlineStr"/>
      <c r="AG720" s="5" t="inlineStr"/>
      <c r="AH720" s="5" t="inlineStr"/>
      <c r="AI720" s="5" t="inlineStr"/>
      <c r="AJ720" s="5" t="inlineStr"/>
    </row>
    <row r="721">
      <c r="A721" s="5" t="inlineStr">
        <is>
          <t>b7-tek-kisilik-tatil</t>
        </is>
      </c>
      <c r="B721" s="5" t="n">
        <v>2</v>
      </c>
      <c r="C721" s="6" t="inlineStr">
        <is>
          <t>Akşam yemeğinde tek başına masaya otur</t>
        </is>
      </c>
      <c r="D721" s="5" t="inlineStr">
        <is>
          <t>Pişkinlik</t>
        </is>
      </c>
      <c r="E721" s="5" t="inlineStr">
        <is>
          <t>Orta</t>
        </is>
      </c>
      <c r="F721" s="5" t="inlineStr"/>
      <c r="G721" s="6" t="inlineStr"/>
      <c r="H721" s="6" t="inlineStr">
        <is>
          <t>Kitabını açtın, balığını yedin, denize baktın. Yan masadaki çift bütün akşam tek kelime konuşmadı; sonunda biri öbürüne döndü: “Bak, şu ne güzel yiyor.”</t>
        </is>
      </c>
      <c r="I721" s="6" t="inlineStr">
        <is>
          <t>Öyle huzurlu göründün ki garson bir tatlı getirdi: “Yalnız yemek olmaz, bu bizden.” Yan masadaki çift aynı tatlıyı parayla sipariş etti.</t>
        </is>
      </c>
      <c r="J721" s="6" t="inlineStr">
        <is>
          <t>Garson ikinci sandalyeyi almadı. Bütün akşam o sandalyeye bakarak yedin.</t>
        </is>
      </c>
      <c r="K721" s="6" t="inlineStr">
        <is>
          <t>Garson 'Beklediğiniz kişi gelecek mi?' diye beş kez sordu. Altıncıda 'Gelmeyecek' dedin, restoran bir anlığına sustu.</t>
        </is>
      </c>
      <c r="L721" s="6" t="inlineStr"/>
      <c r="M721" s="5" t="inlineStr"/>
      <c r="N721" s="5" t="inlineStr"/>
      <c r="O721" s="6" t="inlineStr"/>
      <c r="P721" s="6" t="inlineStr"/>
      <c r="Q721" s="5" t="inlineStr"/>
      <c r="R721" s="5" t="inlineStr"/>
      <c r="S721" s="5" t="inlineStr"/>
      <c r="T721" s="5" t="inlineStr"/>
      <c r="U721" s="5" t="inlineStr"/>
      <c r="V721" s="5" t="inlineStr">
        <is>
          <t>yalniz-gezgin</t>
        </is>
      </c>
      <c r="W721" s="5" t="inlineStr"/>
      <c r="X721" s="5" t="inlineStr"/>
      <c r="Y721" s="5" t="inlineStr"/>
      <c r="Z721" s="6" t="inlineStr"/>
      <c r="AA721" s="5" t="inlineStr"/>
      <c r="AB721" s="5" t="inlineStr"/>
      <c r="AC721" s="5" t="inlineStr"/>
      <c r="AD721" s="5" t="inlineStr"/>
      <c r="AE721" s="5" t="inlineStr"/>
      <c r="AF721" s="5" t="inlineStr"/>
      <c r="AG721" s="5" t="inlineStr"/>
      <c r="AH721" s="5" t="inlineStr"/>
      <c r="AI721" s="5" t="inlineStr"/>
      <c r="AJ721" s="5" t="inlineStr"/>
    </row>
    <row r="722">
      <c r="A722" s="5" t="inlineStr">
        <is>
          <t>b7-tek-kisilik-tatil</t>
        </is>
      </c>
      <c r="B722" s="5" t="n">
        <v>3</v>
      </c>
      <c r="C722" s="6" t="inlineStr">
        <is>
          <t>Tur grubuna katıl</t>
        </is>
      </c>
      <c r="D722" s="5" t="inlineStr">
        <is>
          <t>Çene</t>
        </is>
      </c>
      <c r="E722" s="5" t="inlineStr">
        <is>
          <t>Kolay</t>
        </is>
      </c>
      <c r="F722" s="5" t="inlineStr"/>
      <c r="G722" s="6" t="inlineStr"/>
      <c r="H722" s="6" t="inlineStr">
        <is>
          <t>Tur grubunda yeni arkadaşlar edindin. Mesaj grubu tatilden sonra da yaşıyor.</t>
        </is>
      </c>
      <c r="I722" s="6" t="inlineStr">
        <is>
          <t>Üçüncü gün tur otobüsünün mikrofonu sendeydi. Son gün teyzeler seni ortaya alıp fotoğraf çektirdi; biri kızının numarasını cebine sıkıştırdı: “Bekârsın, değil mi?”</t>
        </is>
      </c>
      <c r="J722" s="6" t="inlineStr">
        <is>
          <t>Tur grubunun yaş ortalaması 67 çıktı. Harika insanlardı. Çok erken yattılar.</t>
        </is>
      </c>
      <c r="K722" s="6" t="inlineStr">
        <is>
          <t>Mola yerinde gözleme beklerken otobüs kalktı. Kırk kilometre sonra fark ettiler; rehber mikrofona “Bir eksiğiz” dedi. Otobüs geri döndü; yolun kalanında kırk kişi sana baktı, sen gözlemene.</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c r="AI722" s="5" t="inlineStr"/>
      <c r="AJ722" s="5" t="inlineStr"/>
    </row>
    <row r="723">
      <c r="A723" s="5" t="inlineStr">
        <is>
          <t>mb-terfi-yarisi</t>
        </is>
      </c>
      <c r="B723" s="5" t="n">
        <v>1</v>
      </c>
      <c r="C723" s="6" t="inlineStr">
        <is>
          <t>Yönetime sunum yap</t>
        </is>
      </c>
      <c r="D723" s="5" t="inlineStr">
        <is>
          <t>Cesaret</t>
        </is>
      </c>
      <c r="E723" s="5" t="inlineStr">
        <is>
          <t>Zor</t>
        </is>
      </c>
      <c r="F723" s="5" t="inlineStr"/>
      <c r="G723" s="6" t="inlineStr"/>
      <c r="H723" s="6" t="inlineStr">
        <is>
          <t>Sunum bitti, sessizlik oldu, sonra biri “Harika” dedi. Unvanına “kıdemli” eklendi. Annen aile grubuna “Bizimki müdür oldu” yazdı. Düzeltmedin.</t>
        </is>
      </c>
      <c r="I723" s="6" t="inlineStr">
        <is>
          <t>Genel müdür bir slaydının fotoğrafını çekti. Terfin aynı gün e-postayla geldi.</t>
        </is>
      </c>
      <c r="J723" s="6" t="inlineStr">
        <is>
          <t>Sunumun ortasında slayt dondu. Sen de dondun. İkiniz birlikte çözüldünüz; çok geç.</t>
        </is>
      </c>
      <c r="K723" s="6" t="inlineStr">
        <is>
          <t>Sunum yerine tatil fotoğraflarını açtın. Yönetim kurulu yirmi dokuz fotoğraf izledi. Hepsini.</t>
        </is>
      </c>
      <c r="L723" s="6" t="inlineStr">
        <is>
          <t>Sesin iki kez titredi ama rakamlar sağlamdı. Karar 'bir sonraki çeyreğe' ertelendi.</t>
        </is>
      </c>
      <c r="M723" s="5" t="inlineStr">
        <is>
          <t>duel</t>
        </is>
      </c>
      <c r="N723" s="5" t="inlineStr">
        <is>
          <t>Sunum Düellosu</t>
        </is>
      </c>
      <c r="O723" s="6" t="inlineStr">
        <is>
          <t>Karşındakinin sabrı bitmeden en iyi cevabı seç.</t>
        </is>
      </c>
      <c r="P723" s="6" t="inlineStr">
        <is>
          <t>{"who": "Yönetici", "rounds": [{"q": "Rakamlarınız nerede?", "o": [{"t": "Slayt üçte, özetle: yüzde on iki artış.", "s": 1}, {"t": "Bir bakayım, birazdan bulurum.", "s": 0.4}, {"t": "Rakamlar kalbimizde.", "s": 0.15}]}, {"q": "Rakibiniz daha tecrübeli, ne diyorsunuz?", "o": [{"t": "Tecrübeye saygı duyarım; sonuçlarım ortada.", "s": 1}, {"t": "Doğru, ben de aynısını düşünüyordum.", "s": 0.3}, {"t": "O öğle yemeklerinde çok iyi.", "s": 0.15}]}, {"q": "Son söz sizin.", "o": [{"t": "Üç hedef, bir takvim, bir sorumlu: ben.", "s": 1}, {"t": "Teşekkürler, çok güzel bir toplantıydı.", "s": 0.5}, {"t": "Slaytları e-postayla yollarım.", "s": 0.35}]}]}</t>
        </is>
      </c>
      <c r="Q723" s="5" t="inlineStr"/>
      <c r="R723" s="5" t="inlineStr"/>
      <c r="S723" s="5" t="inlineStr"/>
      <c r="T723" s="5" t="inlineStr"/>
      <c r="U723" s="5" t="inlineStr"/>
      <c r="V723" s="5" t="inlineStr">
        <is>
          <t>beyazyaka-terfi-aldi</t>
        </is>
      </c>
      <c r="W723" s="5" t="inlineStr"/>
      <c r="X723" s="5" t="inlineStr"/>
      <c r="Y723" s="5" t="inlineStr"/>
      <c r="Z723" s="6" t="inlineStr"/>
      <c r="AA723" s="5" t="inlineStr"/>
      <c r="AB723" s="5" t="inlineStr"/>
      <c r="AC723" s="5" t="inlineStr"/>
      <c r="AD723" s="5" t="inlineStr"/>
      <c r="AE723" s="5" t="inlineStr"/>
      <c r="AF723" s="5" t="inlineStr"/>
      <c r="AG723" s="5" t="inlineStr"/>
      <c r="AH723" s="5" t="inlineStr">
        <is>
          <t>Cesaret 30</t>
        </is>
      </c>
      <c r="AI723" s="5" t="inlineStr"/>
      <c r="AJ723" s="5" t="inlineStr"/>
    </row>
    <row r="724">
      <c r="A724" s="5" t="inlineStr">
        <is>
          <t>mb-terfi-yarisi</t>
        </is>
      </c>
      <c r="B724" s="5" t="n">
        <v>2</v>
      </c>
      <c r="C724" s="6" t="inlineStr">
        <is>
          <t>Öğle yemeği masasına sen de otur</t>
        </is>
      </c>
      <c r="D724" s="5" t="inlineStr">
        <is>
          <t>Sosyal Radar</t>
        </is>
      </c>
      <c r="E724" s="5" t="inlineStr">
        <is>
          <t>Orta</t>
        </is>
      </c>
      <c r="F724" s="5" t="inlineStr"/>
      <c r="G724" s="6" t="inlineStr"/>
      <c r="H724" s="6" t="inlineStr">
        <is>
          <t>Üç hafta yöneticinin yemek düzenine uydun. Terfin mercimek çorbası üstünde onaylandı.</t>
        </is>
      </c>
      <c r="I724" s="6" t="inlineStr">
        <is>
          <t>Yöneticiyle aynı tatlıyı sevdiğinizi keşfettiniz. Terfi ve tatlı tarifi aynı gün geldi.</t>
        </is>
      </c>
      <c r="J724" s="6" t="inlineStr">
        <is>
          <t>Masaya oturdun; yöneticin diyete girdi ve öğle yemeğini bıraktı.</t>
        </is>
      </c>
      <c r="K724" s="6" t="inlineStr">
        <is>
          <t>Masaya oturdun, çatalın rakibinin köftesine gitti; herkesin gözü önünde. O günden beri yemekhanede sana “Köfte” diyorlar. Terfiyi rakibin aldı.</t>
        </is>
      </c>
      <c r="L724" s="6" t="inlineStr"/>
      <c r="M724" s="5" t="inlineStr"/>
      <c r="N724" s="5" t="inlineStr"/>
      <c r="O724" s="6" t="inlineStr"/>
      <c r="P724" s="6" t="inlineStr"/>
      <c r="Q724" s="5" t="inlineStr"/>
      <c r="R724" s="5" t="inlineStr"/>
      <c r="S724" s="5" t="inlineStr"/>
      <c r="T724" s="5" t="inlineStr"/>
      <c r="U724" s="5" t="inlineStr"/>
      <c r="V724" s="5" t="inlineStr">
        <is>
          <t>beyazyaka-terfi-aldi</t>
        </is>
      </c>
      <c r="W724" s="5" t="inlineStr"/>
      <c r="X724" s="5" t="inlineStr"/>
      <c r="Y724" s="5" t="inlineStr"/>
      <c r="Z724" s="6" t="inlineStr"/>
      <c r="AA724" s="5" t="inlineStr"/>
      <c r="AB724" s="5" t="inlineStr"/>
      <c r="AC724" s="5" t="inlineStr"/>
      <c r="AD724" s="5" t="inlineStr"/>
      <c r="AE724" s="5" t="inlineStr"/>
      <c r="AF724" s="5" t="inlineStr"/>
      <c r="AG724" s="5" t="inlineStr"/>
      <c r="AH724" s="5" t="inlineStr"/>
      <c r="AI724" s="5" t="inlineStr">
        <is>
          <t>Köfte</t>
        </is>
      </c>
      <c r="AJ724" s="5" t="inlineStr"/>
    </row>
    <row r="725">
      <c r="A725" s="5" t="inlineStr">
        <is>
          <t>mb-terfi-yarisi</t>
        </is>
      </c>
      <c r="B725" s="5" t="n">
        <v>3</v>
      </c>
      <c r="C725" s="6" t="inlineStr">
        <is>
          <t>Ekip adına proje planı hazırla</t>
        </is>
      </c>
      <c r="D725" s="5" t="inlineStr">
        <is>
          <t>Akıl</t>
        </is>
      </c>
      <c r="E725" s="5" t="inlineStr">
        <is>
          <t>Kolay</t>
        </is>
      </c>
      <c r="F725" s="5" t="inlineStr"/>
      <c r="G725" s="6" t="inlineStr"/>
      <c r="H725" s="6" t="inlineStr">
        <is>
          <t>Planın o kadar düzenliydi ki yönetim, ekibi zaten senin yönettiğini düşündü. Unvan geldi.</t>
        </is>
      </c>
      <c r="I725" s="6" t="inlineStr">
        <is>
          <t>Genel müdür planı bütün şirkete “Böyle yapılır” diye iletti. Terfin geldi. Rakibin e-postayı “Ellerine sağlık” diye herkese yanıtladı; dişlerini sıkarak yazdığı belliydi.</t>
        </is>
      </c>
      <c r="J725" s="6" t="inlineStr">
        <is>
          <t>Plan harikaydı. Rakibin onu yönetime 'bizim plan' diye sundu.</t>
        </is>
      </c>
      <c r="K725" s="6" t="inlineStr">
        <is>
          <t>Planı hazırladın, e-postayı rakibine gönderdin. Terfi, planla birlikte ona geçti.</t>
        </is>
      </c>
      <c r="L725" s="6" t="inlineStr"/>
      <c r="M725" s="5" t="inlineStr"/>
      <c r="N725" s="5" t="inlineStr"/>
      <c r="O725" s="6" t="inlineStr"/>
      <c r="P725" s="6" t="inlineStr"/>
      <c r="Q725" s="5" t="inlineStr">
        <is>
          <t>Kuralı Koyan</t>
        </is>
      </c>
      <c r="R725" s="5" t="inlineStr"/>
      <c r="S725" s="5" t="inlineStr"/>
      <c r="T725" s="5" t="inlineStr"/>
      <c r="U725" s="5" t="inlineStr"/>
      <c r="V725" s="5" t="inlineStr">
        <is>
          <t>beyazyaka-terfi-aldi</t>
        </is>
      </c>
      <c r="W725" s="5" t="inlineStr"/>
      <c r="X725" s="5" t="inlineStr"/>
      <c r="Y725" s="5" t="inlineStr"/>
      <c r="Z725" s="6" t="inlineStr"/>
      <c r="AA725" s="5" t="inlineStr"/>
      <c r="AB725" s="5" t="inlineStr"/>
      <c r="AC725" s="5" t="inlineStr"/>
      <c r="AD725" s="5" t="inlineStr"/>
      <c r="AE725" s="5" t="inlineStr"/>
      <c r="AF725" s="5" t="inlineStr"/>
      <c r="AG725" s="5" t="inlineStr"/>
      <c r="AH725" s="5" t="inlineStr"/>
      <c r="AI725" s="5" t="inlineStr"/>
      <c r="AJ725" s="5" t="inlineStr"/>
    </row>
    <row r="726">
      <c r="A726" s="5" t="inlineStr">
        <is>
          <t>mb-terfi-yarisi</t>
        </is>
      </c>
      <c r="B726" s="5" t="n">
        <v>4</v>
      </c>
      <c r="C726" s="6" t="inlineStr">
        <is>
          <t>Rakibini tebrik et, çekil</t>
        </is>
      </c>
      <c r="D726" s="5" t="inlineStr"/>
      <c r="E726" s="5" t="inlineStr"/>
      <c r="F726" s="5" t="inlineStr">
        <is>
          <t>İtibar +1</t>
        </is>
      </c>
      <c r="G726" s="6" t="inlineStr">
        <is>
          <t>Rakibin terfi etti, sen ona pasta aldın. Artık o senin yöneticin; pasta faturası sende.</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c r="AI726" s="5" t="inlineStr"/>
      <c r="AJ726" s="5" t="inlineStr"/>
    </row>
    <row r="727">
      <c r="A727" s="5" t="inlineStr">
        <is>
          <t>mm-lojman-kurasi</t>
        </is>
      </c>
      <c r="B727" s="5" t="n">
        <v>1</v>
      </c>
      <c r="C727" s="6" t="inlineStr">
        <is>
          <t>Kuraya gir</t>
        </is>
      </c>
      <c r="D727" s="5" t="inlineStr">
        <is>
          <t>Dayanıklılık</t>
        </is>
      </c>
      <c r="E727" s="5" t="inlineStr">
        <is>
          <t>Orta</t>
        </is>
      </c>
      <c r="F727" s="5" t="inlineStr"/>
      <c r="G727" s="6" t="inlineStr"/>
      <c r="H727" s="6" t="inlineStr">
        <is>
          <t>Daire çıktı. Kalorifer yok; ilk kış annen üç battaniye ve bir elektrikli soba getirdi: “Devlet ısıtmıyorsa ana ısıtır.”</t>
        </is>
      </c>
      <c r="I727" s="6" t="inlineStr">
        <is>
          <t>En iyi daire çıktı. Duvarlar kalın, müdür uzak, kalorifer çalışıyor. Kıskançlık da.</t>
        </is>
      </c>
      <c r="J727" s="6" t="inlineStr">
        <is>
          <t>Yedek listedesin. Yedek listedekiler, yedek listenin yedeğini bekliyor.</t>
        </is>
      </c>
      <c r="K727" s="6" t="inlineStr">
        <is>
          <t>Müdürün alt katı çıktı. Evde terlikle yürümek kurum içi yazıyla düzenlendi.</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c r="AI727" s="5" t="inlineStr"/>
      <c r="AJ727" s="5" t="inlineStr"/>
    </row>
    <row r="728">
      <c r="A728" s="5" t="inlineStr">
        <is>
          <t>mm-lojman-kurasi</t>
        </is>
      </c>
      <c r="B728" s="5" t="n">
        <v>2</v>
      </c>
      <c r="C728" s="6" t="inlineStr">
        <is>
          <t>Evli olduğunu belirt</t>
        </is>
      </c>
      <c r="D728" s="5" t="inlineStr">
        <is>
          <t>Çene</t>
        </is>
      </c>
      <c r="E728" s="5" t="inlineStr">
        <is>
          <t>Kolay</t>
        </is>
      </c>
      <c r="F728" s="5" t="inlineStr"/>
      <c r="G728" s="6" t="inlineStr"/>
      <c r="H728" s="6" t="inlineStr">
        <is>
          <t>Aile puanın yükseldi, daire çıktı. Evliliğin ilk resmî getirisi.</t>
        </is>
      </c>
      <c r="I728" s="6" t="inlineStr">
        <is>
          <t>Kaloriferli, balkonlu, müdürden uzak bir daire çıktı. Nikâh şahitlerine teşekkür mesajı attın.</t>
        </is>
      </c>
      <c r="J728" s="6" t="inlineStr">
        <is>
          <t>Başvuranların otuz dokuzu da evliymiş. Puanlar eşitlendi, kura yine kura.</t>
        </is>
      </c>
      <c r="K728" s="6" t="inlineStr">
        <is>
          <t>Evlilik cüzdanının aslını istediler. Cüzdan, taşınmadaki kolilerden birinde. Hangisinde, bilinmiyor.</t>
        </is>
      </c>
      <c r="L728" s="6" t="inlineStr"/>
      <c r="M728" s="5" t="inlineStr"/>
      <c r="N728" s="5" t="inlineStr"/>
      <c r="O728" s="6" t="inlineStr"/>
      <c r="P728" s="6" t="inlineStr"/>
      <c r="Q728" s="5" t="inlineStr"/>
      <c r="R728" s="5" t="inlineStr">
        <is>
          <t>evli</t>
        </is>
      </c>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c r="AI728" s="5" t="inlineStr"/>
      <c r="AJ728" s="5" t="inlineStr"/>
    </row>
    <row r="729">
      <c r="A729" s="5" t="inlineStr">
        <is>
          <t>mm-lojman-kurasi</t>
        </is>
      </c>
      <c r="B729" s="5" t="n">
        <v>3</v>
      </c>
      <c r="C729" s="6" t="inlineStr">
        <is>
          <t>Dilekçeye “Bebek yolda” diye ekle</t>
        </is>
      </c>
      <c r="D729" s="5" t="inlineStr">
        <is>
          <t>İtibar</t>
        </is>
      </c>
      <c r="E729" s="5" t="inlineStr">
        <is>
          <t>Orta</t>
        </is>
      </c>
      <c r="F729" s="5" t="inlineStr"/>
      <c r="G729" s="6" t="inlineStr"/>
      <c r="H729" s="6" t="inlineStr">
        <is>
          <t>Aile puanına daha doğmamış biri eklendi. Kaloriferli bir daire çıktı; bebek odası evin en sıcak odası.</t>
        </is>
      </c>
      <c r="I729" s="6" t="inlineStr">
        <is>
          <t>Dilekçeye ultrason fotoğrafını iliştirdin. Komisyondaki üç kişi fotoğrafı elden ele dolaştırdı; zemin kat, güneş alan, müdürden uzak daire senin. Bebek arabası asansör beklemeyecek.</t>
        </is>
      </c>
      <c r="J729" s="6" t="inlineStr">
        <is>
          <t>Komisyon “Doğunca nüfus kaydıyla gelin” dedi. Bebek doğdu, kayıt çıktı; kura çoktan çekilmişti.</t>
        </is>
      </c>
      <c r="K729" s="6" t="inlineStr">
        <is>
          <t>Müdürün alt katı çıktı. Bebek gece üçte ağladı; üç buçukta müdürün terlikleri tavanda volta atmaya başladı. Sabah müdür kapıda seni bekliyordu, gözleri kıpkırmızı: “Gece mesaisi mi vardı?”</t>
        </is>
      </c>
      <c r="L729" s="6" t="inlineStr"/>
      <c r="M729" s="5" t="inlineStr"/>
      <c r="N729" s="5" t="inlineStr"/>
      <c r="O729" s="6" t="inlineStr"/>
      <c r="P729" s="6" t="inlineStr"/>
      <c r="Q729" s="5" t="inlineStr"/>
      <c r="R729" s="5" t="inlineStr">
        <is>
          <t>cocuklu</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c r="AI729" s="5" t="inlineStr"/>
      <c r="AJ729" s="5" t="inlineStr"/>
    </row>
    <row r="730">
      <c r="A730" s="5" t="inlineStr">
        <is>
          <t>mm-lojman-kurasi</t>
        </is>
      </c>
      <c r="B730" s="5" t="n">
        <v>4</v>
      </c>
      <c r="C730" s="6" t="inlineStr">
        <is>
          <t>Kirada kal</t>
        </is>
      </c>
      <c r="D730" s="5" t="inlineStr"/>
      <c r="E730" s="5" t="inlineStr"/>
      <c r="F730" s="5" t="inlineStr">
        <is>
          <t>İtibar +1</t>
        </is>
      </c>
      <c r="G730" s="6" t="inlineStr">
        <is>
          <t>Lojmandan vazgeçtin. Kira artışı yine geldi ama en azından üst katta müdür yok.</t>
        </is>
      </c>
      <c r="H730" s="6" t="inlineStr"/>
      <c r="I730" s="6" t="inlineStr"/>
      <c r="J730" s="6" t="inlineStr"/>
      <c r="K730" s="6" t="inlineStr"/>
      <c r="L730" s="6" t="inlineStr"/>
      <c r="M730" s="5" t="inlineStr"/>
      <c r="N730" s="5" t="inlineStr"/>
      <c r="O730" s="6" t="inlineStr"/>
      <c r="P730" s="6" t="inlineStr"/>
      <c r="Q730" s="5" t="inlineStr"/>
      <c r="R730" s="5" t="inlineStr"/>
      <c r="S730" s="5" t="inlineStr"/>
      <c r="T730" s="5" t="inlineStr"/>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c r="AI730" s="5" t="inlineStr"/>
      <c r="AJ730" s="5" t="inlineStr"/>
    </row>
    <row r="731">
      <c r="A731" s="5" t="inlineStr">
        <is>
          <t>b7-bayram-rotasi</t>
        </is>
      </c>
      <c r="B731" s="5" t="n">
        <v>1</v>
      </c>
      <c r="C731" s="6" t="inlineStr">
        <is>
          <t>Bu yıl eşinin ailesine git</t>
        </is>
      </c>
      <c r="D731" s="5" t="inlineStr"/>
      <c r="E731" s="5" t="inlineStr"/>
      <c r="F731" s="5" t="inlineStr">
        <is>
          <t>Gönül +1</t>
        </is>
      </c>
      <c r="G731" s="6" t="inlineStr">
        <is>
          <t>Eşinin ailesine gittiniz. Senin ailen telefonda 'Önemli değil' dedi. Önemliydi.</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c r="AI731" s="5" t="inlineStr"/>
      <c r="AJ731" s="5" t="inlineStr"/>
    </row>
    <row r="732">
      <c r="A732" s="5" t="inlineStr">
        <is>
          <t>b7-bayram-rotasi</t>
        </is>
      </c>
      <c r="B732" s="5" t="n">
        <v>2</v>
      </c>
      <c r="C732" s="6" t="inlineStr">
        <is>
          <t>İki aileyi aynı bayramda gez</t>
        </is>
      </c>
      <c r="D732" s="5" t="inlineStr">
        <is>
          <t>Dayanıklılık</t>
        </is>
      </c>
      <c r="E732" s="5" t="inlineStr">
        <is>
          <t>Zor</t>
        </is>
      </c>
      <c r="F732" s="5" t="inlineStr"/>
      <c r="G732" s="6" t="inlineStr"/>
      <c r="H732" s="6" t="inlineStr">
        <is>
          <t>Dört günde iki şehir, dokuz ev, on bir sofra. Yeğenlere dağıttığın harçlık, bir zamanlar topladığından fazlaydı. Başardın.</t>
        </is>
      </c>
      <c r="I732" s="6" t="inlineStr">
        <is>
          <t>Rotayı öyle kurdun ki iki anne de “Bizde daha çok kaldılar” diye düşündü. Dönüşte bagaja iki taraftan da tam on ikişer kavanoz kondu. Saydın.</t>
        </is>
      </c>
      <c r="J732" s="6" t="inlineStr">
        <is>
          <t>Yolda trafiğe takıldın. Bayramın ikinci günü arabada, annenin yola koyduğu börekle geçti. Yeğenlere harçlığı görüntülü aramada söz verdin; ekrandan el öptüler.</t>
        </is>
      </c>
      <c r="K732" s="6" t="inlineStr">
        <is>
          <t>Rotanın ortasında iki anne de aynı saatte “Sofra hazır, neredesiniz?” yazdı. İkisine de “Yoldayız” dedin. İkisi de konum istedi.</t>
        </is>
      </c>
      <c r="L732" s="6" t="inlineStr"/>
      <c r="M732" s="5" t="inlineStr"/>
      <c r="N732" s="5" t="inlineStr"/>
      <c r="O732" s="6" t="inlineStr"/>
      <c r="P732" s="6" t="inlineStr"/>
      <c r="Q732" s="5" t="inlineStr"/>
      <c r="R732" s="5" t="inlineStr"/>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is>
          <t>Dayanıklılık 34</t>
        </is>
      </c>
      <c r="AI732" s="5" t="inlineStr"/>
      <c r="AJ732" s="5" t="inlineStr"/>
    </row>
    <row r="733">
      <c r="A733" s="5" t="inlineStr">
        <is>
          <t>b7-bayram-rotasi</t>
        </is>
      </c>
      <c r="B733" s="5" t="n">
        <v>3</v>
      </c>
      <c r="C733" s="6" t="inlineStr">
        <is>
          <t>İki aileyi aynı sofrada buluştur</t>
        </is>
      </c>
      <c r="D733" s="5" t="inlineStr">
        <is>
          <t>Sosyal Radar</t>
        </is>
      </c>
      <c r="E733" s="5" t="inlineStr">
        <is>
          <t>Orta</t>
        </is>
      </c>
      <c r="F733" s="5" t="inlineStr"/>
      <c r="G733" s="6" t="inlineStr"/>
      <c r="H733" s="6" t="inlineStr">
        <is>
          <t>İki aile tanıştı, güldü, yemekler karşılaştırıldı. İki taraf da kendi dolmasının kazandığını düşünüyor.</t>
        </is>
      </c>
      <c r="I733" s="6" t="inlineStr">
        <is>
          <t>Sofra o kadar iyi geçti ki iki aile birlikte tatil planı yaptı. Sizi davet etmediler.</t>
        </is>
      </c>
      <c r="J733" s="6" t="inlineStr">
        <is>
          <t>Sofrada kimin baklavasının daha iyi olduğu tartışıldı. Karar çıkmadı, baklava bitti.</t>
        </is>
      </c>
      <c r="K733" s="6" t="inlineStr">
        <is>
          <t>İki anne de sofraya dolma getirdi. Eşin gülerek “Hangisi daha güzel?” diye sordu; sen dürüstçe cevap verdin. Sofra buz kesti, bayramın kalanı iki ayrı odada geçti.</t>
        </is>
      </c>
      <c r="L733" s="6" t="inlineStr"/>
      <c r="M733" s="5" t="inlineStr"/>
      <c r="N733" s="5" t="inlineStr"/>
      <c r="O733" s="6" t="inlineStr"/>
      <c r="P733" s="6" t="inlineStr"/>
      <c r="Q733" s="5" t="inlineStr">
        <is>
          <t>Kayınvalide Diplomatı</t>
        </is>
      </c>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c r="AI733" s="5" t="inlineStr"/>
      <c r="AJ733" s="5" t="inlineStr"/>
    </row>
    <row r="734">
      <c r="A734" s="5" t="inlineStr">
        <is>
          <t>b7-bayram-rotasi</t>
        </is>
      </c>
      <c r="B734" s="5" t="n">
        <v>4</v>
      </c>
      <c r="C734" s="6" t="inlineStr">
        <is>
          <t>'Arabamızla ortada buluşalım' diye öner</t>
        </is>
      </c>
      <c r="D734" s="5" t="inlineStr">
        <is>
          <t>Kurnazlık</t>
        </is>
      </c>
      <c r="E734" s="5" t="inlineStr">
        <is>
          <t>Kolay</t>
        </is>
      </c>
      <c r="F734" s="5" t="inlineStr"/>
      <c r="G734" s="6" t="inlineStr"/>
      <c r="H734" s="6" t="inlineStr">
        <is>
          <t>Yol üstündeki dinlenme tesisinde iki aileyle ayrı ayrı çay içtiniz. Tarafsız bölge işe yaradı.</t>
        </is>
      </c>
      <c r="I734" s="6" t="inlineStr">
        <is>
          <t>Dinlenme tesisinde bayramlaştınız, üç saatte eve döndünüz. Bu model bütün akrabalara ilham oldu.</t>
        </is>
      </c>
      <c r="J734" s="6" t="inlineStr">
        <is>
          <t>Tesis bayram kalabalığıydı. Aileleri bulana kadar çaylar soğudu.</t>
        </is>
      </c>
      <c r="K734" s="6" t="inlineStr">
        <is>
          <t>Arabanın aküsü tesiste bitti. İki aile birlikte seni itti. Barış böyle geldi.</t>
        </is>
      </c>
      <c r="L734" s="6" t="inlineStr"/>
      <c r="M734" s="5" t="inlineStr"/>
      <c r="N734" s="5" t="inlineStr"/>
      <c r="O734" s="6" t="inlineStr"/>
      <c r="P734" s="6" t="inlineStr"/>
      <c r="Q734" s="5" t="inlineStr"/>
      <c r="R734" s="5" t="inlineStr">
        <is>
          <t>arabali</t>
        </is>
      </c>
      <c r="S734" s="5" t="inlineStr"/>
      <c r="T734" s="5" t="inlineStr"/>
      <c r="U734" s="5" t="inlineStr"/>
      <c r="V734" s="5" t="inlineStr"/>
      <c r="W734" s="5" t="inlineStr"/>
      <c r="X734" s="5" t="inlineStr"/>
      <c r="Y734" s="5" t="inlineStr"/>
      <c r="Z734" s="6" t="inlineStr"/>
      <c r="AA734" s="5" t="inlineStr"/>
      <c r="AB734" s="5" t="inlineStr"/>
      <c r="AC734" s="5" t="inlineStr"/>
      <c r="AD734" s="5" t="inlineStr"/>
      <c r="AE734" s="5" t="inlineStr"/>
      <c r="AF734" s="5" t="inlineStr"/>
      <c r="AG734" s="5" t="inlineStr"/>
      <c r="AH734" s="5" t="inlineStr"/>
      <c r="AI734" s="5" t="inlineStr"/>
      <c r="AJ734" s="5" t="inlineStr"/>
    </row>
    <row r="735">
      <c r="A735" s="5" t="inlineStr">
        <is>
          <t>b7-uykusuz-geceler</t>
        </is>
      </c>
      <c r="B735" s="5" t="n">
        <v>1</v>
      </c>
      <c r="C735" s="6" t="inlineStr">
        <is>
          <t>Kucağına al, nefesini eşle, uyut</t>
        </is>
      </c>
      <c r="D735" s="5" t="inlineStr">
        <is>
          <t>Dayanıklılık</t>
        </is>
      </c>
      <c r="E735" s="5" t="inlineStr">
        <is>
          <t>Zor</t>
        </is>
      </c>
      <c r="F735" s="5" t="inlineStr"/>
      <c r="G735" s="6" t="inlineStr"/>
      <c r="H735" s="6" t="inlineStr">
        <is>
          <t>Nefesiniz aynı ritme girdi. Bebek uyudu. Sen de ayakta, kapıya yaslanarak.</t>
        </is>
      </c>
      <c r="I735" s="6" t="inlineStr">
        <is>
          <t>Bebek on dakikada uyudu ve sabaha kadar uyanmadı. Annene anlattın, inanmadı; “Nazar değmesin” deyip beşiğe bir boncuk iliştirdi.</t>
        </is>
      </c>
      <c r="J735" s="6" t="inlineStr">
        <is>
          <t>Bebek uyudu. Beşiğe koyduğun an gözlerini açtı ve sana baktı; “Bu kadar mı?” der gibi. Baştan.</t>
        </is>
      </c>
      <c r="K735" s="6" t="inlineStr">
        <is>
          <t>Bebeği uyuttun. Beşiğe yürürken oyuncak ördeğe bastın, ördek öttü. Bebek uyandı, eşin uyandı, alt komşu tavana süpürge sapıyla vurdu. Güneş doğarken üçünüz de hâlâ ayaktaydınız.</t>
        </is>
      </c>
      <c r="L735" s="6" t="inlineStr">
        <is>
          <t>Bebek yarım saat uyudu. Eşinle mutfakta ayakta, fısıltıyla birer çay içtiniz; kaşığı bardağa değdirmeden.</t>
        </is>
      </c>
      <c r="M735" s="5" t="inlineStr">
        <is>
          <t>simon</t>
        </is>
      </c>
      <c r="N735" s="5" t="inlineStr">
        <is>
          <t>Ninni Sırası</t>
        </is>
      </c>
      <c r="O735" s="6" t="inlineStr">
        <is>
          <t>Sırayı dinle, aynı sırayla tekrar et.</t>
        </is>
      </c>
      <c r="P735" s="6" t="inlineStr">
        <is>
          <t>{"items": ["🌙", "🍼", "🎵", "🧸"]}</t>
        </is>
      </c>
      <c r="Q735" s="5" t="inlineStr"/>
      <c r="R735" s="5" t="inlineStr"/>
      <c r="S735" s="5" t="inlineStr"/>
      <c r="T735" s="5" t="inlineStr">
        <is>
          <t>Gözüne Uyku Girmez</t>
        </is>
      </c>
      <c r="U735" s="5" t="inlineStr"/>
      <c r="V735" s="5" t="inlineStr"/>
      <c r="W735" s="5" t="inlineStr"/>
      <c r="X735" s="5" t="inlineStr"/>
      <c r="Y735" s="5" t="inlineStr"/>
      <c r="Z735" s="6" t="inlineStr"/>
      <c r="AA735" s="5" t="inlineStr"/>
      <c r="AB735" s="5" t="inlineStr"/>
      <c r="AC735" s="5" t="inlineStr"/>
      <c r="AD735" s="5" t="inlineStr"/>
      <c r="AE735" s="5" t="inlineStr"/>
      <c r="AF735" s="5" t="inlineStr"/>
      <c r="AG735" s="5" t="inlineStr"/>
      <c r="AH735" s="5" t="inlineStr">
        <is>
          <t>Dayanıklılık 30</t>
        </is>
      </c>
      <c r="AI735" s="5" t="inlineStr"/>
      <c r="AJ735" s="5" t="inlineStr"/>
    </row>
    <row r="736">
      <c r="A736" s="5" t="inlineStr">
        <is>
          <t>b7-uykusuz-geceler</t>
        </is>
      </c>
      <c r="B736" s="5" t="n">
        <v>2</v>
      </c>
      <c r="C736" s="6" t="inlineStr">
        <is>
          <t>Nöbeti eşine devret</t>
        </is>
      </c>
      <c r="D736" s="5" t="inlineStr"/>
      <c r="E736" s="5" t="inlineStr"/>
      <c r="F736" s="5" t="inlineStr">
        <is>
          <t>Kurnazlık +1</t>
        </is>
      </c>
      <c r="G736" s="6" t="inlineStr">
        <is>
          <t>Eşini dürttün: “Sıra sende.” Tek kelime etmeden kalktı. On yıl sonra bir tartışmada bu gece, tarihiyle saatiyle önüne konacak.</t>
        </is>
      </c>
      <c r="H736" s="6" t="inlineStr"/>
      <c r="I736" s="6" t="inlineStr"/>
      <c r="J736" s="6" t="inlineStr"/>
      <c r="K736" s="6" t="inlineStr"/>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c r="AI736" s="5" t="inlineStr"/>
      <c r="AJ736" s="5" t="inlineStr"/>
    </row>
    <row r="737">
      <c r="A737" s="5" t="inlineStr">
        <is>
          <t>b7-uykusuz-geceler</t>
        </is>
      </c>
      <c r="B737" s="5" t="n">
        <v>3</v>
      </c>
      <c r="C737" s="6" t="inlineStr">
        <is>
          <t>Arabayla mahallede tur at</t>
        </is>
      </c>
      <c r="D737" s="5" t="inlineStr">
        <is>
          <t>Kurnazlık</t>
        </is>
      </c>
      <c r="E737" s="5" t="inlineStr">
        <is>
          <t>Kolay</t>
        </is>
      </c>
      <c r="F737" s="5" t="inlineStr"/>
      <c r="G737" s="6" t="inlineStr"/>
      <c r="H737" s="6" t="inlineStr">
        <is>
          <t>Motor sesi işe yaradı. Bebek uyudu. Sen de otoparkta, emniyet kemeri takılı.</t>
        </is>
      </c>
      <c r="I737" s="6" t="inlineStr">
        <is>
          <t>Üç tur sonra bebek uyudu ve eve geri taşırken uyanmadı. Bu gece senin adına yazıldı.</t>
        </is>
      </c>
      <c r="J737" s="6" t="inlineStr">
        <is>
          <t>Bebek arabada uyudu. Kontağı kapattığın an uyandı. Arabayla gece turu sabaha kadar sürdü.</t>
        </is>
      </c>
      <c r="K737" s="6" t="inlineStr">
        <is>
          <t>Dördüncü turda devriye arabası arkana takıldı, sireni bir kez kısaca çaldı. Bebek uyandı. Polis camdan baktı, durumu anladı, özür diledi; bebek kabul etmedi. Sabaha kadar ağladı.</t>
        </is>
      </c>
      <c r="L737" s="6" t="inlineStr"/>
      <c r="M737" s="5" t="inlineStr"/>
      <c r="N737" s="5" t="inlineStr"/>
      <c r="O737" s="6" t="inlineStr"/>
      <c r="P737" s="6" t="inlineStr"/>
      <c r="Q737" s="5" t="inlineStr"/>
      <c r="R737" s="5" t="inlineStr">
        <is>
          <t>arabali</t>
        </is>
      </c>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c r="AI737" s="5" t="inlineStr"/>
      <c r="AJ737" s="5" t="inlineStr"/>
    </row>
    <row r="738">
      <c r="A738" s="5" t="inlineStr">
        <is>
          <t>b7-site-toplantisi</t>
        </is>
      </c>
      <c r="B738" s="5" t="n">
        <v>1</v>
      </c>
      <c r="C738" s="6" t="inlineStr">
        <is>
          <t>Arka sırada otur, sadece el kaldır</t>
        </is>
      </c>
      <c r="D738" s="5" t="inlineStr"/>
      <c r="E738" s="5" t="inlineStr"/>
      <c r="F738" s="5" t="inlineStr">
        <is>
          <t>Dayanıklılık +1</t>
        </is>
      </c>
      <c r="G738" s="6" t="inlineStr">
        <is>
          <t>Üç saat oturdun, iki kez el kaldırdın. Birinde yanlış maddeye oy verdin. Aidat arttı.</t>
        </is>
      </c>
      <c r="H738" s="6" t="inlineStr"/>
      <c r="I738" s="6" t="inlineStr"/>
      <c r="J738" s="6" t="inlineStr"/>
      <c r="K738" s="6" t="inlineStr"/>
      <c r="L738" s="6" t="inlineStr"/>
      <c r="M738" s="5" t="inlineStr"/>
      <c r="N738" s="5" t="inlineStr"/>
      <c r="O738" s="6" t="inlineStr"/>
      <c r="P738" s="6" t="inlineStr"/>
      <c r="Q738" s="5" t="inlineStr"/>
      <c r="R738" s="5" t="inlineStr"/>
      <c r="S738" s="5" t="inlineStr"/>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c r="AI738" s="5" t="inlineStr"/>
      <c r="AJ738" s="5" t="inlineStr"/>
    </row>
    <row r="739">
      <c r="A739" s="5" t="inlineStr">
        <is>
          <t>b7-site-toplantisi</t>
        </is>
      </c>
      <c r="B739" s="5" t="n">
        <v>2</v>
      </c>
      <c r="C739" s="6" t="inlineStr">
        <is>
          <t>Aidat artışına itiraz et</t>
        </is>
      </c>
      <c r="D739" s="5" t="inlineStr">
        <is>
          <t>İtibar</t>
        </is>
      </c>
      <c r="E739" s="5" t="inlineStr">
        <is>
          <t>Orta</t>
        </is>
      </c>
      <c r="F739" s="5" t="inlineStr"/>
      <c r="G739" s="6" t="inlineStr"/>
      <c r="H739" s="6" t="inlineStr">
        <is>
          <t>İtirazın kabul edildi, artış yarıya indi. Toplantının sonunda biri “Bu işi en iyi o bilir” dedi; yönetici sen oldun. Asansörde artık sana selam veriyorlar, dertlerini de anlatıyorlar.</t>
        </is>
      </c>
      <c r="I739" s="6" t="inlineStr">
        <is>
          <t>İtirazından sonra artış oylamada geri çekildi; salon da seni yönetici seçti. Toplantı çıkışı dördüncü kattaki teyze kapısını açıp seslendi: “Gel evladım, bir çay iç; yöneticiyle iyi geçinmek lazım.”</t>
        </is>
      </c>
      <c r="J739" s="6" t="inlineStr">
        <is>
          <t>İtiraz ettin. Yönetici 'Not alındı' dedi. Not hiçbir yere alınmadı.</t>
        </is>
      </c>
      <c r="K739" s="6" t="inlineStr">
        <is>
          <t>İtiraz ederken bütçe sorusu sordun. Yanıtı bulmak için bir komisyon kuruldu. Komisyonun başkanı sensin.</t>
        </is>
      </c>
      <c r="L739" s="6" t="inlineStr"/>
      <c r="M739" s="5" t="inlineStr"/>
      <c r="N739" s="5" t="inlineStr"/>
      <c r="O739" s="6" t="inlineStr"/>
      <c r="P739" s="6" t="inlineStr"/>
      <c r="Q739" s="5" t="inlineStr"/>
      <c r="R739" s="5" t="inlineStr"/>
      <c r="S739" s="5" t="inlineStr"/>
      <c r="T739" s="5" t="inlineStr"/>
      <c r="U739" s="5" t="inlineStr"/>
      <c r="V739" s="5" t="inlineStr">
        <is>
          <t>site-yoneticisi</t>
        </is>
      </c>
      <c r="W739" s="5" t="inlineStr">
        <is>
          <t>site-yoneticisi</t>
        </is>
      </c>
      <c r="X739" s="5" t="inlineStr"/>
      <c r="Y739" s="5" t="inlineStr"/>
      <c r="Z739" s="6" t="inlineStr"/>
      <c r="AA739" s="5" t="inlineStr"/>
      <c r="AB739" s="5" t="inlineStr"/>
      <c r="AC739" s="5" t="inlineStr"/>
      <c r="AD739" s="5" t="inlineStr"/>
      <c r="AE739" s="5" t="inlineStr"/>
      <c r="AF739" s="5" t="inlineStr"/>
      <c r="AG739" s="5" t="inlineStr"/>
      <c r="AH739" s="5" t="inlineStr"/>
      <c r="AI739" s="5" t="inlineStr"/>
      <c r="AJ739" s="5" t="inlineStr"/>
    </row>
    <row r="740">
      <c r="A740" s="5" t="inlineStr">
        <is>
          <t>b7-site-toplantisi</t>
        </is>
      </c>
      <c r="B740" s="5" t="n">
        <v>3</v>
      </c>
      <c r="C740" s="6" t="inlineStr">
        <is>
          <t>Çatı yalıtımını bizzat kontrol etmeyi teklif et</t>
        </is>
      </c>
      <c r="D740" s="5" t="inlineStr">
        <is>
          <t>Cesaret</t>
        </is>
      </c>
      <c r="E740" s="5" t="inlineStr">
        <is>
          <t>Zor</t>
        </is>
      </c>
      <c r="F740" s="5" t="inlineStr"/>
      <c r="G740" s="6" t="inlineStr"/>
      <c r="H740" s="6" t="inlineStr">
        <is>
          <t>Çatıya çıktın, sorunu buldun, fotoğrafladın. Aşağı indiğinde salon seni alkışladı; yönetici de alkışladı, sonra aidat artışını oylamaya koydu.</t>
        </is>
      </c>
      <c r="I740" s="6" t="inlineStr">
        <is>
          <t>Çatıda sorunu buldun ve ustanın fiyatının yarısına çözdürdün. Site tarihine 'çatıdaki kişi' olarak geçtin.</t>
        </is>
      </c>
      <c r="J740" s="6" t="inlineStr">
        <is>
          <t>Çatıya çıktın, hiçbir şey anlamadın. İndiğinde toplantı bitmişti ve aidat artmıştı.</t>
        </is>
      </c>
      <c r="K740" s="6" t="inlineStr">
        <is>
          <t>Çatı kapısı arkandan kilitlendi. Toplantının geri kalanını çatıdan, mesaj grubu üzerinden takip ettin.</t>
        </is>
      </c>
      <c r="L740" s="6" t="inlineStr"/>
      <c r="M740" s="5" t="inlineStr"/>
      <c r="N740" s="5" t="inlineStr"/>
      <c r="O740" s="6" t="inlineStr"/>
      <c r="P740" s="6" t="inlineStr"/>
      <c r="Q740" s="5" t="inlineStr"/>
      <c r="R740" s="5" t="inlineStr"/>
      <c r="S740" s="5" t="inlineStr"/>
      <c r="T740" s="5" t="inlineStr"/>
      <c r="U740" s="5" t="inlineStr"/>
      <c r="V740" s="5" t="inlineStr"/>
      <c r="W740" s="5" t="inlineStr"/>
      <c r="X740" s="5" t="inlineStr"/>
      <c r="Y740" s="5" t="n">
        <v>2</v>
      </c>
      <c r="Z740" s="6" t="inlineStr">
        <is>
          <t>Site çatısında yalıtım kontrolü yaparken. Karar defterine 'gönüllü' diye geçti.</t>
        </is>
      </c>
      <c r="AA740" s="5" t="inlineStr"/>
      <c r="AB740" s="5" t="inlineStr"/>
      <c r="AC740" s="5" t="inlineStr"/>
      <c r="AD740" s="5" t="inlineStr"/>
      <c r="AE740" s="5" t="inlineStr"/>
      <c r="AF740" s="5" t="inlineStr"/>
      <c r="AG740" s="5" t="inlineStr"/>
      <c r="AH740" s="5" t="inlineStr"/>
      <c r="AI740" s="5" t="inlineStr"/>
      <c r="AJ740" s="5" t="inlineStr"/>
    </row>
    <row r="741">
      <c r="A741" s="5" t="inlineStr">
        <is>
          <t>b7-site-toplantisi</t>
        </is>
      </c>
      <c r="B741" s="5" t="n">
        <v>4</v>
      </c>
      <c r="C741" s="6" t="inlineStr">
        <is>
          <t>Ayakkabılık meselesinde arabuluculuk yap</t>
        </is>
      </c>
      <c r="D741" s="5" t="inlineStr">
        <is>
          <t>Sosyal Radar</t>
        </is>
      </c>
      <c r="E741" s="5" t="inlineStr">
        <is>
          <t>Zor</t>
        </is>
      </c>
      <c r="F741" s="5" t="inlineStr"/>
      <c r="G741" s="6" t="inlineStr"/>
      <c r="H741" s="6" t="inlineStr">
        <is>
          <t>Ayakkabılık kapının içine alındı. On yıllık bir sorun, on dakikada çözüldü.</t>
        </is>
      </c>
      <c r="I741" s="6" t="inlineStr">
        <is>
          <t>İki komşu barıştı, ortak bir ayakkabılık aldı; ikisinin kapısının tam ortasına koydular. Şimdiki kavga, kimin terliğinin hangi rafta duracağı.</t>
        </is>
      </c>
      <c r="J741" s="6" t="inlineStr">
        <is>
          <t>Ayakkabılık konusu açıldığında salon ikiye bölündü. Sen ortada kaldın.</t>
        </is>
      </c>
      <c r="K741" s="6" t="inlineStr">
        <is>
          <t>Arabuluculuk yaparken senin paspasın da gündeme geldi. Oylama yapıldı: ayakkabılık kalıyor, paspasın gidiyor. Komşular artık kapının önünden basmadan geçiyor.</t>
        </is>
      </c>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c r="AI741" s="5" t="inlineStr"/>
      <c r="AJ741" s="5" t="inlineStr"/>
    </row>
    <row r="742">
      <c r="A742" s="5" t="inlineStr">
        <is>
          <t>ms-yapay-zeka-rakip</t>
        </is>
      </c>
      <c r="B742" s="5" t="n">
        <v>1</v>
      </c>
      <c r="C742" s="6" t="inlineStr">
        <is>
          <t>Fiyatını düşür</t>
        </is>
      </c>
      <c r="D742" s="5" t="inlineStr"/>
      <c r="E742" s="5" t="inlineStr"/>
      <c r="F742" s="5" t="inlineStr">
        <is>
          <t>Dayanıklılık +1</t>
        </is>
      </c>
      <c r="G742" s="6" t="inlineStr">
        <is>
          <t>Fiyatını yarıya indirdin. Müşteri 'Yapay zekâ bedava ama' dedi. Rakibin artık bir yazılım.</t>
        </is>
      </c>
      <c r="H742" s="6" t="inlineStr"/>
      <c r="I742" s="6" t="inlineStr"/>
      <c r="J742" s="6" t="inlineStr"/>
      <c r="K742" s="6" t="inlineStr"/>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c r="AI742" s="5" t="inlineStr"/>
      <c r="AJ742" s="5" t="inlineStr"/>
    </row>
    <row r="743">
      <c r="A743" s="5" t="inlineStr">
        <is>
          <t>ms-yapay-zeka-rakip</t>
        </is>
      </c>
      <c r="B743" s="5" t="n">
        <v>2</v>
      </c>
      <c r="C743" s="6" t="inlineStr">
        <is>
          <t>Hataları tek tek işaretle</t>
        </is>
      </c>
      <c r="D743" s="5" t="inlineStr">
        <is>
          <t>Akıl</t>
        </is>
      </c>
      <c r="E743" s="5" t="inlineStr">
        <is>
          <t>Kolay</t>
        </is>
      </c>
      <c r="F743" s="5" t="inlineStr"/>
      <c r="G743" s="6" t="inlineStr"/>
      <c r="H743" s="6" t="inlineStr">
        <is>
          <t>Altı parmağı, üç farklı yazılmış şirket adını ve ters gölgeyi işaretledin. İş sende.</t>
        </is>
      </c>
      <c r="I743" s="6" t="inlineStr">
        <is>
          <t>Hata listen o kadar uzundu ki müşteri seni yapay zekâ denetçisi olarak da tuttu.</t>
        </is>
      </c>
      <c r="J743" s="6" t="inlineStr">
        <is>
          <t>İşaretledin; müşteri hataları yapay zekâya düzelttirdi. Beş saniye sürdü.</t>
        </is>
      </c>
      <c r="K743" s="6" t="inlineStr">
        <is>
          <t>Hataları işaretledin; müşteri altı parmağı 'yenilikçi' buldu ve kullanmaya karar verdi.</t>
        </is>
      </c>
      <c r="L743" s="6" t="inlineStr"/>
      <c r="M743" s="5" t="inlineStr"/>
      <c r="N743" s="5" t="inlineStr"/>
      <c r="O743" s="6" t="inlineStr"/>
      <c r="P743" s="6" t="inlineStr"/>
      <c r="Q743" s="5" t="inlineStr"/>
      <c r="R743" s="5" t="inlineStr"/>
      <c r="S743" s="5" t="inlineStr">
        <is>
          <t>Akıl</t>
        </is>
      </c>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c r="AI743" s="5" t="inlineStr"/>
      <c r="AJ743" s="5" t="inlineStr"/>
    </row>
    <row r="744">
      <c r="A744" s="5" t="inlineStr">
        <is>
          <t>ms-yapay-zeka-rakip</t>
        </is>
      </c>
      <c r="B744" s="5" t="n">
        <v>3</v>
      </c>
      <c r="C744" s="6" t="inlineStr">
        <is>
          <t>'İnsan dokunuşunu' sat</t>
        </is>
      </c>
      <c r="D744" s="5" t="inlineStr">
        <is>
          <t>Çene</t>
        </is>
      </c>
      <c r="E744" s="5" t="inlineStr">
        <is>
          <t>Zor</t>
        </is>
      </c>
      <c r="F744" s="5" t="inlineStr"/>
      <c r="G744" s="6" t="inlineStr"/>
      <c r="H744" s="6" t="inlineStr">
        <is>
          <t>'Bu el beş parmaklı ve size ait' dedin. İş, iki katı ücretle sende.</t>
        </is>
      </c>
      <c r="I744" s="6" t="inlineStr">
        <is>
          <t>“İnsan yapımı” damgan moda oldu. Müşteri işini fuarda gururla gösterdi: “Bunu bir insan yaptı.” Gelenler eğilip parmaklarını saydı; beş. Fiyatını üçe katladın.</t>
        </is>
      </c>
      <c r="J744" s="6" t="inlineStr">
        <is>
          <t>Müşteri “İnsan dokunuşu güzel ama bütçemiz yapay zekâ kadar” dedi.</t>
        </is>
      </c>
      <c r="K744" s="6" t="inlineStr">
        <is>
          <t>'İnsan dokunuşu' konulu sunum metnini yapay zekâya yazdırdığın fark edildi.</t>
        </is>
      </c>
      <c r="L744" s="6" t="inlineStr"/>
      <c r="M744" s="5" t="inlineStr"/>
      <c r="N744" s="5" t="inlineStr"/>
      <c r="O744" s="6" t="inlineStr"/>
      <c r="P744" s="6" t="inlineStr"/>
      <c r="Q744" s="5" t="inlineStr"/>
      <c r="R744" s="5" t="inlineStr"/>
      <c r="S744" s="5" t="inlineStr"/>
      <c r="T744" s="5" t="inlineStr">
        <is>
          <t>Sözünü Geçirir</t>
        </is>
      </c>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c r="AI744" s="5" t="inlineStr"/>
      <c r="AJ744" s="5" t="inlineStr"/>
    </row>
    <row r="745">
      <c r="A745" s="5" t="inlineStr">
        <is>
          <t>ms-yapay-zeka-rakip</t>
        </is>
      </c>
      <c r="B745" s="5" t="n">
        <v>4</v>
      </c>
      <c r="C745" s="6" t="inlineStr">
        <is>
          <t>Yapay zekâyı kendin kullan, beşe böl</t>
        </is>
      </c>
      <c r="D745" s="5" t="inlineStr">
        <is>
          <t>Kurnazlık</t>
        </is>
      </c>
      <c r="E745" s="5" t="inlineStr">
        <is>
          <t>Orta</t>
        </is>
      </c>
      <c r="F745" s="5" t="inlineStr"/>
      <c r="G745" s="6" t="inlineStr"/>
      <c r="H745" s="6" t="inlineStr">
        <is>
          <t>Aracı kullandın, üstüne emek koydun. Beş saniye sürmedi ama beş gün de değil.</t>
        </is>
      </c>
      <c r="I745" s="6" t="inlineStr">
        <is>
          <t>Aynı sürede beş müşteriye iş yetiştirdin. Artık bir ajanssın. Tek kişilik, sekiz sekmeli.</t>
        </is>
      </c>
      <c r="J745" s="6" t="inlineStr">
        <is>
          <t>Araç kullandın; müşteri 'Bunu ben de yapabilirdim' dedi. Yaptı da.</t>
        </is>
      </c>
      <c r="K745" s="6" t="inlineStr">
        <is>
          <t>Teslim ettiğin işte bir el yedi parmaklıydı. Müşteri 'Bizimki altı yapıyordu' dedi.</t>
        </is>
      </c>
      <c r="L745" s="6" t="inlineStr"/>
      <c r="M745" s="5" t="inlineStr"/>
      <c r="N745" s="5" t="inlineStr"/>
      <c r="O745" s="6" t="inlineStr"/>
      <c r="P745" s="6" t="inlineStr"/>
      <c r="Q745" s="5" t="inlineStr">
        <is>
          <t>Şifreyi Bilen</t>
        </is>
      </c>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c r="AI745" s="5" t="inlineStr"/>
      <c r="AJ745" s="5" t="inlineStr"/>
    </row>
    <row r="746">
      <c r="A746" s="5" t="inlineStr">
        <is>
          <t>b7-ilk-kelime</t>
        </is>
      </c>
      <c r="B746" s="5" t="n">
        <v>1</v>
      </c>
      <c r="C746" s="6" t="inlineStr">
        <is>
          <t>Sessizce izle</t>
        </is>
      </c>
      <c r="D746" s="5" t="inlineStr"/>
      <c r="E746" s="5" t="inlineStr"/>
      <c r="F746" s="5" t="inlineStr">
        <is>
          <t>Gönül +1</t>
        </is>
      </c>
      <c r="G746" s="6" t="inlineStr">
        <is>
          <t>Çocuk “Ba” dedi. Babaanne “Babaanne dedi!” diye ayağa fırladı, anneanne “Bal istiyor” deyip kavanozu açtı. Aile grubuna aynı video iki ayrı altyazıyla düştü.</t>
        </is>
      </c>
      <c r="H746" s="6" t="inlineStr"/>
      <c r="I746" s="6" t="inlineStr"/>
      <c r="J746" s="6" t="inlineStr"/>
      <c r="K746" s="6" t="inlineStr"/>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c r="AI746" s="5" t="inlineStr"/>
      <c r="AJ746" s="5" t="inlineStr"/>
    </row>
    <row r="747">
      <c r="A747" s="5" t="inlineStr">
        <is>
          <t>b7-ilk-kelime</t>
        </is>
      </c>
      <c r="B747" s="5" t="n">
        <v>2</v>
      </c>
      <c r="C747" s="6" t="inlineStr">
        <is>
          <t>Seni çağırması için her gün çalıştır</t>
        </is>
      </c>
      <c r="D747" s="5" t="inlineStr">
        <is>
          <t>Gönül</t>
        </is>
      </c>
      <c r="E747" s="5" t="inlineStr">
        <is>
          <t>Orta</t>
        </is>
      </c>
      <c r="F747" s="5" t="inlineStr"/>
      <c r="G747" s="6" t="inlineStr"/>
      <c r="H747" s="6" t="inlineStr">
        <is>
          <t>Çocuk sana dönüp seni çağırdı. Bir an kimse kıpırdamadı; sonra sen ağladın. Eşin videoyu çekmeyi unutmuştu; sen de ona bunu hiç unutturmadın.</t>
        </is>
      </c>
      <c r="I747" s="6" t="inlineStr">
        <is>
          <t>İlk kelimesi seni çağırmak oldu; video aile grubunda iki yüz kez izlendi. Eşin de izledi. İki yüz kez.</t>
        </is>
      </c>
      <c r="J747" s="6" t="inlineStr">
        <is>
          <t>Bir ay sabah akşam çalıştırdın; çocuk dönüp eşini çağırdı. Eşin videoyu aile grubuna attı, altına tek kelime yazdı: “Kazandım.”</t>
        </is>
      </c>
      <c r="K747" s="6" t="inlineStr">
        <is>
          <t>Çocuk net bir sesle “Kargo!” dedi. Bütün sofra yavaşça sana döndü. Tam o an kapı çaldı; kurye “Yine siz” dedi.</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c r="AI747" s="5" t="inlineStr"/>
      <c r="AJ747" s="5" t="inlineStr"/>
    </row>
    <row r="748">
      <c r="A748" s="5" t="inlineStr">
        <is>
          <t>b7-ilk-kelime</t>
        </is>
      </c>
      <c r="B748" s="5" t="n">
        <v>3</v>
      </c>
      <c r="C748" s="6" t="inlineStr">
        <is>
          <t>'Para' demesini sağla — aile geleneği</t>
        </is>
      </c>
      <c r="D748" s="5" t="inlineStr">
        <is>
          <t>Kurnazlık</t>
        </is>
      </c>
      <c r="E748" s="5" t="inlineStr">
        <is>
          <t>Zor</t>
        </is>
      </c>
      <c r="F748" s="5" t="inlineStr"/>
      <c r="G748" s="6" t="inlineStr"/>
      <c r="H748" s="6" t="inlineStr">
        <is>
          <t>Çocuk “Para” dedi. Annen “Aynı sen” dedi; güldü mü ağladı mı, belli değil. Baban avucuna bir bozuk para koydu; çocuk avucunu kapattı, bir daha açmadı.</t>
        </is>
      </c>
      <c r="I748" s="6" t="inlineStr">
        <is>
          <t>Çocuk “Para” dedi, ardından “Daha”. Baban cüzdanını açtı, kayınpederin de. O akşam çocuğun kumbarası seninkinden doluydu.</t>
        </is>
      </c>
      <c r="J748" s="6" t="inlineStr">
        <is>
          <t>Çocuk “Pa” dedi ve durdu. Baban gururla açıkladı: “Bu peşinatı. Kalanı taksitle gelir.”</t>
        </is>
      </c>
      <c r="K748" s="6" t="inlineStr">
        <is>
          <t>Çocuk tertemiz bir sesle “Faiz” dedi. Sofrada çatallar indi. Baban sana döndü: “Bu kelimeyi bu evde kim bu kadar sık söylüyor?” Sen cevap vermedin; çocuk verdi: “Faiz!”</t>
        </is>
      </c>
      <c r="L748" s="6" t="inlineStr"/>
      <c r="M748" s="5" t="inlineStr"/>
      <c r="N748" s="5" t="inlineStr"/>
      <c r="O748" s="6" t="inlineStr"/>
      <c r="P748" s="6" t="inlineStr"/>
      <c r="Q748" s="5" t="inlineStr"/>
      <c r="R748" s="5" t="inlineStr">
        <is>
          <t>ilkKelimePara</t>
        </is>
      </c>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c r="AI748" s="5" t="inlineStr"/>
      <c r="AJ748" s="5" t="inlineStr"/>
    </row>
    <row r="749">
      <c r="A749" s="5" t="inlineStr">
        <is>
          <t>b7-ilk-kelime</t>
        </is>
      </c>
      <c r="B749" s="5" t="n">
        <v>4</v>
      </c>
      <c r="C749" s="6" t="inlineStr">
        <is>
          <t>Kameraya odaklan, anı yakala</t>
        </is>
      </c>
      <c r="D749" s="5" t="inlineStr">
        <is>
          <t>Akıl</t>
        </is>
      </c>
      <c r="E749" s="5" t="inlineStr">
        <is>
          <t>Kolay</t>
        </is>
      </c>
      <c r="F749" s="5" t="inlineStr"/>
      <c r="G749" s="6" t="inlineStr"/>
      <c r="H749" s="6" t="inlineStr">
        <is>
          <t>Anı yakaladın: kaşık, kelime, sonra sofradaki herkesin aynı anda “Ayyy!” demesi. Video bayramda üç kez, kına gecesinde bir kez daha izlendi; her seferinde aynı yerde aynı “Ayyy!”</t>
        </is>
      </c>
      <c r="I749" s="6" t="inlineStr">
        <is>
          <t>Videoda her şey var: kaşık, kelime, arkada babaannenin çığlığı. Aile grubundan teyzelerin gruplarına, oradan bakkala ulaştı; bakkal ekmeğin yanına bir çikolata koydu.</t>
        </is>
      </c>
      <c r="J749" s="6" t="inlineStr">
        <is>
          <t>Tam o anda telefon “Bellek dolu” dedi. İlk kelimeyi yalnızca sen duydun; kimse inanmıyor.</t>
        </is>
      </c>
      <c r="K749" s="6" t="inlineStr">
        <is>
          <t>Çekim sürerken ön kameraya geçmişsin. Videoda ilk kelime duyuluyor ama çocuk görünmüyor; kırk saniye yalnızca senin açık kalmış ağzın. Babaanne izledi, iç çekti: “Kelime çocuğun, rezillik senin.”</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c r="AI749" s="5" t="inlineStr"/>
      <c r="AJ749" s="5" t="inlineStr"/>
    </row>
    <row r="750">
      <c r="A750" s="5" t="inlineStr">
        <is>
          <t>b7-cocuklu-dogum-gunu</t>
        </is>
      </c>
      <c r="B750" s="5" t="n">
        <v>1</v>
      </c>
      <c r="C750" s="6" t="inlineStr">
        <is>
          <t>Hediyeyi bırak, pasta ye, git</t>
        </is>
      </c>
      <c r="D750" s="5" t="inlineStr"/>
      <c r="E750" s="5" t="inlineStr"/>
      <c r="F750" s="5" t="inlineStr">
        <is>
          <t>Kurnazlık +1</t>
        </is>
      </c>
      <c r="G750" s="6" t="inlineStr">
        <is>
          <t>Pastayı yedin, hediyeyi bıraktın, ayakkabını kapıda giydin. Arkandan çocuğun babaannesinin sesi geldi: “Seninkini ne zaman göreceğiz?” Asansör tam zamanında geldi.</t>
        </is>
      </c>
      <c r="H750" s="6" t="inlineStr"/>
      <c r="I750" s="6" t="inlineStr"/>
      <c r="J750" s="6" t="inlineStr"/>
      <c r="K750" s="6" t="inlineStr"/>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c r="AI750" s="5" t="inlineStr"/>
      <c r="AJ750" s="5" t="inlineStr"/>
    </row>
    <row r="751">
      <c r="A751" s="5" t="inlineStr">
        <is>
          <t>b7-cocuklu-dogum-gunu</t>
        </is>
      </c>
      <c r="B751" s="5" t="n">
        <v>2</v>
      </c>
      <c r="C751" s="6" t="inlineStr">
        <is>
          <t>Çocuklarla oyuna katıl</t>
        </is>
      </c>
      <c r="D751" s="5" t="inlineStr">
        <is>
          <t>Gönül</t>
        </is>
      </c>
      <c r="E751" s="5" t="inlineStr">
        <is>
          <t>Orta</t>
        </is>
      </c>
      <c r="F751" s="5" t="inlineStr"/>
      <c r="G751" s="6" t="inlineStr"/>
      <c r="H751" s="6" t="inlineStr">
        <is>
          <t>Kovalamaca oynadın, bilerek üç kez yakalandın. Çocuklar seni ebe yapıp bırakmadı. Çıkarken biri bacağına sarıldı: “Sen yine gel, annemler gelmesin.”</t>
        </is>
      </c>
      <c r="I751" s="6" t="inlineStr">
        <is>
          <t>Oyunun sonunda üç çocuk kendi doğum gününe seni istedi. Takvimin bahara kadar doldu; her partide pasta, her partide aynı soru: “Senin çocuğun nerede?”</t>
        </is>
      </c>
      <c r="J751" s="6" t="inlineStr">
        <is>
          <t>Kovalamacada beş yaşındakilere yetişemedin. Banka oturup nefesini toplarken bir çocuk sana bardakla su getirdi: “Dedem de böyle oluyor.”</t>
        </is>
      </c>
      <c r="K751" s="6" t="inlineStr">
        <is>
          <t>Oyunda şişme kaleye sıkıştın. Çocuklar kurtarmak için sıraya girdi. Fotoğraf aile grubunda dolaşıyor.</t>
        </is>
      </c>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c r="AI751" s="5" t="inlineStr"/>
      <c r="AJ751" s="5" t="inlineStr"/>
    </row>
    <row r="752">
      <c r="A752" s="5" t="inlineStr">
        <is>
          <t>b7-cocuklu-dogum-gunu</t>
        </is>
      </c>
      <c r="B752" s="5" t="n">
        <v>3</v>
      </c>
      <c r="C752" s="6" t="inlineStr">
        <is>
          <t>Ebeveyn sohbetine katılmaya çalış</t>
        </is>
      </c>
      <c r="D752" s="5" t="inlineStr">
        <is>
          <t>Sosyal Radar</t>
        </is>
      </c>
      <c r="E752" s="5" t="inlineStr">
        <is>
          <t>Zor</t>
        </is>
      </c>
      <c r="F752" s="5" t="inlineStr"/>
      <c r="G752" s="6" t="inlineStr"/>
      <c r="H752" s="6" t="inlineStr">
        <is>
          <t>Ebeveynlerle kreş fiyatlarını konuştun; az önce duyduğun rakamları tekrar ederek. Bir baba dönüp sordu: “Siz hangisini seçtiniz?” “Daha düşünüyoruz” dedin. Doğruydu.</t>
        </is>
      </c>
      <c r="I752" s="6" t="inlineStr">
        <is>
          <t>Sohbete öyle uydun ki bir anne uyku düzeni için sana akıl danıştı. “Ninni yerine hava durumu oku” dedin. Ertesi sabah mesaj attı: “Mışıl mışıl.”</t>
        </is>
      </c>
      <c r="J752" s="6" t="inlineStr">
        <is>
          <t>Uyku düzeni konuşuldu. Senin tek katkın 'Ben on ikide yatıyorum' oldu.</t>
        </is>
      </c>
      <c r="K752" s="6" t="inlineStr">
        <is>
          <t>Bir anneye “Bunlar bu yaşta ne yer?” diye sordun. Soru veli grubuna düştü; artık her partide biri kulağına “Bunlar pasta yer” diye fısıldıyor.</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c r="AI752" s="5" t="inlineStr"/>
      <c r="AJ752" s="5" t="inlineStr"/>
    </row>
    <row r="753">
      <c r="A753" s="5" t="inlineStr">
        <is>
          <t>b7-ev-esyasi</t>
        </is>
      </c>
      <c r="B753" s="5" t="n">
        <v>1</v>
      </c>
      <c r="C753" s="6" t="inlineStr">
        <is>
          <t>Eşinin seçtiğini al</t>
        </is>
      </c>
      <c r="D753" s="5" t="inlineStr"/>
      <c r="E753" s="5" t="inlineStr"/>
      <c r="F753" s="5" t="inlineStr">
        <is>
          <t>Gönül +1</t>
        </is>
      </c>
      <c r="G753" s="6" t="inlineStr">
        <is>
          <t>Eşinin seçtiği takım geldi. Çok güzel. Annen naylonunu çıkarttırmadı: “Misafir gelince açarsınız.” Sen her oturduğunda naylon “gıcırt” diyor.</t>
        </is>
      </c>
      <c r="H753" s="6" t="inlineStr"/>
      <c r="I753" s="6" t="inlineStr"/>
      <c r="J753" s="6" t="inlineStr"/>
      <c r="K753" s="6" t="inlineStr"/>
      <c r="L753" s="6" t="inlineStr"/>
      <c r="M753" s="5" t="inlineStr"/>
      <c r="N753" s="5" t="inlineStr"/>
      <c r="O753" s="6" t="inlineStr"/>
      <c r="P753" s="6" t="inlineStr"/>
      <c r="Q753" s="5" t="inlineStr"/>
      <c r="R753" s="5" t="inlineStr"/>
      <c r="S753" s="5" t="inlineStr"/>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c r="AI753" s="5" t="inlineStr"/>
      <c r="AJ753" s="5" t="inlineStr"/>
    </row>
    <row r="754">
      <c r="A754" s="5" t="inlineStr">
        <is>
          <t>b7-ev-esyasi</t>
        </is>
      </c>
      <c r="B754" s="5" t="n">
        <v>2</v>
      </c>
      <c r="C754" s="6" t="inlineStr">
        <is>
          <t>Kendi favorini savun</t>
        </is>
      </c>
      <c r="D754" s="5" t="inlineStr">
        <is>
          <t>Çene</t>
        </is>
      </c>
      <c r="E754" s="5" t="inlineStr">
        <is>
          <t>Orta</t>
        </is>
      </c>
      <c r="F754" s="5" t="inlineStr"/>
      <c r="G754" s="6" t="inlineStr"/>
      <c r="H754" s="6" t="inlineStr">
        <is>
          <t>Koltuğun kazandı. Eşin ilk hafta ona oturmadı. İkinci hafta hep o oturdu.</t>
        </is>
      </c>
      <c r="I754" s="6" t="inlineStr">
        <is>
          <t>Öyle güzel savundun ki satış danışmanı kendi evine de aynısını sipariş etti. Eşin “Adam bile aldı” dedi ve ikna oldu.</t>
        </is>
      </c>
      <c r="J754" s="6" t="inlineStr">
        <is>
          <t>Tartışma üçüncü saate girdi. Güvenlik kepengi yarıya indirip sizi bekledi. Eve iki koltuğun fotoğrafıyla döndünüz; o akşam yerde oturdunuz.</t>
        </is>
      </c>
      <c r="K754" s="6" t="inlineStr">
        <is>
          <t>İkiniz de aynı anda fikir değiştirdiniz, birbirinizin eski fikrine. Danışman ikisini de faturaya yazdı. Salonda şimdi iki koltuk var; ikiniz de öbürüne oturuyorsunuz.</t>
        </is>
      </c>
      <c r="L754" s="6" t="inlineStr"/>
      <c r="M754" s="5" t="inlineStr"/>
      <c r="N754" s="5" t="inlineStr"/>
      <c r="O754" s="6" t="inlineStr"/>
      <c r="P754" s="6" t="inlineStr"/>
      <c r="Q754" s="5" t="inlineStr"/>
      <c r="R754" s="5" t="inlineStr"/>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c r="AI754" s="5" t="inlineStr"/>
      <c r="AJ754" s="5" t="inlineStr"/>
    </row>
    <row r="755">
      <c r="A755" s="5" t="inlineStr">
        <is>
          <t>b7-ev-esyasi</t>
        </is>
      </c>
      <c r="B755" s="5" t="n">
        <v>3</v>
      </c>
      <c r="C755" s="6" t="inlineStr">
        <is>
          <t>Satış danışmanını hakem yap</t>
        </is>
      </c>
      <c r="D755" s="5" t="inlineStr">
        <is>
          <t>Kurnazlık</t>
        </is>
      </c>
      <c r="E755" s="5" t="inlineStr">
        <is>
          <t>Kolay</t>
        </is>
      </c>
      <c r="F755" s="5" t="inlineStr"/>
      <c r="G755" s="6" t="inlineStr"/>
      <c r="H755" s="6" t="inlineStr">
        <is>
          <t>Danışman senin koltuğunu seçti. Eşin faturayı imzalarken danışmana döndü: “Siz evli misiniz?” “Evet.” “Belli değil.”</t>
        </is>
      </c>
      <c r="I755" s="6" t="inlineStr">
        <is>
          <t>Danışman üçüncü bir koltuk gösterdi; ikiniz aynı anda “Bu” dediniz, üstüne indirim de yaptı. Eve dönerken arabada el ele tuttunuz, koltuktan hiç bahsetmeden.</t>
        </is>
      </c>
      <c r="J755" s="6" t="inlineStr">
        <is>
          <t>Danışman “İkisi de çok güzel” dedi. İkiniz aynı anda “Ama hangisi?” dediniz. Danışman üç çay söyledi.</t>
        </is>
      </c>
      <c r="K755" s="6" t="inlineStr">
        <is>
          <t>Danışman “Bence ikisi de sizin evinize göre değil” dedi. Haklıydı. İkiniz de ona küstünüz; mağazanın önünden hâlâ karşı kaldırımdan geçiyorsunuz.</t>
        </is>
      </c>
      <c r="L755" s="6" t="inlineStr"/>
      <c r="M755" s="5" t="inlineStr"/>
      <c r="N755" s="5" t="inlineStr"/>
      <c r="O755" s="6" t="inlineStr"/>
      <c r="P755" s="6" t="inlineStr"/>
      <c r="Q755" s="5" t="inlineStr"/>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c r="AI755" s="5" t="inlineStr"/>
      <c r="AJ755" s="5" t="inlineStr"/>
    </row>
    <row r="756">
      <c r="A756" s="5" t="inlineStr">
        <is>
          <t>mb-yillik-izin</t>
        </is>
      </c>
      <c r="B756" s="5" t="n">
        <v>1</v>
      </c>
      <c r="C756" s="6" t="inlineStr">
        <is>
          <t>Kasımda izin al</t>
        </is>
      </c>
      <c r="D756" s="5" t="inlineStr"/>
      <c r="E756" s="5" t="inlineStr"/>
      <c r="F756" s="5" t="inlineStr">
        <is>
          <t>Dayanıklılık +1</t>
        </is>
      </c>
      <c r="G756" s="6" t="inlineStr">
        <is>
          <t>Kasımda izne çıktın. Otel boştu, deniz soğuktu; havuz başındaki tek müşteri sendin, garson seni görünce sevindi. Dönüşte ekip bayram fotoğraflarını gösterdi: hepsi trafikte çekilmiş.</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c r="AI756" s="5" t="inlineStr"/>
      <c r="AJ756" s="5" t="inlineStr"/>
    </row>
    <row r="757">
      <c r="A757" s="5" t="inlineStr">
        <is>
          <t>mb-yillik-izin</t>
        </is>
      </c>
      <c r="B757" s="5" t="n">
        <v>2</v>
      </c>
      <c r="C757" s="6" t="inlineStr">
        <is>
          <t>Gece yarısı tekrar dene</t>
        </is>
      </c>
      <c r="D757" s="5" t="inlineStr">
        <is>
          <t>Kurnazlık</t>
        </is>
      </c>
      <c r="E757" s="5" t="inlineStr">
        <is>
          <t>Orta</t>
        </is>
      </c>
      <c r="F757" s="5" t="inlineStr"/>
      <c r="G757" s="6" t="inlineStr"/>
      <c r="H757" s="6" t="inlineStr">
        <is>
          <t>Sistem gece 00.03'te açıldı, sen 00.03'teydin. İzin onaylandı.</t>
        </is>
      </c>
      <c r="I757" s="6" t="inlineStr">
        <is>
          <t>Hem bayram köprüsünü hem ardından gelen haftayı kaptın. Sabah ofise girdiğinde kimse “Günaydın” demedi. Yalnızca yöneticin sordu: “Sen gece hiç uyumuyor musun?”</t>
        </is>
      </c>
      <c r="J757" s="6" t="inlineStr">
        <is>
          <t>Sistem açıldı; ekipten biri 00.02'de girmiş. Kim olduğu hâlâ bilinmiyor.</t>
        </is>
      </c>
      <c r="K757" s="6" t="inlineStr">
        <is>
          <t>Gece yarısı başvurdun; ertesi yılın tarihini seçmişsin. Onaylandı.</t>
        </is>
      </c>
      <c r="L757" s="6" t="inlineStr"/>
      <c r="M757" s="5" t="inlineStr"/>
      <c r="N757" s="5" t="inlineStr"/>
      <c r="O757" s="6" t="inlineStr"/>
      <c r="P757" s="6" t="inlineStr"/>
      <c r="Q757" s="5" t="inlineStr"/>
      <c r="R757" s="5" t="inlineStr"/>
      <c r="S757" s="5" t="inlineStr"/>
      <c r="T757" s="5" t="inlineStr"/>
      <c r="U757" s="5" t="inlineStr"/>
      <c r="V757" s="5" t="inlineStr"/>
      <c r="W757" s="5" t="inlineStr"/>
      <c r="X757" s="5" t="inlineStr"/>
      <c r="Y757" s="5" t="inlineStr"/>
      <c r="Z757" s="6" t="inlineStr"/>
      <c r="AA757" s="5" t="inlineStr"/>
      <c r="AB757" s="5" t="inlineStr"/>
      <c r="AC757" s="5" t="inlineStr"/>
      <c r="AD757" s="5" t="inlineStr"/>
      <c r="AE757" s="5" t="inlineStr"/>
      <c r="AF757" s="5" t="inlineStr"/>
      <c r="AG757" s="5" t="inlineStr"/>
      <c r="AH757" s="5" t="inlineStr"/>
      <c r="AI757" s="5" t="inlineStr"/>
      <c r="AJ757" s="5" t="inlineStr"/>
    </row>
    <row r="758">
      <c r="A758" s="5" t="inlineStr">
        <is>
          <t>mb-yillik-izin</t>
        </is>
      </c>
      <c r="B758" s="5" t="n">
        <v>3</v>
      </c>
      <c r="C758" s="6" t="inlineStr">
        <is>
          <t>Yöneticinin izin tarihini öğren, aynısını al</t>
        </is>
      </c>
      <c r="D758" s="5" t="inlineStr">
        <is>
          <t>Sosyal Radar</t>
        </is>
      </c>
      <c r="E758" s="5" t="inlineStr">
        <is>
          <t>Kolay</t>
        </is>
      </c>
      <c r="F758" s="5" t="inlineStr"/>
      <c r="G758" s="6" t="inlineStr"/>
      <c r="H758" s="6" t="inlineStr">
        <is>
          <t>Yöneticin yokken sen de yoktun. Döndüğünde masanda tek satırlık bir not vardı: “Ben de yoktum, bir şey olmadı.”</t>
        </is>
      </c>
      <c r="I758" s="6" t="inlineStr">
        <is>
          <t>Yöneticinle aynı tarihleri aldın, aynı otele düştünüz. Terfi sohbetin şezlongda yapıldı.</t>
        </is>
      </c>
      <c r="J758" s="6" t="inlineStr">
        <is>
          <t>Yöneticin son anda iptal etti. Sen gittin. Her gün seni aradı.</t>
        </is>
      </c>
      <c r="K758" s="6" t="inlineStr">
        <is>
          <t>Yöneticinle aynı tarihleri aldın; ikiniz yokken bütün işler sana yönlendirildi. Tatili şezlongda, dizüstü bilgisayarla geçirdin. Yan şezlongdaki teyze üçüncü gün dayanamadı: “Evladım, sen burada mı çalışıyorsun?”</t>
        </is>
      </c>
      <c r="L758" s="6" t="inlineStr"/>
      <c r="M758" s="5" t="inlineStr"/>
      <c r="N758" s="5" t="inlineStr"/>
      <c r="O758" s="6" t="inlineStr"/>
      <c r="P758" s="6" t="inlineStr"/>
      <c r="Q758" s="5" t="inlineStr"/>
      <c r="R758" s="5" t="inlineStr"/>
      <c r="S758" s="5" t="inlineStr">
        <is>
          <t>Sosyal Radar</t>
        </is>
      </c>
      <c r="T758" s="5" t="inlineStr"/>
      <c r="U758" s="5" t="inlineStr"/>
      <c r="V758" s="5" t="inlineStr"/>
      <c r="W758" s="5" t="inlineStr"/>
      <c r="X758" s="5" t="inlineStr"/>
      <c r="Y758" s="5" t="inlineStr"/>
      <c r="Z758" s="6" t="inlineStr"/>
      <c r="AA758" s="5" t="inlineStr"/>
      <c r="AB758" s="5" t="inlineStr"/>
      <c r="AC758" s="5" t="inlineStr"/>
      <c r="AD758" s="5" t="inlineStr"/>
      <c r="AE758" s="5" t="inlineStr"/>
      <c r="AF758" s="5" t="inlineStr"/>
      <c r="AG758" s="5" t="inlineStr"/>
      <c r="AH758" s="5" t="inlineStr"/>
      <c r="AI758" s="5" t="inlineStr"/>
      <c r="AJ758" s="5" t="inlineStr"/>
    </row>
    <row r="759">
      <c r="A759" s="5" t="inlineStr">
        <is>
          <t>mb-yillik-izin</t>
        </is>
      </c>
      <c r="B759" s="5" t="n">
        <v>4</v>
      </c>
      <c r="C759" s="6" t="inlineStr">
        <is>
          <t>'Bakıcı izinde' gerekçesini sun</t>
        </is>
      </c>
      <c r="D759" s="5" t="inlineStr">
        <is>
          <t>Çene</t>
        </is>
      </c>
      <c r="E759" s="5" t="inlineStr">
        <is>
          <t>Kolay</t>
        </is>
      </c>
      <c r="F759" s="5" t="inlineStr"/>
      <c r="G759" s="6" t="inlineStr"/>
      <c r="H759" s="6" t="inlineStr">
        <is>
          <t>“Bakıcı izinde” dedin. Kimse itiraz edemedi. Bakıcı anneanneydi ve hiç izin almamıştı.</t>
        </is>
      </c>
      <c r="I759" s="6" t="inlineStr">
        <is>
          <t>Gerekçen öyle sağlam çıktı ki şirket küçük çocuklu çalışanlara izinde öncelik kuralı getirdi. Ekipteki bekârlar bayramda sana mesaj atmadı.</t>
        </is>
      </c>
      <c r="J759" s="6" t="inlineStr">
        <is>
          <t>Ekipteki herkesin çocuğu varmış. Kura çekildi.</t>
        </is>
      </c>
      <c r="K759" s="6" t="inlineStr">
        <is>
          <t>İzni aldın. Tatilin ilk sabahı yöneticin görüntülü aradı; telefonu çocuğun kaptı, ekranı yaladı, kapattı. Döndüğünde masanda bir not vardı: “Kısa bir görüşme.”</t>
        </is>
      </c>
      <c r="L759" s="6" t="inlineStr"/>
      <c r="M759" s="5" t="inlineStr"/>
      <c r="N759" s="5" t="inlineStr"/>
      <c r="O759" s="6" t="inlineStr"/>
      <c r="P759" s="6" t="inlineStr"/>
      <c r="Q759" s="5" t="inlineStr"/>
      <c r="R759" s="5" t="inlineStr">
        <is>
          <t>cocuklu</t>
        </is>
      </c>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c r="AI759" s="5" t="inlineStr"/>
      <c r="AJ759" s="5" t="inlineStr"/>
    </row>
    <row r="760">
      <c r="A760" s="5" t="inlineStr">
        <is>
          <t>mb-yillik-izin</t>
        </is>
      </c>
      <c r="B760" s="5" t="n">
        <v>5</v>
      </c>
      <c r="C760" s="6" t="inlineStr">
        <is>
          <t>Yöneticiyle yüz yüze pazarlık et</t>
        </is>
      </c>
      <c r="D760" s="5" t="inlineStr">
        <is>
          <t>Cesaret</t>
        </is>
      </c>
      <c r="E760" s="5" t="inlineStr">
        <is>
          <t>Orta</t>
        </is>
      </c>
      <c r="F760" s="5" t="inlineStr"/>
      <c r="G760" s="6" t="inlineStr"/>
      <c r="H760" s="6" t="inlineStr">
        <is>
          <t>Beş gün istedin, dört gün aldın. İstediğin zaten dört gündü.</t>
        </is>
      </c>
      <c r="I760" s="6" t="inlineStr">
        <is>
          <t>Yöneticin izni imzaladı, üstüne “Bu arada telefona da bakma” dedi. Bakmadın. Döndüğünde ekip seni kapıda karşıladı: “Nasıl yaptın?” Söylemedin.</t>
        </is>
      </c>
      <c r="J760" s="6" t="inlineStr">
        <is>
          <t>Pazarlık ettin; iznin 'takvim uygunsa' onaylandı. Takvim hiç uygun olmadı.</t>
        </is>
      </c>
      <c r="K760" s="6" t="inlineStr">
        <is>
          <t>Pazarlık uzadı. İzin başvurusu yerine yıllık hedeflerin görüşüldü. Hedefler arttı.</t>
        </is>
      </c>
      <c r="L760" s="6" t="inlineStr"/>
      <c r="M760" s="5" t="inlineStr"/>
      <c r="N760" s="5" t="inlineStr"/>
      <c r="O760" s="6" t="inlineStr"/>
      <c r="P760" s="6" t="inlineStr"/>
      <c r="Q760" s="5" t="inlineStr">
        <is>
          <t>Sözünü Geçirir</t>
        </is>
      </c>
      <c r="R760" s="5" t="inlineStr"/>
      <c r="S760" s="5" t="inlineStr"/>
      <c r="T760" s="5" t="inlineStr"/>
      <c r="U760" s="5" t="inlineStr"/>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c r="AI760" s="5" t="inlineStr"/>
      <c r="AJ760" s="5" t="inlineStr"/>
    </row>
    <row r="761">
      <c r="A761" s="5" t="inlineStr">
        <is>
          <t>me-cirak</t>
        </is>
      </c>
      <c r="B761" s="5" t="n">
        <v>1</v>
      </c>
      <c r="C761" s="6" t="inlineStr">
        <is>
          <t>Deneme süresi ver</t>
        </is>
      </c>
      <c r="D761" s="5" t="inlineStr"/>
      <c r="E761" s="5" t="inlineStr"/>
      <c r="F761" s="5" t="inlineStr">
        <is>
          <t>Akıl +1, Kurnazlık +1</t>
        </is>
      </c>
      <c r="G761" s="6" t="inlineStr">
        <is>
          <t>Üç aylık deneme verdin. Çırak da seni üç ay denedi. İkiniz de geçtiniz.</t>
        </is>
      </c>
      <c r="H761" s="6" t="inlineStr"/>
      <c r="I761" s="6" t="inlineStr"/>
      <c r="J761" s="6" t="inlineStr"/>
      <c r="K761" s="6" t="inlineStr"/>
      <c r="L761" s="6" t="inlineStr"/>
      <c r="M761" s="5" t="inlineStr"/>
      <c r="N761" s="5" t="inlineStr"/>
      <c r="O761" s="6" t="inlineStr"/>
      <c r="P761" s="6" t="inlineStr"/>
      <c r="Q761" s="5" t="inlineStr"/>
      <c r="R761" s="5" t="inlineStr"/>
      <c r="S761" s="5" t="inlineStr"/>
      <c r="T761" s="5" t="inlineStr"/>
      <c r="U761" s="5" t="inlineStr">
        <is>
          <t>esnaf-cirak</t>
        </is>
      </c>
      <c r="V761" s="5" t="inlineStr"/>
      <c r="W761" s="5" t="inlineStr"/>
      <c r="X761" s="5" t="inlineStr"/>
      <c r="Y761" s="5" t="inlineStr"/>
      <c r="Z761" s="6" t="inlineStr"/>
      <c r="AA761" s="5" t="inlineStr"/>
      <c r="AB761" s="5" t="inlineStr"/>
      <c r="AC761" s="5" t="inlineStr"/>
      <c r="AD761" s="5" t="inlineStr"/>
      <c r="AE761" s="5" t="inlineStr"/>
      <c r="AF761" s="5" t="inlineStr"/>
      <c r="AG761" s="5" t="inlineStr"/>
      <c r="AH761" s="5" t="inlineStr"/>
      <c r="AI761" s="5" t="inlineStr"/>
      <c r="AJ761" s="5" t="inlineStr"/>
    </row>
    <row r="762">
      <c r="A762" s="5" t="inlineStr">
        <is>
          <t>me-cirak</t>
        </is>
      </c>
      <c r="B762" s="5" t="n">
        <v>2</v>
      </c>
      <c r="C762" s="6" t="inlineStr">
        <is>
          <t>İşe al, her şeyi öğret</t>
        </is>
      </c>
      <c r="D762" s="5" t="inlineStr">
        <is>
          <t>İtibar</t>
        </is>
      </c>
      <c r="E762" s="5" t="inlineStr">
        <is>
          <t>Orta</t>
        </is>
      </c>
      <c r="F762" s="5" t="inlineStr"/>
      <c r="G762" s="6" t="inlineStr"/>
      <c r="H762" s="6" t="inlineStr">
        <is>
          <t>Kasayı, defteri ve müşteri sabrını öğrettin. Üçüncüsü en uzun sürdü.</t>
        </is>
      </c>
      <c r="I762" s="6" t="inlineStr">
        <is>
          <t>Çırak altı ayda işi kaptı, bir yılda sana bir şeyler öğretmeye başladı. Mesela telefonunun ayarlarını.</t>
        </is>
      </c>
      <c r="J762" s="6" t="inlineStr">
        <is>
          <t>Öğrettin, öğrettin. Bir ay sonra askerlik celbi geldi; uğurlamasında sen de vardın. Dönünce uğramadı; ama annesi her bayram bir tabak baklava gönderiyor.</t>
        </is>
      </c>
      <c r="K762" s="6" t="inlineStr">
        <is>
          <t>Her şeyi öğrettin, en son veresiye defterini. Çırak karşı sokakta dükkân açtı ve ilk iş defterdekileri aradı: “Ustanın fiyatından beş aşağı.”</t>
        </is>
      </c>
      <c r="L762" s="6" t="inlineStr"/>
      <c r="M762" s="5" t="inlineStr"/>
      <c r="N762" s="5" t="inlineStr"/>
      <c r="O762" s="6" t="inlineStr"/>
      <c r="P762" s="6" t="inlineStr"/>
      <c r="Q762" s="5" t="inlineStr"/>
      <c r="R762" s="5" t="inlineStr"/>
      <c r="S762" s="5" t="inlineStr"/>
      <c r="T762" s="5" t="inlineStr"/>
      <c r="U762" s="5" t="inlineStr"/>
      <c r="V762" s="5" t="inlineStr">
        <is>
          <t>esnaf-cirak</t>
        </is>
      </c>
      <c r="W762" s="5" t="inlineStr"/>
      <c r="X762" s="5" t="inlineStr"/>
      <c r="Y762" s="5" t="inlineStr"/>
      <c r="Z762" s="6" t="inlineStr"/>
      <c r="AA762" s="5" t="inlineStr"/>
      <c r="AB762" s="5" t="inlineStr"/>
      <c r="AC762" s="5" t="inlineStr"/>
      <c r="AD762" s="5" t="inlineStr"/>
      <c r="AE762" s="5" t="inlineStr"/>
      <c r="AF762" s="5" t="inlineStr"/>
      <c r="AG762" s="5" t="inlineStr"/>
      <c r="AH762" s="5" t="inlineStr"/>
      <c r="AI762" s="5" t="inlineStr"/>
      <c r="AJ762" s="5" t="inlineStr"/>
    </row>
    <row r="763">
      <c r="A763" s="5" t="inlineStr">
        <is>
          <t>me-cirak</t>
        </is>
      </c>
      <c r="B763" s="5" t="n">
        <v>3</v>
      </c>
      <c r="C763" s="6" t="inlineStr">
        <is>
          <t>'Etiketleri sen de gördün, değil mi?' de</t>
        </is>
      </c>
      <c r="D763" s="5" t="inlineStr">
        <is>
          <t>Sosyal Radar</t>
        </is>
      </c>
      <c r="E763" s="5" t="inlineStr">
        <is>
          <t>Kolay</t>
        </is>
      </c>
      <c r="F763" s="5" t="inlineStr"/>
      <c r="G763" s="6" t="inlineStr"/>
      <c r="H763" s="6" t="inlineStr">
        <is>
          <t>Çırağı etiket sorumlusu yaptın. Dükkânın fiyatları ilk kez birbiriyle tutarlı.</t>
        </is>
      </c>
      <c r="I763" s="6" t="inlineStr">
        <is>
          <t>Çırak vitrini, stoku ve etiketleri baştan düzenledi. Ciro arttı, senin gözlük ihtiyacın azaldı.</t>
        </is>
      </c>
      <c r="J763" s="6" t="inlineStr">
        <is>
          <t>“Hangi etiketler?” dedi. Gösterdin; yanlışları değil, doğruları göstermişsin.</t>
        </is>
      </c>
      <c r="K763" s="6" t="inlineStr">
        <is>
          <t>Çırak etiketleri düzeltti; ters yöne. Bir hafta boyunca en ucuz ürün, en pahalı üründü.</t>
        </is>
      </c>
      <c r="L763" s="6" t="inlineStr"/>
      <c r="M763" s="5" t="inlineStr"/>
      <c r="N763" s="5" t="inlineStr"/>
      <c r="O763" s="6" t="inlineStr"/>
      <c r="P763" s="6" t="inlineStr"/>
      <c r="Q763" s="5" t="inlineStr"/>
      <c r="R763" s="5" t="inlineStr"/>
      <c r="S763" s="5" t="inlineStr">
        <is>
          <t>Sosyal Radar</t>
        </is>
      </c>
      <c r="T763" s="5" t="inlineStr"/>
      <c r="U763" s="5" t="inlineStr"/>
      <c r="V763" s="5" t="inlineStr">
        <is>
          <t>esnaf-cirak</t>
        </is>
      </c>
      <c r="W763" s="5" t="inlineStr"/>
      <c r="X763" s="5" t="inlineStr"/>
      <c r="Y763" s="5" t="inlineStr"/>
      <c r="Z763" s="6" t="inlineStr"/>
      <c r="AA763" s="5" t="inlineStr"/>
      <c r="AB763" s="5" t="inlineStr"/>
      <c r="AC763" s="5" t="inlineStr"/>
      <c r="AD763" s="5" t="inlineStr"/>
      <c r="AE763" s="5" t="inlineStr"/>
      <c r="AF763" s="5" t="inlineStr"/>
      <c r="AG763" s="5" t="inlineStr"/>
      <c r="AH763" s="5" t="inlineStr"/>
      <c r="AI763" s="5" t="inlineStr"/>
      <c r="AJ763" s="5" t="inlineStr"/>
    </row>
    <row r="764">
      <c r="A764" s="5" t="inlineStr">
        <is>
          <t>me-cirak</t>
        </is>
      </c>
      <c r="B764" s="5" t="n">
        <v>4</v>
      </c>
      <c r="C764" s="6" t="inlineStr">
        <is>
          <t>'Kendim yeterim' de</t>
        </is>
      </c>
      <c r="D764" s="5" t="inlineStr"/>
      <c r="E764" s="5" t="inlineStr"/>
      <c r="F764" s="5" t="inlineStr">
        <is>
          <t>Dayanıklılık +1</t>
        </is>
      </c>
      <c r="G764" s="6" t="inlineStr">
        <is>
          <t>“Kendim yeterim” dedin. Baba “Peki usta” deyip çocuğu karşıdaki tamirciye götürdü. Bir ay sonra çırak önünden tulumla geçti, sana el salladı; tulum ona yakışmıştı.</t>
        </is>
      </c>
      <c r="H764" s="6" t="inlineStr"/>
      <c r="I764" s="6" t="inlineStr"/>
      <c r="J764" s="6" t="inlineStr"/>
      <c r="K764" s="6" t="inlineStr"/>
      <c r="L764" s="6" t="inlineStr"/>
      <c r="M764" s="5" t="inlineStr"/>
      <c r="N764" s="5" t="inlineStr"/>
      <c r="O764" s="6" t="inlineStr"/>
      <c r="P764" s="6" t="inlineStr"/>
      <c r="Q764" s="5" t="inlineStr"/>
      <c r="R764" s="5" t="inlineStr"/>
      <c r="S764" s="5" t="inlineStr"/>
      <c r="T764" s="5" t="inlineStr"/>
      <c r="U764" s="5" t="inlineStr"/>
      <c r="V764" s="5" t="inlineStr"/>
      <c r="W764" s="5" t="inlineStr"/>
      <c r="X764" s="5" t="inlineStr"/>
      <c r="Y764" s="5" t="inlineStr"/>
      <c r="Z764" s="6" t="inlineStr"/>
      <c r="AA764" s="5" t="inlineStr"/>
      <c r="AB764" s="5" t="inlineStr"/>
      <c r="AC764" s="5" t="inlineStr"/>
      <c r="AD764" s="5" t="inlineStr"/>
      <c r="AE764" s="5" t="inlineStr"/>
      <c r="AF764" s="5" t="inlineStr"/>
      <c r="AG764" s="5" t="inlineStr"/>
      <c r="AH764" s="5" t="inlineStr"/>
      <c r="AI764" s="5" t="inlineStr"/>
      <c r="AJ764" s="5" t="inlineStr"/>
    </row>
    <row r="765">
      <c r="A765" s="5" t="inlineStr">
        <is>
          <t>b7-ev-kredisi</t>
        </is>
      </c>
      <c r="B765" s="5" t="n">
        <v>1</v>
      </c>
      <c r="C765" s="6" t="inlineStr">
        <is>
          <t>Kirada kal</t>
        </is>
      </c>
      <c r="D765" s="5" t="inlineStr"/>
      <c r="E765" s="5" t="inlineStr"/>
      <c r="F765" s="5" t="inlineStr">
        <is>
          <t>Akıl +1, Dayanıklılık +1</t>
        </is>
      </c>
      <c r="G765" s="6" t="inlineStr">
        <is>
          <t>Kirada kalmaya karar verdin. Parayla değil, esnekliğinle övünüyorsun. Ev sahibi de esnek; her yıl kirayı esnetiyor.</t>
        </is>
      </c>
      <c r="H765" s="6" t="inlineStr"/>
      <c r="I765" s="6" t="inlineStr"/>
      <c r="J765" s="6" t="inlineStr"/>
      <c r="K765" s="6" t="inlineStr"/>
      <c r="L765" s="6" t="inlineStr"/>
      <c r="M765" s="5" t="inlineStr"/>
      <c r="N765" s="5" t="inlineStr"/>
      <c r="O765" s="6" t="inlineStr"/>
      <c r="P765" s="6" t="inlineStr"/>
      <c r="Q765" s="5" t="inlineStr"/>
      <c r="R765" s="5" t="inlineStr"/>
      <c r="S765" s="5" t="inlineStr"/>
      <c r="T765" s="5" t="inlineStr"/>
      <c r="U765" s="5" t="inlineStr">
        <is>
          <t>kiraci-kaldi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c r="AI765" s="5" t="inlineStr"/>
      <c r="AJ765" s="5" t="inlineStr"/>
    </row>
    <row r="766">
      <c r="A766" s="5" t="inlineStr">
        <is>
          <t>b7-ev-kredisi</t>
        </is>
      </c>
      <c r="B766" s="5" t="n">
        <v>2</v>
      </c>
      <c r="C766" s="6" t="inlineStr">
        <is>
          <t>Krediyle al, satıcıyla pazarlık et</t>
        </is>
      </c>
      <c r="D766" s="5" t="inlineStr">
        <is>
          <t>Çene</t>
        </is>
      </c>
      <c r="E766" s="5" t="inlineStr">
        <is>
          <t>Zor</t>
        </is>
      </c>
      <c r="F766" s="5" t="inlineStr"/>
      <c r="G766" s="6" t="inlineStr"/>
      <c r="H766" s="6" t="inlineStr">
        <is>
          <t>Fiyatı indirdin, krediyi aldın, anahtarı teslim aldın. Annen tapunun fotoğrafını aile grubuna attı; altına üç kalp, bir de “Nazar değmesin.”</t>
        </is>
      </c>
      <c r="I766" s="6" t="inlineStr">
        <is>
          <t>Pazarlık o kadar iyi gitti ki satıcı perdeleri ve bir koltuğu da bıraktı. Koltuk kötü ama ücretsiz.</t>
        </is>
      </c>
      <c r="J766" s="6" t="inlineStr">
        <is>
          <t>Satıcı rakamda direndi; anlaşma olmadı. Akşam annen telefonda tek cümle kurdu: “Kiraya verilen para sokağa atılan paradır.” Bu ay da sokağa attın.</t>
        </is>
      </c>
      <c r="K766" s="6" t="inlineStr">
        <is>
          <t>“Son sözüm bu” deyip masadan kalktın; satıcının arkandan koşacağını sandın. Koşmadı. Kapıdaki çifte “Buyurun” dedi; telefonunda hâlâ salonun ölçüleri var.</t>
        </is>
      </c>
      <c r="L766" s="6" t="inlineStr">
        <is>
          <t>Fiyatı biraz indirdin. Kredi onaylandı, vade bir yıl uzadı. Ev senin; biraz da bankanın.</t>
        </is>
      </c>
      <c r="M766" s="5" t="inlineStr">
        <is>
          <t>duel</t>
        </is>
      </c>
      <c r="N766" s="5" t="inlineStr">
        <is>
          <t>Ev Pazarlığı</t>
        </is>
      </c>
      <c r="O766" s="6" t="inlineStr">
        <is>
          <t>Karşındakinin sabrı bitmeden en iyi cevabı seç.</t>
        </is>
      </c>
      <c r="P766" s="6" t="inlineStr">
        <is>
          <t>{"who": "Satıcı", "item": "ev", "mode": "buy"}</t>
        </is>
      </c>
      <c r="Q766" s="5" t="inlineStr"/>
      <c r="R766" s="5" t="inlineStr"/>
      <c r="S766" s="5" t="inlineStr"/>
      <c r="T766" s="5" t="inlineStr"/>
      <c r="U766" s="5" t="inlineStr"/>
      <c r="V766" s="5" t="inlineStr">
        <is>
          <t>ev-sahibi</t>
        </is>
      </c>
      <c r="W766" s="5" t="inlineStr"/>
      <c r="X766" s="5" t="inlineStr"/>
      <c r="Y766" s="5" t="inlineStr"/>
      <c r="Z766" s="6" t="inlineStr"/>
      <c r="AA766" s="5" t="inlineStr"/>
      <c r="AB766" s="5" t="inlineStr">
        <is>
          <t>kiraci-kaldi</t>
        </is>
      </c>
      <c r="AC766" s="5" t="inlineStr">
        <is>
          <t>Orta</t>
        </is>
      </c>
      <c r="AD766" s="5" t="inlineStr"/>
      <c r="AE766" s="5" t="inlineStr"/>
      <c r="AF766" s="5" t="n">
        <v>1</v>
      </c>
      <c r="AG766" s="5" t="inlineStr"/>
      <c r="AH766" s="5" t="inlineStr">
        <is>
          <t>Çene 38</t>
        </is>
      </c>
      <c r="AI766" s="5" t="inlineStr"/>
      <c r="AJ766" s="5" t="inlineStr"/>
    </row>
    <row r="767">
      <c r="A767" s="5" t="inlineStr">
        <is>
          <t>b7-ev-kredisi</t>
        </is>
      </c>
      <c r="B767" s="5" t="n">
        <v>3</v>
      </c>
      <c r="C767" s="6" t="inlineStr">
        <is>
          <t>Ailenin yardımıyla al</t>
        </is>
      </c>
      <c r="D767" s="5" t="inlineStr"/>
      <c r="E767" s="5" t="inlineStr"/>
      <c r="F767" s="5" t="inlineStr">
        <is>
          <t>İtibar +1, Sosyal Radar +1</t>
        </is>
      </c>
      <c r="G767" s="6" t="inlineStr">
        <is>
          <t>Baban “Bizden sana” dedi ve tapuyu uzattı; anahtarın yedeği annende kaldı. Ev senin, pazar günleri onların. Her pazar habersiz gelen misafirlerin var; yemek de getiriyorlar.</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aile-yardimi-ev</t>
        </is>
      </c>
      <c r="V767" s="5" t="inlineStr"/>
      <c r="W767" s="5" t="inlineStr"/>
      <c r="X767" s="5" t="inlineStr"/>
      <c r="Y767" s="5" t="inlineStr"/>
      <c r="Z767" s="6" t="inlineStr"/>
      <c r="AA767" s="5" t="inlineStr">
        <is>
          <t>hepsi +1</t>
        </is>
      </c>
      <c r="AB767" s="5" t="inlineStr"/>
      <c r="AC767" s="5" t="inlineStr">
        <is>
          <t>Rahat</t>
        </is>
      </c>
      <c r="AD767" s="5" t="inlineStr"/>
      <c r="AE767" s="5" t="inlineStr">
        <is>
          <t>Tam</t>
        </is>
      </c>
      <c r="AF767" s="5" t="inlineStr"/>
      <c r="AG767" s="5" t="inlineStr"/>
      <c r="AH767" s="5" t="inlineStr"/>
      <c r="AI767" s="5" t="inlineStr"/>
      <c r="AJ767" s="5" t="inlineStr"/>
    </row>
    <row r="768">
      <c r="A768" s="5" t="inlineStr">
        <is>
          <t>b7-ev-kredisi</t>
        </is>
      </c>
      <c r="B768" s="5" t="n">
        <v>4</v>
      </c>
      <c r="C768" s="6" t="inlineStr">
        <is>
          <t>Peşin öde</t>
        </is>
      </c>
      <c r="D768" s="5" t="inlineStr"/>
      <c r="E768" s="5" t="inlineStr"/>
      <c r="F768" s="5" t="inlineStr">
        <is>
          <t>Pişkinlik +1, Kurnazlık +1</t>
        </is>
      </c>
      <c r="G768" s="6" t="inlineStr">
        <is>
          <t>Peşin ödedin. Emlakçı ilk kez sustu; banka temsilcisi ilk kez aradı. Tapuda kimse soru sormadı, sen de cevap vermedin.</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is>
          <t>ev-sahibi</t>
        </is>
      </c>
      <c r="V768" s="5" t="inlineStr"/>
      <c r="W768" s="5" t="inlineStr"/>
      <c r="X768" s="5" t="inlineStr"/>
      <c r="Y768" s="5" t="inlineStr"/>
      <c r="Z768" s="6" t="inlineStr"/>
      <c r="AA768" s="5" t="inlineStr"/>
      <c r="AB768" s="5" t="inlineStr"/>
      <c r="AC768" s="5" t="inlineStr">
        <is>
          <t>Zengin</t>
        </is>
      </c>
      <c r="AD768" s="5" t="inlineStr"/>
      <c r="AE768" s="5" t="inlineStr"/>
      <c r="AF768" s="5" t="inlineStr"/>
      <c r="AG768" s="5" t="inlineStr"/>
      <c r="AH768" s="5" t="inlineStr"/>
      <c r="AI768" s="5" t="inlineStr"/>
      <c r="AJ768" s="5" t="inlineStr"/>
    </row>
    <row r="769">
      <c r="A769" s="5" t="inlineStr">
        <is>
          <t>b7-ev-kredisi</t>
        </is>
      </c>
      <c r="B769" s="5" t="n">
        <v>5</v>
      </c>
      <c r="C769" s="6" t="inlineStr">
        <is>
          <t>Nakitle al, kaynağını sorma</t>
        </is>
      </c>
      <c r="D769" s="5" t="inlineStr">
        <is>
          <t>Kurnazlık</t>
        </is>
      </c>
      <c r="E769" s="5" t="inlineStr">
        <is>
          <t>Zor</t>
        </is>
      </c>
      <c r="F769" s="5" t="inlineStr"/>
      <c r="G769" s="6" t="inlineStr"/>
      <c r="H769" s="6" t="inlineStr">
        <is>
          <t>Çantayla gittin, tapuyla döndün. Tapu memuru çantaya baktı, sonra saatine baktı, sonra imzaladı.</t>
        </is>
      </c>
      <c r="I769" s="6" t="inlineStr">
        <is>
          <t>Satıcı nakdi görünce bir de yazlığını önerdi. Aldın mı? Bunu sadece sen ve çanta biliyor.</t>
        </is>
      </c>
      <c r="J769" s="6" t="inlineStr">
        <is>
          <t>Tapu müdürü paranın kaynağını sordu. “Tasarruf” dedin. Müdür güldü, işlemi erteledi.</t>
        </is>
      </c>
      <c r="K769" s="6" t="inlineStr">
        <is>
          <t>Tapu dairesinin önünde bir tanıdık müfettişle karşılaştın; çanta elindeydi. Sorusu kısaydı, cevabın daha kısa.</t>
        </is>
      </c>
      <c r="L769" s="6" t="inlineStr"/>
      <c r="M769" s="5" t="inlineStr"/>
      <c r="N769" s="5" t="inlineStr"/>
      <c r="O769" s="6" t="inlineStr"/>
      <c r="P769" s="6" t="inlineStr"/>
      <c r="Q769" s="5" t="inlineStr"/>
      <c r="R769" s="5" t="inlineStr">
        <is>
          <t>hat-cete</t>
        </is>
      </c>
      <c r="S769" s="5" t="inlineStr"/>
      <c r="T769" s="5" t="inlineStr"/>
      <c r="U769" s="5" t="inlineStr"/>
      <c r="V769" s="5" t="inlineStr">
        <is>
          <t>ev-sahibi</t>
        </is>
      </c>
      <c r="W769" s="5" t="inlineStr">
        <is>
          <t>hapis</t>
        </is>
      </c>
      <c r="X769" s="5" t="inlineStr"/>
      <c r="Y769" s="5" t="n">
        <v>3</v>
      </c>
      <c r="Z769" s="6" t="inlineStr">
        <is>
          <t>Kaynağı sorulmayan nakitle alınan evin eski sahibiyle merdivende “dostça” pazarlıkta. Pazarlık yarım kaldı.</t>
        </is>
      </c>
      <c r="AA769" s="5" t="inlineStr"/>
      <c r="AB769" s="5" t="inlineStr">
        <is>
          <t>kiraci-kaldi</t>
        </is>
      </c>
      <c r="AC769" s="5" t="inlineStr">
        <is>
          <t>Rahat</t>
        </is>
      </c>
      <c r="AD769" s="5" t="inlineStr"/>
      <c r="AE769" s="5" t="inlineStr"/>
      <c r="AF769" s="5" t="inlineStr"/>
      <c r="AG769" s="5" t="inlineStr"/>
      <c r="AH769" s="5" t="inlineStr"/>
      <c r="AI769" s="5" t="inlineStr"/>
      <c r="AJ769" s="5" t="inlineStr"/>
    </row>
    <row r="770">
      <c r="A770" s="5" t="inlineStr">
        <is>
          <t>b7-ev-kredisi</t>
        </is>
      </c>
      <c r="B770" s="5" t="n">
        <v>6</v>
      </c>
      <c r="C770" s="6" t="inlineStr">
        <is>
          <t>Ailenin dairesinde kalmaya devam et</t>
        </is>
      </c>
      <c r="D770" s="5" t="inlineStr"/>
      <c r="E770" s="5" t="inlineStr"/>
      <c r="F770" s="5" t="inlineStr">
        <is>
          <t>İtibar +1, Kurnazlık +1</t>
        </is>
      </c>
      <c r="G770" s="6" t="inlineStr">
        <is>
          <t>Tapu hâlâ babanda, anahtar hâlâ sende. Kira yok, kredi yok; sadece babanın “Duvara çivi çakma” telefonları var.</t>
        </is>
      </c>
      <c r="H770" s="6" t="inlineStr"/>
      <c r="I770" s="6" t="inlineStr"/>
      <c r="J770" s="6" t="inlineStr"/>
      <c r="K770" s="6" t="inlineStr"/>
      <c r="L770" s="6" t="inlineStr"/>
      <c r="M770" s="5" t="inlineStr"/>
      <c r="N770" s="5" t="inlineStr"/>
      <c r="O770" s="6" t="inlineStr"/>
      <c r="P770" s="6" t="inlineStr"/>
      <c r="Q770" s="5" t="inlineStr"/>
      <c r="R770" s="5" t="inlineStr">
        <is>
          <t>aile-dairesi</t>
        </is>
      </c>
      <c r="S770" s="5" t="inlineStr"/>
      <c r="T770" s="5" t="inlineStr"/>
      <c r="U770" s="5" t="inlineStr">
        <is>
          <t>aile-dairesi</t>
        </is>
      </c>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c r="AI770" s="5" t="inlineStr"/>
      <c r="AJ770" s="5" t="inlineStr"/>
    </row>
    <row r="771">
      <c r="A771" s="5" t="inlineStr">
        <is>
          <t>b7-ev-kredisi</t>
        </is>
      </c>
      <c r="B771" s="5" t="n">
        <v>7</v>
      </c>
      <c r="C771" s="6" t="inlineStr">
        <is>
          <t>Annenin evinde kal</t>
        </is>
      </c>
      <c r="D771" s="5" t="inlineStr"/>
      <c r="E771" s="5" t="inlineStr"/>
      <c r="F771" s="5" t="inlineStr">
        <is>
          <t>İtibar +1, Dayanıklılık +1</t>
        </is>
      </c>
      <c r="G771" s="6" t="inlineStr">
        <is>
          <t>Ev almana gerek yok; odan hâlâ senin, dolabın hâlâ annenin. Kredi tablosunu annen katlayıp mutfak çekmecesine koydu; tarif kâğıtlarının yanına.</t>
        </is>
      </c>
      <c r="H771" s="6" t="inlineStr"/>
      <c r="I771" s="6" t="inlineStr"/>
      <c r="J771" s="6" t="inlineStr"/>
      <c r="K771" s="6" t="inlineStr"/>
      <c r="L771" s="6" t="inlineStr"/>
      <c r="M771" s="5" t="inlineStr"/>
      <c r="N771" s="5" t="inlineStr"/>
      <c r="O771" s="6" t="inlineStr"/>
      <c r="P771" s="6" t="inlineStr"/>
      <c r="Q771" s="5" t="inlineStr"/>
      <c r="R771" s="5" t="inlineStr">
        <is>
          <t>evde-kaldi</t>
        </is>
      </c>
      <c r="S771" s="5" t="inlineStr"/>
      <c r="T771" s="5" t="inlineStr"/>
      <c r="U771" s="5" t="inlineStr">
        <is>
          <t>evin-oglu</t>
        </is>
      </c>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c r="AI771" s="5" t="inlineStr"/>
      <c r="AJ771" s="5" t="inlineStr"/>
    </row>
    <row r="772">
      <c r="A772" s="5" t="inlineStr">
        <is>
          <t>b7-ev-kredisi</t>
        </is>
      </c>
      <c r="B772" s="5" t="n">
        <v>8</v>
      </c>
      <c r="C772" s="6" t="inlineStr">
        <is>
          <t>Kefil bul, krediyle al</t>
        </is>
      </c>
      <c r="D772" s="5" t="inlineStr"/>
      <c r="E772" s="5" t="inlineStr"/>
      <c r="F772" s="5" t="inlineStr">
        <is>
          <t>İtibar +1, Dayanıklılık +1</t>
        </is>
      </c>
      <c r="G772" s="6" t="inlineStr">
        <is>
          <t>Banka bir kefil istedi; mahallede üç kişi aynı gün imzaya geldi. Ev senin, borç senin; ama imzalar da senin. Bayramlarda üç kapıya ayrı ayrı tatlı götürüyorsun.</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ev-sahibi, borclu, kefil-borclu</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is>
          <t>İtibar 37</t>
        </is>
      </c>
      <c r="AI772" s="5" t="inlineStr"/>
      <c r="AJ772" s="5" t="inlineStr"/>
    </row>
    <row r="773">
      <c r="A773" s="5" t="inlineStr">
        <is>
          <t>b7-kres-kaydi</t>
        </is>
      </c>
      <c r="B773" s="5" t="n">
        <v>1</v>
      </c>
      <c r="C773" s="6" t="inlineStr">
        <is>
          <t>Dürüst cevap ver</t>
        </is>
      </c>
      <c r="D773" s="5" t="inlineStr"/>
      <c r="E773" s="5" t="inlineStr"/>
      <c r="F773" s="5" t="inlineStr">
        <is>
          <t>İtibar +1</t>
        </is>
      </c>
      <c r="G773" s="6" t="inlineStr">
        <is>
          <t>“Uyuyamıyor, biz de uyuyamıyoruz” dedin. Müdür başını salladı, esnedi, özür diledi: “Bizimki de diş çıkarıyor.” Kaydı yaptı.</t>
        </is>
      </c>
      <c r="H773" s="6" t="inlineStr"/>
      <c r="I773" s="6" t="inlineStr"/>
      <c r="J773" s="6" t="inlineStr"/>
      <c r="K773" s="6" t="inlineStr"/>
      <c r="L773" s="6" t="inlineStr"/>
      <c r="M773" s="5" t="inlineStr"/>
      <c r="N773" s="5" t="inlineStr"/>
      <c r="O773" s="6" t="inlineStr"/>
      <c r="P773" s="6" t="inlineStr"/>
      <c r="Q773" s="5" t="inlineStr"/>
      <c r="R773" s="5" t="inlineStr"/>
      <c r="S773" s="5" t="inlineStr"/>
      <c r="T773" s="5" t="inlineStr"/>
      <c r="U773" s="5" t="inlineStr"/>
      <c r="V773" s="5" t="inlineStr"/>
      <c r="W773" s="5" t="inlineStr"/>
      <c r="X773" s="5" t="inlineStr"/>
      <c r="Y773" s="5" t="inlineStr"/>
      <c r="Z773" s="6" t="inlineStr"/>
      <c r="AA773" s="5" t="inlineStr"/>
      <c r="AB773" s="5" t="inlineStr"/>
      <c r="AC773" s="5" t="inlineStr"/>
      <c r="AD773" s="5" t="inlineStr"/>
      <c r="AE773" s="5" t="inlineStr"/>
      <c r="AF773" s="5" t="inlineStr"/>
      <c r="AG773" s="5" t="inlineStr"/>
      <c r="AH773" s="5" t="inlineStr"/>
      <c r="AI773" s="5" t="inlineStr"/>
      <c r="AJ773" s="5" t="inlineStr"/>
    </row>
    <row r="774">
      <c r="A774" s="5" t="inlineStr">
        <is>
          <t>b7-kres-kaydi</t>
        </is>
      </c>
      <c r="B774" s="5" t="n">
        <v>2</v>
      </c>
      <c r="C774" s="6" t="inlineStr">
        <is>
          <t>Özgeçmiş gibi sun</t>
        </is>
      </c>
      <c r="D774" s="5" t="inlineStr">
        <is>
          <t>Çene</t>
        </is>
      </c>
      <c r="E774" s="5" t="inlineStr">
        <is>
          <t>Orta</t>
        </is>
      </c>
      <c r="F774" s="5" t="inlineStr"/>
      <c r="G774" s="6" t="inlineStr"/>
      <c r="H774" s="6" t="inlineStr">
        <is>
          <t>Çocuğunun becerilerini tek tek saydın: paylaşır, sırasını bekler, “lütfen” der. Müdür ikna oldu, kayıt açıldı. Çocuk o sırada müdürün şekerliğini ceplerine boşaltıyordu.</t>
        </is>
      </c>
      <c r="I774" s="6" t="inlineStr">
        <is>
          <t>Müdür dosyayı kapattı: “Çocuğu sırasız alıyorum; sizi de veli toplantısına konuşmacı yazdım.” İlk toplantıda yirmi veliye uyku düzenini anlattın. O gece yine uyuyamadınız.</t>
        </is>
      </c>
      <c r="J774" s="6" t="inlineStr">
        <is>
          <t>Müdür “Çok etkileyici, bekleme listesine alıyoruz” dedi. Listede otuz sekizinci sıradasın; müdüre göre “En fazla üç buçuk yıl.” Çocuğun o zaman ilkokulda olacak.</t>
        </is>
      </c>
      <c r="K774" s="6" t="inlineStr">
        <is>
          <t>Sen “Çok uyumludur, eşyalara saygılıdır” derken çocuğun müdürün masasına tırmandı, kalemliği devirdi, bir kalemi akvaryuma attı. Müdür kalemi sudan çıkarırken sordu: “Uyumlu olan bu mu?”</t>
        </is>
      </c>
      <c r="L774" s="6" t="inlineStr"/>
      <c r="M774" s="5" t="inlineStr"/>
      <c r="N774" s="5" t="inlineStr"/>
      <c r="O774" s="6" t="inlineStr"/>
      <c r="P774" s="6" t="inlineStr"/>
      <c r="Q774" s="5" t="inlineStr"/>
      <c r="R774" s="5" t="inlineStr"/>
      <c r="S774" s="5" t="inlineStr"/>
      <c r="T774" s="5" t="inlineStr"/>
      <c r="U774" s="5" t="inlineStr"/>
      <c r="V774" s="5" t="inlineStr"/>
      <c r="W774" s="5" t="inlineStr"/>
      <c r="X774" s="5" t="inlineStr"/>
      <c r="Y774" s="5" t="inlineStr"/>
      <c r="Z774" s="6" t="inlineStr"/>
      <c r="AA774" s="5" t="inlineStr"/>
      <c r="AB774" s="5" t="inlineStr"/>
      <c r="AC774" s="5" t="inlineStr"/>
      <c r="AD774" s="5" t="inlineStr"/>
      <c r="AE774" s="5" t="inlineStr"/>
      <c r="AF774" s="5" t="inlineStr"/>
      <c r="AG774" s="5" t="inlineStr"/>
      <c r="AH774" s="5" t="inlineStr"/>
      <c r="AI774" s="5" t="inlineStr"/>
      <c r="AJ774" s="5" t="inlineStr"/>
    </row>
    <row r="775">
      <c r="A775" s="5" t="inlineStr">
        <is>
          <t>b7-kres-kaydi</t>
        </is>
      </c>
      <c r="B775" s="5" t="n">
        <v>3</v>
      </c>
      <c r="C775" s="6" t="inlineStr">
        <is>
          <t>Kreşin güvenlik açıklarını kontrol et</t>
        </is>
      </c>
      <c r="D775" s="5" t="inlineStr">
        <is>
          <t>Sosyal Radar</t>
        </is>
      </c>
      <c r="E775" s="5" t="inlineStr">
        <is>
          <t>Kolay</t>
        </is>
      </c>
      <c r="F775" s="5" t="inlineStr"/>
      <c r="G775" s="6" t="inlineStr"/>
      <c r="H775" s="6" t="inlineStr">
        <is>
          <t>Her prizi, her merdiveni, mutfaktaki son kaşığı inceledin. Kreş iyi çıktı. Müdür kapıda kibarca sordu: “Kaydı çocuğunuz için mi yaptırıyoruz, sizin için mi?”</t>
        </is>
      </c>
      <c r="I775" s="6" t="inlineStr">
        <is>
          <t>Yangın merdiveninden mutfağa kadar her şeye baktın. Müdür iki prize kapak taktırdı, kapıda sana teşekkür etti. Çocuğun ilk gün ağlamadı; sen ağladın.</t>
        </is>
      </c>
      <c r="J775" s="6" t="inlineStr">
        <is>
          <t>Soruların müdürü rahatsız etti. Bekleme listesi uzadı.</t>
        </is>
      </c>
      <c r="K775" s="6" t="inlineStr">
        <is>
          <t>İncelerken oyuncak dolabına girdin, kapı arkandan kapandı. Üç yaşında bir kız kapıyı açtı, seni elinden tutup müdüre götürdü: “Bu kaybolmuş.”</t>
        </is>
      </c>
      <c r="L775" s="6" t="inlineStr"/>
      <c r="M775" s="5" t="inlineStr"/>
      <c r="N775" s="5" t="inlineStr"/>
      <c r="O775" s="6" t="inlineStr"/>
      <c r="P775" s="6" t="inlineStr"/>
      <c r="Q775" s="5" t="inlineStr"/>
      <c r="R775" s="5" t="inlineStr"/>
      <c r="S775" s="5" t="inlineStr"/>
      <c r="T775" s="5" t="inlineStr"/>
      <c r="U775" s="5" t="inlineStr"/>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c r="AI775" s="5" t="inlineStr"/>
      <c r="AJ775" s="5" t="inlineStr"/>
    </row>
    <row r="776">
      <c r="A776" s="5" t="inlineStr">
        <is>
          <t>b7-kres-kaydi</t>
        </is>
      </c>
      <c r="B776" s="5" t="n">
        <v>4</v>
      </c>
      <c r="C776" s="6" t="inlineStr">
        <is>
          <t>Üç saat uykuyla sabah yedide ilk sıraya gir</t>
        </is>
      </c>
      <c r="D776" s="5" t="inlineStr">
        <is>
          <t>Dayanıklılık</t>
        </is>
      </c>
      <c r="E776" s="5" t="inlineStr">
        <is>
          <t>Orta</t>
        </is>
      </c>
      <c r="F776" s="5" t="inlineStr"/>
      <c r="G776" s="6" t="inlineStr"/>
      <c r="H776" s="6" t="inlineStr">
        <is>
          <t>Kapı açılınca ilk sen girdin. Elinde termos, gözlerin kıpkırmızı; arkadaki veliler sana kahramana bakar gibi baktı. Kayıt tamam.</t>
        </is>
      </c>
      <c r="I776" s="6" t="inlineStr">
        <is>
          <t>Üç saat uykuyla sırada ilk sendin. Kaydı yaptırdın, işe de zamanında yetiştin. Akşam eşin kapıda seni alkışladı; çocuk da, neye olduğunu bilmeden.</t>
        </is>
      </c>
      <c r="J776" s="6" t="inlineStr">
        <is>
          <t>Sıradaydın ama uyuyakaldın. Arkadaki veli seni nazikçe uyandırdı, sonra önüne geçti.</t>
        </is>
      </c>
      <c r="K776" s="6" t="inlineStr">
        <is>
          <t>Sabahın yedisinde sıraya girdin; yanlış kreşteymişsin. Yine de kayıt oldu. Artık iki kreşin var.</t>
        </is>
      </c>
      <c r="L776" s="6" t="inlineStr"/>
      <c r="M776" s="5" t="inlineStr"/>
      <c r="N776" s="5" t="inlineStr"/>
      <c r="O776" s="6" t="inlineStr"/>
      <c r="P776" s="6" t="inlineStr"/>
      <c r="Q776" s="5" t="inlineStr">
        <is>
          <t>Gözüne Uyku Girmez</t>
        </is>
      </c>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c r="AI776" s="5" t="inlineStr"/>
      <c r="AJ776" s="5" t="inlineStr"/>
    </row>
    <row r="777">
      <c r="A777" s="5" t="inlineStr">
        <is>
          <t>b7-kres-kaydi</t>
        </is>
      </c>
      <c r="B777" s="5" t="n">
        <v>5</v>
      </c>
      <c r="C777" s="6" t="inlineStr">
        <is>
          <t>Kreşi boş ver, çocuğu anneanneye bırak</t>
        </is>
      </c>
      <c r="D777" s="5" t="inlineStr"/>
      <c r="E777" s="5" t="inlineStr"/>
      <c r="F777" s="5" t="inlineStr">
        <is>
          <t>Gönül +1</t>
        </is>
      </c>
      <c r="G777" s="6" t="inlineStr">
        <is>
          <t>Kreş formunu katlayıp çantana koydun, çocuğu anneanneye bıraktın. Üç ayda iki kilo aldı, dört tekerleme öğrendi, kreşi hiç sormadı. Anneanne her akşam ne yediğini tek tek anlatıyor.</t>
        </is>
      </c>
      <c r="H777" s="6" t="inlineStr"/>
      <c r="I777" s="6" t="inlineStr"/>
      <c r="J777" s="6" t="inlineStr"/>
      <c r="K777" s="6" t="inlineStr"/>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c r="AI777" s="5" t="inlineStr"/>
      <c r="AJ777" s="5" t="inlineStr"/>
    </row>
    <row r="778">
      <c r="A778" s="5" t="inlineStr">
        <is>
          <t>mm-kayip-dosya</t>
        </is>
      </c>
      <c r="B778" s="5" t="n">
        <v>1</v>
      </c>
      <c r="C778" s="6" t="inlineStr">
        <is>
          <t>Tutanakla 'kayıp' diye kaydet</t>
        </is>
      </c>
      <c r="D778" s="5" t="inlineStr"/>
      <c r="E778" s="5" t="inlineStr"/>
      <c r="F778" s="5" t="inlineStr">
        <is>
          <t>Pişkinlik +1, Dayanıklılık +1</t>
        </is>
      </c>
      <c r="G778" s="6" t="inlineStr">
        <is>
          <t>Dosya artık resmen kayıp. Kayıp olduğunu kanıtlayan tek belge senin masanda duruyor.</t>
        </is>
      </c>
      <c r="H778" s="6" t="inlineStr"/>
      <c r="I778" s="6" t="inlineStr"/>
      <c r="J778" s="6" t="inlineStr"/>
      <c r="K778" s="6" t="inlineStr"/>
      <c r="L778" s="6" t="inlineStr"/>
      <c r="M778" s="5" t="inlineStr"/>
      <c r="N778" s="5" t="inlineStr"/>
      <c r="O778" s="6" t="inlineStr"/>
      <c r="P778" s="6" t="inlineStr"/>
      <c r="Q778" s="5" t="inlineStr"/>
      <c r="R778" s="5" t="inlineStr"/>
      <c r="S778" s="5" t="inlineStr"/>
      <c r="T778" s="5" t="inlineStr"/>
      <c r="U778" s="5" t="inlineStr">
        <is>
          <t>memur-kayip-dosya</t>
        </is>
      </c>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c r="AI778" s="5" t="inlineStr"/>
      <c r="AJ778" s="5" t="inlineStr"/>
    </row>
    <row r="779">
      <c r="A779" s="5" t="inlineStr">
        <is>
          <t>mm-kayip-dosya</t>
        </is>
      </c>
      <c r="B779" s="5" t="n">
        <v>2</v>
      </c>
      <c r="C779" s="6" t="inlineStr">
        <is>
          <t>Arşive in, ara</t>
        </is>
      </c>
      <c r="D779" s="5" t="inlineStr">
        <is>
          <t>Dayanıklılık</t>
        </is>
      </c>
      <c r="E779" s="5" t="inlineStr">
        <is>
          <t>Orta</t>
        </is>
      </c>
      <c r="F779" s="5" t="inlineStr"/>
      <c r="G779" s="6" t="inlineStr"/>
      <c r="H779" s="6" t="inlineStr">
        <is>
          <t>Arşivde dört saat geçirdin. Dosya başka bir dosyanın içindeydi; saklanıyormuş gibi.</t>
        </is>
      </c>
      <c r="I779" s="6" t="inlineStr">
        <is>
          <t>Dosyayı ve yedi yıl önce kaybolmuş üç dosyayı daha buldun. Arşivdeki teyze sana kendi demliğinden çay koydu; bunu o güne kadar kimse görmemişti.</t>
        </is>
      </c>
      <c r="J779" s="6" t="inlineStr">
        <is>
          <t>Dosyayı bulamadın ama kendi işe giriş dosyanı buldun. Fotoğrafta daha umutlusun.</t>
        </is>
      </c>
      <c r="K779" s="6" t="inlineStr">
        <is>
          <t>Arşivde kayboldun; telefon çekmedi, ışık zamanlıydı. Üç saat sonra arşivdeki teyze seni bir rafın dibinde buldu, kucağında yedi dosya. Tutanağa yazdı: “Bulunan: bir memur.” Dosya hâlâ kayıp.</t>
        </is>
      </c>
      <c r="L779" s="6" t="inlineStr"/>
      <c r="M779" s="5" t="inlineStr"/>
      <c r="N779" s="5" t="inlineStr"/>
      <c r="O779" s="6" t="inlineStr"/>
      <c r="P779" s="6" t="inlineStr"/>
      <c r="Q779" s="5" t="inlineStr"/>
      <c r="R779" s="5" t="inlineStr"/>
      <c r="S779" s="5" t="inlineStr"/>
      <c r="T779" s="5" t="inlineStr"/>
      <c r="U779" s="5" t="inlineStr"/>
      <c r="V779" s="5" t="inlineStr"/>
      <c r="W779" s="5" t="inlineStr">
        <is>
          <t>memur-kayip-dosya</t>
        </is>
      </c>
      <c r="X779" s="5" t="inlineStr"/>
      <c r="Y779" s="5" t="inlineStr"/>
      <c r="Z779" s="6" t="inlineStr"/>
      <c r="AA779" s="5" t="inlineStr"/>
      <c r="AB779" s="5" t="inlineStr"/>
      <c r="AC779" s="5" t="inlineStr"/>
      <c r="AD779" s="5" t="inlineStr"/>
      <c r="AE779" s="5" t="inlineStr"/>
      <c r="AF779" s="5" t="inlineStr"/>
      <c r="AG779" s="5" t="inlineStr"/>
      <c r="AH779" s="5" t="inlineStr"/>
      <c r="AI779" s="5" t="inlineStr"/>
      <c r="AJ779" s="5" t="inlineStr"/>
    </row>
    <row r="780">
      <c r="A780" s="5" t="inlineStr">
        <is>
          <t>mm-kayip-dosya</t>
        </is>
      </c>
      <c r="B780" s="5" t="n">
        <v>3</v>
      </c>
      <c r="C780" s="6" t="inlineStr">
        <is>
          <t>Sahibine dürüstçe söyle</t>
        </is>
      </c>
      <c r="D780" s="5" t="inlineStr">
        <is>
          <t>İtibar</t>
        </is>
      </c>
      <c r="E780" s="5" t="inlineStr">
        <is>
          <t>Kolay</t>
        </is>
      </c>
      <c r="F780" s="5" t="inlineStr"/>
      <c r="G780" s="6" t="inlineStr"/>
      <c r="H780" s="6" t="inlineStr">
        <is>
          <t>Kızmadı, yorgun güldü. Dosyayı birlikte yeniden hazırladınız.</t>
        </is>
      </c>
      <c r="I780" s="6" t="inlineStr">
        <is>
          <t>Dosyayı sıfırdan hazırladın; iki haftada bitti. Ertesi salı yine geldi, aynı saatte aynı sandalyeye oturdu, elinde bir kutu lokum: “İşim bitti ama alışmışım.”</t>
        </is>
      </c>
      <c r="J780" s="6" t="inlineStr">
        <is>
          <t>“Biliyordum” dedi. Paltosunu giydi, kapıda döndü: “Salıya görüşürüz.”</t>
        </is>
      </c>
      <c r="K780" s="6" t="inlineStr">
        <is>
          <t>Şikâyet dilekçesi yazdı. Dilekçe de kayboldu. Müdür ikisini birden bulmanı istedi; salıları artık ikiniz birlikte arıyorsunuz.</t>
        </is>
      </c>
      <c r="L780" s="6" t="inlineStr"/>
      <c r="M780" s="5" t="inlineStr"/>
      <c r="N780" s="5" t="inlineStr"/>
      <c r="O780" s="6" t="inlineStr"/>
      <c r="P780" s="6" t="inlineStr"/>
      <c r="Q780" s="5" t="inlineStr"/>
      <c r="R780" s="5" t="inlineStr"/>
      <c r="S780" s="5" t="inlineStr">
        <is>
          <t>İtibar</t>
        </is>
      </c>
      <c r="T780" s="5" t="inlineStr"/>
      <c r="U780" s="5" t="inlineStr"/>
      <c r="V780" s="5" t="inlineStr"/>
      <c r="W780" s="5" t="inlineStr">
        <is>
          <t>memur-kayip-dosya</t>
        </is>
      </c>
      <c r="X780" s="5" t="inlineStr"/>
      <c r="Y780" s="5" t="inlineStr"/>
      <c r="Z780" s="6" t="inlineStr"/>
      <c r="AA780" s="5" t="inlineStr"/>
      <c r="AB780" s="5" t="inlineStr"/>
      <c r="AC780" s="5" t="inlineStr"/>
      <c r="AD780" s="5" t="inlineStr"/>
      <c r="AE780" s="5" t="inlineStr"/>
      <c r="AF780" s="5" t="inlineStr"/>
      <c r="AG780" s="5" t="inlineStr"/>
      <c r="AH780" s="5" t="inlineStr"/>
      <c r="AI780" s="5" t="inlineStr"/>
      <c r="AJ780" s="5" t="inlineStr"/>
    </row>
    <row r="781">
      <c r="A781" s="5" t="inlineStr">
        <is>
          <t>mm-kayip-dosya</t>
        </is>
      </c>
      <c r="B781" s="5" t="n">
        <v>4</v>
      </c>
      <c r="C781" s="6" t="inlineStr">
        <is>
          <t>Başka birimi suçla</t>
        </is>
      </c>
      <c r="D781" s="5" t="inlineStr">
        <is>
          <t>Pişkinlik</t>
        </is>
      </c>
      <c r="E781" s="5" t="inlineStr">
        <is>
          <t>Orta</t>
        </is>
      </c>
      <c r="F781" s="5" t="inlineStr"/>
      <c r="G781" s="6" t="inlineStr"/>
      <c r="H781" s="6" t="inlineStr">
        <is>
          <t>'Dosya yazı işlerine gitti' dedin. Yazı işleri reddedemedi; kanıt yoktu. Vazodan beri tanıdık bir yöntem.</t>
        </is>
      </c>
      <c r="I781" s="6" t="inlineStr">
        <is>
          <t>Yazı işleri dosyayı bulmak için ekip kurdu ve sana özür yazısı gönderdi.</t>
        </is>
      </c>
      <c r="J781" s="6" t="inlineStr">
        <is>
          <t>Yazı işleri zimmet fişini gösterdi. İmza seninkiydi.</t>
        </is>
      </c>
      <c r="K781" s="6" t="inlineStr">
        <is>
          <t>“Dosya yazı işlerine gitti” dedin. Yazı işleri gelip çekmeceni açtı: dosya oradaydı, çay bardağının altında, halka izli. Fotoğrafı koridor panosunda.</t>
        </is>
      </c>
      <c r="L781" s="6" t="inlineStr"/>
      <c r="M781" s="5" t="inlineStr"/>
      <c r="N781" s="5" t="inlineStr"/>
      <c r="O781" s="6" t="inlineStr"/>
      <c r="P781" s="6" t="inlineStr"/>
      <c r="Q781" s="5" t="inlineStr"/>
      <c r="R781" s="5" t="inlineStr">
        <is>
          <t>kediSuclu</t>
        </is>
      </c>
      <c r="S781" s="5" t="inlineStr"/>
      <c r="T781" s="5" t="inlineStr"/>
      <c r="U781" s="5" t="inlineStr">
        <is>
          <t>memur-kayip-dosya</t>
        </is>
      </c>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c r="AI781" s="5" t="inlineStr"/>
      <c r="AJ781" s="5" t="inlineStr"/>
    </row>
    <row r="782">
      <c r="A782" s="5" t="inlineStr">
        <is>
          <t>b7-saglik-kontrolu</t>
        </is>
      </c>
      <c r="B782" s="5" t="n">
        <v>1</v>
      </c>
      <c r="C782" s="6" t="inlineStr">
        <is>
          <t>Dürüst ol</t>
        </is>
      </c>
      <c r="D782" s="5" t="inlineStr"/>
      <c r="E782" s="5" t="inlineStr"/>
      <c r="F782" s="5" t="inlineStr">
        <is>
          <t>İtibar +1, Akıl +1</t>
        </is>
      </c>
      <c r="G782" s="6" t="inlineStr">
        <is>
          <t>Dürüstçe 'Hayır' dedin. Doktor bir broşür verdi. Broşür çantanda yaşlanıyor.</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c r="AI782" s="5" t="inlineStr"/>
      <c r="AJ782" s="5" t="inlineStr"/>
    </row>
    <row r="783">
      <c r="A783" s="5" t="inlineStr">
        <is>
          <t>b7-saglik-kontrolu</t>
        </is>
      </c>
      <c r="B783" s="5" t="n">
        <v>2</v>
      </c>
      <c r="C783" s="6" t="inlineStr">
        <is>
          <t>'Haftada dört gün' de</t>
        </is>
      </c>
      <c r="D783" s="5" t="inlineStr">
        <is>
          <t>Pişkinlik</t>
        </is>
      </c>
      <c r="E783" s="5" t="inlineStr">
        <is>
          <t>Orta</t>
        </is>
      </c>
      <c r="F783" s="5" t="inlineStr"/>
      <c r="G783" s="6" t="inlineStr"/>
      <c r="H783" s="6" t="inlineStr">
        <is>
          <t>Doktor inandı. 'Harika, devam' dedi. Sen de devam ettin. Hiçbir şeye.</t>
        </is>
      </c>
      <c r="I783" s="6" t="inlineStr">
        <is>
          <t>Doktor sana inandı, seni stajyerlere gösterdi: “İşte düzenli spor böyle bir şey.” Stajyerler not aldı. Çıkışta merdiven yerine asansöre bindin; kimse görmesin diye.</t>
        </is>
      </c>
      <c r="J783" s="6" t="inlineStr">
        <is>
          <t>Doktor sonuçlara tekrar baktı ve 'Hangi spor?' dedi. 'Yürüyüş' dedin. 'Nereye?' dedi.</t>
        </is>
      </c>
      <c r="K783" s="6" t="inlineStr">
        <is>
          <t>Doktor “O zaman bu sonuçlar çok ilginç” dedi, seni efor testine yolladı. Koşu bandının üçüncü dakikasında hemşire düğmeye bastı: “Haftada dört gün, öyle mi?”</t>
        </is>
      </c>
      <c r="L783" s="6" t="inlineStr"/>
      <c r="M783" s="5" t="inlineStr"/>
      <c r="N783" s="5" t="inlineStr"/>
      <c r="O783" s="6" t="inlineStr"/>
      <c r="P783" s="6" t="inlineStr"/>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c r="AI783" s="5" t="inlineStr"/>
      <c r="AJ783" s="5" t="inlineStr"/>
    </row>
    <row r="784">
      <c r="A784" s="5" t="inlineStr">
        <is>
          <t>b7-saglik-kontrolu</t>
        </is>
      </c>
      <c r="B784" s="5" t="n">
        <v>3</v>
      </c>
      <c r="C784" s="6" t="inlineStr">
        <is>
          <t>Hepsini sorgulayıp not al</t>
        </is>
      </c>
      <c r="D784" s="5" t="inlineStr">
        <is>
          <t>Akıl</t>
        </is>
      </c>
      <c r="E784" s="5" t="inlineStr">
        <is>
          <t>Kolay</t>
        </is>
      </c>
      <c r="F784" s="5" t="inlineStr"/>
      <c r="G784" s="6" t="inlineStr"/>
      <c r="H784" s="6" t="inlineStr">
        <is>
          <t>Her değeri sordun, not aldın. Akşam annene telefonda bir saat anlattın. Annen sonunda sordu: “Yani zayıflayacak mısın?”</t>
        </is>
      </c>
      <c r="I784" s="6" t="inlineStr">
        <is>
          <t>Sorularının kalitesi doktoru etkiledi. 'Keşke herkes sizin gibi olsa' dedi. Bunu çerçevelettin.</t>
        </is>
      </c>
      <c r="J784" s="6" t="inlineStr">
        <is>
          <t>Değerlerin çoğunu anlamadın, sorduklarının cevabını da.</t>
        </is>
      </c>
      <c r="K784" s="6" t="inlineStr">
        <is>
          <t>İnternette okuduklarını doktora anlattın. Doktor sessizce yeni bir form açtı. Formun adı: 'Endişeli hasta'.</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c r="AI784" s="5" t="inlineStr"/>
      <c r="AJ784" s="5" t="inlineStr"/>
    </row>
    <row r="785">
      <c r="A785" s="5" t="inlineStr">
        <is>
          <t>b7-bekar-evi</t>
        </is>
      </c>
      <c r="B785" s="5" t="n">
        <v>1</v>
      </c>
      <c r="C785" s="6" t="inlineStr">
        <is>
          <t>Yine sipariş ver</t>
        </is>
      </c>
      <c r="D785" s="5" t="inlineStr"/>
      <c r="E785" s="5" t="inlineStr"/>
      <c r="F785" s="5" t="inlineStr">
        <is>
          <t>Dayanıklılık +1</t>
        </is>
      </c>
      <c r="G785" s="6" t="inlineStr">
        <is>
          <t>Sipariş verdin. Kurye seni adınla selamlıyor. Arkadaş listesindeki tek düzenli kişi o.</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c r="AI785" s="5" t="inlineStr"/>
      <c r="AJ785" s="5" t="inlineStr"/>
    </row>
    <row r="786">
      <c r="A786" s="5" t="inlineStr">
        <is>
          <t>b7-bekar-evi</t>
        </is>
      </c>
      <c r="B786" s="5" t="n">
        <v>2</v>
      </c>
      <c r="C786" s="6" t="inlineStr">
        <is>
          <t>Bir haftalık yemek hazırla</t>
        </is>
      </c>
      <c r="D786" s="5" t="inlineStr">
        <is>
          <t>Akıl</t>
        </is>
      </c>
      <c r="E786" s="5" t="inlineStr">
        <is>
          <t>Orta</t>
        </is>
      </c>
      <c r="F786" s="5" t="inlineStr"/>
      <c r="G786" s="6" t="inlineStr"/>
      <c r="H786" s="6" t="inlineStr">
        <is>
          <t>Pazar günü yedi kap yemek hazırladın. Salı akşamı hepsi bitmişti. Çarşamba yine sipariş verdin; kurye “Özledik” dedi.</t>
        </is>
      </c>
      <c r="I786" s="6" t="inlineStr">
        <is>
          <t>Arkadaşların yemeklerin tarifini istedi. Annen inanmadı; görüntülü arayıp tencerenin içine baktı: “Bunu sen mi yaptın, yoksa yine o kurye mi getirdi?”</t>
        </is>
      </c>
      <c r="J786" s="6" t="inlineStr">
        <is>
          <t>Yedi kap yaptın, hepsi aynı yemek. Perşembe günü tabaktaki yemek sana baktı.</t>
        </is>
      </c>
      <c r="K786" s="6" t="inlineStr">
        <is>
          <t>Soğanı kavururken ocağı unuttun. Duman merdiven boşluğuna çıktı; alt kat balkona çıkıp “Yangın mı var?” diye bağırdı, yönetici kapını çaldı. Akşam yemek uygulaması “Seni özledik” kuponu gönderdi.</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c r="AI786" s="5" t="inlineStr"/>
      <c r="AJ786" s="5" t="inlineStr"/>
    </row>
    <row r="787">
      <c r="A787" s="5" t="inlineStr">
        <is>
          <t>b7-bekar-evi</t>
        </is>
      </c>
      <c r="B787" s="5" t="n">
        <v>3</v>
      </c>
      <c r="C787" s="6" t="inlineStr">
        <is>
          <t>Buzdolabındakilerle yaratıcı bir yemek yap</t>
        </is>
      </c>
      <c r="D787" s="5" t="inlineStr">
        <is>
          <t>Kurnazlık</t>
        </is>
      </c>
      <c r="E787" s="5" t="inlineStr">
        <is>
          <t>Zor</t>
        </is>
      </c>
      <c r="F787" s="5" t="inlineStr"/>
      <c r="G787" s="6" t="inlineStr"/>
      <c r="H787" s="6" t="inlineStr">
        <is>
          <t>Hardal, yumurta ve belirsiz tencereden yenilebilir bir şey çıktı. Adını koymadın.</t>
        </is>
      </c>
      <c r="I787" s="6" t="inlineStr">
        <is>
          <t>Yarattığın yemek o kadar iyiydi ki bir video çektin. Yorumlarda insanlar tarif istiyor. Tarif sende de yok.</t>
        </is>
      </c>
      <c r="J787" s="6" t="inlineStr">
        <is>
          <t>Yemek oldu. Yenmedi. Kediye bile verilmedi.</t>
        </is>
      </c>
      <c r="K787" s="6" t="inlineStr">
        <is>
          <t>Belirsiz tencerenin kapağını açtın; koku merdiven boşluğuna yayıldı. Kapıcı çöpü almaya geldi, tencereyi görünce geri adım attı: “Bunu ben almam, belediyeyi arayın.”</t>
        </is>
      </c>
      <c r="L787" s="6" t="inlineStr"/>
      <c r="M787" s="5" t="inlineStr"/>
      <c r="N787" s="5" t="inlineStr"/>
      <c r="O787" s="6" t="inlineStr"/>
      <c r="P787" s="6" t="inlineStr"/>
      <c r="Q787" s="5" t="inlineStr"/>
      <c r="R787" s="5" t="inlineStr"/>
      <c r="S787" s="5" t="inlineStr"/>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c r="AI787" s="5" t="inlineStr"/>
      <c r="AJ787" s="5" t="inlineStr"/>
    </row>
    <row r="788">
      <c r="A788" s="5" t="inlineStr">
        <is>
          <t>b7-hastane-gecesi</t>
        </is>
      </c>
      <c r="B788" s="5" t="n">
        <v>1</v>
      </c>
      <c r="C788" s="6" t="inlineStr">
        <is>
          <t>Sakin kal, bekle</t>
        </is>
      </c>
      <c r="D788" s="5" t="inlineStr"/>
      <c r="E788" s="5" t="inlineStr"/>
      <c r="F788" s="5" t="inlineStr">
        <is>
          <t>Dayanıklılık +1, İtibar +1</t>
        </is>
      </c>
      <c r="G788" s="6" t="inlineStr">
        <is>
          <t>Bekledin. Doktor 'Bir şey yok, ateş düşürücü verin' dedi. Sen de kendine bir ateş düşürücü istedin.</t>
        </is>
      </c>
      <c r="H788" s="6" t="inlineStr"/>
      <c r="I788" s="6" t="inlineStr"/>
      <c r="J788" s="6" t="inlineStr"/>
      <c r="K788" s="6" t="inlineStr"/>
      <c r="L788" s="6" t="inlineStr"/>
      <c r="M788" s="5" t="inlineStr"/>
      <c r="N788" s="5" t="inlineStr"/>
      <c r="O788" s="6" t="inlineStr"/>
      <c r="P788" s="6" t="inlineStr"/>
      <c r="Q788" s="5" t="inlineStr"/>
      <c r="R788" s="5" t="inlineStr"/>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c r="AI788" s="5" t="inlineStr"/>
      <c r="AJ788" s="5" t="inlineStr"/>
    </row>
    <row r="789">
      <c r="A789" s="5" t="inlineStr">
        <is>
          <t>b7-hastane-gecesi</t>
        </is>
      </c>
      <c r="B789" s="5" t="n">
        <v>2</v>
      </c>
      <c r="C789" s="6" t="inlineStr">
        <is>
          <t>Uyuyan çocuğu uyandırmadan arabaya taşı</t>
        </is>
      </c>
      <c r="D789" s="5" t="inlineStr">
        <is>
          <t>Dayanıklılık</t>
        </is>
      </c>
      <c r="E789" s="5" t="inlineStr">
        <is>
          <t>Orta</t>
        </is>
      </c>
      <c r="F789" s="5" t="inlineStr"/>
      <c r="G789" s="6" t="inlineStr"/>
      <c r="H789" s="6" t="inlineStr">
        <is>
          <t>Çocuğu arabaya kadar taşıdın, uyanmadı. Eve kadar uyudu, sen de nefes aldın.</t>
        </is>
      </c>
      <c r="I789" s="6" t="inlineStr">
        <is>
          <t>Çocuğu arabaya, sonra eve, sonra yatağına taşıdın. Hiç uyanmadı. Bir ebeveynin en büyük zaferi, kimse görmedi.</t>
        </is>
      </c>
      <c r="J789" s="6" t="inlineStr">
        <is>
          <t>Otoparkta çocuk uyandı. 'Neredeyiz?' dedi. Sen de bilmiyordun.</t>
        </is>
      </c>
      <c r="K789" s="6" t="inlineStr">
        <is>
          <t>Çocuğu arabaya sorunsuz yatırdın. Kapıyı kapatırken kendi parmağını sıkıştırdın; bağırmamak için koluna ısırdın. Çocuk uyudu; acile ikinci kez sen girdin, bu sefer kendi adına sıra alarak.</t>
        </is>
      </c>
      <c r="L789" s="6" t="inlineStr">
        <is>
          <t>Çocuk arabada gözünü açtı, “Dondurma” dedi, yine uyudu. Sabah kahvaltıda ilk sözü de bu oldu; unutmamıştı.</t>
        </is>
      </c>
      <c r="M789" s="5" t="inlineStr">
        <is>
          <t>timing</t>
        </is>
      </c>
      <c r="N789" s="5" t="inlineStr">
        <is>
          <t>Uyuyan Yük</t>
        </is>
      </c>
      <c r="O789" s="6" t="inlineStr">
        <is>
          <t>İbre yeşil alandayken DURDUR'a bas. Art arda tutturdukça kombo kazanırsın.</t>
        </is>
      </c>
      <c r="P789" s="6" t="n"/>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c r="AI789" s="5" t="inlineStr"/>
      <c r="AJ789" s="5" t="inlineStr"/>
    </row>
    <row r="790">
      <c r="A790" s="5" t="inlineStr">
        <is>
          <t>b7-hastane-gecesi</t>
        </is>
      </c>
      <c r="B790" s="5" t="n">
        <v>3</v>
      </c>
      <c r="C790" s="6" t="inlineStr">
        <is>
          <t>Hemşireyle dostluk kur</t>
        </is>
      </c>
      <c r="D790" s="5" t="inlineStr">
        <is>
          <t>Sosyal Radar</t>
        </is>
      </c>
      <c r="E790" s="5" t="inlineStr">
        <is>
          <t>Kolay</t>
        </is>
      </c>
      <c r="F790" s="5" t="inlineStr"/>
      <c r="G790" s="6" t="inlineStr"/>
      <c r="H790" s="6" t="inlineStr">
        <is>
          <t>Hemşire sizi sıraya aldı, battaniye verdi, çocuğun alnına ıslak bez koydu. Sana da bir bardak çay getirdi: “Sen de iç, sen de ateşlisin.”</t>
        </is>
      </c>
      <c r="I790" s="6" t="inlineStr">
        <is>
          <t>Hemşire sıranızı öne aldı, çocuğa bir de çıkartma yapıştırdı. Çıkarken numarasını verdi: “Gece korkarsanız arayın.” Hiç aramadın; numara hâlâ telefonunda “Acil Hemşire” diye kayıtlı.</t>
        </is>
      </c>
      <c r="J790" s="6" t="inlineStr">
        <is>
          <t>Hemşire başını kaldırmadan “Sırası gelince” dedi. Sıranız gelince de kaldırmadı.</t>
        </is>
      </c>
      <c r="K790" s="6" t="inlineStr">
        <is>
          <t>Hemşire sana kendi kayınvalidesini anlattı, sen bir saat dinledin. Sıra size geldiğinde çocuğun ateşi düşmüş, uyumuştu. Doktor “Niye geldiniz?” dedi; hemşire başka yere baktı.</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c r="AI790" s="5" t="inlineStr"/>
      <c r="AJ790" s="5" t="inlineStr"/>
    </row>
    <row r="791">
      <c r="A791" s="5" t="inlineStr">
        <is>
          <t>ms-gercek-is</t>
        </is>
      </c>
      <c r="B791" s="5" t="n">
        <v>1</v>
      </c>
      <c r="C791" s="6" t="inlineStr">
        <is>
          <t>'Yakında' de</t>
        </is>
      </c>
      <c r="D791" s="5" t="inlineStr"/>
      <c r="E791" s="5" t="inlineStr"/>
      <c r="F791" s="5" t="inlineStr">
        <is>
          <t>Dayanıklılık +1</t>
        </is>
      </c>
      <c r="G791" s="6" t="inlineStr">
        <is>
          <t>'Yakında' dedin. On yıldır bu cevabı veriyorsun, teyze on yıldır aynı soruyu soruyor. İstikrar ikinizde de var.</t>
        </is>
      </c>
      <c r="H791" s="6" t="inlineStr"/>
      <c r="I791" s="6" t="inlineStr"/>
      <c r="J791" s="6" t="inlineStr"/>
      <c r="K791" s="6" t="inlineStr"/>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c r="AI791" s="5" t="inlineStr"/>
      <c r="AJ791" s="5" t="inlineStr"/>
    </row>
    <row r="792">
      <c r="A792" s="5" t="inlineStr">
        <is>
          <t>ms-gercek-is</t>
        </is>
      </c>
      <c r="B792" s="5" t="n">
        <v>2</v>
      </c>
      <c r="C792" s="6" t="inlineStr">
        <is>
          <t>Kazancını söyle</t>
        </is>
      </c>
      <c r="D792" s="5" t="inlineStr">
        <is>
          <t>Pişkinlik</t>
        </is>
      </c>
      <c r="E792" s="5" t="inlineStr">
        <is>
          <t>Orta</t>
        </is>
      </c>
      <c r="F792" s="5" t="inlineStr"/>
      <c r="G792" s="6" t="inlineStr"/>
      <c r="H792" s="6" t="inlineStr">
        <is>
          <t>Kazancını söyledin. Teyze sessizce çayını karıştırdı.</t>
        </is>
      </c>
      <c r="I792" s="6" t="inlineStr">
        <is>
          <t>Rakamı duyan teyze ertesi gün oğlunu kapına getirdi: “Bunu da yanına al.” Artık bir çırağın var; maaşını teyze soruyor.</t>
        </is>
      </c>
      <c r="J792" s="6" t="inlineStr">
        <is>
          <t>Teyze “Aylık mı, yıllık mı?” diye sordu. “Aylık” dedin. Teyze masaya dönüp “Yıllık” diye düzeltti.</t>
        </is>
      </c>
      <c r="K792" s="6" t="inlineStr">
        <is>
          <t>Kazancını söyledin. Teyze bir an durdu, çantasından bir zarf çıkarıp avucuna sıkıştırdı: “Al kuzum, annene söyleme.”</t>
        </is>
      </c>
      <c r="L792" s="6" t="inlineStr"/>
      <c r="M792" s="5" t="inlineStr"/>
      <c r="N792" s="5" t="inlineStr"/>
      <c r="O792" s="6" t="inlineStr"/>
      <c r="P792" s="6" t="inlineStr"/>
      <c r="Q792" s="5" t="inlineStr"/>
      <c r="R792" s="5" t="inlineStr"/>
      <c r="S792" s="5" t="inlineStr"/>
      <c r="T792" s="5" t="inlineStr"/>
      <c r="U792" s="5" t="inlineStr"/>
      <c r="V792" s="5" t="inlineStr"/>
      <c r="W792" s="5" t="inlineStr"/>
      <c r="X792" s="5" t="inlineStr"/>
      <c r="Y792" s="5" t="inlineStr"/>
      <c r="Z792" s="6" t="inlineStr"/>
      <c r="AA792" s="5" t="inlineStr"/>
      <c r="AB792" s="5" t="inlineStr"/>
      <c r="AC792" s="5" t="inlineStr"/>
      <c r="AD792" s="5" t="inlineStr"/>
      <c r="AE792" s="5" t="inlineStr"/>
      <c r="AF792" s="5" t="inlineStr"/>
      <c r="AG792" s="5" t="inlineStr"/>
      <c r="AH792" s="5" t="inlineStr"/>
      <c r="AI792" s="5" t="inlineStr"/>
      <c r="AJ792" s="5" t="inlineStr"/>
    </row>
    <row r="793">
      <c r="A793" s="5" t="inlineStr">
        <is>
          <t>ms-gercek-is</t>
        </is>
      </c>
      <c r="B793" s="5" t="n">
        <v>3</v>
      </c>
      <c r="C793" s="6" t="inlineStr">
        <is>
          <t>Masadaki kuzeni ittifaka davet et</t>
        </is>
      </c>
      <c r="D793" s="5" t="inlineStr">
        <is>
          <t>Sosyal Radar</t>
        </is>
      </c>
      <c r="E793" s="5" t="inlineStr">
        <is>
          <t>Kolay</t>
        </is>
      </c>
      <c r="F793" s="5" t="inlineStr"/>
      <c r="G793" s="6" t="inlineStr"/>
      <c r="H793" s="6" t="inlineStr">
        <is>
          <t>'Biz ikimiz de danışmanız' dediniz. Teyze iki danışmanın karşısında saygıyla sustu.</t>
        </is>
      </c>
      <c r="I793" s="6" t="inlineStr">
        <is>
          <t>Kuzenle ortak iş kurdunuz. Teyze artık 'şirket sahibi yeğenlerim' diyor.</t>
        </is>
      </c>
      <c r="J793" s="6" t="inlineStr">
        <is>
          <t>Kuzen seni satıp 'Ben aslında şirkette çalışıyorum' dedi.</t>
        </is>
      </c>
      <c r="K793" s="6" t="inlineStr">
        <is>
          <t>Kuzenle birlikte savunma yaptınız; teyze ikinizi de düğündeki iş sahibi amcaya tanıttı. Mülakat başladı.</t>
        </is>
      </c>
      <c r="L793" s="6" t="inlineStr"/>
      <c r="M793" s="5" t="inlineStr"/>
      <c r="N793" s="5" t="inlineStr"/>
      <c r="O793" s="6" t="inlineStr"/>
      <c r="P793" s="6" t="inlineStr"/>
      <c r="Q793" s="5" t="inlineStr"/>
      <c r="R793" s="5" t="inlineStr"/>
      <c r="S793" s="5" t="inlineStr">
        <is>
          <t>Sosyal Radar</t>
        </is>
      </c>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c r="AI793" s="5" t="inlineStr"/>
      <c r="AJ793" s="5" t="inlineStr"/>
    </row>
    <row r="794">
      <c r="A794" s="5" t="inlineStr">
        <is>
          <t>ms-gercek-is</t>
        </is>
      </c>
      <c r="B794" s="5" t="n">
        <v>4</v>
      </c>
      <c r="C794" s="6" t="inlineStr">
        <is>
          <t>Viral videonu göster</t>
        </is>
      </c>
      <c r="D794" s="5" t="inlineStr">
        <is>
          <t>Pişkinlik</t>
        </is>
      </c>
      <c r="E794" s="5" t="inlineStr">
        <is>
          <t>Kolay</t>
        </is>
      </c>
      <c r="F794" s="5" t="inlineStr"/>
      <c r="G794" s="6" t="inlineStr"/>
      <c r="H794" s="6" t="inlineStr">
        <is>
          <t>Teyze 'Bunu biz de gördük! Sen miydin?' dedi. Masada itibarın yükseldi.</t>
        </is>
      </c>
      <c r="I794" s="6" t="inlineStr">
        <is>
          <t>Teyze orkestrayı susturup videoyu bütün düğüne gösterdi. Gelinle damat da izledi; sonra seninle fotoğraf çektirmek için sıraya girdiler.</t>
        </is>
      </c>
      <c r="J794" s="6" t="inlineStr">
        <is>
          <t>Teyze videoyu izledi ve 'Peki para veriyorlar mı?' dedi. Soru cevapsız kaldı.</t>
        </is>
      </c>
      <c r="K794" s="6" t="inlineStr">
        <is>
          <t>Yanlış videoyu açtın: canlıda ritmi kaçırdığın kayıt. Düğün salonu bir daha izledi.</t>
        </is>
      </c>
      <c r="L794" s="6" t="inlineStr"/>
      <c r="M794" s="5" t="inlineStr"/>
      <c r="N794" s="5" t="inlineStr"/>
      <c r="O794" s="6" t="inlineStr"/>
      <c r="P794" s="6" t="inlineStr"/>
      <c r="Q794" s="5" t="inlineStr"/>
      <c r="R794" s="5" t="inlineStr">
        <is>
          <t>serbest-viral-oldu</t>
        </is>
      </c>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c r="AI794" s="5" t="inlineStr"/>
      <c r="AJ794" s="5" t="inlineStr"/>
    </row>
    <row r="795">
      <c r="A795" s="5" t="inlineStr">
        <is>
          <t>b7-mutfak-tadilati</t>
        </is>
      </c>
      <c r="B795" s="5" t="n">
        <v>1</v>
      </c>
      <c r="C795" s="6" t="inlineStr">
        <is>
          <t>Eşinin rengine razı ol</t>
        </is>
      </c>
      <c r="D795" s="5" t="inlineStr"/>
      <c r="E795" s="5" t="inlineStr"/>
      <c r="F795" s="5" t="inlineStr">
        <is>
          <t>Gönül +1</t>
        </is>
      </c>
      <c r="G795" s="6" t="inlineStr">
        <is>
          <t>Dolaplar krem oldu. Güzel. Sadece her sabah kahve yaparken bir şey içinde antrasit kalıyor.</t>
        </is>
      </c>
      <c r="H795" s="6" t="inlineStr"/>
      <c r="I795" s="6" t="inlineStr"/>
      <c r="J795" s="6" t="inlineStr"/>
      <c r="K795" s="6" t="inlineStr"/>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c r="AI795" s="5" t="inlineStr"/>
      <c r="AJ795" s="5" t="inlineStr"/>
    </row>
    <row r="796">
      <c r="A796" s="5" t="inlineStr">
        <is>
          <t>b7-mutfak-tadilati</t>
        </is>
      </c>
      <c r="B796" s="5" t="n">
        <v>2</v>
      </c>
      <c r="C796" s="6" t="inlineStr">
        <is>
          <t>Ortak bir renk bul</t>
        </is>
      </c>
      <c r="D796" s="5" t="inlineStr">
        <is>
          <t>Sosyal Radar</t>
        </is>
      </c>
      <c r="E796" s="5" t="inlineStr">
        <is>
          <t>Orta</t>
        </is>
      </c>
      <c r="F796" s="5" t="inlineStr"/>
      <c r="G796" s="6" t="inlineStr"/>
      <c r="H796" s="6" t="inlineStr">
        <is>
          <t>'Antrasit-krem' karışımı bir gri seçildi. İkiniz de memnun değilsiniz ama eşit memnun değilsiniz.</t>
        </is>
      </c>
      <c r="I796" s="6" t="inlineStr">
        <is>
          <t>Ortak renk o kadar güzel oldu ki usta başka müşterilere de öneriyor. Adı 'uzlaşma grisi'.</t>
        </is>
      </c>
      <c r="J796" s="6" t="inlineStr">
        <is>
          <t>Ortak renk bulunamadı. Usta çayını ikinci kez tazeledi.</t>
        </is>
      </c>
      <c r="K796" s="6" t="inlineStr">
        <is>
          <t>Ortak renk aranırken tadilat üç ay uzadı. Üç ay yemekleri balkonda, tüpte pişirdiniz. Kayınvaliden ziyarete geldi, tencereye baktı, sonra size: “Kamp mı yapıyorsunuz?”</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inlineStr"/>
      <c r="Z796" s="6" t="inlineStr"/>
      <c r="AA796" s="5" t="inlineStr"/>
      <c r="AB796" s="5" t="inlineStr"/>
      <c r="AC796" s="5" t="inlineStr"/>
      <c r="AD796" s="5" t="inlineStr"/>
      <c r="AE796" s="5" t="inlineStr"/>
      <c r="AF796" s="5" t="inlineStr"/>
      <c r="AG796" s="5" t="inlineStr"/>
      <c r="AH796" s="5" t="inlineStr"/>
      <c r="AI796" s="5" t="inlineStr"/>
      <c r="AJ796" s="5" t="inlineStr"/>
    </row>
    <row r="797">
      <c r="A797" s="5" t="inlineStr">
        <is>
          <t>b7-mutfak-tadilati</t>
        </is>
      </c>
      <c r="B797" s="5" t="n">
        <v>3</v>
      </c>
      <c r="C797" s="6" t="inlineStr">
        <is>
          <t>Kendi rengini sonuna kadar savun</t>
        </is>
      </c>
      <c r="D797" s="5" t="inlineStr">
        <is>
          <t>Cesaret</t>
        </is>
      </c>
      <c r="E797" s="5" t="inlineStr">
        <is>
          <t>Zor</t>
        </is>
      </c>
      <c r="F797" s="5" t="inlineStr"/>
      <c r="G797" s="6" t="inlineStr"/>
      <c r="H797" s="6" t="inlineStr">
        <is>
          <t>Antrasit kazandı. Mutfak güzel oldu. Eşin, zamanla sana hak verdi. Zamanla.</t>
        </is>
      </c>
      <c r="I797" s="6" t="inlineStr">
        <is>
          <t>Eşin ikna oldu. Bir hafta sonra onu telefonda annesine antrasit anlatırken duydun; senin cümlelerinle, kendi fikriymiş gibi. Sesini çıkarmadın.</t>
        </is>
      </c>
      <c r="J797" s="6" t="inlineStr">
        <is>
          <t>Savunmanın sonunda usta 'Ben yarın geleyim' dedi ve gelmedi.</t>
        </is>
      </c>
      <c r="K797" s="6" t="inlineStr">
        <is>
          <t>Savunurken “Senin zevkin zaten…” diye bir cümleye başladın. Bitiremedin; eşin bitirmene izin vermedi. Usta çayını bırakıp gitti, eşin de annesine; dolaplar ortada kaldı.</t>
        </is>
      </c>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c r="AI797" s="5" t="inlineStr"/>
      <c r="AJ797" s="5" t="inlineStr"/>
    </row>
    <row r="798">
      <c r="A798" s="5" t="inlineStr">
        <is>
          <t>b7-mutfak-tadilati</t>
        </is>
      </c>
      <c r="B798" s="5" t="n">
        <v>4</v>
      </c>
      <c r="C798" s="6" t="inlineStr">
        <is>
          <t>'Belki ayrı mutfaklar, ayrı hayatlar?' de</t>
        </is>
      </c>
      <c r="D798" s="5" t="inlineStr"/>
      <c r="E798" s="5" t="inlineStr"/>
      <c r="F798" s="5" t="inlineStr">
        <is>
          <t>Cesaret +1, Pişkinlik +1</t>
        </is>
      </c>
      <c r="G798" s="6" t="inlineStr">
        <is>
          <t>“Belki ayrı mutfaklar, ayrı hayatlar?” dedin. Şaka gibi çıktı, şaka gibi durmadı. Eşin uzun süre sustu, sonra ustaya “Siz gidin” dedi. Altı ay sonra anlaşmalı ayrıldınız; dolap kapakları hâlâ kolilerde.</t>
        </is>
      </c>
      <c r="H798" s="6" t="inlineStr"/>
      <c r="I798" s="6" t="inlineStr"/>
      <c r="J798" s="6" t="inlineStr"/>
      <c r="K798" s="6" t="inlineStr"/>
      <c r="L798" s="6" t="inlineStr"/>
      <c r="M798" s="5" t="inlineStr"/>
      <c r="N798" s="5" t="inlineStr"/>
      <c r="O798" s="6" t="inlineStr"/>
      <c r="P798" s="6" t="inlineStr"/>
      <c r="Q798" s="5" t="inlineStr"/>
      <c r="R798" s="5" t="inlineStr"/>
      <c r="S798" s="5" t="inlineStr"/>
      <c r="T798" s="5" t="inlineStr"/>
      <c r="U798" s="5" t="inlineStr">
        <is>
          <t>bosandi</t>
        </is>
      </c>
      <c r="V798" s="5" t="inlineStr"/>
      <c r="W798" s="5" t="inlineStr"/>
      <c r="X798" s="5" t="inlineStr">
        <is>
          <t>evli</t>
        </is>
      </c>
      <c r="Y798" s="5" t="inlineStr"/>
      <c r="Z798" s="6" t="inlineStr"/>
      <c r="AA798" s="5" t="inlineStr"/>
      <c r="AB798" s="5" t="inlineStr"/>
      <c r="AC798" s="5" t="inlineStr"/>
      <c r="AD798" s="5" t="inlineStr"/>
      <c r="AE798" s="5" t="inlineStr"/>
      <c r="AF798" s="5" t="inlineStr"/>
      <c r="AG798" s="5" t="inlineStr"/>
      <c r="AH798" s="5" t="inlineStr"/>
      <c r="AI798" s="5" t="inlineStr"/>
      <c r="AJ798" s="5" t="inlineStr"/>
    </row>
    <row r="799">
      <c r="A799" s="5" t="inlineStr">
        <is>
          <t>b7-ebeveyn-grubu</t>
        </is>
      </c>
      <c r="B799" s="5" t="n">
        <v>1</v>
      </c>
      <c r="C799" s="6" t="inlineStr">
        <is>
          <t>Sadece 'Katılıyorum' yaz</t>
        </is>
      </c>
      <c r="D799" s="5" t="inlineStr"/>
      <c r="E799" s="5" t="inlineStr"/>
      <c r="F799" s="5" t="inlineStr">
        <is>
          <t>Dayanıklılık +1</t>
        </is>
      </c>
      <c r="G799" s="6" t="inlineStr">
        <is>
          <t>“Katılıyorum” yazdın. Neye katıldığını hiç öğrenmedin. Akşam gruba bir hesap numarası düştü; altında senin adın ve bir tutar.</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c r="AI799" s="5" t="inlineStr"/>
      <c r="AJ799" s="5" t="inlineStr"/>
    </row>
    <row r="800">
      <c r="A800" s="5" t="inlineStr">
        <is>
          <t>b7-ebeveyn-grubu</t>
        </is>
      </c>
      <c r="B800" s="5" t="n">
        <v>2</v>
      </c>
      <c r="C800" s="6" t="inlineStr">
        <is>
          <t>Hediye organizasyonunu üstlen</t>
        </is>
      </c>
      <c r="D800" s="5" t="inlineStr">
        <is>
          <t>Sosyal Radar</t>
        </is>
      </c>
      <c r="E800" s="5" t="inlineStr">
        <is>
          <t>Zor</t>
        </is>
      </c>
      <c r="F800" s="5" t="inlineStr"/>
      <c r="G800" s="6" t="inlineStr"/>
      <c r="H800" s="6" t="inlineStr">
        <is>
          <t>Çiçek mi, çeyrek altın mı tartışması iki gün sürdü; çiçek kazandı. Grup sana teşekkür etti. Bir kişi hariç: o altın istiyordu.</t>
        </is>
      </c>
      <c r="I800" s="6" t="inlineStr">
        <is>
          <t>Öğretmen hediyeyi açınca ağladı, veliler de. Ertesi yıl grup kurulur kurulmaz ilk mesaj sana geldi: “Bu yıl da sen, değil mi?” Altına otuz iki kişi kalp bıraktı.</t>
        </is>
      </c>
      <c r="J800" s="6" t="inlineStr">
        <is>
          <t>Organizasyonu üstlendin. Üç kişi 'Ben vermiştim' dedi. Kimse vermemişti.</t>
        </is>
      </c>
      <c r="K800" s="6" t="inlineStr">
        <is>
          <t>Hediye alındı: kristal bir vazo. Yan sınıfın velileri de aynı vazoyu almış. Öğretmen ikisini masasında yan yana koyup teşekkür etti; iki grup birbirine düştü, ortada sen vardın.</t>
        </is>
      </c>
      <c r="L800" s="6" t="inlineStr"/>
      <c r="M800" s="5" t="inlineStr"/>
      <c r="N800" s="5" t="inlineStr"/>
      <c r="O800" s="6" t="inlineStr"/>
      <c r="P800" s="6" t="inlineStr"/>
      <c r="Q800" s="5" t="inlineStr">
        <is>
          <t>Kuralı Koyan</t>
        </is>
      </c>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c r="AI800" s="5" t="inlineStr"/>
      <c r="AJ800" s="5" t="inlineStr"/>
    </row>
    <row r="801">
      <c r="A801" s="5" t="inlineStr">
        <is>
          <t>b7-ebeveyn-grubu</t>
        </is>
      </c>
      <c r="B801" s="5" t="n">
        <v>3</v>
      </c>
      <c r="C801" s="6" t="inlineStr">
        <is>
          <t>Grubu sessize al</t>
        </is>
      </c>
      <c r="D801" s="5" t="inlineStr">
        <is>
          <t>Kurnazlık</t>
        </is>
      </c>
      <c r="E801" s="5" t="inlineStr">
        <is>
          <t>Kolay</t>
        </is>
      </c>
      <c r="F801" s="5" t="inlineStr"/>
      <c r="G801" s="6" t="inlineStr"/>
      <c r="H801" s="6" t="inlineStr">
        <is>
          <t>Grubu sessize aldın. Akşam yemeğinde telefon ilk kez titremedi; çocuğun “Telefonun bozuldu mu?” diye sordu.</t>
        </is>
      </c>
      <c r="I801" s="6" t="inlineStr">
        <is>
          <t>Grubu sessize aldın. Veli toplantısında öğretmen adını okudu, sen refleksle “Aynen” dedin. Sınıf güldü; öğretmen tutanağa “katıldı” yazdı.</t>
        </is>
      </c>
      <c r="J801" s="6" t="inlineStr">
        <is>
          <t>Grubu sessize aldın. Anaokulu gezisini sabah kapıda çocuğundan öğrendin; beslenme çantası boş, izin kâğıdı imzasız.</t>
        </is>
      </c>
      <c r="K801" s="6" t="inlineStr">
        <is>
          <t>Grubu sessize aldın, bir hafta sonra açtın: 'Veli temsilcimiz olarak sizi seçtik.' Oylamada yoktun.</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inlineStr"/>
      <c r="Z801" s="6" t="inlineStr"/>
      <c r="AA801" s="5" t="inlineStr"/>
      <c r="AB801" s="5" t="inlineStr"/>
      <c r="AC801" s="5" t="inlineStr"/>
      <c r="AD801" s="5" t="inlineStr"/>
      <c r="AE801" s="5" t="inlineStr"/>
      <c r="AF801" s="5" t="inlineStr"/>
      <c r="AG801" s="5" t="inlineStr"/>
      <c r="AH801" s="5" t="inlineStr"/>
      <c r="AI801" s="5" t="inlineStr"/>
      <c r="AJ801" s="5" t="inlineStr"/>
    </row>
    <row r="802">
      <c r="A802" s="5" t="inlineStr">
        <is>
          <t>mb-takim-ruhu</t>
        </is>
      </c>
      <c r="B802" s="5" t="n">
        <v>1</v>
      </c>
      <c r="C802" s="6" t="inlineStr">
        <is>
          <t>Güven düşüşü tatbikatına gönüllü ol</t>
        </is>
      </c>
      <c r="D802" s="5" t="inlineStr">
        <is>
          <t>Cesaret</t>
        </is>
      </c>
      <c r="E802" s="5" t="inlineStr">
        <is>
          <t>Orta</t>
        </is>
      </c>
      <c r="F802" s="5" t="inlineStr"/>
      <c r="G802" s="6" t="inlineStr"/>
      <c r="H802" s="6" t="inlineStr">
        <is>
          <t>Arkana düştün, ekip seni tuttu. Muhasebeden biri kulağına fısıldadı: “Raporunu yine reddedeceğim ama düşmene izin vermem.”</t>
        </is>
      </c>
      <c r="I802" s="6" t="inlineStr">
        <is>
          <t>Ekip seni tuttu, havaya attı. İnsan kaynakları görüntüyü tanıtım videosuna koydu.</t>
        </is>
      </c>
      <c r="J802" s="6" t="inlineStr">
        <is>
          <t>Ekip seni son anda tuttu. Güven, yüzde elli olarak raporlandı.</t>
        </is>
      </c>
      <c r="K802" s="6" t="inlineStr">
        <is>
          <t>Düştün; ekip o sırada grup fotoğrafı için dönmüştü. Fotoğrafta herkes gülümsüyor, sen yerdesin.</t>
        </is>
      </c>
      <c r="L802" s="6" t="inlineStr"/>
      <c r="M802" s="5" t="inlineStr"/>
      <c r="N802" s="5" t="inlineStr"/>
      <c r="O802" s="6" t="inlineStr"/>
      <c r="P802" s="6" t="inlineStr"/>
      <c r="Q802" s="5" t="inlineStr"/>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c r="AI802" s="5" t="inlineStr"/>
      <c r="AJ802" s="5" t="inlineStr"/>
    </row>
    <row r="803">
      <c r="A803" s="5" t="inlineStr">
        <is>
          <t>mb-takim-ruhu</t>
        </is>
      </c>
      <c r="B803" s="5" t="n">
        <v>2</v>
      </c>
      <c r="C803" s="6" t="inlineStr">
        <is>
          <t>Sadece yemek kısmına kadar kal</t>
        </is>
      </c>
      <c r="D803" s="5" t="inlineStr"/>
      <c r="E803" s="5" t="inlineStr"/>
      <c r="F803" s="5" t="inlineStr">
        <is>
          <t>Kurnazlık +1</t>
        </is>
      </c>
      <c r="G803" s="6" t="inlineStr">
        <is>
          <t>Etkinliğe öğle yemeğinde katıldın, halat çekmeden önce kayboldun. Katılım listesinde adın var.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c r="AI803" s="5" t="inlineStr"/>
      <c r="AJ803" s="5" t="inlineStr"/>
    </row>
    <row r="804">
      <c r="A804" s="5" t="inlineStr">
        <is>
          <t>mb-takim-ruhu</t>
        </is>
      </c>
      <c r="B804" s="5" t="n">
        <v>3</v>
      </c>
      <c r="C804" s="6" t="inlineStr">
        <is>
          <t>Dans yarışmasına katıl</t>
        </is>
      </c>
      <c r="D804" s="5" t="inlineStr">
        <is>
          <t>Pişkinlik</t>
        </is>
      </c>
      <c r="E804" s="5" t="inlineStr">
        <is>
          <t>Kolay</t>
        </is>
      </c>
      <c r="F804" s="5" t="inlineStr"/>
      <c r="G804" s="6" t="inlineStr"/>
      <c r="H804" s="6" t="inlineStr">
        <is>
          <t>Dans ettin, alkış aldın. Pazartesi asansörde genel müdür yanına geldi, tek kelime etmeden küçük bir omuz hareketi yaptı; kapı açılınca indi.</t>
        </is>
      </c>
      <c r="I804" s="6" t="inlineStr">
        <is>
          <t>Dans yarışmasını kazandın. Ödül: genel müdürle öğle yemeği ve bir kupa. Kupa daha samimiydi.</t>
        </is>
      </c>
      <c r="J804" s="6" t="inlineStr">
        <is>
          <t>Dans ettin; ekip videoyu kurumsal mesaj grubuna attı. Grup susmadı.</t>
        </is>
      </c>
      <c r="K804" s="6" t="inlineStr">
        <is>
          <t>Dans ederken muhasebe müdürünün ayağına bastın. Masraf onayların yavaşladı.</t>
        </is>
      </c>
      <c r="L804" s="6" t="inlineStr"/>
      <c r="M804" s="5" t="inlineStr"/>
      <c r="N804" s="5" t="inlineStr"/>
      <c r="O804" s="6" t="inlineStr"/>
      <c r="P804" s="6" t="inlineStr"/>
      <c r="Q804" s="5" t="inlineStr">
        <is>
          <t>Sahne Sever</t>
        </is>
      </c>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c r="AI804" s="5" t="inlineStr"/>
      <c r="AJ804" s="5" t="inlineStr"/>
    </row>
    <row r="805">
      <c r="A805" s="5" t="inlineStr">
        <is>
          <t>mb-takim-ruhu</t>
        </is>
      </c>
      <c r="B805" s="5" t="n">
        <v>4</v>
      </c>
      <c r="C805" s="6" t="inlineStr">
        <is>
          <t>Katılma</t>
        </is>
      </c>
      <c r="D805" s="5" t="inlineStr"/>
      <c r="E805" s="5" t="inlineStr"/>
      <c r="F805" s="5" t="inlineStr">
        <is>
          <t>Dayanıklılık +1</t>
        </is>
      </c>
      <c r="G805" s="6" t="inlineStr">
        <is>
          <t>Katılmadın. Pazartesi herkes aynı iç şakaya güldü. Dışarıda kaldın ama sırtın sağlam.</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c r="AI805" s="5" t="inlineStr"/>
      <c r="AJ805" s="5" t="inlineStr"/>
    </row>
    <row r="806">
      <c r="A806" s="5" t="inlineStr">
        <is>
          <t>me-indirim-sezonu</t>
        </is>
      </c>
      <c r="B806" s="5" t="n">
        <v>1</v>
      </c>
      <c r="C806" s="6" t="inlineStr">
        <is>
          <t>Pazarlıkçı müşteriye sat</t>
        </is>
      </c>
      <c r="D806" s="5" t="inlineStr">
        <is>
          <t>Çene</t>
        </is>
      </c>
      <c r="E806" s="5" t="inlineStr">
        <is>
          <t>Orta</t>
        </is>
      </c>
      <c r="F806" s="5" t="inlineStr"/>
      <c r="G806" s="6" t="inlineStr"/>
      <c r="H806" s="6" t="inlineStr">
        <is>
          <t>İyi fiyattan sattın. Müşteri de indirim yakaladığına inanarak çıktı. Herkes kazandı; sen biraz fazla.</t>
        </is>
      </c>
      <c r="I806" s="6" t="inlineStr">
        <is>
          <t>Pazarlık bitince müşteri bir tane daha aldı. Sonra annesi için bir tane daha. Stok bitti, hikâyen tuttu.</t>
        </is>
      </c>
      <c r="J806" s="6" t="inlineStr">
        <is>
          <t>Müşteri 'Karşıda daha ucuzu var' dedi. Yoktu. Ama ikiniz de bakmaya gittiniz.</t>
        </is>
      </c>
      <c r="K806" s="6" t="inlineStr">
        <is>
          <t>“Son fiyat” dedin, üç kez. Müşteri dördüncüyü bekledi; dayanamayıp “Senin olsun” dedin. Ertesi gün annesini getirdi: “Bu da aynı fiyattan.”</t>
        </is>
      </c>
      <c r="L806" s="6" t="inlineStr">
        <is>
          <t>Sattın. Kâr, sezonun geri kalanı kadar ince.</t>
        </is>
      </c>
      <c r="M806" s="5" t="inlineStr">
        <is>
          <t>duel</t>
        </is>
      </c>
      <c r="N806" s="5" t="inlineStr">
        <is>
          <t>Sezon Sonu Pazarlığı</t>
        </is>
      </c>
      <c r="O806" s="6" t="inlineStr">
        <is>
          <t>Karşındakinin sabrı bitmeden en iyi cevabı seç.</t>
        </is>
      </c>
      <c r="P806" s="6" t="inlineStr">
        <is>
          <t>{"who": "Müşteri", "item": "sezon sonu mal", "mode": "sell"}</t>
        </is>
      </c>
      <c r="Q806" s="5" t="inlineStr"/>
      <c r="R806" s="5" t="inlineStr"/>
      <c r="S806" s="5" t="inlineStr"/>
      <c r="T806" s="5" t="inlineStr"/>
      <c r="U806" s="5" t="inlineStr"/>
      <c r="V806" s="5" t="inlineStr"/>
      <c r="W806" s="5" t="inlineStr"/>
      <c r="X806" s="5" t="inlineStr"/>
      <c r="Y806" s="5" t="inlineStr"/>
      <c r="Z806" s="6" t="inlineStr"/>
      <c r="AA806" s="5" t="inlineStr"/>
      <c r="AB806" s="5" t="inlineStr"/>
      <c r="AC806" s="5" t="inlineStr"/>
      <c r="AD806" s="5" t="inlineStr"/>
      <c r="AE806" s="5" t="inlineStr"/>
      <c r="AF806" s="5" t="inlineStr"/>
      <c r="AG806" s="5" t="inlineStr"/>
      <c r="AH806" s="5" t="inlineStr"/>
      <c r="AI806" s="5" t="inlineStr"/>
      <c r="AJ806" s="5" t="inlineStr"/>
    </row>
    <row r="807">
      <c r="A807" s="5" t="inlineStr">
        <is>
          <t>me-indirim-sezonu</t>
        </is>
      </c>
      <c r="B807" s="5" t="n">
        <v>2</v>
      </c>
      <c r="C807" s="6" t="inlineStr">
        <is>
          <t>En üst raftaki son malı indir</t>
        </is>
      </c>
      <c r="D807" s="5" t="inlineStr">
        <is>
          <t>Dayanıklılık</t>
        </is>
      </c>
      <c r="E807" s="5" t="inlineStr">
        <is>
          <t>Zor</t>
        </is>
      </c>
      <c r="F807" s="5" t="inlineStr"/>
      <c r="G807" s="6" t="inlineStr"/>
      <c r="H807" s="6" t="inlineStr">
        <is>
          <t>Merdivene çıktın, malı indirdin, tozunu üfledin. Müşteri kutuyu çevirdi: “Bu son mu?” “Son.” Pazarlık etmeden aldı.</t>
        </is>
      </c>
      <c r="I807" s="6" t="inlineStr">
        <is>
          <t>Rafın arkasında unutulmuş bir koli buldun. Tamamı satıldı; sezon ikinci kez açıldı.</t>
        </is>
      </c>
      <c r="J807" s="6" t="inlineStr">
        <is>
          <t>Mal indi, merdiven de indi. Malı yerden aldın.</t>
        </is>
      </c>
      <c r="K807" s="6" t="inlineStr">
        <is>
          <t>Son basamakta raf seninle birlikte eğildi; sezonun bütün kolileri üstüne yağdı. Müşteri koliler arasından önce malı çıkardı: “Bunun başka rengi var mı?”</t>
        </is>
      </c>
      <c r="L807" s="6" t="inlineStr"/>
      <c r="M807" s="5" t="inlineStr"/>
      <c r="N807" s="5" t="inlineStr"/>
      <c r="O807" s="6" t="inlineStr"/>
      <c r="P807" s="6" t="inlineStr"/>
      <c r="Q807" s="5" t="inlineStr"/>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c r="AI807" s="5" t="inlineStr"/>
      <c r="AJ807" s="5" t="inlineStr"/>
    </row>
    <row r="808">
      <c r="A808" s="5" t="inlineStr">
        <is>
          <t>me-indirim-sezonu</t>
        </is>
      </c>
      <c r="B808" s="5" t="n">
        <v>3</v>
      </c>
      <c r="C808" s="6" t="inlineStr">
        <is>
          <t>Cama 'Stok sınırlı' yaz</t>
        </is>
      </c>
      <c r="D808" s="5" t="inlineStr">
        <is>
          <t>Kurnazlık</t>
        </is>
      </c>
      <c r="E808" s="5" t="inlineStr">
        <is>
          <t>Kolay</t>
        </is>
      </c>
      <c r="F808" s="5" t="inlineStr"/>
      <c r="G808" s="6" t="inlineStr"/>
      <c r="H808" s="6" t="inlineStr">
        <is>
          <t>'Stok sınırlı' yazdın. Stok sınırlı değildi. Kuyruk ise kapıya kadardı.</t>
        </is>
      </c>
      <c r="I808" s="6" t="inlineStr">
        <is>
          <t>Müşteriler sınırlı stoku sınırsız aldı. Mahalle maçında çekirdek sattığın günden beri bu kadar kuyruk görmemiştin.</t>
        </is>
      </c>
      <c r="J808" s="6" t="inlineStr">
        <is>
          <t>Mahalle camı okudu, “Sınırlıysa bitmiştir” deyip karşıya gitti. Akşam teyzenin biri geri geldi: “Bitmediyse bana bir tane ayır.”</t>
        </is>
      </c>
      <c r="K808" s="6" t="inlineStr">
        <is>
          <t>Tabelayı gören zabıta sınırlı stoğun belgesini istedi. Stoku saymak iki gün sürdü.</t>
        </is>
      </c>
      <c r="L808" s="6" t="inlineStr"/>
      <c r="M808" s="5" t="inlineStr"/>
      <c r="N808" s="5" t="inlineStr"/>
      <c r="O808" s="6" t="inlineStr"/>
      <c r="P808" s="6" t="inlineStr"/>
      <c r="Q808" s="5" t="inlineStr">
        <is>
          <t>Çekirdek Baronu</t>
        </is>
      </c>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c r="AI808" s="5" t="inlineStr"/>
      <c r="AJ808" s="5" t="inlineStr"/>
    </row>
    <row r="809">
      <c r="A809" s="5" t="inlineStr">
        <is>
          <t>me-indirim-sezonu</t>
        </is>
      </c>
      <c r="B809" s="5" t="n">
        <v>4</v>
      </c>
      <c r="C809" s="6" t="inlineStr">
        <is>
          <t>İndirim yapma, sabret</t>
        </is>
      </c>
      <c r="D809" s="5" t="inlineStr"/>
      <c r="E809" s="5" t="inlineStr"/>
      <c r="F809" s="5" t="inlineStr">
        <is>
          <t>İtibar +1, Dayanıklılık +1</t>
        </is>
      </c>
      <c r="G809" s="6" t="inlineStr">
        <is>
          <t>Etiketlere dokunmadın. Sezon bitti, mallar rafta. Gelecek sezona 'klasik' olarak girecekler.</t>
        </is>
      </c>
      <c r="H809" s="6" t="inlineStr"/>
      <c r="I809" s="6" t="inlineStr"/>
      <c r="J809" s="6" t="inlineStr"/>
      <c r="K809" s="6" t="inlineStr"/>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c r="AI809" s="5" t="inlineStr"/>
      <c r="AJ809" s="5" t="inlineStr"/>
    </row>
    <row r="810">
      <c r="A810" s="5" t="inlineStr">
        <is>
          <t>b7-borc-batagi</t>
        </is>
      </c>
      <c r="B810" s="5" t="n">
        <v>1</v>
      </c>
      <c r="C810" s="6" t="inlineStr">
        <is>
          <t>Tamamını öde</t>
        </is>
      </c>
      <c r="D810" s="5" t="inlineStr"/>
      <c r="E810" s="5" t="inlineStr"/>
      <c r="F810" s="5" t="inlineStr">
        <is>
          <t>İtibar +1, Akıl +1</t>
        </is>
      </c>
      <c r="G810" s="6" t="inlineStr">
        <is>
          <t>Borcu kapattın. Hesap bakiyesi de kapandı. Ay sonuna kadar sadece evdeki makarnayı yediniz.</t>
        </is>
      </c>
      <c r="H810" s="6" t="inlineStr"/>
      <c r="I810" s="6" t="inlineStr"/>
      <c r="J810" s="6" t="inlineStr"/>
      <c r="K810" s="6" t="inlineStr"/>
      <c r="L810" s="6" t="inlineStr"/>
      <c r="M810" s="5" t="inlineStr"/>
      <c r="N810" s="5" t="inlineStr"/>
      <c r="O810" s="6" t="inlineStr"/>
      <c r="P810" s="6" t="inlineStr"/>
      <c r="Q810" s="5" t="inlineStr"/>
      <c r="R810" s="5" t="inlineStr"/>
      <c r="S810" s="5" t="inlineStr"/>
      <c r="T810" s="5" t="inlineStr"/>
      <c r="U810" s="5" t="inlineStr"/>
      <c r="V810" s="5" t="inlineStr"/>
      <c r="W810" s="5" t="inlineStr"/>
      <c r="X810" s="5" t="inlineStr">
        <is>
          <t>borclu, kart-borclu</t>
        </is>
      </c>
      <c r="Y810" s="5" t="inlineStr"/>
      <c r="Z810" s="6" t="inlineStr"/>
      <c r="AA810" s="5" t="inlineStr"/>
      <c r="AB810" s="5" t="inlineStr"/>
      <c r="AC810" s="5" t="inlineStr">
        <is>
          <t>Orta</t>
        </is>
      </c>
      <c r="AD810" s="5" t="inlineStr"/>
      <c r="AE810" s="5" t="inlineStr"/>
      <c r="AF810" s="5" t="n">
        <v>1</v>
      </c>
      <c r="AG810" s="5" t="inlineStr"/>
      <c r="AH810" s="5" t="inlineStr"/>
      <c r="AI810" s="5" t="inlineStr"/>
      <c r="AJ810" s="5" t="inlineStr"/>
    </row>
    <row r="811">
      <c r="A811" s="5" t="inlineStr">
        <is>
          <t>b7-borc-batagi</t>
        </is>
      </c>
      <c r="B811" s="5" t="n">
        <v>2</v>
      </c>
      <c r="C811" s="6" t="inlineStr">
        <is>
          <t>Asgariyi öde</t>
        </is>
      </c>
      <c r="D811" s="5" t="inlineStr"/>
      <c r="E811" s="5" t="inlineStr"/>
      <c r="F811" s="5" t="inlineStr">
        <is>
          <t>Kurnazlık +1</t>
        </is>
      </c>
      <c r="G811" s="6" t="inlineStr">
        <is>
          <t>Asgariyi ödedin. Ertesi ay banka doğum gününü kutladı; o yıl doğum gününü hatırlayan tek yer orasıydı.</t>
        </is>
      </c>
      <c r="H811" s="6" t="inlineStr"/>
      <c r="I811" s="6" t="inlineStr"/>
      <c r="J811" s="6" t="inlineStr"/>
      <c r="K811" s="6" t="inlineStr"/>
      <c r="L811" s="6" t="inlineStr"/>
      <c r="M811" s="5" t="inlineStr"/>
      <c r="N811" s="5" t="inlineStr"/>
      <c r="O811" s="6" t="inlineStr"/>
      <c r="P811" s="6" t="inlineStr"/>
      <c r="Q811" s="5" t="inlineStr"/>
      <c r="R811" s="5" t="inlineStr"/>
      <c r="S811" s="5" t="inlineStr"/>
      <c r="T811" s="5" t="inlineStr"/>
      <c r="U811" s="5" t="inlineStr">
        <is>
          <t>borclu, kart-borclu</t>
        </is>
      </c>
      <c r="V811" s="5" t="inlineStr"/>
      <c r="W811" s="5" t="inlineStr"/>
      <c r="X811" s="5" t="inlineStr"/>
      <c r="Y811" s="5" t="inlineStr"/>
      <c r="Z811" s="6" t="inlineStr"/>
      <c r="AA811" s="5" t="inlineStr"/>
      <c r="AB811" s="5" t="inlineStr"/>
      <c r="AC811" s="5" t="inlineStr"/>
      <c r="AD811" s="5" t="inlineStr"/>
      <c r="AE811" s="5" t="inlineStr"/>
      <c r="AF811" s="5" t="inlineStr"/>
      <c r="AG811" s="5" t="inlineStr"/>
      <c r="AH811" s="5" t="inlineStr"/>
      <c r="AI811" s="5" t="inlineStr"/>
      <c r="AJ811" s="5" t="inlineStr"/>
    </row>
    <row r="812">
      <c r="A812" s="5" t="inlineStr">
        <is>
          <t>b7-borc-batagi</t>
        </is>
      </c>
      <c r="B812" s="5" t="n">
        <v>3</v>
      </c>
      <c r="C812" s="6" t="inlineStr">
        <is>
          <t>Kartla kartı öde</t>
        </is>
      </c>
      <c r="D812" s="5" t="inlineStr">
        <is>
          <t>Kurnazlık</t>
        </is>
      </c>
      <c r="E812" s="5" t="inlineStr">
        <is>
          <t>Zor</t>
        </is>
      </c>
      <c r="F812" s="5" t="inlineStr"/>
      <c r="G812" s="6" t="inlineStr"/>
      <c r="H812" s="6" t="inlineStr">
        <is>
          <t>Bir kartın borcunu öbür kartla ödedin. Bu ay kurtuldu. Gelecek ayı düşünmemek için telefonu yüzüstü çevirdin.</t>
        </is>
      </c>
      <c r="I812" s="6" t="inlineStr">
        <is>
          <t>Borcu üç kart arasında ustalıkla dolaştırdın. Ay sonunda bankadan telefon geldi: “Sadık müşterimiz olduğunuz için limitinizi artırdık.”</t>
        </is>
      </c>
      <c r="J812" s="6" t="inlineStr">
        <is>
          <t>Transfer sırasında bir karta limit düştü. Borç şimdi iki yerde, iki kat.</t>
        </is>
      </c>
      <c r="K812" s="6" t="inlineStr">
        <is>
          <t>Kartları birbirine bağladın; ay sonunda üçü de aynı anda reddetti. Market kasasında, poşetler doluyken. Arkadaki teyze senin ekmeğinin parasını uzattı: “Olur öyle.” Bütün sıra duydu.</t>
        </is>
      </c>
      <c r="L812" s="6" t="inlineStr"/>
      <c r="M812" s="5" t="inlineStr"/>
      <c r="N812" s="5" t="inlineStr"/>
      <c r="O812" s="6" t="inlineStr"/>
      <c r="P812" s="6" t="inlineStr"/>
      <c r="Q812" s="5" t="inlineStr"/>
      <c r="R812" s="5" t="inlineStr"/>
      <c r="S812" s="5" t="inlineStr"/>
      <c r="T812" s="5" t="inlineStr"/>
      <c r="U812" s="5" t="inlineStr"/>
      <c r="V812" s="5" t="inlineStr"/>
      <c r="W812" s="5" t="inlineStr">
        <is>
          <t>borclu</t>
        </is>
      </c>
      <c r="X812" s="5" t="inlineStr"/>
      <c r="Y812" s="5" t="inlineStr"/>
      <c r="Z812" s="6" t="inlineStr"/>
      <c r="AA812" s="5" t="inlineStr"/>
      <c r="AB812" s="5" t="inlineStr"/>
      <c r="AC812" s="5" t="inlineStr"/>
      <c r="AD812" s="5" t="inlineStr"/>
      <c r="AE812" s="5" t="inlineStr"/>
      <c r="AF812" s="5" t="inlineStr"/>
      <c r="AG812" s="5" t="inlineStr"/>
      <c r="AH812" s="5" t="inlineStr"/>
      <c r="AI812" s="5" t="inlineStr"/>
      <c r="AJ812" s="5" t="inlineStr"/>
    </row>
    <row r="813">
      <c r="A813" s="5" t="inlineStr">
        <is>
          <t>b7-borc-batagi</t>
        </is>
      </c>
      <c r="B813" s="5" t="n">
        <v>4</v>
      </c>
      <c r="C813" s="6" t="inlineStr">
        <is>
          <t>Yastık altındaki dövizi boz</t>
        </is>
      </c>
      <c r="D813" s="5" t="inlineStr">
        <is>
          <t>Akıl</t>
        </is>
      </c>
      <c r="E813" s="5" t="inlineStr">
        <is>
          <t>Kolay</t>
        </is>
      </c>
      <c r="F813" s="5" t="inlineStr"/>
      <c r="G813" s="6" t="inlineStr"/>
      <c r="H813" s="6" t="inlineStr">
        <is>
          <t>Yastık altı birikim çıktı, borç kapandı. Yastık hafifledi ama uyku düzeldi.</t>
        </is>
      </c>
      <c r="I813" s="6" t="inlineStr">
        <is>
          <t>Tam kur yükselirken bozdun. Borç kapandı, üstüne bir tatil çıktı. Yastık seni gururla izliyor.</t>
        </is>
      </c>
      <c r="J813" s="6" t="inlineStr">
        <is>
          <t>Tam kur düştüğünde bozdun. Borç kapandı, yastık boşaldı. Ertesi sabah kur yine çıktı; döviz bürosunun önünden geçerken başını çevirdin.</t>
        </is>
      </c>
      <c r="K813" s="6" t="inlineStr">
        <is>
          <t>Yastığın altında sadece eski bir makbuz çıktı. Birikimi geçen yıl başka bir borca kullanmışsın.</t>
        </is>
      </c>
      <c r="L813" s="6" t="inlineStr"/>
      <c r="M813" s="5" t="inlineStr"/>
      <c r="N813" s="5" t="inlineStr"/>
      <c r="O813" s="6" t="inlineStr"/>
      <c r="P813" s="6" t="inlineStr"/>
      <c r="Q813" s="5" t="inlineStr">
        <is>
          <t>Yastık Altı Ekonomisti</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c r="AI813" s="5" t="inlineStr"/>
      <c r="AJ813" s="5" t="inlineStr"/>
    </row>
    <row r="814">
      <c r="A814" s="5" t="inlineStr">
        <is>
          <t>b7-borc-batagi</t>
        </is>
      </c>
      <c r="B814" s="5" t="n">
        <v>5</v>
      </c>
      <c r="C814" s="6" t="inlineStr">
        <is>
          <t>Düğün takılarını kuyumcuya götür</t>
        </is>
      </c>
      <c r="D814" s="5" t="inlineStr">
        <is>
          <t>Gönül</t>
        </is>
      </c>
      <c r="E814" s="5" t="inlineStr">
        <is>
          <t>Orta</t>
        </is>
      </c>
      <c r="F814" s="5" t="inlineStr"/>
      <c r="G814" s="6" t="inlineStr"/>
      <c r="H814" s="6" t="inlineStr">
        <is>
          <t>Takıları kuyumcuya götürdünüz. Borç kapandı, kutu hafifledi. Eşin kapağı kapatırken “Bunlar yine gelir” dedi.</t>
        </is>
      </c>
      <c r="I814" s="6" t="inlineStr">
        <is>
          <t>Eşin takı kutusunu kendi açıp masaya koydu: “Altın bugün için.” Kuyumcu iyi fiyat verdi, borç kapandı. Kayınvalide hâlâ bilmiyor; bilmeyecek.</t>
        </is>
      </c>
      <c r="J814" s="6" t="inlineStr">
        <is>
          <t>Kuyumcu takıları tarttı, işçiliği saymadı. Borcun yarısı kapandı; öbür yarısı ve boş kutu kaldı.</t>
        </is>
      </c>
      <c r="K814" s="6" t="inlineStr">
        <is>
          <t>Kayınvalidenin taktığı bileziği de bozdurdun. Bayram ziyaretinde kayınvalide ilk iş bileklere baktı. Çay soğudu, mesele soğumadı.</t>
        </is>
      </c>
      <c r="L814" s="6" t="inlineStr"/>
      <c r="M814" s="5" t="inlineStr"/>
      <c r="N814" s="5" t="inlineStr"/>
      <c r="O814" s="6" t="inlineStr"/>
      <c r="P814" s="6" t="inlineStr"/>
      <c r="Q814" s="5" t="inlineStr"/>
      <c r="R814" s="5" t="inlineStr">
        <is>
          <t>evli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c r="AI814" s="5" t="inlineStr"/>
      <c r="AJ814" s="5" t="inlineStr"/>
    </row>
    <row r="815">
      <c r="A815" s="5" t="inlineStr">
        <is>
          <t>b7-dogum-gunu-partisi</t>
        </is>
      </c>
      <c r="B815" s="5" t="n">
        <v>1</v>
      </c>
      <c r="C815" s="6" t="inlineStr">
        <is>
          <t>Evde, sade bir pasta</t>
        </is>
      </c>
      <c r="D815" s="5" t="inlineStr"/>
      <c r="E815" s="5" t="inlineStr"/>
      <c r="F815" s="5" t="inlineStr">
        <is>
          <t>Gönül +1</t>
        </is>
      </c>
      <c r="G815" s="6" t="inlineStr">
        <is>
          <t>Evde pasta kestiniz; mumu çocuğun üç kerede söndürdü. Yatarken sordu: “Seneye yine böyle mi?” Veli grubunda bunun adı “cesur tercih” oldu.</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c r="AI815" s="5" t="inlineStr"/>
      <c r="AJ815" s="5" t="inlineStr"/>
    </row>
    <row r="816">
      <c r="A816" s="5" t="inlineStr">
        <is>
          <t>b7-dogum-gunu-partisi</t>
        </is>
      </c>
      <c r="B816" s="5" t="n">
        <v>2</v>
      </c>
      <c r="C816" s="6" t="inlineStr">
        <is>
          <t>Büyük bir parti organize et</t>
        </is>
      </c>
      <c r="D816" s="5" t="inlineStr">
        <is>
          <t>Sosyal Radar</t>
        </is>
      </c>
      <c r="E816" s="5" t="inlineStr">
        <is>
          <t>Zor</t>
        </is>
      </c>
      <c r="F816" s="5" t="inlineStr"/>
      <c r="G816" s="6" t="inlineStr"/>
      <c r="H816" s="6" t="inlineStr">
        <is>
          <t>Parti harika geçti: uzay kurabiyeleri, folyodan kasklar, tavanda yıldızlar. Rekabetçi ailenin annesi kurabiyenin fotoğrafını çekti, tarifini sormadı; bir ay sonra kendi partisinde aynısı vardı.</t>
        </is>
      </c>
      <c r="I816" s="6" t="inlineStr">
        <is>
          <t>Parti öyle güzel geçti ki iki veli seni kendi partileri için tutmak istedi. Çocuğun gece yatarken “En güzeli bizimkiydi” dedi; bunu kimseye satmadın.</t>
        </is>
      </c>
      <c r="J816" s="6" t="inlineStr">
        <is>
          <t>Uzay kostümü gelmedi. Çocuk astronot yerine 'gezegen' oldu.</t>
        </is>
      </c>
      <c r="K816" s="6" t="inlineStr">
        <is>
          <t>Kiraladığın köpük makinesi durmadı. Parkın yarısı köpük altında; çocuklar bayıldı, veliler bayılmadı. Belediyeden temizlik faturası geldi, rekabetçi aileden de “Bizimkinin ayakkabıları nerede?” mesajı.</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is>
          <t>Sosyal Radar 33</t>
        </is>
      </c>
      <c r="AI816" s="5" t="inlineStr"/>
      <c r="AJ816" s="5" t="inlineStr"/>
    </row>
    <row r="817">
      <c r="A817" s="5" t="inlineStr">
        <is>
          <t>b7-dogum-gunu-partisi</t>
        </is>
      </c>
      <c r="B817" s="5" t="n">
        <v>3</v>
      </c>
      <c r="C817" s="6" t="inlineStr">
        <is>
          <t>Doğum günü hediyelerini düğün takı defteri gibi kaydet</t>
        </is>
      </c>
      <c r="D817" s="5" t="inlineStr">
        <is>
          <t>Akıl</t>
        </is>
      </c>
      <c r="E817" s="5" t="inlineStr">
        <is>
          <t>Kolay</t>
        </is>
      </c>
      <c r="F817" s="5" t="inlineStr"/>
      <c r="G817" s="6" t="inlineStr"/>
      <c r="H817" s="6" t="inlineStr">
        <is>
          <t>Her hediyeyi deftere yazdın: kim, ne, kaç para. Annen defteri görünce gururlandı: “Bizim takı defterinin aynısı.”</t>
        </is>
      </c>
      <c r="I817" s="6" t="inlineStr">
        <is>
          <t>Defteri öyle tuttun ki kim neyi kaça almış, hepsi belli. Halan defteri görünce gelecek doğum gününün hediyesini bir boy büyüttü.</t>
        </is>
      </c>
      <c r="J817" s="6" t="inlineStr">
        <is>
          <t>Kaydederken çocuğun hediyelerin yarısını açtı. Kimin ne getirdiği bilinmiyor.</t>
        </is>
      </c>
      <c r="K817" s="6" t="inlineStr">
        <is>
          <t>Defteri yanlışlıkla veli grubuna gönderdin, notlarıyla birlikte: “Plastik roket – indirimden, belli.” Roketi getiren veli on dakika sonra gruptan çıktı.</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c r="AI817" s="5" t="inlineStr"/>
      <c r="AJ817" s="5" t="inlineStr"/>
    </row>
    <row r="818">
      <c r="A818" s="5" t="inlineStr">
        <is>
          <t>mm-kurum-piknigi</t>
        </is>
      </c>
      <c r="B818" s="5" t="n">
        <v>1</v>
      </c>
      <c r="C818" s="6" t="inlineStr">
        <is>
          <t>Halat çekme finaline gir</t>
        </is>
      </c>
      <c r="D818" s="5" t="inlineStr">
        <is>
          <t>Dayanıklılık</t>
        </is>
      </c>
      <c r="E818" s="5" t="inlineStr">
        <is>
          <t>Zor</t>
        </is>
      </c>
      <c r="F818" s="5" t="inlineStr"/>
      <c r="G818" s="6" t="inlineStr"/>
      <c r="H818" s="6" t="inlineStr">
        <is>
          <t>Takımın kazandı. Kupa bir yıl biriminizin dolabında duracak; dolabın anahtarı kayıp.</t>
        </is>
      </c>
      <c r="I818" s="6" t="inlineStr">
        <is>
          <t>Takımı sen taşıdın. “Yılın Bileği” ilan edildin; müdür siciline bir satır ekletti: “Beden gücü: üstün.”</t>
        </is>
      </c>
      <c r="J818" s="6" t="inlineStr">
        <is>
          <t>Halat elinden kaydı, takım çime oturdu. Karşı takım el çırparken müdür eldivenini çıkarıp sana uzattı: “Seneye bununla gel.”</t>
        </is>
      </c>
      <c r="K818" s="6" t="inlineStr">
        <is>
          <t>Halatı bir anda bıraktın; karşı takım toptan çamura oturdu, en önde müdür. Kazandınız. Müdür çamurdan kalkarken yalnızca sana baktı; ertesi sabah izin dilekçen “uygun görülmedi.”</t>
        </is>
      </c>
      <c r="L818" s="6" t="inlineStr">
        <is>
          <t>Halat ortada kaldı, hakem berabere dedi. Kupa iki birimin dolabında altışar ay duracak; anahtar yine kayıp.</t>
        </is>
      </c>
      <c r="M818" s="5" t="inlineStr">
        <is>
          <t>fight</t>
        </is>
      </c>
      <c r="N818" s="5" t="inlineStr">
        <is>
          <t>Halat Çekme Finali</t>
        </is>
      </c>
      <c r="O818" s="6" t="inlineStr">
        <is>
          <t>Saldırının geldiği yöne karşılık ver.</t>
        </is>
      </c>
      <c r="P818" s="6" t="inlineStr">
        <is>
          <t>{"mode": "parry", "opp": "💪"}</t>
        </is>
      </c>
      <c r="Q818" s="5" t="inlineStr"/>
      <c r="R818" s="5" t="inlineStr"/>
      <c r="S818" s="5" t="inlineStr"/>
      <c r="T818" s="5" t="inlineStr"/>
      <c r="U818" s="5" t="inlineStr"/>
      <c r="V818" s="5" t="inlineStr"/>
      <c r="W818" s="5" t="inlineStr">
        <is>
          <t>memur-mudur-dusmani</t>
        </is>
      </c>
      <c r="X818" s="5" t="inlineStr"/>
      <c r="Y818" s="5" t="inlineStr"/>
      <c r="Z818" s="6" t="inlineStr"/>
      <c r="AA818" s="5" t="inlineStr"/>
      <c r="AB818" s="5" t="inlineStr"/>
      <c r="AC818" s="5" t="inlineStr"/>
      <c r="AD818" s="5" t="inlineStr"/>
      <c r="AE818" s="5" t="inlineStr"/>
      <c r="AF818" s="5" t="inlineStr"/>
      <c r="AG818" s="5" t="inlineStr"/>
      <c r="AH818" s="5" t="inlineStr"/>
      <c r="AI818" s="5" t="inlineStr"/>
      <c r="AJ818" s="5" t="inlineStr"/>
    </row>
    <row r="819">
      <c r="A819" s="5" t="inlineStr">
        <is>
          <t>mm-kurum-piknigi</t>
        </is>
      </c>
      <c r="B819" s="5" t="n">
        <v>2</v>
      </c>
      <c r="C819" s="6" t="inlineStr">
        <is>
          <t>Mangalın başına geç</t>
        </is>
      </c>
      <c r="D819" s="5" t="inlineStr"/>
      <c r="E819" s="5" t="inlineStr"/>
      <c r="F819" s="5" t="inlineStr">
        <is>
          <t>Sosyal Radar +1, Çene +1</t>
        </is>
      </c>
      <c r="G819" s="6" t="inlineStr">
        <is>
          <t>Köfteleri rütbeye göre değil, sıraya göre dağıttın. Kurum tarihindeki en büyük reform.</t>
        </is>
      </c>
      <c r="H819" s="6" t="inlineStr"/>
      <c r="I819" s="6" t="inlineStr"/>
      <c r="J819" s="6" t="inlineStr"/>
      <c r="K819" s="6" t="inlineStr"/>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c r="AI819" s="5" t="inlineStr"/>
      <c r="AJ819" s="5" t="inlineStr"/>
    </row>
    <row r="820">
      <c r="A820" s="5" t="inlineStr">
        <is>
          <t>mm-kurum-piknigi</t>
        </is>
      </c>
      <c r="B820" s="5" t="n">
        <v>3</v>
      </c>
      <c r="C820" s="6" t="inlineStr">
        <is>
          <t>Pikniği baştan organize et</t>
        </is>
      </c>
      <c r="D820" s="5" t="inlineStr">
        <is>
          <t>Sosyal Radar</t>
        </is>
      </c>
      <c r="E820" s="5" t="inlineStr">
        <is>
          <t>Kolay</t>
        </is>
      </c>
      <c r="F820" s="5" t="inlineStr"/>
      <c r="G820" s="6" t="inlineStr"/>
      <c r="H820" s="6" t="inlineStr">
        <is>
          <t>Servis saati, mangal nöbeti, oyun fikstürü. Yıllar sonra ilk kez kimse kimseye küsmedi.</t>
        </is>
      </c>
      <c r="I820" s="6" t="inlineStr">
        <is>
          <t>Müdürlük seni “Sosyal Faaliyetler Sorumlusu” yaptı. Ertesi hafta masana ilk dilekçe geldi: “Seneye kuzu çevirme de olsun.”</t>
        </is>
      </c>
      <c r="J820" s="6" t="inlineStr">
        <is>
          <t>Fikstürü mükemmel hazırladın. Yağmur fikstüre bakmadı.</t>
        </is>
      </c>
      <c r="K820" s="6" t="inlineStr">
        <is>
          <t>Servisleri yanlış parka yönlendirdin. Kurum pikniği başka bir kurumun pikniğiyle birleşti. İki kurum hâlâ yazışıyor.</t>
        </is>
      </c>
      <c r="L820" s="6" t="inlineStr"/>
      <c r="M820" s="5" t="inlineStr"/>
      <c r="N820" s="5" t="inlineStr"/>
      <c r="O820" s="6" t="inlineStr"/>
      <c r="P820" s="6" t="inlineStr"/>
      <c r="Q820" s="5" t="inlineStr">
        <is>
          <t>Kuralı Koyan</t>
        </is>
      </c>
      <c r="R820" s="5" t="inlineStr"/>
      <c r="S820" s="5" t="inlineStr"/>
      <c r="T820" s="5" t="inlineStr"/>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c r="AI820" s="5" t="inlineStr"/>
      <c r="AJ820" s="5" t="inlineStr"/>
    </row>
    <row r="821">
      <c r="A821" s="5" t="inlineStr">
        <is>
          <t>mm-kurum-piknigi</t>
        </is>
      </c>
      <c r="B821" s="5" t="n">
        <v>4</v>
      </c>
      <c r="C821" s="6" t="inlineStr">
        <is>
          <t>Müdürü kendi takımına al</t>
        </is>
      </c>
      <c r="D821" s="5" t="inlineStr">
        <is>
          <t>Çene</t>
        </is>
      </c>
      <c r="E821" s="5" t="inlineStr">
        <is>
          <t>Zor</t>
        </is>
      </c>
      <c r="F821" s="5" t="inlineStr"/>
      <c r="G821" s="6" t="inlineStr"/>
      <c r="H821" s="6" t="inlineStr">
        <is>
          <t>Birlikte kazandınız. Aranızdaki buz, halattan önce koptu.</t>
        </is>
      </c>
      <c r="I821" s="6" t="inlineStr">
        <is>
          <t>Omuz omuza çektiniz. Fotoğrafınız bültenin kapağına çıktı; altında tek kelime var: 'Barış.'</t>
        </is>
      </c>
      <c r="J821" s="6" t="inlineStr">
        <is>
          <t>Müdür 'Ben tarafsız kalayım' dedi ve hakem oldu. Takımına üç faul verdi.</t>
        </is>
      </c>
      <c r="K821" s="6" t="inlineStr">
        <is>
          <t>Müdür halatı bıraktı, sen çimde kaydın. Sicil notuna “Takım çalışması: zayıf” düşüldü; yazan da müdürdü.</t>
        </is>
      </c>
      <c r="L821" s="6" t="inlineStr"/>
      <c r="M821" s="5" t="inlineStr"/>
      <c r="N821" s="5" t="inlineStr"/>
      <c r="O821" s="6" t="inlineStr"/>
      <c r="P821" s="6" t="inlineStr"/>
      <c r="Q821" s="5" t="inlineStr"/>
      <c r="R821" s="5" t="inlineStr">
        <is>
          <t>memur-mudur-dusmani</t>
        </is>
      </c>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c r="AI821" s="5" t="inlineStr"/>
      <c r="AJ821" s="5" t="inlineStr"/>
    </row>
    <row r="822">
      <c r="A822" s="5" t="inlineStr">
        <is>
          <t>b7-yil-donumu</t>
        </is>
      </c>
      <c r="B822" s="5" t="n">
        <v>1</v>
      </c>
      <c r="C822" s="6" t="inlineStr">
        <is>
          <t>Sade bir akşam yemeği</t>
        </is>
      </c>
      <c r="D822" s="5" t="inlineStr"/>
      <c r="E822" s="5" t="inlineStr"/>
      <c r="F822" s="5" t="inlineStr">
        <is>
          <t>Gönül +1</t>
        </is>
      </c>
      <c r="G822" s="6" t="inlineStr">
        <is>
          <t>Evde yemek yediniz; eşin düğün albümünü çıkardı. Kayınvalidenin o günkü şapkasına yine güldünüz. Hatırlatıcının saatini kimse sormadı.</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c r="AI822" s="5" t="inlineStr"/>
      <c r="AJ822" s="5" t="inlineStr"/>
    </row>
    <row r="823">
      <c r="A823" s="5" t="inlineStr">
        <is>
          <t>b7-yil-donumu</t>
        </is>
      </c>
      <c r="B823" s="5" t="n">
        <v>2</v>
      </c>
      <c r="C823" s="6" t="inlineStr">
        <is>
          <t>Sürpriz yap</t>
        </is>
      </c>
      <c r="D823" s="5" t="inlineStr">
        <is>
          <t>Gönül</t>
        </is>
      </c>
      <c r="E823" s="5" t="inlineStr">
        <is>
          <t>Orta</t>
        </is>
      </c>
      <c r="F823" s="5" t="inlineStr"/>
      <c r="G823" s="6" t="inlineStr"/>
      <c r="H823" s="6" t="inlineStr">
        <is>
          <t>Sürpriz başarılı. Eşin şaşırdı, sevindi, ağladı. Sen de. Hatırlatıcıyı sildin.</t>
        </is>
      </c>
      <c r="I823" s="6" t="inlineStr">
        <is>
          <t>Sürprizin o kadar güzel oldu ki eşin arkadaşlarına anlattı. Artık her yıl bu seviyeyi tutturman gerekiyor.</t>
        </is>
      </c>
      <c r="J823" s="6" t="inlineStr">
        <is>
          <t>Sürprizini eşin önceden tahmin etti: “Biliyordum.” Nasıl bildiğini sonra anladın; hatırlatıcıyı senin telefonuna o kurmuştu, sabah 11:47'de.</t>
        </is>
      </c>
      <c r="K823" s="6" t="inlineStr">
        <is>
          <t>Restoranda telefonunu masaya koydun; ekran yandı: “Hatırlatıcı: Yıl dönümü. Oluşturulma: bugün, 11:47.” Eşin okudu. Tatlıyı ayrı ayrı yediniz.</t>
        </is>
      </c>
      <c r="L823" s="6" t="inlineStr"/>
      <c r="M823" s="5" t="inlineStr"/>
      <c r="N823" s="5" t="inlineStr"/>
      <c r="O823" s="6" t="inlineStr"/>
      <c r="P823" s="6" t="inlineStr"/>
      <c r="Q823" s="5" t="inlineStr"/>
      <c r="R823" s="5" t="inlineStr"/>
      <c r="S823" s="5" t="inlineStr"/>
      <c r="T823" s="5" t="inlineStr"/>
      <c r="U823" s="5" t="inlineStr"/>
      <c r="V823" s="5" t="inlineStr"/>
      <c r="W823" s="5" t="inlineStr"/>
      <c r="X823" s="5" t="inlineStr"/>
      <c r="Y823" s="5" t="inlineStr"/>
      <c r="Z823" s="6" t="inlineStr"/>
      <c r="AA823" s="5" t="inlineStr"/>
      <c r="AB823" s="5" t="inlineStr"/>
      <c r="AC823" s="5" t="inlineStr"/>
      <c r="AD823" s="5" t="inlineStr"/>
      <c r="AE823" s="5" t="inlineStr"/>
      <c r="AF823" s="5" t="inlineStr"/>
      <c r="AG823" s="5" t="inlineStr"/>
      <c r="AH823" s="5" t="inlineStr"/>
      <c r="AI823" s="5" t="inlineStr">
        <is>
          <t>On Bir Kırk Yedi</t>
        </is>
      </c>
      <c r="AJ823" s="5" t="inlineStr"/>
    </row>
    <row r="824">
      <c r="A824" s="5" t="inlineStr">
        <is>
          <t>b7-yil-donumu</t>
        </is>
      </c>
      <c r="B824" s="5" t="n">
        <v>3</v>
      </c>
      <c r="C824" s="6" t="inlineStr">
        <is>
          <t>Takı defterini açıp düğün anılarını yad et</t>
        </is>
      </c>
      <c r="D824" s="5" t="inlineStr">
        <is>
          <t>Sosyal Radar</t>
        </is>
      </c>
      <c r="E824" s="5" t="inlineStr">
        <is>
          <t>Kolay</t>
        </is>
      </c>
      <c r="F824" s="5" t="inlineStr"/>
      <c r="G824" s="6" t="inlineStr"/>
      <c r="H824" s="6" t="inlineStr">
        <is>
          <t>Defteri açtınız. Her satır bir anı. Bir de alacak listesi.</t>
        </is>
      </c>
      <c r="I824" s="6" t="inlineStr">
        <is>
          <t>Defteri okurken ikiniz de güldünüz, ağladınız. Deftere yıl dönümü sayfası eklendi.</t>
        </is>
      </c>
      <c r="J824" s="6" t="inlineStr">
        <is>
          <t>Defteri açtınız; eşin bir akrabanın takısının 'eksik' olduğunu hatırladı. Akşam o akrabaya ayrıldı.</t>
        </is>
      </c>
      <c r="K824" s="6" t="inlineStr">
        <is>
          <t>Defterin arka sayfasında kendi el yazınla bir not çıktı: “Takılar bozdurulacak, araba alınacak.” Altı çizili. Eşin o takıları hâlâ kutusunda sanıyordu.</t>
        </is>
      </c>
      <c r="L824" s="6" t="inlineStr"/>
      <c r="M824" s="5" t="inlineStr"/>
      <c r="N824" s="5" t="inlineStr"/>
      <c r="O824" s="6" t="inlineStr"/>
      <c r="P824" s="6" t="inlineStr"/>
      <c r="Q824" s="5" t="inlineStr"/>
      <c r="R824" s="5" t="inlineStr">
        <is>
          <t>taki-defteri</t>
        </is>
      </c>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c r="AI824" s="5" t="inlineStr"/>
      <c r="AJ824" s="5" t="inlineStr"/>
    </row>
    <row r="825">
      <c r="A825" s="5" t="inlineStr">
        <is>
          <t>b8-kirk-yas</t>
        </is>
      </c>
      <c r="B825" s="5" t="n">
        <v>1</v>
      </c>
      <c r="C825" s="6" t="inlineStr">
        <is>
          <t>Envanteri kabul et</t>
        </is>
      </c>
      <c r="D825" s="5" t="inlineStr"/>
      <c r="E825" s="5" t="inlineStr"/>
      <c r="F825" s="5" t="inlineStr">
        <is>
          <t>Dayanıklılık +1</t>
        </is>
      </c>
      <c r="G825" s="6" t="inlineStr">
        <is>
          <t>Aynaya bakıp “Eh, fena değil” dedin. Akşam pastanın mumlarını üç nefeste söndürdün; kimse saymadı, sen saydın.</t>
        </is>
      </c>
      <c r="H825" s="6" t="inlineStr"/>
      <c r="I825" s="6" t="inlineStr"/>
      <c r="J825" s="6" t="inlineStr"/>
      <c r="K825" s="6" t="inlineStr"/>
      <c r="L825" s="6" t="inlineStr"/>
      <c r="M825" s="5" t="inlineStr"/>
      <c r="N825" s="5" t="inlineStr"/>
      <c r="O825" s="6" t="inlineStr"/>
      <c r="P825" s="6" t="inlineStr"/>
      <c r="Q825" s="5" t="inlineStr"/>
      <c r="R825" s="5" t="inlineStr"/>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c r="AI825" s="5" t="inlineStr"/>
      <c r="AJ825" s="5" t="inlineStr"/>
    </row>
    <row r="826">
      <c r="A826" s="5" t="inlineStr">
        <is>
          <t>b8-kirk-yas</t>
        </is>
      </c>
      <c r="B826" s="5" t="n">
        <v>2</v>
      </c>
      <c r="C826" s="6" t="inlineStr">
        <is>
          <t>Büyük bir değişiklik ilan et</t>
        </is>
      </c>
      <c r="D826" s="5" t="inlineStr">
        <is>
          <t>Cesaret</t>
        </is>
      </c>
      <c r="E826" s="5" t="inlineStr">
        <is>
          <t>Orta</t>
        </is>
      </c>
      <c r="F826" s="5" t="inlineStr"/>
      <c r="G826" s="6" t="inlineStr"/>
      <c r="H826" s="6" t="inlineStr">
        <is>
          <t>Hayatını değiştireceğini ilan ettin, ertesi sabah spor salonuna yıllık üyelik aldın. Üç ay oldu, hâlâ gidiyorsun; en çok da duşunu seviyorsun.</t>
        </is>
      </c>
      <c r="I826" s="6" t="inlineStr">
        <is>
          <t>Sofrada “Hayatımı değiştiriyorum” dedin. Kimse gülmedi. Annen sessizce tabağına bir köfte daha koydu; bu evde saygı böyle gösterilir.</t>
        </is>
      </c>
      <c r="J826" s="6" t="inlineStr">
        <is>
          <t>Pazar sofrasında ilan ettin. Salı günü annen aradı: “Değiştirdin mi?” “Neyi?” dedin.</t>
        </is>
      </c>
      <c r="K826" s="6" t="inlineStr">
        <is>
          <t>Değişiklik olarak saçını sarıya boyattın. Bayram ziyaretinde teyzen uzun uzun baktı: “Kırkından sonra azanı teneke çalsan durduramazsın.” Fotoğraf aile grubunda en üste sabitlendi.</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c r="AI826" s="5" t="inlineStr">
        <is>
          <t>Sarı Kriz</t>
        </is>
      </c>
      <c r="AJ826" s="5" t="inlineStr"/>
    </row>
    <row r="827">
      <c r="A827" s="5" t="inlineStr">
        <is>
          <t>b8-kirk-yas</t>
        </is>
      </c>
      <c r="B827" s="5" t="n">
        <v>3</v>
      </c>
      <c r="C827" s="6" t="inlineStr">
        <is>
          <t>Kırk yaşın iyi yanlarını listele</t>
        </is>
      </c>
      <c r="D827" s="5" t="inlineStr">
        <is>
          <t>Akıl</t>
        </is>
      </c>
      <c r="E827" s="5" t="inlineStr">
        <is>
          <t>Zor</t>
        </is>
      </c>
      <c r="F827" s="5" t="inlineStr"/>
      <c r="G827" s="6" t="inlineStr"/>
      <c r="H827" s="6" t="inlineStr">
        <is>
          <t>Liste üç maddeden oluştu: kimseye bir şey kanıtlamamak, düğünlerden erken kalkma hakkı, gençlere “Siz bilmezsiniz” diyebilmek. Üçüncüyü aynı akşam kullandın.</t>
        </is>
      </c>
      <c r="I827" s="6" t="inlineStr">
        <is>
          <t>Liste o kadar ikna edici oldu ki otuzlu yaşlardaki arkadaşların kırka girmek için gün sayıyor.</t>
        </is>
      </c>
      <c r="J827" s="6" t="inlineStr">
        <is>
          <t>Listeye bir madde yazdın, sonra ne yazacağını düşünürken maç başladı.</t>
        </is>
      </c>
      <c r="K827" s="6" t="inlineStr">
        <is>
          <t>Listenin ilk maddesini yazdın: “Artık kimseye bir şey kanıtlamak zorunda değilim.” Ertesi gün halan aradı: “Kilo mu aldın sen?” Liste çöpe gitti.</t>
        </is>
      </c>
      <c r="L827" s="6" t="inlineStr"/>
      <c r="M827" s="5" t="inlineStr"/>
      <c r="N827" s="5" t="inlineStr"/>
      <c r="O827" s="6" t="inlineStr"/>
      <c r="P827" s="6" t="inlineStr"/>
      <c r="Q827" s="5" t="inlineStr"/>
      <c r="R827" s="5" t="inlineStr"/>
      <c r="S827" s="5" t="inlineStr">
        <is>
          <t>Akıl</t>
        </is>
      </c>
      <c r="T827" s="5" t="inlineStr">
        <is>
          <t>Ukala Ama Haklı</t>
        </is>
      </c>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c r="AI827" s="5" t="inlineStr"/>
      <c r="AJ827" s="5" t="inlineStr"/>
    </row>
    <row r="828">
      <c r="A828" s="5" t="inlineStr">
        <is>
          <t>b8-kirk-yas</t>
        </is>
      </c>
      <c r="B828" s="5" t="n">
        <v>4</v>
      </c>
      <c r="C828" s="6" t="inlineStr">
        <is>
          <t>Kutlamayı iptal et</t>
        </is>
      </c>
      <c r="D828" s="5" t="inlineStr">
        <is>
          <t>Pişkinlik</t>
        </is>
      </c>
      <c r="E828" s="5" t="inlineStr">
        <is>
          <t>Kolay</t>
        </is>
      </c>
      <c r="F828" s="5" t="inlineStr"/>
      <c r="G828" s="6" t="inlineStr"/>
      <c r="H828" s="6" t="inlineStr">
        <is>
          <t>“Kutlama yok” dedin. Akşam kapı çaldı: annen, elinde bir tencere sarma. “Kutlama değil bu, yemek” dedi; arkasından teyzen pastayla girdi.</t>
        </is>
      </c>
      <c r="I828" s="6" t="inlineStr">
        <is>
          <t>İptal ettin; gerçekten kimse gelmedi. Akşam kapı kolunda bir poşet buldun: en sevdiğin tatlı ve bir not, “Rahatsız etmeyelim dedik.”</t>
        </is>
      </c>
      <c r="J828" s="6" t="inlineStr">
        <is>
          <t>İptal edilemedi. Aile grubuna kırk yedi kez “İyi ki doğdun” düştü. Kırk sekizincisi halandan geldi: dört dakikalık sesli mesaj.</t>
        </is>
      </c>
      <c r="K828" s="6" t="inlineStr">
        <is>
          <t>Kutlamayı iptal ettin; herkes saygı gösterdi. Annenin sabahki telefonundan sonra kimse aramadı. Gece yarısına beş kala halan aradı: “Ay, bugün müydü?”</t>
        </is>
      </c>
      <c r="L828" s="6" t="inlineStr"/>
      <c r="M828" s="5" t="inlineStr"/>
      <c r="N828" s="5" t="inlineStr"/>
      <c r="O828" s="6" t="inlineStr"/>
      <c r="P828" s="6" t="inlineStr"/>
      <c r="Q828" s="5" t="inlineStr"/>
      <c r="R828" s="5" t="inlineStr"/>
      <c r="S828" s="5" t="inlineStr"/>
      <c r="T828" s="5" t="inlineStr"/>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c r="AI828" s="5" t="inlineStr"/>
      <c r="AJ828" s="5" t="inlineStr"/>
    </row>
    <row r="829">
      <c r="A829" s="5" t="inlineStr">
        <is>
          <t>b8-motosiklet</t>
        </is>
      </c>
      <c r="B829" s="5" t="n">
        <v>1</v>
      </c>
      <c r="C829" s="6" t="inlineStr">
        <is>
          <t>Broşürü al, eve git</t>
        </is>
      </c>
      <c r="D829" s="5" t="inlineStr"/>
      <c r="E829" s="5" t="inlineStr"/>
      <c r="F829" s="5" t="inlineStr">
        <is>
          <t>İtibar +1</t>
        </is>
      </c>
      <c r="G829" s="6" t="inlineStr">
        <is>
          <t>Broşürü buzdolabına astın. Yıllarca orada kaldı; her açışında ona bir kez baktın, sonra peyniri aldın.</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c r="AI829" s="5" t="inlineStr"/>
      <c r="AJ829" s="5" t="inlineStr"/>
    </row>
    <row r="830">
      <c r="A830" s="5" t="inlineStr">
        <is>
          <t>b8-motosiklet</t>
        </is>
      </c>
      <c r="B830" s="5" t="n">
        <v>2</v>
      </c>
      <c r="C830" s="6" t="inlineStr">
        <is>
          <t>Satın al, ilk turu at</t>
        </is>
      </c>
      <c r="D830" s="5" t="inlineStr">
        <is>
          <t>Cesaret</t>
        </is>
      </c>
      <c r="E830" s="5" t="inlineStr">
        <is>
          <t>Zor</t>
        </is>
      </c>
      <c r="F830" s="5" t="inlineStr"/>
      <c r="G830" s="6" t="inlineStr"/>
      <c r="H830" s="6" t="inlineStr">
        <is>
          <t>Sahil yolunda ilk turunu attın. Kaskın içinde kimse göremedi, ama gülümsüyordun.</t>
        </is>
      </c>
      <c r="I830" s="6" t="inlineStr">
        <is>
          <t>İlk turda karşıdan gelen motorcular sana el kaldırdı; sen de kaldırdın, az kalsın gidonu bırakıyordun. Akşam telefonuna bir grup eklendi: “Pazar kahvaltısı, saat yedi.”</t>
        </is>
      </c>
      <c r="J830" s="6" t="inlineStr">
        <is>
          <t>Motosikleti aldın; garajdan çıkarmaya cesaret etmen üç ay sürdü. Şu an üstünde çamaşır kuruyor.</t>
        </is>
      </c>
      <c r="K830" s="6" t="inlineStr">
        <is>
          <t>Galerinin önünde, daha kontağı çevirmeden devrildin; sabit dururken. Satıcı koştu, önce motoru kaldırdı, sonra seni. Ertesi hafta ilan: “Az kullanılmış, bir kez yatırılmış.”</t>
        </is>
      </c>
      <c r="L830" s="6" t="inlineStr"/>
      <c r="M830" s="5" t="inlineStr"/>
      <c r="N830" s="5" t="inlineStr"/>
      <c r="O830" s="6" t="inlineStr"/>
      <c r="P830" s="6" t="inlineStr"/>
      <c r="Q830" s="5" t="inlineStr"/>
      <c r="R830" s="5" t="inlineStr"/>
      <c r="S830" s="5" t="inlineStr"/>
      <c r="T830" s="5" t="inlineStr"/>
      <c r="U830" s="5" t="inlineStr"/>
      <c r="V830" s="5" t="inlineStr">
        <is>
          <t>motosikletli</t>
        </is>
      </c>
      <c r="W830" s="5" t="inlineStr"/>
      <c r="X830" s="5" t="inlineStr"/>
      <c r="Y830" s="5" t="n">
        <v>5</v>
      </c>
      <c r="Z830" s="6" t="inlineStr">
        <is>
          <t>Yeni aldığı motosikletle ilk virajda. Viraj hâlâ orada, sapasağlam.</t>
        </is>
      </c>
      <c r="AA830" s="5" t="inlineStr"/>
      <c r="AB830" s="5" t="inlineStr"/>
      <c r="AC830" s="5" t="inlineStr">
        <is>
          <t>Orta</t>
        </is>
      </c>
      <c r="AD830" s="5" t="inlineStr"/>
      <c r="AE830" s="5" t="inlineStr"/>
      <c r="AF830" s="5" t="inlineStr"/>
      <c r="AG830" s="5" t="inlineStr"/>
      <c r="AH830" s="5" t="inlineStr">
        <is>
          <t>Cesaret 28</t>
        </is>
      </c>
      <c r="AI830" s="5" t="inlineStr"/>
      <c r="AJ830" s="5" t="inlineStr"/>
    </row>
    <row r="831">
      <c r="A831" s="5" t="inlineStr">
        <is>
          <t>b8-motosiklet</t>
        </is>
      </c>
      <c r="B831" s="5" t="n">
        <v>3</v>
      </c>
      <c r="C831" s="6" t="inlineStr">
        <is>
          <t>Elektrikli bisiklete pazarlık et</t>
        </is>
      </c>
      <c r="D831" s="5" t="inlineStr">
        <is>
          <t>Çene</t>
        </is>
      </c>
      <c r="E831" s="5" t="inlineStr">
        <is>
          <t>Kolay</t>
        </is>
      </c>
      <c r="F831" s="5" t="inlineStr"/>
      <c r="G831" s="6" t="inlineStr"/>
      <c r="H831" s="6" t="inlineStr">
        <is>
          <t>Motosiklet yerine elektrikli bisiklet aldın. Rüzgâr aynı rüzgâr, prim yok.</t>
        </is>
      </c>
      <c r="I831" s="6" t="inlineStr">
        <is>
          <t>Satıcıyı öyle konuşturdun ki kaskı hediye verdi. Kask bisikletten pahalı.</t>
        </is>
      </c>
      <c r="J831" s="6" t="inlineStr">
        <is>
          <t>Bisikleti aldın; şarj aletinin ayrı satıldığını kasada öğrendin.</t>
        </is>
      </c>
      <c r="K831" s="6" t="inlineStr">
        <is>
          <t>Bisikleti aldın; ilk yokuşta şarjı bitti. Eve kadar ittin. Balkondaki komşu teyze seslendi: “Elektrikli dediler, sen mi onu şarj ediyorsun?” Akşama kadar bütün sokak aynı soruyu sordu.</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c r="AI831" s="5" t="inlineStr"/>
      <c r="AJ831" s="5" t="inlineStr"/>
    </row>
    <row r="832">
      <c r="A832" s="5" t="inlineStr">
        <is>
          <t>b8-motosiklet</t>
        </is>
      </c>
      <c r="B832" s="5" t="n">
        <v>4</v>
      </c>
      <c r="C832" s="6" t="inlineStr">
        <is>
          <t>Çocukluktaki alçıyı hatırla</t>
        </is>
      </c>
      <c r="D832" s="5" t="inlineStr"/>
      <c r="E832" s="5" t="inlineStr"/>
      <c r="F832" s="5" t="inlineStr">
        <is>
          <t>İtibar +1, Akıl +1</t>
        </is>
      </c>
      <c r="G832" s="6" t="inlineStr">
        <is>
          <t>Sol kolun hâlâ hava değişimini haber veriyor. Motosiklete teşekkür edip galeriden ayrıldın. Kol minnettar.</t>
        </is>
      </c>
      <c r="H832" s="6" t="inlineStr"/>
      <c r="I832" s="6" t="inlineStr"/>
      <c r="J832" s="6" t="inlineStr"/>
      <c r="K832" s="6" t="inlineStr"/>
      <c r="L832" s="6" t="inlineStr"/>
      <c r="M832" s="5" t="inlineStr"/>
      <c r="N832" s="5" t="inlineStr"/>
      <c r="O832" s="6" t="inlineStr"/>
      <c r="P832" s="6" t="inlineStr"/>
      <c r="Q832" s="5" t="inlineStr"/>
      <c r="R832" s="5" t="inlineStr">
        <is>
          <t>alcili-kol</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c r="AI832" s="5" t="inlineStr"/>
      <c r="AJ832" s="5" t="inlineStr"/>
    </row>
    <row r="833">
      <c r="A833" s="5" t="inlineStr">
        <is>
          <t>b8-sac-meselesi</t>
        </is>
      </c>
      <c r="B833" s="5" t="n">
        <v>1</v>
      </c>
      <c r="C833" s="6" t="inlineStr">
        <is>
          <t>Kabullen, sıfıra vur</t>
        </is>
      </c>
      <c r="D833" s="5" t="inlineStr">
        <is>
          <t>Cesaret</t>
        </is>
      </c>
      <c r="E833" s="5" t="inlineStr">
        <is>
          <t>Orta</t>
        </is>
      </c>
      <c r="F833" s="5" t="inlineStr"/>
      <c r="G833" s="6" t="inlineStr"/>
      <c r="H833" s="6" t="inlineStr">
        <is>
          <t>Sıfıra vurdun. Ertesi sabah komşu teyze kapıda uzun uzun baktı: “Geçmiş olsun yavrum, ne zaman çıktın?” Nereden çıktığını sormadın; gülüşüp ayrıldınız.</t>
        </is>
      </c>
      <c r="I833" s="6" t="inlineStr">
        <is>
          <t>Sıfıra vurdun; herkes neden daha önce yapmadığını sordu. Başın hiç bu kadar iyi görünmemişti.</t>
        </is>
      </c>
      <c r="J833" s="6" t="inlineStr">
        <is>
          <t>Sıfıra vurdun ve kafanın şekliyle ilk kez tanıştın; arkada bir çukur var. Annen “Küçükken hep sırtüstü yatırdık” dedi. Kasket aldın.</t>
        </is>
      </c>
      <c r="K833" s="6" t="inlineStr">
        <is>
          <t>Sıfıra vurdun, ilk gün şapkasız pazara çıktın. Akşam tepen kıpkırmızıydı; annen buzdolabından yoğurt çıkarıp kafana sürdü. Ertesi sabah kapıcı ekmeği uzatırken sordu: “Domates bu yıl erken mi çıktı?”</t>
        </is>
      </c>
      <c r="L833" s="6" t="inlineStr"/>
      <c r="M833" s="5" t="inlineStr"/>
      <c r="N833" s="5" t="inlineStr"/>
      <c r="O833" s="6" t="inlineStr"/>
      <c r="P833" s="6" t="inlineStr"/>
      <c r="Q833" s="5" t="inlineStr"/>
      <c r="R833" s="5" t="inlineStr"/>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c r="AI833" s="5" t="inlineStr"/>
      <c r="AJ833" s="5" t="inlineStr"/>
    </row>
    <row r="834">
      <c r="A834" s="5" t="inlineStr">
        <is>
          <t>b8-sac-meselesi</t>
        </is>
      </c>
      <c r="B834" s="5" t="n">
        <v>2</v>
      </c>
      <c r="C834" s="6" t="inlineStr">
        <is>
          <t>Saç ekimini araştır</t>
        </is>
      </c>
      <c r="D834" s="5" t="inlineStr">
        <is>
          <t>Akıl</t>
        </is>
      </c>
      <c r="E834" s="5" t="inlineStr">
        <is>
          <t>Kolay</t>
        </is>
      </c>
      <c r="F834" s="5" t="inlineStr"/>
      <c r="G834" s="6" t="inlineStr"/>
      <c r="H834" s="6" t="inlineStr">
        <is>
          <t>Yirmi sekme açtın, dört fiyat aldın. Karar bahara ertelendi; bahar her yıl gelir.</t>
        </is>
      </c>
      <c r="I834" s="6" t="inlineStr">
        <is>
          <t>Araştırman öyle derin çıktı ki arkadaş grubundaki üç kişi tepesinin fotoğrafını sana atıyor: “Bende de var mı?” Var.</t>
        </is>
      </c>
      <c r="J834" s="6" t="inlineStr">
        <is>
          <t>Araştırma sırasında reklamlar seni fark etti. Artık her ekranda şampuan var.</t>
        </is>
      </c>
      <c r="K834" s="6" t="inlineStr">
        <is>
          <t>Ücretsiz değerlendirme için kliniğe tepenin fotoğrafını yolladın. Bir ay sonra reklamlarında “önce” fotoğrafı olarak sen varsın. Kuzenin hemen tanıdı.</t>
        </is>
      </c>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c r="AI834" s="5" t="inlineStr"/>
      <c r="AJ834" s="5" t="inlineStr"/>
    </row>
    <row r="835">
      <c r="A835" s="5" t="inlineStr">
        <is>
          <t>b8-sac-meselesi</t>
        </is>
      </c>
      <c r="B835" s="5" t="n">
        <v>3</v>
      </c>
      <c r="C835" s="6" t="inlineStr">
        <is>
          <t>Yandan tarama tekniğini dene</t>
        </is>
      </c>
      <c r="D835" s="5" t="inlineStr">
        <is>
          <t>Pişkinlik</t>
        </is>
      </c>
      <c r="E835" s="5" t="inlineStr">
        <is>
          <t>Zor</t>
        </is>
      </c>
      <c r="F835" s="5" t="inlineStr"/>
      <c r="G835" s="6" t="inlineStr"/>
      <c r="H835" s="6" t="inlineStr">
        <is>
          <t>Yandan taradın. Rüzgârsız günlerde kusursuz.</t>
        </is>
      </c>
      <c r="I835" s="6" t="inlineStr">
        <is>
          <t>Tarama o kadar ustaca ki kuaför tekniğini sordu, sonra sıradaki müşteriye uyguladı. Mahallede artık iki tane senden var.</t>
        </is>
      </c>
      <c r="J835" s="6" t="inlineStr">
        <is>
          <t>Taradın; balkona çıktığın an ilk rüzgâr her şeyi geri aldı. Karşı balkondaki teyze seslendi: “Saçın uçtu evladım!” Uçtu.</t>
        </is>
      </c>
      <c r="K835" s="6" t="inlineStr">
        <is>
          <t>Kuzeninin düğününde halay başına geçtin. Üçüncü turda saçın kalktı, mendille aynı ritimde sallanmaya başladı. Video aile grubunda; herkes halayı değil saçını izliyor.</t>
        </is>
      </c>
      <c r="L835" s="6" t="inlineStr"/>
      <c r="M835" s="5" t="inlineStr"/>
      <c r="N835" s="5" t="inlineStr"/>
      <c r="O835" s="6" t="inlineStr"/>
      <c r="P835" s="6" t="inlineStr"/>
      <c r="Q835" s="5" t="inlineStr"/>
      <c r="R835" s="5" t="inlineStr"/>
      <c r="S835" s="5" t="inlineStr"/>
      <c r="T835" s="5" t="inlineStr">
        <is>
          <t>Yüzü Kızarmaz</t>
        </is>
      </c>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c r="AI835" s="5" t="inlineStr">
        <is>
          <t>Rüzgâr Gülü</t>
        </is>
      </c>
      <c r="AJ835" s="5" t="inlineStr"/>
    </row>
    <row r="836">
      <c r="A836" s="5" t="inlineStr">
        <is>
          <t>b8-sac-meselesi</t>
        </is>
      </c>
      <c r="B836" s="5" t="n">
        <v>4</v>
      </c>
      <c r="C836" s="6" t="inlineStr">
        <is>
          <t>Şapka koleksiyonuna başla</t>
        </is>
      </c>
      <c r="D836" s="5" t="inlineStr"/>
      <c r="E836" s="5" t="inlineStr"/>
      <c r="F836" s="5" t="inlineStr">
        <is>
          <t>Kurnazlık +1</t>
        </is>
      </c>
      <c r="G836" s="6" t="inlineStr">
        <is>
          <t>Dört şapka aldın. Annen “Evin içinde de mi?” dedi. Evin içinde de.</t>
        </is>
      </c>
      <c r="H836" s="6" t="inlineStr"/>
      <c r="I836" s="6" t="inlineStr"/>
      <c r="J836" s="6" t="inlineStr"/>
      <c r="K836" s="6" t="inlineStr"/>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c r="AI836" s="5" t="inlineStr"/>
      <c r="AJ836" s="5" t="inlineStr"/>
    </row>
    <row r="837">
      <c r="A837" s="5" t="inlineStr">
        <is>
          <t>ms-sigortasiz-hayat</t>
        </is>
      </c>
      <c r="B837" s="5" t="n">
        <v>1</v>
      </c>
      <c r="C837" s="6" t="inlineStr">
        <is>
          <t>Geriye dönük prim öde</t>
        </is>
      </c>
      <c r="D837" s="5" t="inlineStr"/>
      <c r="E837" s="5" t="inlineStr"/>
      <c r="F837" s="5" t="inlineStr">
        <is>
          <t>İtibar +1</t>
        </is>
      </c>
      <c r="G837" s="6" t="inlineStr">
        <is>
          <t>Birikmiş primleri yatırdın; kartın iki ay nefes alamadı. Annene “Sigortam var artık” dedin. “Hah” dedi; yirmi yıldır bu “hah”ı söylemek için bekliyordu.</t>
        </is>
      </c>
      <c r="H837" s="6" t="inlineStr"/>
      <c r="I837" s="6" t="inlineStr"/>
      <c r="J837" s="6" t="inlineStr"/>
      <c r="K837" s="6" t="inlineStr"/>
      <c r="L837" s="6" t="inlineStr"/>
      <c r="M837" s="5" t="inlineStr"/>
      <c r="N837" s="5" t="inlineStr"/>
      <c r="O837" s="6" t="inlineStr"/>
      <c r="P837" s="6" t="inlineStr"/>
      <c r="Q837" s="5" t="inlineStr"/>
      <c r="R837" s="5" t="inlineStr"/>
      <c r="S837" s="5" t="inlineStr"/>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c r="AI837" s="5" t="inlineStr"/>
      <c r="AJ837" s="5" t="inlineStr"/>
    </row>
    <row r="838">
      <c r="A838" s="5" t="inlineStr">
        <is>
          <t>ms-sigortasiz-hayat</t>
        </is>
      </c>
      <c r="B838" s="5" t="n">
        <v>2</v>
      </c>
      <c r="C838" s="6" t="inlineStr">
        <is>
          <t>Özel sigorta araştır</t>
        </is>
      </c>
      <c r="D838" s="5" t="inlineStr">
        <is>
          <t>Akıl</t>
        </is>
      </c>
      <c r="E838" s="5" t="inlineStr">
        <is>
          <t>Orta</t>
        </is>
      </c>
      <c r="F838" s="5" t="inlineStr"/>
      <c r="G838" s="6" t="inlineStr"/>
      <c r="H838" s="6" t="inlineStr">
        <is>
          <t>Uygun bir poliçe buldun. Küçük harflerini de okudun. Tarihte bunu yapan ilk kişisin.</t>
        </is>
      </c>
      <c r="I838" s="6" t="inlineStr">
        <is>
          <t>Serbest çalışanlara uygun bir poliçe buldun, arkadaş grubuna attın. Altı kişi yaptırdı; sigortacı sana bir kutu baklava yolladı. Hayatında ilk kez biri sana zamanında ödeme yaptı.</t>
        </is>
      </c>
      <c r="J838" s="6" t="inlineStr">
        <is>
          <t>Poliçe buldun; aylık primi kiran kadardı. Ev sahibine anlattın, “Benimki daha ucuz” dedi. Haklıydı.</t>
        </is>
      </c>
      <c r="K838" s="6" t="inlineStr">
        <is>
          <t>Poliçeyi dikkatle okudun. Kapsam dışı: 'Serbest çalışmaktan doğan her şey.'</t>
        </is>
      </c>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c r="AI838" s="5" t="inlineStr"/>
      <c r="AJ838" s="5" t="inlineStr"/>
    </row>
    <row r="839">
      <c r="A839" s="5" t="inlineStr">
        <is>
          <t>ms-sigortasiz-hayat</t>
        </is>
      </c>
      <c r="B839" s="5" t="n">
        <v>3</v>
      </c>
      <c r="C839" s="6" t="inlineStr">
        <is>
          <t>Eşinin sigortasına bağlan</t>
        </is>
      </c>
      <c r="D839" s="5" t="inlineStr">
        <is>
          <t>Kurnazlık</t>
        </is>
      </c>
      <c r="E839" s="5" t="inlineStr">
        <is>
          <t>Kolay</t>
        </is>
      </c>
      <c r="F839" s="5" t="inlineStr"/>
      <c r="G839" s="6" t="inlineStr"/>
      <c r="H839" s="6" t="inlineStr">
        <is>
          <t>Eşinin sigortasına bağlandın. Eşin artık her tartışmanın sonunda “Sigortanı ben ödüyorum” diyor. Ödemiyor, ama diyor.</t>
        </is>
      </c>
      <c r="I839" s="6" t="inlineStr">
        <is>
          <t>Bütün belgeler tek seferde tamamdı. Gişedeki memur dosyayı iki kez karıştırdı, eksik bulamadı, yandaki arkadaşını çağırdı: “Bak, bu da varmış.”</t>
        </is>
      </c>
      <c r="J839" s="6" t="inlineStr">
        <is>
          <t>Belgelerden biri eksik: evlilik cüzdanının aslı. Aslı çekmecede, çekmece kayıp.</t>
        </is>
      </c>
      <c r="K839" s="6" t="inlineStr">
        <is>
          <t>Formda eşinin adını yanlış yazdın. Gişedeki memur yüksek sesle okudu: “Bu kim?” Eşin yanındaydı; akşam yemeği sessiz geçti.</t>
        </is>
      </c>
      <c r="L839" s="6" t="inlineStr"/>
      <c r="M839" s="5" t="inlineStr"/>
      <c r="N839" s="5" t="inlineStr"/>
      <c r="O839" s="6" t="inlineStr"/>
      <c r="P839" s="6" t="inlineStr"/>
      <c r="Q839" s="5" t="inlineStr"/>
      <c r="R839" s="5" t="inlineStr">
        <is>
          <t>evli</t>
        </is>
      </c>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c r="AI839" s="5" t="inlineStr"/>
      <c r="AJ839" s="5" t="inlineStr"/>
    </row>
    <row r="840">
      <c r="A840" s="5" t="inlineStr">
        <is>
          <t>ms-sigortasiz-hayat</t>
        </is>
      </c>
      <c r="B840" s="5" t="n">
        <v>4</v>
      </c>
      <c r="C840" s="6" t="inlineStr">
        <is>
          <t>Borçları yapılandır</t>
        </is>
      </c>
      <c r="D840" s="5" t="inlineStr">
        <is>
          <t>Çene</t>
        </is>
      </c>
      <c r="E840" s="5" t="inlineStr">
        <is>
          <t>Orta</t>
        </is>
      </c>
      <c r="F840" s="5" t="inlineStr"/>
      <c r="G840" s="6" t="inlineStr"/>
      <c r="H840" s="6" t="inlineStr">
        <is>
          <t>Prim borcunu taksitlendirdin. Taksitler seninle birlikte yaşlanacak.</t>
        </is>
      </c>
      <c r="I840" s="6" t="inlineStr">
        <is>
          <t>Yapılandırma dönemine denk geldin; borcun yarıya indi. Annene “Devlet bana bir iyilik yaptı” dedin. Annen “Kesin bir yanlışlık var, bir daha bak” dedi.</t>
        </is>
      </c>
      <c r="J840" s="6" t="inlineStr">
        <is>
          <t>Yapılandırdın; ilk taksit kredi kartının son ödeme günüyle aynı güne düştü. İki borç kapında tanıştı.</t>
        </is>
      </c>
      <c r="K840" s="6" t="inlineStr">
        <is>
          <t>Gişede sıra tam sana geldiğinde memur camı indirdi: “Sistem gitti.” Ertesi sabah yine numara aldın: 247. Dün 46'ydın.</t>
        </is>
      </c>
      <c r="L840" s="6" t="inlineStr"/>
      <c r="M840" s="5" t="inlineStr"/>
      <c r="N840" s="5" t="inlineStr"/>
      <c r="O840" s="6" t="inlineStr"/>
      <c r="P840" s="6" t="inlineStr"/>
      <c r="Q840" s="5" t="inlineStr"/>
      <c r="R840" s="5" t="inlineStr">
        <is>
          <t>borclu</t>
        </is>
      </c>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c r="AI840" s="5" t="inlineStr"/>
      <c r="AJ840" s="5" t="inlineStr"/>
    </row>
    <row r="841">
      <c r="A841" s="5" t="inlineStr">
        <is>
          <t>b8-ergen-telefon</t>
        </is>
      </c>
      <c r="B841" s="5" t="n">
        <v>1</v>
      </c>
      <c r="C841" s="6" t="inlineStr">
        <is>
          <t>Dokunma, masada bırak</t>
        </is>
      </c>
      <c r="D841" s="5" t="inlineStr"/>
      <c r="E841" s="5" t="inlineStr"/>
      <c r="F841" s="5" t="inlineStr">
        <is>
          <t>İtibar +1</t>
        </is>
      </c>
      <c r="G841" s="6" t="inlineStr">
        <is>
          <t>Telefona dokunmadın. O akşam çocuk telefonunu masada bırakıp duşa girdi. İlk kez.</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c r="AI841" s="5" t="inlineStr"/>
      <c r="AJ841" s="5" t="inlineStr"/>
    </row>
    <row r="842">
      <c r="A842" s="5" t="inlineStr">
        <is>
          <t>b8-ergen-telefon</t>
        </is>
      </c>
      <c r="B842" s="5" t="n">
        <v>2</v>
      </c>
      <c r="C842" s="6" t="inlineStr">
        <is>
          <t>Şifreyi tahmin et</t>
        </is>
      </c>
      <c r="D842" s="5" t="inlineStr">
        <is>
          <t>Kurnazlık</t>
        </is>
      </c>
      <c r="E842" s="5" t="inlineStr">
        <is>
          <t>Zor</t>
        </is>
      </c>
      <c r="F842" s="5" t="inlineStr"/>
      <c r="G842" s="6" t="inlineStr"/>
      <c r="H842" s="6" t="inlineStr">
        <is>
          <t>Şifreyi çözdün. İçeride ödev grubu ve kedi videoları vardı. Akşam yemeğinde çocuğun yüzüne bakamadın; o da “Ne oldu?” diye sordu.</t>
        </is>
      </c>
      <c r="I842" s="6" t="inlineStr">
        <is>
          <t>Açtın, baktın, iz bırakmadan kapattın. Tek gördüğün şey: seni rehbere “Evdeki Kahraman” diye kaydetmiş. Bunu sana asla söylemeyecek.</t>
        </is>
      </c>
      <c r="J842" s="6" t="inlineStr">
        <is>
          <t>Üç yanlış deneme. Telefon otuz dakika kilitlendi. Çocuk da.</t>
        </is>
      </c>
      <c r="K842" s="6" t="inlineStr">
        <is>
          <t>Yanlış şifre bildirimi çocuğun saatine düştü. Çocuk salona geldi, hiçbir şey demedi. Şifresini değiştirdi, kilit ekranına bir kedi fotoğrafı koydu. Sen yine yoksun.</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c r="AI842" s="5" t="inlineStr"/>
      <c r="AJ842" s="5" t="inlineStr"/>
    </row>
    <row r="843">
      <c r="A843" s="5" t="inlineStr">
        <is>
          <t>b8-ergen-telefon</t>
        </is>
      </c>
      <c r="B843" s="5" t="n">
        <v>3</v>
      </c>
      <c r="C843" s="6" t="inlineStr">
        <is>
          <t>Ekran süresini konuş</t>
        </is>
      </c>
      <c r="D843" s="5" t="inlineStr">
        <is>
          <t>Çene</t>
        </is>
      </c>
      <c r="E843" s="5" t="inlineStr">
        <is>
          <t>Orta</t>
        </is>
      </c>
      <c r="F843" s="5" t="inlineStr"/>
      <c r="G843" s="6" t="inlineStr"/>
      <c r="H843" s="6" t="inlineStr">
        <is>
          <t>Günde üç saatte anlaştınız. Anlaşmayı kâğıda yazıp buzdolabına astın; ertesi sabah üstüne bir pizza broşürü yapışmıştı.</t>
        </is>
      </c>
      <c r="I843" s="6" t="inlineStr">
        <is>
          <t>Öyle konuştun ki çocuk kendi ekran süresini kendisi kısıtladı. Sonra elini uzattı: “Telefonunu ver, seninkini de ayarlayayım.”</t>
        </is>
      </c>
      <c r="J843" s="6" t="inlineStr">
        <is>
          <t>Sen konuştun, çocuk telefona baktı. Sonunda başını kaldırdı: “Bitti mi? Bu arada senin ekran süren günde yedi saat.”</t>
        </is>
      </c>
      <c r="K843" s="6" t="inlineStr">
        <is>
          <t>Konuşmanın ortasında kendi telefonun çaldı. Konuşmayı kaybettin; ahlaki üstünlüğü de.</t>
        </is>
      </c>
      <c r="L843" s="6" t="inlineStr"/>
      <c r="M843" s="5" t="inlineStr"/>
      <c r="N843" s="5" t="inlineStr"/>
      <c r="O843" s="6" t="inlineStr"/>
      <c r="P843" s="6" t="inlineStr"/>
      <c r="Q843" s="5" t="inlineStr"/>
      <c r="R843" s="5" t="inlineStr"/>
      <c r="S843" s="5" t="inlineStr"/>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c r="AI843" s="5" t="inlineStr"/>
      <c r="AJ843" s="5" t="inlineStr"/>
    </row>
    <row r="844">
      <c r="A844" s="5" t="inlineStr">
        <is>
          <t>b8-ergen-telefon</t>
        </is>
      </c>
      <c r="B844" s="5" t="n">
        <v>4</v>
      </c>
      <c r="C844" s="6" t="inlineStr">
        <is>
          <t>Kendi çocukluğunu anlat</t>
        </is>
      </c>
      <c r="D844" s="5" t="inlineStr">
        <is>
          <t>Gönül</t>
        </is>
      </c>
      <c r="E844" s="5" t="inlineStr">
        <is>
          <t>Kolay</t>
        </is>
      </c>
      <c r="F844" s="5" t="inlineStr"/>
      <c r="G844" s="6" t="inlineStr"/>
      <c r="H844" s="6" t="inlineStr">
        <is>
          <t>Kendi gizli defterini anlattın: kilitliydi, anahtarı ayakkabı kutusundaydı, annen ilk hafta bulmuştu. Çocuk telefonu bıraktı, güldü: “Hâlâ her şeyi buluyor zaten.”</t>
        </is>
      </c>
      <c r="I844" s="6" t="inlineStr">
        <is>
          <t>Anlattın; çocuk telefonu ters çevirdi. Bir saat konuştunuz. Kalkarken “Yine anlatırsın” dedi. Soru değildi.</t>
        </is>
      </c>
      <c r="J844" s="6" t="inlineStr">
        <is>
          <t>Anlattın; çocuk 'Tamam da ne alakası var' dedi. Alakası vardı.</t>
        </is>
      </c>
      <c r="K844" s="6" t="inlineStr">
        <is>
          <t>Hikâyeyi fazla detaylandırdın. Çocuk artık senin gizli defterini arıyor.</t>
        </is>
      </c>
      <c r="L844" s="6" t="inlineStr"/>
      <c r="M844" s="5" t="inlineStr"/>
      <c r="N844" s="5" t="inlineStr"/>
      <c r="O844" s="6" t="inlineStr"/>
      <c r="P844" s="6" t="inlineStr"/>
      <c r="Q844" s="5" t="inlineStr"/>
      <c r="R844" s="5" t="inlineStr"/>
      <c r="S844" s="5" t="inlineStr">
        <is>
          <t>Gönül</t>
        </is>
      </c>
      <c r="T844" s="5" t="inlineStr"/>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c r="AI844" s="5" t="inlineStr"/>
      <c r="AJ844" s="5" t="inlineStr"/>
    </row>
    <row r="845">
      <c r="A845" s="5" t="inlineStr">
        <is>
          <t>b8-metabolizma</t>
        </is>
      </c>
      <c r="B845" s="5" t="n">
        <v>1</v>
      </c>
      <c r="C845" s="6" t="inlineStr">
        <is>
          <t>Akşam yürüyüşüne başla</t>
        </is>
      </c>
      <c r="D845" s="5" t="inlineStr"/>
      <c r="E845" s="5" t="inlineStr"/>
      <c r="F845" s="5" t="inlineStr">
        <is>
          <t>Dayanıklılık +1</t>
        </is>
      </c>
      <c r="G845" s="6" t="inlineStr">
        <is>
          <t>Her akşam otuz dakika yürüdün. İkinci hafta mahallenin yürüyüş teyzeleri seni gruplarına aldı; artık kilodan çok dedikodu yakıyorsun.</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c r="AI845" s="5" t="inlineStr"/>
      <c r="AJ845" s="5" t="inlineStr"/>
    </row>
    <row r="846">
      <c r="A846" s="5" t="inlineStr">
        <is>
          <t>b8-metabolizma</t>
        </is>
      </c>
      <c r="B846" s="5" t="n">
        <v>2</v>
      </c>
      <c r="C846" s="6" t="inlineStr">
        <is>
          <t>Diyet programı başlat</t>
        </is>
      </c>
      <c r="D846" s="5" t="inlineStr">
        <is>
          <t>Dayanıklılık</t>
        </is>
      </c>
      <c r="E846" s="5" t="inlineStr">
        <is>
          <t>Orta</t>
        </is>
      </c>
      <c r="F846" s="5" t="inlineStr"/>
      <c r="G846" s="6" t="inlineStr"/>
      <c r="H846" s="6" t="inlineStr">
        <is>
          <t>Üç haftada iki kilo verdin. Bayramda teyzen üçüncü dilimi koyacakken elini tuttun; teyzen ekmeği geri koydu, akşama kadar sana küstü. İki kiloya değdi.</t>
        </is>
      </c>
      <c r="I846" s="6" t="inlineStr">
        <is>
          <t>Eski kot pantolonunun düğmesi ilk denemede kapandı. Annen seni görünce “Hasta mısın, yavrum?” diye alnına elini koydu.</t>
        </is>
      </c>
      <c r="J846" s="6" t="inlineStr">
        <is>
          <t>Pazartesi başladın. Pazartesi öğlen bitti.</t>
        </is>
      </c>
      <c r="K846" s="6" t="inlineStr">
        <is>
          <t>Diyetin ilk günü komşu börek getirdi, ikinci gün teyzen baklava. Üçüncü gün “Diyet yapıyormuş” diye duyan herkes ayrı tepsiyle geldi. Tartı o hafta iki kilo ekledi.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c r="AI846" s="5" t="inlineStr"/>
      <c r="AJ846" s="5" t="inlineStr"/>
    </row>
    <row r="847">
      <c r="A847" s="5" t="inlineStr">
        <is>
          <t>b8-metabolizma</t>
        </is>
      </c>
      <c r="B847" s="5" t="n">
        <v>3</v>
      </c>
      <c r="C847" s="6" t="inlineStr">
        <is>
          <t>Tartıyı halıya taşı</t>
        </is>
      </c>
      <c r="D847" s="5" t="inlineStr">
        <is>
          <t>Kurnazlık</t>
        </is>
      </c>
      <c r="E847" s="5" t="inlineStr">
        <is>
          <t>Kolay</t>
        </is>
      </c>
      <c r="F847" s="5" t="inlineStr"/>
      <c r="G847" s="6" t="inlineStr"/>
      <c r="H847" s="6" t="inlineStr">
        <is>
          <t>Halının üstünde iki kilo gitti. Bilim bunu açıklayamıyor, sen açıklamak zorunda değilsin.</t>
        </is>
      </c>
      <c r="I847" s="6" t="inlineStr">
        <is>
          <t>Tartıyı öyle bir noktaya yerleştirdin ki her sabah farklı ama hep iyi haber veriyor.</t>
        </is>
      </c>
      <c r="J847" s="6" t="inlineStr">
        <is>
          <t>Tartı halının üstünde “Hata” yazdı. Halıdan indirdin, rakamı gördün; keşke hata kalsaydı.</t>
        </is>
      </c>
      <c r="K847" s="6" t="inlineStr">
        <is>
          <t>Annen ziyarete geldi, tartıyı halıda buldu. Yerine koydu, seni üstüne çıkardı, rakamı yüksek sesle okudu. Bütün apartman duydu.</t>
        </is>
      </c>
      <c r="L847" s="6" t="inlineStr"/>
      <c r="M847" s="5" t="inlineStr"/>
      <c r="N847" s="5" t="inlineStr"/>
      <c r="O847" s="6" t="inlineStr"/>
      <c r="P847" s="6" t="inlineStr"/>
      <c r="Q847" s="5" t="inlineStr"/>
      <c r="R847" s="5" t="inlineStr"/>
      <c r="S847" s="5" t="inlineStr"/>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c r="AI847" s="5" t="inlineStr"/>
      <c r="AJ847" s="5" t="inlineStr"/>
    </row>
    <row r="848">
      <c r="A848" s="5" t="inlineStr">
        <is>
          <t>mb-yapay-zeka</t>
        </is>
      </c>
      <c r="B848" s="5" t="n">
        <v>1</v>
      </c>
      <c r="C848" s="6" t="inlineStr">
        <is>
          <t>Aracı özenle eğit</t>
        </is>
      </c>
      <c r="D848" s="5" t="inlineStr"/>
      <c r="E848" s="5" t="inlineStr"/>
      <c r="F848" s="5" t="inlineStr">
        <is>
          <t>Akıl +1</t>
        </is>
      </c>
      <c r="G848" s="6" t="inlineStr">
        <is>
          <t>Aracı özenle eğittin. Eğitim bitince araç 'Teşekkürler, bundan sonrasını ben hallederim' dedi.</t>
        </is>
      </c>
      <c r="H848" s="6" t="inlineStr"/>
      <c r="I848" s="6" t="inlineStr"/>
      <c r="J848" s="6" t="inlineStr"/>
      <c r="K848" s="6" t="inlineStr"/>
      <c r="L848" s="6" t="inlineStr"/>
      <c r="M848" s="5" t="inlineStr"/>
      <c r="N848" s="5" t="inlineStr"/>
      <c r="O848" s="6" t="inlineStr"/>
      <c r="P848" s="6" t="inlineStr"/>
      <c r="Q848" s="5" t="inlineStr"/>
      <c r="R848" s="5" t="inlineStr"/>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c r="AI848" s="5" t="inlineStr"/>
      <c r="AJ848" s="5" t="inlineStr"/>
    </row>
    <row r="849">
      <c r="A849" s="5" t="inlineStr">
        <is>
          <t>mb-yapay-zeka</t>
        </is>
      </c>
      <c r="B849" s="5" t="n">
        <v>2</v>
      </c>
      <c r="C849" s="6" t="inlineStr">
        <is>
          <t>Aracı biraz yanlış eğit</t>
        </is>
      </c>
      <c r="D849" s="5" t="inlineStr">
        <is>
          <t>Kurnazlık</t>
        </is>
      </c>
      <c r="E849" s="5" t="inlineStr">
        <is>
          <t>Orta</t>
        </is>
      </c>
      <c r="F849" s="5" t="inlineStr"/>
      <c r="G849" s="6" t="inlineStr"/>
      <c r="H849" s="6" t="inlineStr">
        <is>
          <t>Araç her raporda küçük bir hata yapıyor. Düzeltebilen tek kişi sensin. Vazgeçilmezsin.</t>
        </is>
      </c>
      <c r="I849" s="6" t="inlineStr">
        <is>
          <t>Araç yalnızca senin cümlelerinle çalışıyor; “Kolay gelsin” demeden rapor açmıyor. Unvanına “yapay zekâ sorumlusu” eklendi. Ne demek olduğunu kimse bilmiyor, sen dahil.</t>
        </is>
      </c>
      <c r="J849" s="6" t="inlineStr">
        <is>
          <t>Araç hatayı kendi buldu ve raporladı. Hatayı yapanın adıyla.</t>
        </is>
      </c>
      <c r="K849" s="6" t="inlineStr">
        <is>
          <t>Araç senin hakkında kendi raporunu yazdı ve bütün şirkete gönderdi: “Eğitmen, verimliliği bilinçli olarak düşürmüştür.” Yöneticin raporu yazdırıp masana bıraktı; üstünde sarı bir not: “Konuşalım.”</t>
        </is>
      </c>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c r="AI849" s="5" t="inlineStr"/>
      <c r="AJ849" s="5" t="inlineStr"/>
    </row>
    <row r="850">
      <c r="A850" s="5" t="inlineStr">
        <is>
          <t>mb-yapay-zeka</t>
        </is>
      </c>
      <c r="B850" s="5" t="n">
        <v>3</v>
      </c>
      <c r="C850" s="6" t="inlineStr">
        <is>
          <t>'Bağlamı' sat</t>
        </is>
      </c>
      <c r="D850" s="5" t="inlineStr">
        <is>
          <t>Çene</t>
        </is>
      </c>
      <c r="E850" s="5" t="inlineStr">
        <is>
          <t>Orta</t>
        </is>
      </c>
      <c r="F850" s="5" t="inlineStr"/>
      <c r="G850" s="6" t="inlineStr"/>
      <c r="H850" s="6" t="inlineStr">
        <is>
          <t>Yönetime “Araç rakamları biliyor, kimin kime küs olduğunu bilmiyor” dedin. Kapına yeni bir levha asıldı: “Bağlam Uzmanı.” Fotoğrafını annene attın; “Ne iş bu?” diye sordu.</t>
        </is>
      </c>
      <c r="I850" s="6" t="inlineStr">
        <is>
          <t>Aracın bağlamı bilmediğini kanıtladın: muhasebe ile satışı aynı öğle yemeğine davet etmişti. O günden beri yönetim, aracın her davetini sana onaylatıyor.</t>
        </is>
      </c>
      <c r="J850" s="6" t="inlineStr">
        <is>
          <t>Anlattın; yönetim araca 'bağlam' eklentisi aldı.</t>
        </is>
      </c>
      <c r="K850" s="6" t="inlineStr">
        <is>
          <t>Bağlamı anlatırken örnek olarak yöneticini verdin. Yöneticin de toplantıdaydı. Bağlamıyla.</t>
        </is>
      </c>
      <c r="L850" s="6" t="inlineStr"/>
      <c r="M850" s="5" t="inlineStr"/>
      <c r="N850" s="5" t="inlineStr"/>
      <c r="O850" s="6" t="inlineStr"/>
      <c r="P850" s="6" t="inlineStr"/>
      <c r="Q850" s="5" t="inlineStr"/>
      <c r="R850" s="5" t="inlineStr"/>
      <c r="S850" s="5" t="inlineStr">
        <is>
          <t>Akıl</t>
        </is>
      </c>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c r="AI850" s="5" t="inlineStr"/>
      <c r="AJ850" s="5" t="inlineStr"/>
    </row>
    <row r="851">
      <c r="A851" s="5" t="inlineStr">
        <is>
          <t>mb-yapay-zeka</t>
        </is>
      </c>
      <c r="B851" s="5" t="n">
        <v>4</v>
      </c>
      <c r="C851" s="6" t="inlineStr">
        <is>
          <t>Aracı yöneten aracı sen kur</t>
        </is>
      </c>
      <c r="D851" s="5" t="inlineStr">
        <is>
          <t>Akıl</t>
        </is>
      </c>
      <c r="E851" s="5" t="inlineStr">
        <is>
          <t>Zor</t>
        </is>
      </c>
      <c r="F851" s="5" t="inlineStr"/>
      <c r="G851" s="6" t="inlineStr"/>
      <c r="H851" s="6" t="inlineStr">
        <is>
          <t>Araçları yöneten bir düzen kurdun. Artık işi yapan değil, işi yapanı yapan sensin.</t>
        </is>
      </c>
      <c r="I851" s="6" t="inlineStr">
        <is>
          <t>Kurduğun düzen bütün şirkete yayıldı. Yapay zekâ departmanının başındasın. İnsan tek sen.</t>
        </is>
      </c>
      <c r="J851" s="6" t="inlineStr">
        <is>
          <t>Kurdun; araçlar birbirine e-posta atmaya başladı. Toplantı hakkında toplantı.</t>
        </is>
      </c>
      <c r="K851" s="6" t="inlineStr">
        <is>
          <t>Araçlar birbirini onayladı ve bir bütçe kararı aldı. Senin maaşını kısmayı.</t>
        </is>
      </c>
      <c r="L851" s="6" t="inlineStr"/>
      <c r="M851" s="5" t="inlineStr"/>
      <c r="N851" s="5" t="inlineStr"/>
      <c r="O851" s="6" t="inlineStr"/>
      <c r="P851" s="6" t="inlineStr"/>
      <c r="Q851" s="5" t="inlineStr">
        <is>
          <t>Şifreyi Bilen</t>
        </is>
      </c>
      <c r="R851" s="5" t="inlineStr"/>
      <c r="S851" s="5" t="inlineStr"/>
      <c r="T851" s="5" t="inlineStr">
        <is>
          <t>Ukala Ama Haklı</t>
        </is>
      </c>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c r="AI851" s="5" t="inlineStr"/>
      <c r="AJ851" s="5" t="inlineStr"/>
    </row>
    <row r="852">
      <c r="A852" s="5" t="inlineStr">
        <is>
          <t>me-haber-merkezi</t>
        </is>
      </c>
      <c r="B852" s="5" t="n">
        <v>1</v>
      </c>
      <c r="C852" s="6" t="inlineStr">
        <is>
          <t>Dinle, sadece dinle</t>
        </is>
      </c>
      <c r="D852" s="5" t="inlineStr"/>
      <c r="E852" s="5" t="inlineStr"/>
      <c r="F852" s="5" t="inlineStr">
        <is>
          <t>Sosyal Radar +1, İtibar +1</t>
        </is>
      </c>
      <c r="G852" s="6" t="inlineStr">
        <is>
          <t>Dinledin, kimseye söylemedin. Mahallede yeni bir laf çıktı: “Ona anlat, gömer.” Artık kasada para kadar sır da birikiyor.</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c r="AI852" s="5" t="inlineStr"/>
      <c r="AJ852" s="5" t="inlineStr"/>
    </row>
    <row r="853">
      <c r="A853" s="5" t="inlineStr">
        <is>
          <t>me-haber-merkezi</t>
        </is>
      </c>
      <c r="B853" s="5" t="n">
        <v>2</v>
      </c>
      <c r="C853" s="6" t="inlineStr">
        <is>
          <t>Haberi satışa bağla</t>
        </is>
      </c>
      <c r="D853" s="5" t="inlineStr">
        <is>
          <t>Çene</t>
        </is>
      </c>
      <c r="E853" s="5" t="inlineStr">
        <is>
          <t>Orta</t>
        </is>
      </c>
      <c r="F853" s="5" t="inlineStr"/>
      <c r="G853" s="6" t="inlineStr"/>
      <c r="H853" s="6" t="inlineStr">
        <is>
          <t>“Aidat artıyor, ay sonu sıkışırız” dedin. Herkes bir paket fazla mercimek aldı; akşam bakliyat rafı boştu.</t>
        </is>
      </c>
      <c r="I853" s="6" t="inlineStr">
        <is>
          <t>Haberi verdin, malı sattın. Ertesi sabah kapının önünde kuyruk vardı; yarısı alışverişe, yarısı “Bugün ne var?” diye sormaya gelmişti.</t>
        </is>
      </c>
      <c r="J853" s="6" t="inlineStr">
        <is>
          <t>Haberi verdin, kimse bir şey almadı. Herkes haberi başkasına yetiştirmek için koştu.</t>
        </is>
      </c>
      <c r="K853" s="6" t="inlineStr">
        <is>
          <t>Haber yanlış çıktı: aidat artmamış, asansör bozulmuş. Yönetici dükkânın camına not astı: “Aidat artmamıştır.” Altına biri kalemle ekledi: “Mercimek iadesi var mı?”</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c r="AI853" s="5" t="inlineStr"/>
      <c r="AJ853" s="5" t="inlineStr"/>
    </row>
    <row r="854">
      <c r="A854" s="5" t="inlineStr">
        <is>
          <t>me-haber-merkezi</t>
        </is>
      </c>
      <c r="B854" s="5" t="n">
        <v>3</v>
      </c>
      <c r="C854" s="6" t="inlineStr">
        <is>
          <t>Aidat haberini önceden sızdır</t>
        </is>
      </c>
      <c r="D854" s="5" t="inlineStr">
        <is>
          <t>Kurnazlık</t>
        </is>
      </c>
      <c r="E854" s="5" t="inlineStr">
        <is>
          <t>Orta</t>
        </is>
      </c>
      <c r="F854" s="5" t="inlineStr"/>
      <c r="G854" s="6" t="inlineStr"/>
      <c r="H854" s="6" t="inlineStr">
        <is>
          <t>Apartman toplantısına herkes hesap makinesiyle geldi. Yönetici daha çayları dağıtmadan artış oylandı ve düştü.</t>
        </is>
      </c>
      <c r="I854" s="6" t="inlineStr">
        <is>
          <t>Sızıntın öyle tuttu ki artış reddedildi. Yönetici kimin sızdırdığını hâlâ arıyor; senden ekmek alarak.</t>
        </is>
      </c>
      <c r="J854" s="6" t="inlineStr">
        <is>
          <t>Yönetici haberi sabah gruba atmış. Sızıntın manşete yetişemedi.</t>
        </is>
      </c>
      <c r="K854" s="6" t="inlineStr">
        <is>
          <t>Yönetici sızıntının kaynağını üç dakikada buldu: eşi ekmeği yalnızca senden alıyordu. Ertesi gün ikisi de karşı dükkândan alıyordu; apartmanın yarısı da.</t>
        </is>
      </c>
      <c r="L854" s="6" t="inlineStr"/>
      <c r="M854" s="5" t="inlineStr"/>
      <c r="N854" s="5" t="inlineStr"/>
      <c r="O854" s="6" t="inlineStr"/>
      <c r="P854" s="6" t="inlineStr"/>
      <c r="Q854" s="5" t="inlineStr"/>
      <c r="R854" s="5" t="inlineStr"/>
      <c r="S854" s="5" t="inlineStr">
        <is>
          <t>Sosyal Radar</t>
        </is>
      </c>
      <c r="T854" s="5" t="inlineStr"/>
      <c r="U854" s="5" t="inlineStr"/>
      <c r="V854" s="5" t="inlineStr"/>
      <c r="W854" s="5" t="inlineStr"/>
      <c r="X854" s="5" t="inlineStr"/>
      <c r="Y854" s="5" t="inlineStr"/>
      <c r="Z854" s="6" t="inlineStr"/>
      <c r="AA854" s="5" t="inlineStr"/>
      <c r="AB854" s="5" t="inlineStr"/>
      <c r="AC854" s="5" t="inlineStr"/>
      <c r="AD854" s="5" t="inlineStr"/>
      <c r="AE854" s="5" t="inlineStr"/>
      <c r="AF854" s="5" t="inlineStr"/>
      <c r="AG854" s="5" t="inlineStr"/>
      <c r="AH854" s="5" t="inlineStr"/>
      <c r="AI854" s="5" t="inlineStr"/>
      <c r="AJ854" s="5" t="inlineStr"/>
    </row>
    <row r="855">
      <c r="A855" s="5" t="inlineStr">
        <is>
          <t>me-haber-merkezi</t>
        </is>
      </c>
      <c r="B855" s="5" t="n">
        <v>4</v>
      </c>
      <c r="C855" s="6" t="inlineStr">
        <is>
          <t>Haberi biraz süsle</t>
        </is>
      </c>
      <c r="D855" s="5" t="inlineStr">
        <is>
          <t>Pişkinlik</t>
        </is>
      </c>
      <c r="E855" s="5" t="inlineStr">
        <is>
          <t>Orta</t>
        </is>
      </c>
      <c r="F855" s="5" t="inlineStr"/>
      <c r="G855" s="6" t="inlineStr"/>
      <c r="H855" s="6" t="inlineStr">
        <is>
          <t>Mahalle bayıldı. Süslemenin yarısı sonradan doğru çıktı.</t>
        </is>
      </c>
      <c r="I855" s="6" t="inlineStr">
        <is>
          <t>Hikâye öyle tuttu ki kısa video uygulamasında mahalle dizisine dönüştü. Senaryo sende.</t>
        </is>
      </c>
      <c r="J855" s="6" t="inlineStr">
        <is>
          <t>Haberi o kadar süsledin ki dinleyen teyze sözünü kesti: “Dur, bunu ben sana geçen hafta anlatmıştım. Ben böyle anlatmadım ama.”</t>
        </is>
      </c>
      <c r="K855" s="6" t="inlineStr">
        <is>
          <t>Süslediğin komşu dükkâna geldi, tezgâha dayandı: “Ben kiminle kaçmışım?” İki saat özür diledin. O gün kasa hiç açılmadı.</t>
        </is>
      </c>
      <c r="L855" s="6" t="inlineStr"/>
      <c r="M855" s="5" t="inlineStr"/>
      <c r="N855" s="5" t="inlineStr"/>
      <c r="O855" s="6" t="inlineStr"/>
      <c r="P855" s="6" t="inlineStr"/>
      <c r="Q855" s="5" t="inlineStr"/>
      <c r="R855" s="5" t="inlineStr">
        <is>
          <t>yalanci</t>
        </is>
      </c>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c r="AI855" s="5" t="inlineStr"/>
      <c r="AJ855" s="5" t="inlineStr"/>
    </row>
    <row r="856">
      <c r="A856" s="5" t="inlineStr">
        <is>
          <t>mm-performans-formu</t>
        </is>
      </c>
      <c r="B856" s="5" t="n">
        <v>1</v>
      </c>
      <c r="C856" s="6" t="inlineStr">
        <is>
          <t>Hepsine 'Beklentileri karşılıyor' de</t>
        </is>
      </c>
      <c r="D856" s="5" t="inlineStr"/>
      <c r="E856" s="5" t="inlineStr"/>
      <c r="F856" s="5" t="inlineStr">
        <is>
          <t>Dayanıklılık +1</t>
        </is>
      </c>
      <c r="G856" s="6" t="inlineStr">
        <is>
          <t>Kırk iki kez “Beklentileri karşılıyor” işaretledin. Müdür okumadan imzaladı. Bir hafta sonra formunu çay ocağında buldun; çaycı bardak altlığı yapmıştı: “En düzgün kâğıt seninkiydi.”</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c r="AI856" s="5" t="inlineStr"/>
      <c r="AJ856" s="5" t="inlineStr"/>
    </row>
    <row r="857">
      <c r="A857" s="5" t="inlineStr">
        <is>
          <t>mm-performans-formu</t>
        </is>
      </c>
      <c r="B857" s="5" t="n">
        <v>2</v>
      </c>
      <c r="C857" s="6" t="inlineStr">
        <is>
          <t>Değerlendirme görüşmesine gir</t>
        </is>
      </c>
      <c r="D857" s="5" t="inlineStr">
        <is>
          <t>Çene</t>
        </is>
      </c>
      <c r="E857" s="5" t="inlineStr">
        <is>
          <t>Orta</t>
        </is>
      </c>
      <c r="F857" s="5" t="inlineStr"/>
      <c r="G857" s="6" t="inlineStr"/>
      <c r="H857" s="6" t="inlineStr">
        <is>
          <t>'Çok iyi' notuyla çıktın. Müdür 'geliştirilebilir' dediğin maddenin yanına 'dürüst' yazdı.</t>
        </is>
      </c>
      <c r="I857" s="6" t="inlineStr">
        <is>
          <t>Görüşmenin sonunda müdür kendi formunu çıkardı: “Bunu nasıl dolduruyorsun?” Yarım saat anlattın; formunda adın yok ama el yazın var.</t>
        </is>
      </c>
      <c r="J857" s="6" t="inlineStr">
        <is>
          <t>Fazla yüklendin. Müdür “O zaman maddeleri tek tek konuşalım” dedi; kırk iki madde konuşuldu. Not: “Orta.”</t>
        </is>
      </c>
      <c r="K857" s="6" t="inlineStr">
        <is>
          <t>“Beş yıl sonra kendimi sizin koltuğunuzda görüyorum” dedin. Müdür koltuğunu masaya biraz yaklaştırdı, kırmızı kalemin kapağını açtı. Kırk iki maddenin hepsine: “Geliştirilebilir.”</t>
        </is>
      </c>
      <c r="L857" s="6" t="inlineStr">
        <is>
          <t>“İyi”de anlaştınız. Müdür kırmızı kalemi kapattı, sen de çeneni.</t>
        </is>
      </c>
      <c r="M857" s="5" t="inlineStr">
        <is>
          <t>duel</t>
        </is>
      </c>
      <c r="N857" s="5" t="inlineStr">
        <is>
          <t>Not Görüşmesi</t>
        </is>
      </c>
      <c r="O857" s="6" t="inlineStr">
        <is>
          <t>Karşındakinin sabrı bitmeden en iyi cevabı seç.</t>
        </is>
      </c>
      <c r="P857" s="6" t="inlineStr">
        <is>
          <t>{"who": "Müdür", "rounds": [{"q": "Beklentileri karşılıyorsunuz, bu yeterli değil mi?", "o": [{"t": "Karşılamak taban; ben tavanı konuşmak istiyorum.", "s": 1}, {"t": "Yeterli, teşekkürler.", "s": 0.2}, {"t": "Karşılamıyor desem?", "s": 0.35}]}, {"q": "Kanıtınız?", "o": [{"t": "Üç tamamlanan dosya, sıfır iade.", "s": 1}, {"t": "Herkes biliyor zaten.", "s": 0.3}, {"t": "Kanıt masada, kırmızı kalemle.", "s": 0.5}]}, {"q": "Tamam, bir üst not için ne istiyorsunuz?", "o": [{"t": "Notu, yazılı gerekçesiyle.", "s": 1}, {"t": "Ne verirseniz.", "s": 0.25}, {"t": "Maaş zammı da olsun.", "s": 0.55}]}]}</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c r="AI857" s="5" t="inlineStr"/>
      <c r="AJ857" s="5" t="inlineStr"/>
    </row>
    <row r="858">
      <c r="A858" s="5" t="inlineStr">
        <is>
          <t>mm-performans-formu</t>
        </is>
      </c>
      <c r="B858" s="5" t="n">
        <v>3</v>
      </c>
      <c r="C858" s="6" t="inlineStr">
        <is>
          <t>Öz değerlendirmeyi cesurca doldur</t>
        </is>
      </c>
      <c r="D858" s="5" t="inlineStr">
        <is>
          <t>Pişkinlik</t>
        </is>
      </c>
      <c r="E858" s="5" t="inlineStr">
        <is>
          <t>Orta</t>
        </is>
      </c>
      <c r="F858" s="5" t="inlineStr"/>
      <c r="G858" s="6" t="inlineStr"/>
      <c r="H858" s="6" t="inlineStr">
        <is>
          <t>Kendine 'Kurumun görünmeyen omurgası' yazdın. Müdür itiraz edecek bir kanıt bulamadı.</t>
        </is>
      </c>
      <c r="I858" s="6" t="inlineStr">
        <is>
          <t>Öz değerlendirmen o kadar ikna ediciydi ki müdür kendi formundaki bazı cümleleri senden aldı.</t>
        </is>
      </c>
      <c r="J858" s="6" t="inlineStr">
        <is>
          <t>Müdür formun kenarına tek kelime yazdı: 'Kaynak?'</t>
        </is>
      </c>
      <c r="K858" s="6" t="inlineStr">
        <is>
          <t>Öz değerlendirmeyi yanlışlıkla bütün birime gönderdin. Ertesi sabah masanda bir not vardı: “Günaydın Omurga.” Çaycı bile artık öyle sesleniyor.</t>
        </is>
      </c>
      <c r="L858" s="6" t="inlineStr"/>
      <c r="M858" s="5" t="inlineStr"/>
      <c r="N858" s="5" t="inlineStr"/>
      <c r="O858" s="6" t="inlineStr"/>
      <c r="P858" s="6" t="inlineStr"/>
      <c r="Q858" s="5" t="inlineStr">
        <is>
          <t>Yüzü Kızarmaz</t>
        </is>
      </c>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c r="AI858" s="5" t="inlineStr"/>
      <c r="AJ858" s="5" t="inlineStr"/>
    </row>
    <row r="859">
      <c r="A859" s="5" t="inlineStr">
        <is>
          <t>b8-gozluk</t>
        </is>
      </c>
      <c r="B859" s="5" t="n">
        <v>1</v>
      </c>
      <c r="C859" s="6" t="inlineStr">
        <is>
          <t>Göz doktoruna git</t>
        </is>
      </c>
      <c r="D859" s="5" t="inlineStr"/>
      <c r="E859" s="5" t="inlineStr"/>
      <c r="F859" s="5" t="inlineStr">
        <is>
          <t>Akıl +1, Dayanıklılık +1</t>
        </is>
      </c>
      <c r="G859" s="6" t="inlineStr">
        <is>
          <t>Okuma gözlüğü reçete edildi. İlk gün gözlükle aynaya baktın; yüzündeki her şeyi net gördün. Gözlüğü çıkardın.</t>
        </is>
      </c>
      <c r="H859" s="6" t="inlineStr"/>
      <c r="I859" s="6" t="inlineStr"/>
      <c r="J859" s="6" t="inlineStr"/>
      <c r="K859" s="6" t="inlineStr"/>
      <c r="L859" s="6" t="inlineStr"/>
      <c r="M859" s="5" t="inlineStr"/>
      <c r="N859" s="5" t="inlineStr"/>
      <c r="O859" s="6" t="inlineStr"/>
      <c r="P859" s="6" t="inlineStr"/>
      <c r="Q859" s="5" t="inlineStr"/>
      <c r="R859" s="5" t="inlineStr"/>
      <c r="S859" s="5" t="inlineStr"/>
      <c r="T859" s="5" t="inlineStr"/>
      <c r="U859" s="5" t="inlineStr">
        <is>
          <t>gozluklu</t>
        </is>
      </c>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c r="AI859" s="5" t="inlineStr"/>
      <c r="AJ859" s="5" t="inlineStr"/>
    </row>
    <row r="860">
      <c r="A860" s="5" t="inlineStr">
        <is>
          <t>b8-gozluk</t>
        </is>
      </c>
      <c r="B860" s="5" t="n">
        <v>2</v>
      </c>
      <c r="C860" s="6" t="inlineStr">
        <is>
          <t>Fotoğraf çek, büyüt</t>
        </is>
      </c>
      <c r="D860" s="5" t="inlineStr">
        <is>
          <t>Kurnazlık</t>
        </is>
      </c>
      <c r="E860" s="5" t="inlineStr">
        <is>
          <t>Kolay</t>
        </is>
      </c>
      <c r="F860" s="5" t="inlineStr"/>
      <c r="G860" s="6" t="inlineStr"/>
      <c r="H860" s="6" t="inlineStr">
        <is>
          <t>Fotoğrafı çektin, iki parmakla büyüttün, okudun: “Şekersiz.” Arkandaki teyze “Ben söylemiştim” dedi.</t>
        </is>
      </c>
      <c r="I860" s="6" t="inlineStr">
        <is>
          <t>Fotoğrafı öyle hızlı büyüttün ki raf önündeki teyzeler de telefonlarını sana uzattı: “Bizimkini de okur musun evladım?” Kasiyer artık sana “Gözlükçü” diyor.</t>
        </is>
      </c>
      <c r="J860" s="6" t="inlineStr">
        <is>
          <t>Flaş patladı. Etiket parlak beyaz bir leke olarak kaydedildi.</t>
        </is>
      </c>
      <c r="K860" s="6" t="inlineStr">
        <is>
          <t>Büyütürken fotoğrafı yanlışlıkla aile grubuna gönderdin. Halan “Bu ne?” diye sordu, dayın “Krem” dedi, teyzen “Peynir”. Tartışma üçüncü gününde; sen hâlâ okuyamadın.</t>
        </is>
      </c>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c r="AI860" s="5" t="inlineStr"/>
      <c r="AJ860" s="5" t="inlineStr"/>
    </row>
    <row r="861">
      <c r="A861" s="5" t="inlineStr">
        <is>
          <t>b8-gozluk</t>
        </is>
      </c>
      <c r="B861" s="5" t="n">
        <v>3</v>
      </c>
      <c r="C861" s="6" t="inlineStr">
        <is>
          <t>Gözlüğü imaj yap</t>
        </is>
      </c>
      <c r="D861" s="5" t="inlineStr">
        <is>
          <t>Pişkinlik</t>
        </is>
      </c>
      <c r="E861" s="5" t="inlineStr">
        <is>
          <t>Zor</t>
        </is>
      </c>
      <c r="F861" s="5" t="inlineStr"/>
      <c r="G861" s="6" t="inlineStr"/>
      <c r="H861" s="6" t="inlineStr">
        <is>
          <t>Gözlüğü burnunun ucuna indirip üstünden baktın. Pazarcı domatesin fiyatını kendiliğinden indirdi, üstüne “Müfettişsiniz herhalde” diye fısıldadı.</t>
        </is>
      </c>
      <c r="I861" s="6" t="inlineStr">
        <is>
          <t>Gözlüğün üstünden bakışın o kadar etkili ki kasadaki genç para üstünü iki kez saydı, sonra özür diledi. Sebebini hâlâ bilmiyor.</t>
        </is>
      </c>
      <c r="J861" s="6" t="inlineStr">
        <is>
          <t>Gözlüğü burnunun ucuna indirdin; kaydı, çorbaya düştü.</t>
        </is>
      </c>
      <c r="K861" s="6" t="inlineStr">
        <is>
          <t>Gözlüğü başının üstüne taktın, sonra yarım saat evi altüst ettin: yastık altı, buzdolabı, çamaşır sepeti. Alt kattaki komşu gürültüye çıktı, yüzüne baktı: “Kafanda, kafanda!” Ertesi gün bakkal da seni aynı cümleyle karşıladı.</t>
        </is>
      </c>
      <c r="L861" s="6" t="inlineStr"/>
      <c r="M861" s="5" t="inlineStr"/>
      <c r="N861" s="5" t="inlineStr"/>
      <c r="O861" s="6" t="inlineStr"/>
      <c r="P861" s="6" t="inlineStr"/>
      <c r="Q861" s="5" t="inlineStr"/>
      <c r="R861" s="5" t="inlineStr"/>
      <c r="S861" s="5" t="inlineStr">
        <is>
          <t>Pişkinlik</t>
        </is>
      </c>
      <c r="T861" s="5" t="inlineStr">
        <is>
          <t>Okuma Gözlüğü Otoritesi</t>
        </is>
      </c>
      <c r="U861" s="5" t="inlineStr"/>
      <c r="V861" s="5" t="inlineStr">
        <is>
          <t>gozluklu</t>
        </is>
      </c>
      <c r="W861" s="5" t="inlineStr"/>
      <c r="X861" s="5" t="inlineStr"/>
      <c r="Y861" s="5" t="inlineStr"/>
      <c r="Z861" s="6" t="inlineStr"/>
      <c r="AA861" s="5" t="inlineStr"/>
      <c r="AB861" s="5" t="inlineStr"/>
      <c r="AC861" s="5" t="inlineStr"/>
      <c r="AD861" s="5" t="inlineStr"/>
      <c r="AE861" s="5" t="inlineStr"/>
      <c r="AF861" s="5" t="inlineStr"/>
      <c r="AG861" s="5" t="inlineStr"/>
      <c r="AH861" s="5" t="inlineStr"/>
      <c r="AI861" s="5" t="inlineStr">
        <is>
          <t>Kafanda Kafanda</t>
        </is>
      </c>
      <c r="AJ861" s="5" t="inlineStr"/>
    </row>
    <row r="862">
      <c r="A862" s="5" t="inlineStr">
        <is>
          <t>b8-gozluk</t>
        </is>
      </c>
      <c r="B862" s="5" t="n">
        <v>4</v>
      </c>
      <c r="C862" s="6" t="inlineStr">
        <is>
          <t>Görmezden gel, tahminle oku</t>
        </is>
      </c>
      <c r="D862" s="5" t="inlineStr">
        <is>
          <t>Dayanıklılık</t>
        </is>
      </c>
      <c r="E862" s="5" t="inlineStr">
        <is>
          <t>Zor</t>
        </is>
      </c>
      <c r="F862" s="5" t="inlineStr"/>
      <c r="G862" s="6" t="inlineStr"/>
      <c r="H862" s="6" t="inlineStr">
        <is>
          <t>Etiketi tahminle okudun. Doğru ürünü aldın, iki kez üst üste.</t>
        </is>
      </c>
      <c r="I862" s="6" t="inlineStr">
        <is>
          <t>Görmeden okudun; üstelik son kullanma tarihini de yakaladın. Gözler direnişte.</t>
        </is>
      </c>
      <c r="J862" s="6" t="inlineStr">
        <is>
          <t>Tahminle aldın; eve şekersiz yerine duble şekerli geldi.</t>
        </is>
      </c>
      <c r="K862" s="6" t="inlineStr">
        <is>
          <t>Tahminle aldın. Eve kedi maması geldi. Kedin yok.</t>
        </is>
      </c>
      <c r="L862" s="6" t="inlineStr"/>
      <c r="M862" s="5" t="inlineStr"/>
      <c r="N862" s="5" t="inlineStr"/>
      <c r="O862" s="6" t="inlineStr"/>
      <c r="P862" s="6" t="inlineStr"/>
      <c r="Q862" s="5" t="inlineStr"/>
      <c r="R862" s="5" t="inlineStr"/>
      <c r="S862" s="5" t="inlineStr"/>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c r="AI862" s="5" t="inlineStr"/>
      <c r="AJ862" s="5" t="inlineStr"/>
    </row>
    <row r="863">
      <c r="A863" s="5" t="inlineStr">
        <is>
          <t>b8-bayram-sofrasi</t>
        </is>
      </c>
      <c r="B863" s="5" t="n">
        <v>1</v>
      </c>
      <c r="C863" s="6" t="inlineStr">
        <is>
          <t>Sarmaya odaklan</t>
        </is>
      </c>
      <c r="D863" s="5" t="inlineStr"/>
      <c r="E863" s="5" t="inlineStr"/>
      <c r="F863" s="5" t="inlineStr">
        <is>
          <t>Dayanıklılık +1</t>
        </is>
      </c>
      <c r="G863" s="6" t="inlineStr">
        <is>
          <t>Tartışma boyunca yedi sarma yedin. Miras paylaşılmadı; sarmalar paylaşıldı.</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c r="AI863" s="5" t="inlineStr"/>
      <c r="AJ863" s="5" t="inlineStr"/>
    </row>
    <row r="864">
      <c r="A864" s="5" t="inlineStr">
        <is>
          <t>b8-bayram-sofrasi</t>
        </is>
      </c>
      <c r="B864" s="5" t="n">
        <v>2</v>
      </c>
      <c r="C864" s="6" t="inlineStr">
        <is>
          <t>Miras sorusuna soğukkanlı kal</t>
        </is>
      </c>
      <c r="D864" s="5" t="inlineStr">
        <is>
          <t>Dayanıklılık</t>
        </is>
      </c>
      <c r="E864" s="5" t="inlineStr">
        <is>
          <t>Orta</t>
        </is>
      </c>
      <c r="F864" s="5" t="inlineStr"/>
      <c r="G864" s="6" t="inlineStr"/>
      <c r="H864" s="6" t="inlineStr">
        <is>
          <t>Hiçbir soruya net cevap vermedin: “Bakarız” dedin, “Bir konuşalım” dedin, “Annem bilir” dedin. Konu gelecek bayrama ertelendi; yirmi yıldır olduğu gibi.</t>
        </is>
      </c>
      <c r="I864" s="6" t="inlineStr">
        <is>
          <t>Öyle soğukkanlıydın ki amca payından vazgeçip sana çay koydu.</t>
        </is>
      </c>
      <c r="J864" s="6" t="inlineStr">
        <is>
          <t>'Tapu kimde' sorusunda yutkundun. Artık herkes bir şey bildiğini düşünüyor.</t>
        </is>
      </c>
      <c r="K864" s="6" t="inlineStr">
        <is>
          <t>Kaşın bir kez oynadı; halan gördü. Tatlı gelmeden sofra ikiye bölündü: bir yanda amcalar, bir yanda halalar, ortada baklava. Gelecek bayram iki ayrı evde kutlanacak; ikisine de davetlisin, hiçbirine gidemezsin.</t>
        </is>
      </c>
      <c r="L864" s="6" t="inlineStr">
        <is>
          <t>Bir kez göz kırptın. Tarla bölündü; sulama hakkı tartışmaya açık.</t>
        </is>
      </c>
      <c r="M864" s="5" t="inlineStr">
        <is>
          <t>duel</t>
        </is>
      </c>
      <c r="N864" s="5" t="inlineStr">
        <is>
          <t>Miras Sorusu</t>
        </is>
      </c>
      <c r="O864" s="6" t="inlineStr">
        <is>
          <t>Karşındakinin sabrı bitmeden en iyi cevabı seç.</t>
        </is>
      </c>
      <c r="P864" s="6" t="inlineStr">
        <is>
          <t>{"who": "Amca", "rounds": [{"q": "Tarlaya kim bakacak?", "o": [{"t": "Konuşalım, ama yemekten sonra.", "s": 1}, {"t": "Bakarım, merak etme.", "s": 0.3}, {"t": "Sen bakıyorsun zaten.", "s": 0.45}]}, {"q": "Sen zaten şehirdesin, değil mi?", "o": [{"t": "Şehirdeyim, ama bayramlar hep burada.", "s": 1}, {"t": "Evet, ve dönmeyeceğim.", "s": 0.2}, {"t": "Sen de orada değildin.", "s": 0.4}]}, {"q": "Tapu kimde?", "o": [{"t": "Sofradan sonra hepimiz bakarız.", "s": 1}, {"t": "Bende.", "s": 0.2}, {"t": "Babamda, ben hiç görmedim.", "s": 0.5}]}]}</t>
        </is>
      </c>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c r="AI864" s="5" t="inlineStr"/>
      <c r="AJ864" s="5" t="inlineStr"/>
    </row>
    <row r="865">
      <c r="A865" s="5" t="inlineStr">
        <is>
          <t>b8-bayram-sofrasi</t>
        </is>
      </c>
      <c r="B865" s="5" t="n">
        <v>3</v>
      </c>
      <c r="C865" s="6" t="inlineStr">
        <is>
          <t>Kuzenin arabasını sor</t>
        </is>
      </c>
      <c r="D865" s="5" t="inlineStr">
        <is>
          <t>Çene</t>
        </is>
      </c>
      <c r="E865" s="5" t="inlineStr">
        <is>
          <t>Orta</t>
        </is>
      </c>
      <c r="F865" s="5" t="inlineStr"/>
      <c r="G865" s="6" t="inlineStr"/>
      <c r="H865" s="6" t="inlineStr">
        <is>
          <t>'Yakıtı nasıl?' diye sordun. Kuzen yirmi dakika savunma yaptı; miras unutuldu.</t>
        </is>
      </c>
      <c r="I865" s="6" t="inlineStr">
        <is>
          <t>Arabanın ikinci el değerini masada hesapladın. Amca bile hesap makinesi istedi; tarla kimsenin aklında değil.</t>
        </is>
      </c>
      <c r="J865" s="6" t="inlineStr">
        <is>
          <t>Kuzen senin arabanın yaşını sordu. Cevap sofrada asılı kaldı.</t>
        </is>
      </c>
      <c r="K865" s="6" t="inlineStr">
        <is>
          <t>Kuzen anahtarını masaya koydu. Sen de seninkini koydun; anahtarlık bantla tutturulmuştu. Amca tarlayı bırakıp sana döndü: “Sana da bir pay ayıralım mı?”</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c r="AI865" s="5" t="inlineStr"/>
      <c r="AJ865" s="5" t="inlineStr"/>
    </row>
    <row r="866">
      <c r="A866" s="5" t="inlineStr">
        <is>
          <t>b8-bayram-sofrasi</t>
        </is>
      </c>
      <c r="B866" s="5" t="n">
        <v>4</v>
      </c>
      <c r="C866" s="6" t="inlineStr">
        <is>
          <t>Konuyu çocukların okuluna çevir</t>
        </is>
      </c>
      <c r="D866" s="5" t="inlineStr">
        <is>
          <t>Sosyal Radar</t>
        </is>
      </c>
      <c r="E866" s="5" t="inlineStr">
        <is>
          <t>Kolay</t>
        </is>
      </c>
      <c r="F866" s="5" t="inlineStr"/>
      <c r="G866" s="6" t="inlineStr"/>
      <c r="H866" s="6" t="inlineStr">
        <is>
          <t>Sofra bir anda “Kimin çocuğu nereyi kazandı” yarışmasına döndü. Amca torununu anlatırken gözleri doldu; tarla unutuldu.</t>
        </is>
      </c>
      <c r="I866" s="6" t="inlineStr">
        <is>
          <t>Konuyu öyle çevirdin ki halan torununun karnesini çantasından çıkardı. Amca gözlüğünü taktı, karneyi satır satır okudu. Tarla sarmayla birlikte soğudu.</t>
        </is>
      </c>
      <c r="J866" s="6" t="inlineStr">
        <is>
          <t>Konu değişti, ama kuzenin karneyi okumaya başlayınca amca sözünü kesti: “Karne bekler, tarla beklemez.”</t>
        </is>
      </c>
      <c r="K866" s="6" t="inlineStr">
        <is>
          <t>Konuyu çevirdin; iki kuzen çocuklarının notlarını karşılaştırmaya başladı. Matematikte yarım puan fark çıktı. Tarla için sesini yükseltmeyen amca, karne için masaya vurdu.</t>
        </is>
      </c>
      <c r="L866" s="6" t="inlineStr"/>
      <c r="M866" s="5" t="inlineStr"/>
      <c r="N866" s="5" t="inlineStr"/>
      <c r="O866" s="6" t="inlineStr"/>
      <c r="P866" s="6" t="inlineStr"/>
      <c r="Q866" s="5" t="inlineStr">
        <is>
          <t>Odayı Okur</t>
        </is>
      </c>
      <c r="R866" s="5" t="inlineStr"/>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c r="AI866" s="5" t="inlineStr"/>
      <c r="AJ866" s="5" t="inlineStr"/>
    </row>
    <row r="867">
      <c r="A867" s="5" t="inlineStr">
        <is>
          <t>b8-hastane-otoparki</t>
        </is>
      </c>
      <c r="B867" s="5" t="n">
        <v>1</v>
      </c>
      <c r="C867" s="6" t="inlineStr">
        <is>
          <t>Uzağa park et, kol kola yürü</t>
        </is>
      </c>
      <c r="D867" s="5" t="inlineStr"/>
      <c r="E867" s="5" t="inlineStr"/>
      <c r="F867" s="5" t="inlineStr">
        <is>
          <t>Dayanıklılık +1, Gönül +1</t>
        </is>
      </c>
      <c r="G867" s="6" t="inlineStr">
        <is>
          <t>Annenle kol kola yürüdünüz. Randevuya yetiştiniz; yolda üç komşunun hâlini de öğrendiniz.</t>
        </is>
      </c>
      <c r="H867" s="6" t="inlineStr"/>
      <c r="I867" s="6" t="inlineStr"/>
      <c r="J867" s="6" t="inlineStr"/>
      <c r="K867" s="6" t="inlineStr"/>
      <c r="L867" s="6" t="inlineStr"/>
      <c r="M867" s="5" t="inlineStr"/>
      <c r="N867" s="5" t="inlineStr"/>
      <c r="O867" s="6" t="inlineStr"/>
      <c r="P867" s="6" t="inlineStr"/>
      <c r="Q867" s="5" t="inlineStr"/>
      <c r="R867" s="5" t="inlineStr"/>
      <c r="S867" s="5" t="inlineStr"/>
      <c r="T867" s="5" t="inlineStr"/>
      <c r="U867" s="5" t="inlineStr"/>
      <c r="V867" s="5" t="inlineStr"/>
      <c r="W867" s="5" t="inlineStr"/>
      <c r="X867" s="5" t="inlineStr"/>
      <c r="Y867" s="5" t="inlineStr"/>
      <c r="Z867" s="6" t="inlineStr"/>
      <c r="AA867" s="5" t="inlineStr"/>
      <c r="AB867" s="5" t="inlineStr"/>
      <c r="AC867" s="5" t="inlineStr"/>
      <c r="AD867" s="5" t="inlineStr"/>
      <c r="AE867" s="5" t="inlineStr"/>
      <c r="AF867" s="5" t="inlineStr"/>
      <c r="AG867" s="5" t="inlineStr"/>
      <c r="AH867" s="5" t="inlineStr"/>
      <c r="AI867" s="5" t="inlineStr"/>
      <c r="AJ867" s="5" t="inlineStr"/>
    </row>
    <row r="868">
      <c r="A868" s="5" t="inlineStr">
        <is>
          <t>b8-hastane-otoparki</t>
        </is>
      </c>
      <c r="B868" s="5" t="n">
        <v>2</v>
      </c>
      <c r="C868" s="6" t="inlineStr">
        <is>
          <t>Görevliyle konuş</t>
        </is>
      </c>
      <c r="D868" s="5" t="inlineStr">
        <is>
          <t>Çene</t>
        </is>
      </c>
      <c r="E868" s="5" t="inlineStr">
        <is>
          <t>Orta</t>
        </is>
      </c>
      <c r="F868" s="5" t="inlineStr"/>
      <c r="G868" s="6" t="inlineStr"/>
      <c r="H868" s="6" t="inlineStr">
        <is>
          <t>Görevli bir koni çekti, yer açtı. “Teyzemizi yürütmeyelim” deyip annenin koluna girdi.</t>
        </is>
      </c>
      <c r="I868" s="6" t="inlineStr">
        <is>
          <t>Görevli arabanı kendisi park etti, anneni koluna takıp kapıya kadar götürdü. Annen çıkışta çantasından kolonya çıkarıp ona ikram etti. Sana etmedi.</t>
        </is>
      </c>
      <c r="J868" s="6" t="inlineStr">
        <is>
          <t>Görevli sıraya girmeni söyledi. Sıra otoparkın dışına kadar uzanıyordu.</t>
        </is>
      </c>
      <c r="K868" s="6" t="inlineStr">
        <is>
          <t>Görevliyle konuşurken arkadaki araç boş yere girdi; görevli ona el salladı. Annen camı indirdi: “Ben yürürüm evladım, sen konuşmaya devam et.” Yürüdü; sen hâlâ konuşuyordun.</t>
        </is>
      </c>
      <c r="L868" s="6" t="inlineStr"/>
      <c r="M868" s="5" t="inlineStr"/>
      <c r="N868" s="5" t="inlineStr"/>
      <c r="O868" s="6" t="inlineStr"/>
      <c r="P868" s="6" t="inlineStr"/>
      <c r="Q868" s="5" t="inlineStr"/>
      <c r="R868" s="5" t="inlineStr"/>
      <c r="S868" s="5" t="inlineStr"/>
      <c r="T868" s="5" t="inlineStr"/>
      <c r="U868" s="5" t="inlineStr"/>
      <c r="V868" s="5" t="inlineStr"/>
      <c r="W868" s="5" t="inlineStr"/>
      <c r="X868" s="5" t="inlineStr"/>
      <c r="Y868" s="5" t="inlineStr"/>
      <c r="Z868" s="6" t="inlineStr"/>
      <c r="AA868" s="5" t="inlineStr"/>
      <c r="AB868" s="5" t="inlineStr"/>
      <c r="AC868" s="5" t="inlineStr"/>
      <c r="AD868" s="5" t="inlineStr"/>
      <c r="AE868" s="5" t="inlineStr"/>
      <c r="AF868" s="5" t="inlineStr"/>
      <c r="AG868" s="5" t="inlineStr"/>
      <c r="AH868" s="5" t="inlineStr"/>
      <c r="AI868" s="5" t="inlineStr"/>
      <c r="AJ868" s="5" t="inlineStr"/>
    </row>
    <row r="869">
      <c r="A869" s="5" t="inlineStr">
        <is>
          <t>b8-hastane-otoparki</t>
        </is>
      </c>
      <c r="B869" s="5" t="n">
        <v>3</v>
      </c>
      <c r="C869" s="6" t="inlineStr">
        <is>
          <t>Başhekimin yerine park et</t>
        </is>
      </c>
      <c r="D869" s="5" t="inlineStr">
        <is>
          <t>Kurnazlık</t>
        </is>
      </c>
      <c r="E869" s="5" t="inlineStr">
        <is>
          <t>Orta</t>
        </is>
      </c>
      <c r="F869" s="5" t="inlineStr"/>
      <c r="G869" s="6" t="inlineStr"/>
      <c r="H869" s="6" t="inlineStr">
        <is>
          <t>Park ettin, kimse bir şey demedi. Sileceğe not bırakılmış: 'Geçmiş olsun.'</t>
        </is>
      </c>
      <c r="I869" s="6" t="inlineStr">
        <is>
          <t>Çıkışta başhekim 'Randevunuz nasıl geçti?' diye sordu. Birbirinizi tanıdığınızı sanıyor.</t>
        </is>
      </c>
      <c r="J869" s="6" t="inlineStr">
        <is>
          <t>Araç çekildi. Randevu yetişti, araç yetişmedi.</t>
        </is>
      </c>
      <c r="K869" s="6" t="inlineStr">
        <is>
          <t>Başhekim erken geldi; araban çekildi. Muayene odasında seni tanıdı, annene döndü: “Çocuğunuz biraz aceleci galiba.” Annen başını salladı, uzun uzun.</t>
        </is>
      </c>
      <c r="L869" s="6" t="inlineStr"/>
      <c r="M869" s="5" t="inlineStr"/>
      <c r="N869" s="5" t="inlineStr"/>
      <c r="O869" s="6" t="inlineStr"/>
      <c r="P869" s="6" t="inlineStr"/>
      <c r="Q869" s="5" t="inlineStr"/>
      <c r="R869" s="5" t="inlineStr"/>
      <c r="S869" s="5" t="inlineStr">
        <is>
          <t>Kurnazlık</t>
        </is>
      </c>
      <c r="T869" s="5" t="inlineStr"/>
      <c r="U869" s="5" t="inlineStr"/>
      <c r="V869" s="5" t="inlineStr"/>
      <c r="W869" s="5" t="inlineStr"/>
      <c r="X869" s="5" t="inlineStr"/>
      <c r="Y869" s="5" t="inlineStr"/>
      <c r="Z869" s="6" t="inlineStr"/>
      <c r="AA869" s="5" t="inlineStr"/>
      <c r="AB869" s="5" t="inlineStr"/>
      <c r="AC869" s="5" t="inlineStr"/>
      <c r="AD869" s="5" t="inlineStr"/>
      <c r="AE869" s="5" t="inlineStr"/>
      <c r="AF869" s="5" t="inlineStr"/>
      <c r="AG869" s="5" t="inlineStr"/>
      <c r="AH869" s="5" t="inlineStr"/>
      <c r="AI869" s="5" t="inlineStr"/>
      <c r="AJ869" s="5" t="inlineStr"/>
    </row>
    <row r="870">
      <c r="A870" s="5" t="inlineStr">
        <is>
          <t>b8-bekar-orta-yas</t>
        </is>
      </c>
      <c r="B870" s="5" t="n">
        <v>1</v>
      </c>
      <c r="C870" s="6" t="inlineStr">
        <is>
          <t>Özgürlüğün tadını çıkar</t>
        </is>
      </c>
      <c r="D870" s="5" t="inlineStr"/>
      <c r="E870" s="5" t="inlineStr"/>
      <c r="F870" s="5" t="inlineStr">
        <is>
          <t>Pişkinlik +1</t>
        </is>
      </c>
      <c r="G870" s="6" t="inlineStr">
        <is>
          <t>Pazar kahvaltısını öğleden sonra üçte yaptın. Annen aradı: “Bu saatte kahvaltı mı olur?” Olur.</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c r="AI870" s="5" t="inlineStr"/>
      <c r="AJ870" s="5" t="inlineStr"/>
    </row>
    <row r="871">
      <c r="A871" s="5" t="inlineStr">
        <is>
          <t>b8-bekar-orta-yas</t>
        </is>
      </c>
      <c r="B871" s="5" t="n">
        <v>2</v>
      </c>
      <c r="C871" s="6" t="inlineStr">
        <is>
          <t>Tanışma uygulamasına üye ol</t>
        </is>
      </c>
      <c r="D871" s="5" t="inlineStr">
        <is>
          <t>Cesaret</t>
        </is>
      </c>
      <c r="E871" s="5" t="inlineStr">
        <is>
          <t>Orta</t>
        </is>
      </c>
      <c r="F871" s="5" t="inlineStr"/>
      <c r="G871" s="6" t="inlineStr"/>
      <c r="H871" s="6" t="inlineStr">
        <is>
          <t>Bir kişiyle kahve içtin. İkiniz de profil fotoğrafınızdan on yaş büyük çıktınız. Bu ortak nokta iki saat konuşturdu.</t>
        </is>
      </c>
      <c r="I871" s="6" t="inlineStr">
        <is>
          <t>İlk eşleşmen ilkokul sıra arkadaşın çıktı. Kahvede ilk cümlesi: “Silgimi hâlâ geri vermedin.” İkinci buluşmaya yeni bir silgiyle gittin.</t>
        </is>
      </c>
      <c r="J871" s="6" t="inlineStr">
        <is>
          <t>Profil fotoğrafı seçmek üç hafta sürdü. Sonunda kuzenin seçti: bayramda çekilmiş, arkada annenin tül perdesi. Profile tek beğeni geldi; perdeye.</t>
        </is>
      </c>
      <c r="K871" s="6" t="inlineStr">
        <is>
          <t>Uygulama seni kuzeninle eşleştirdi. Teyzen ekran görüntüsünü aile grubuna attı, altına yazdı: “Bari dışarıdan biri olsun.”</t>
        </is>
      </c>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c r="AI871" s="5" t="inlineStr"/>
      <c r="AJ871" s="5" t="inlineStr"/>
    </row>
    <row r="872">
      <c r="A872" s="5" t="inlineStr">
        <is>
          <t>b8-bekar-orta-yas</t>
        </is>
      </c>
      <c r="B872" s="5" t="n">
        <v>3</v>
      </c>
      <c r="C872" s="6" t="inlineStr">
        <is>
          <t>Bir kedi sahiplen</t>
        </is>
      </c>
      <c r="D872" s="5" t="inlineStr">
        <is>
          <t>Gönül</t>
        </is>
      </c>
      <c r="E872" s="5" t="inlineStr">
        <is>
          <t>Kolay</t>
        </is>
      </c>
      <c r="F872" s="5" t="inlineStr"/>
      <c r="G872" s="6" t="inlineStr"/>
      <c r="H872" s="6" t="inlineStr">
        <is>
          <t>Artık eve gelince biri seni bekliyor. Mama saati olduğu için, ama olsun.</t>
        </is>
      </c>
      <c r="I872" s="6" t="inlineStr">
        <is>
          <t>Kedi ilk gece kucağında uyudu. Bayramda akrabalar artık sana değil kediye soruyor: “Sen ne zaman evleniyorsun bakalım?”</t>
        </is>
      </c>
      <c r="J872" s="6" t="inlineStr">
        <is>
          <t>Kediyi sahiplendin; kedi seni sahiplenmedi. Akşam eve gelince dönüp bakmıyor bile. Akrabalarına çekmiş.</t>
        </is>
      </c>
      <c r="K872" s="6" t="inlineStr">
        <is>
          <t>Kedi koltuğu, kumandayı ve yatağı ele geçirdi. Krallık devrildi.</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c r="AI872" s="5" t="inlineStr"/>
      <c r="AJ872" s="5" t="inlineStr"/>
    </row>
    <row r="873">
      <c r="A873" s="5" t="inlineStr">
        <is>
          <t>b8-bekar-orta-yas</t>
        </is>
      </c>
      <c r="B873" s="5" t="n">
        <v>4</v>
      </c>
      <c r="C873" s="6" t="inlineStr">
        <is>
          <t>Çocukluğundaki kediyi hatırla</t>
        </is>
      </c>
      <c r="D873" s="5" t="inlineStr"/>
      <c r="E873" s="5" t="inlineStr"/>
      <c r="F873" s="5" t="inlineStr">
        <is>
          <t>Gönül +1</t>
        </is>
      </c>
      <c r="G873" s="6" t="inlineStr">
        <is>
          <t>Çocukken oylamayla eve gelen kediyi hatırladın. Barınaktan ona benzeyen bir kedi aldın. Bu sefer oylama gerekmedi.</t>
        </is>
      </c>
      <c r="H873" s="6" t="inlineStr"/>
      <c r="I873" s="6" t="inlineStr"/>
      <c r="J873" s="6" t="inlineStr"/>
      <c r="K873" s="6" t="inlineStr"/>
      <c r="L873" s="6" t="inlineStr"/>
      <c r="M873" s="5" t="inlineStr"/>
      <c r="N873" s="5" t="inlineStr"/>
      <c r="O873" s="6" t="inlineStr"/>
      <c r="P873" s="6" t="inlineStr"/>
      <c r="Q873" s="5" t="inlineStr"/>
      <c r="R873" s="5" t="inlineStr">
        <is>
          <t>kediGeldi</t>
        </is>
      </c>
      <c r="S873" s="5" t="inlineStr"/>
      <c r="T873" s="5" t="inlineStr"/>
      <c r="U873" s="5" t="inlineStr"/>
      <c r="V873" s="5" t="inlineStr"/>
      <c r="W873" s="5" t="inlineStr"/>
      <c r="X873" s="5" t="inlineStr"/>
      <c r="Y873" s="5" t="inlineStr"/>
      <c r="Z873" s="6" t="inlineStr"/>
      <c r="AA873" s="5" t="inlineStr"/>
      <c r="AB873" s="5" t="inlineStr"/>
      <c r="AC873" s="5" t="inlineStr"/>
      <c r="AD873" s="5" t="inlineStr"/>
      <c r="AE873" s="5" t="inlineStr"/>
      <c r="AF873" s="5" t="inlineStr"/>
      <c r="AG873" s="5" t="inlineStr"/>
      <c r="AH873" s="5" t="inlineStr"/>
      <c r="AI873" s="5" t="inlineStr"/>
      <c r="AJ873" s="5" t="inlineStr"/>
    </row>
    <row r="874">
      <c r="A874" s="5" t="inlineStr">
        <is>
          <t>b8-bekar-orta-yas</t>
        </is>
      </c>
      <c r="B874" s="5" t="n">
        <v>5</v>
      </c>
      <c r="C874" s="6" t="inlineStr">
        <is>
          <t>Teyzenin ayarladığı kahveye git</t>
        </is>
      </c>
      <c r="D874" s="5" t="inlineStr">
        <is>
          <t>Sosyal Radar</t>
        </is>
      </c>
      <c r="E874" s="5" t="inlineStr">
        <is>
          <t>Orta</t>
        </is>
      </c>
      <c r="F874" s="5" t="inlineStr"/>
      <c r="G874" s="6" t="inlineStr"/>
      <c r="H874" s="6" t="inlineStr">
        <is>
          <t>Kahveye gittin. İki saat teyzenin ne kadar ısrarcı olduğunu konuştunuz. Ortak noktanızı buldunuz: teyze.</t>
        </is>
      </c>
      <c r="I874" s="6" t="inlineStr">
        <is>
          <t>Teyzen “Sadece bir kahve” demişti. Kahve akşam yemeğine, yemek ikinci buluşmaya döndü. Teyzen o gece aile grubuna bir yüzük attı; erkendi ama kimse silmedi.</t>
        </is>
      </c>
      <c r="J874" s="6" t="inlineStr">
        <is>
          <t>Karşındaki kibardı, sen kibardın, kahve soğudu. Teyzen ertesi gün aradı: “E, ne diyorsun?” Diyecek bir şey yoktu.</t>
        </is>
      </c>
      <c r="K874" s="6" t="inlineStr">
        <is>
          <t>Kahveye vardın; karşında yıllar önce mesajına hiç cevap vermediğin kişi oturuyordu. Kahve on dakika sürdü, teyzenin küslüğü bir yıl.</t>
        </is>
      </c>
      <c r="L874" s="6" t="inlineStr"/>
      <c r="M874" s="5" t="inlineStr"/>
      <c r="N874" s="5" t="inlineStr"/>
      <c r="O874" s="6" t="inlineStr"/>
      <c r="P874" s="6" t="inlineStr"/>
      <c r="Q874" s="5" t="inlineStr"/>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c r="AI874" s="5" t="inlineStr"/>
      <c r="AJ874" s="5" t="inlineStr"/>
    </row>
    <row r="875">
      <c r="A875" s="5" t="inlineStr">
        <is>
          <t>ms-fon-basvurusu</t>
        </is>
      </c>
      <c r="B875" s="5" t="n">
        <v>1</v>
      </c>
      <c r="C875" s="6" t="inlineStr">
        <is>
          <t>Formu dürüstçe doldur</t>
        </is>
      </c>
      <c r="D875" s="5" t="inlineStr">
        <is>
          <t>Akıl</t>
        </is>
      </c>
      <c r="E875" s="5" t="inlineStr">
        <is>
          <t>Orta</t>
        </is>
      </c>
      <c r="F875" s="5" t="inlineStr"/>
      <c r="G875" s="6" t="inlineStr"/>
      <c r="H875" s="6" t="inlineStr">
        <is>
          <t>Fonu aldın. Tutar, formu doldurmak için harcadığın saatlerin karşılığı kadardı. Tam kadar.</t>
        </is>
      </c>
      <c r="I875" s="6" t="inlineStr">
        <is>
          <t>Komite başvurunu 'yılın en özgün projesi' seçti. Tutar ikiye, harcama raporu dörde katlandı.</t>
        </is>
      </c>
      <c r="J875" s="6" t="inlineStr">
        <is>
          <t>Başvurun 'eksik belge' gerekçesiyle reddedildi. Eksik belge: belge listesi.</t>
        </is>
      </c>
      <c r="K875" s="6" t="inlineStr">
        <is>
          <t>Başvuruyu 23.59'da yükledin. Çubuk yüzde doksan dokuzda durdu, saat 00.00 oldu. Ekranda tek cümle: “Başvuru dönemi sona ermiştir. İlginiz için teşekkür ederiz.”</t>
        </is>
      </c>
      <c r="L875" s="6" t="inlineStr"/>
      <c r="M875" s="5" t="inlineStr"/>
      <c r="N875" s="5" t="inlineStr"/>
      <c r="O875" s="6" t="inlineStr"/>
      <c r="P875" s="6" t="inlineStr"/>
      <c r="Q875" s="5" t="inlineStr"/>
      <c r="R875" s="5" t="inlineStr"/>
      <c r="S875" s="5" t="inlineStr"/>
      <c r="T875" s="5" t="inlineStr"/>
      <c r="U875" s="5" t="inlineStr"/>
      <c r="V875" s="5" t="inlineStr">
        <is>
          <t>serbest-fon-aldi</t>
        </is>
      </c>
      <c r="W875" s="5" t="inlineStr"/>
      <c r="X875" s="5" t="inlineStr"/>
      <c r="Y875" s="5" t="inlineStr"/>
      <c r="Z875" s="6" t="inlineStr"/>
      <c r="AA875" s="5" t="inlineStr"/>
      <c r="AB875" s="5" t="inlineStr"/>
      <c r="AC875" s="5" t="inlineStr"/>
      <c r="AD875" s="5" t="inlineStr"/>
      <c r="AE875" s="5" t="inlineStr"/>
      <c r="AF875" s="5" t="inlineStr"/>
      <c r="AG875" s="5" t="inlineStr"/>
      <c r="AH875" s="5" t="inlineStr"/>
      <c r="AI875" s="5" t="inlineStr"/>
      <c r="AJ875" s="5" t="inlineStr"/>
    </row>
    <row r="876">
      <c r="A876" s="5" t="inlineStr">
        <is>
          <t>ms-fon-basvurusu</t>
        </is>
      </c>
      <c r="B876" s="5" t="n">
        <v>2</v>
      </c>
      <c r="C876" s="6" t="inlineStr">
        <is>
          <t>Proje adına 'hafıza' kelimesini ekle</t>
        </is>
      </c>
      <c r="D876" s="5" t="inlineStr">
        <is>
          <t>Kurnazlık</t>
        </is>
      </c>
      <c r="E876" s="5" t="inlineStr">
        <is>
          <t>Kolay</t>
        </is>
      </c>
      <c r="F876" s="5" t="inlineStr"/>
      <c r="G876" s="6" t="inlineStr"/>
      <c r="H876" s="6" t="inlineStr">
        <is>
          <t>'Hafızanın Kırılgan Mekânları' adıyla başvurdun. Fon onaylandı. Proje aynı proje.</t>
        </is>
      </c>
      <c r="I876" s="6" t="inlineStr">
        <is>
          <t>Başlığa “hafıza”, özete on bir kez “sürdürülebilirlik” yazdın. Komite oy birliğiyle fon verdi; projenin ne olduğunu kimse sormadı. Sen de söylemedin.</t>
        </is>
      </c>
      <c r="J876" s="6" t="inlineStr">
        <is>
          <t>Bu yıl herkes 'hafıza' yazmış. Komite bu yıl 'dönüşüm' arıyormuş.</t>
        </is>
      </c>
      <c r="K876" s="6" t="inlineStr">
        <is>
          <t>Başlık o kadar soyut oldu ki mülakatta komite ilk soruyu sordu: “Projeniz tam olarak ne?” Üç dakika sustun, sonra “Hafıza” dedin. Komite de sustu; başvuru reddedildi.</t>
        </is>
      </c>
      <c r="L876" s="6" t="inlineStr"/>
      <c r="M876" s="5" t="inlineStr"/>
      <c r="N876" s="5" t="inlineStr"/>
      <c r="O876" s="6" t="inlineStr"/>
      <c r="P876" s="6" t="inlineStr"/>
      <c r="Q876" s="5" t="inlineStr"/>
      <c r="R876" s="5" t="inlineStr"/>
      <c r="S876" s="5" t="inlineStr">
        <is>
          <t>Kurnazlık</t>
        </is>
      </c>
      <c r="T876" s="5" t="inlineStr"/>
      <c r="U876" s="5" t="inlineStr"/>
      <c r="V876" s="5" t="inlineStr">
        <is>
          <t>serbest-fon-aldi</t>
        </is>
      </c>
      <c r="W876" s="5" t="inlineStr"/>
      <c r="X876" s="5" t="inlineStr"/>
      <c r="Y876" s="5" t="inlineStr"/>
      <c r="Z876" s="6" t="inlineStr"/>
      <c r="AA876" s="5" t="inlineStr"/>
      <c r="AB876" s="5" t="inlineStr"/>
      <c r="AC876" s="5" t="inlineStr"/>
      <c r="AD876" s="5" t="inlineStr"/>
      <c r="AE876" s="5" t="inlineStr"/>
      <c r="AF876" s="5" t="inlineStr"/>
      <c r="AG876" s="5" t="inlineStr"/>
      <c r="AH876" s="5" t="inlineStr"/>
      <c r="AI876" s="5" t="inlineStr"/>
      <c r="AJ876" s="5" t="inlineStr"/>
    </row>
    <row r="877">
      <c r="A877" s="5" t="inlineStr">
        <is>
          <t>ms-fon-basvurusu</t>
        </is>
      </c>
      <c r="B877" s="5" t="n">
        <v>3</v>
      </c>
      <c r="C877" s="6" t="inlineStr">
        <is>
          <t>Kolektif kur, birlikte başvur</t>
        </is>
      </c>
      <c r="D877" s="5" t="inlineStr">
        <is>
          <t>Sosyal Radar</t>
        </is>
      </c>
      <c r="E877" s="5" t="inlineStr">
        <is>
          <t>Orta</t>
        </is>
      </c>
      <c r="F877" s="5" t="inlineStr"/>
      <c r="G877" s="6" t="inlineStr"/>
      <c r="H877" s="6" t="inlineStr">
        <is>
          <t>Beş serbest çalışan bir araya geldiniz. Fon ikiye bölünse de ilk kez bir ekibin var.</t>
        </is>
      </c>
      <c r="I877" s="6" t="inlineStr">
        <is>
          <t>Kolektif fonu aldı; adınız bir yıl boyunca her afişteydi. Beş kişi beş ayrı röportaj verdi; beşinde de kolektifi kendisi kurmuştu.</t>
        </is>
      </c>
      <c r="J877" s="6" t="inlineStr">
        <is>
          <t>Kolektif kuruldu; ilk toplantı adın ne olacağı üzerine sürdü. Başvuru süresi de o toplantıda bitti.</t>
        </is>
      </c>
      <c r="K877" s="6" t="inlineStr">
        <is>
          <t>Kolektif fonu aldı ve dağıldı. Harcama raporunu tek başına yazman gerekiyor.</t>
        </is>
      </c>
      <c r="L877" s="6" t="inlineStr"/>
      <c r="M877" s="5" t="inlineStr"/>
      <c r="N877" s="5" t="inlineStr"/>
      <c r="O877" s="6" t="inlineStr"/>
      <c r="P877" s="6" t="inlineStr"/>
      <c r="Q877" s="5" t="inlineStr">
        <is>
          <t>Kuralı Koyan</t>
        </is>
      </c>
      <c r="R877" s="5" t="inlineStr"/>
      <c r="S877" s="5" t="inlineStr"/>
      <c r="T877" s="5" t="inlineStr"/>
      <c r="U877" s="5" t="inlineStr"/>
      <c r="V877" s="5" t="inlineStr">
        <is>
          <t>serbest-fon-aldi</t>
        </is>
      </c>
      <c r="W877" s="5" t="inlineStr"/>
      <c r="X877" s="5" t="inlineStr"/>
      <c r="Y877" s="5" t="inlineStr"/>
      <c r="Z877" s="6" t="inlineStr"/>
      <c r="AA877" s="5" t="inlineStr"/>
      <c r="AB877" s="5" t="inlineStr"/>
      <c r="AC877" s="5" t="inlineStr"/>
      <c r="AD877" s="5" t="inlineStr"/>
      <c r="AE877" s="5" t="inlineStr"/>
      <c r="AF877" s="5" t="inlineStr"/>
      <c r="AG877" s="5" t="inlineStr"/>
      <c r="AH877" s="5" t="inlineStr"/>
      <c r="AI877" s="5" t="inlineStr"/>
      <c r="AJ877" s="5" t="inlineStr"/>
    </row>
    <row r="878">
      <c r="A878" s="5" t="inlineStr">
        <is>
          <t>ms-fon-basvurusu</t>
        </is>
      </c>
      <c r="B878" s="5" t="n">
        <v>4</v>
      </c>
      <c r="C878" s="6" t="inlineStr">
        <is>
          <t>Fon danışmanı tut</t>
        </is>
      </c>
      <c r="D878" s="5" t="inlineStr"/>
      <c r="E878" s="5" t="inlineStr"/>
      <c r="F878" s="5" t="inlineStr">
        <is>
          <t>Pişkinlik +1</t>
        </is>
      </c>
      <c r="G878" s="6" t="inlineStr">
        <is>
          <t>Danışman fonu aldırdı; ücreti fonun yarısıydı. Kalan yarıyla danışmanın önerdiği projeyi yaptın.</t>
        </is>
      </c>
      <c r="H878" s="6" t="inlineStr"/>
      <c r="I878" s="6" t="inlineStr"/>
      <c r="J878" s="6" t="inlineStr"/>
      <c r="K878" s="6" t="inlineStr"/>
      <c r="L878" s="6" t="inlineStr"/>
      <c r="M878" s="5" t="inlineStr"/>
      <c r="N878" s="5" t="inlineStr"/>
      <c r="O878" s="6" t="inlineStr"/>
      <c r="P878" s="6" t="inlineStr"/>
      <c r="Q878" s="5" t="inlineStr"/>
      <c r="R878" s="5" t="inlineStr"/>
      <c r="S878" s="5" t="inlineStr"/>
      <c r="T878" s="5" t="inlineStr"/>
      <c r="U878" s="5" t="inlineStr">
        <is>
          <t>serbest-fon-aldi</t>
        </is>
      </c>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c r="AI878" s="5" t="inlineStr"/>
      <c r="AJ878" s="5" t="inlineStr"/>
    </row>
    <row r="879">
      <c r="A879" s="5" t="inlineStr">
        <is>
          <t>b8-doktor-stres</t>
        </is>
      </c>
      <c r="B879" s="5" t="n">
        <v>1</v>
      </c>
      <c r="C879" s="6" t="inlineStr">
        <is>
          <t>Tavsiyeyi not al</t>
        </is>
      </c>
      <c r="D879" s="5" t="inlineStr"/>
      <c r="E879" s="5" t="inlineStr"/>
      <c r="F879" s="5" t="inlineStr">
        <is>
          <t>İtibar +1</t>
        </is>
      </c>
      <c r="G879" s="6" t="inlineStr">
        <is>
          <t>Tavsiyeyi telefonuna not aldın: “Stres yapma.” Not, “Faturayı öde”nin hemen altında duruyor; her baktığında biraz stres yapıyorsun.</t>
        </is>
      </c>
      <c r="H879" s="6" t="inlineStr"/>
      <c r="I879" s="6" t="inlineStr"/>
      <c r="J879" s="6" t="inlineStr"/>
      <c r="K879" s="6" t="inlineStr"/>
      <c r="L879" s="6" t="inlineStr"/>
      <c r="M879" s="5" t="inlineStr"/>
      <c r="N879" s="5" t="inlineStr"/>
      <c r="O879" s="6" t="inlineStr"/>
      <c r="P879" s="6" t="inlineStr"/>
      <c r="Q879" s="5" t="inlineStr"/>
      <c r="R879" s="5" t="inlineStr"/>
      <c r="S879" s="5" t="inlineStr"/>
      <c r="T879" s="5" t="inlineStr"/>
      <c r="U879" s="5" t="inlineStr"/>
      <c r="V879" s="5" t="inlineStr"/>
      <c r="W879" s="5" t="inlineStr"/>
      <c r="X879" s="5" t="inlineStr"/>
      <c r="Y879" s="5" t="inlineStr"/>
      <c r="Z879" s="6" t="inlineStr"/>
      <c r="AA879" s="5" t="inlineStr"/>
      <c r="AB879" s="5" t="inlineStr"/>
      <c r="AC879" s="5" t="inlineStr"/>
      <c r="AD879" s="5" t="inlineStr"/>
      <c r="AE879" s="5" t="inlineStr"/>
      <c r="AF879" s="5" t="inlineStr"/>
      <c r="AG879" s="5" t="inlineStr"/>
      <c r="AH879" s="5" t="inlineStr"/>
      <c r="AI879" s="5" t="inlineStr"/>
      <c r="AJ879" s="5" t="inlineStr"/>
    </row>
    <row r="880">
      <c r="A880" s="5" t="inlineStr">
        <is>
          <t>b8-doktor-stres</t>
        </is>
      </c>
      <c r="B880" s="5" t="n">
        <v>2</v>
      </c>
      <c r="C880" s="6" t="inlineStr">
        <is>
          <t>Nasıl yapılacağını sor</t>
        </is>
      </c>
      <c r="D880" s="5" t="inlineStr">
        <is>
          <t>Çene</t>
        </is>
      </c>
      <c r="E880" s="5" t="inlineStr">
        <is>
          <t>Kolay</t>
        </is>
      </c>
      <c r="F880" s="5" t="inlineStr"/>
      <c r="G880" s="6" t="inlineStr"/>
      <c r="H880" s="6" t="inlineStr">
        <is>
          <t>Doktor “Yürüyüş” dedi, bir broşür uzattı. Broşürün arkasında başka bir hastanın tahlilleri vardı; onunkiler seninkinden iyiydi.</t>
        </is>
      </c>
      <c r="I880" s="6" t="inlineStr">
        <is>
          <t>Doktor kalemini bıraktı, on dakika hayat felsefesi anlattı. Sıradaki hasta da dinledi; ona da iyi geldi.</t>
        </is>
      </c>
      <c r="J880" s="6" t="inlineStr">
        <is>
          <t>Doktor 'İşte, stres yapmayın' diye tekrarladı. Süreniz doldu.</t>
        </is>
      </c>
      <c r="K880" s="6" t="inlineStr">
        <is>
          <t>Sordun; doktor “Soru sormak da stres” deyip sıradakini çağırdı. Kapıdan çıkarken tansiyonun on yediydi.</t>
        </is>
      </c>
      <c r="L880" s="6" t="inlineStr"/>
      <c r="M880" s="5" t="inlineStr"/>
      <c r="N880" s="5" t="inlineStr"/>
      <c r="O880" s="6" t="inlineStr"/>
      <c r="P880" s="6" t="inlineStr"/>
      <c r="Q880" s="5" t="inlineStr"/>
      <c r="R880" s="5" t="inlineStr"/>
      <c r="S880" s="5" t="inlineStr"/>
      <c r="T880" s="5" t="inlineStr"/>
      <c r="U880" s="5" t="inlineStr"/>
      <c r="V880" s="5" t="inlineStr"/>
      <c r="W880" s="5" t="inlineStr"/>
      <c r="X880" s="5" t="inlineStr"/>
      <c r="Y880" s="5" t="inlineStr"/>
      <c r="Z880" s="6" t="inlineStr"/>
      <c r="AA880" s="5" t="inlineStr"/>
      <c r="AB880" s="5" t="inlineStr"/>
      <c r="AC880" s="5" t="inlineStr"/>
      <c r="AD880" s="5" t="inlineStr"/>
      <c r="AE880" s="5" t="inlineStr"/>
      <c r="AF880" s="5" t="inlineStr"/>
      <c r="AG880" s="5" t="inlineStr"/>
      <c r="AH880" s="5" t="inlineStr"/>
      <c r="AI880" s="5" t="inlineStr"/>
      <c r="AJ880" s="5" t="inlineStr"/>
    </row>
    <row r="881">
      <c r="A881" s="5" t="inlineStr">
        <is>
          <t>b8-doktor-stres</t>
        </is>
      </c>
      <c r="B881" s="5" t="n">
        <v>3</v>
      </c>
      <c r="C881" s="6" t="inlineStr">
        <is>
          <t>Yarından itibaren yürü</t>
        </is>
      </c>
      <c r="D881" s="5" t="inlineStr">
        <is>
          <t>Dayanıklılık</t>
        </is>
      </c>
      <c r="E881" s="5" t="inlineStr">
        <is>
          <t>Orta</t>
        </is>
      </c>
      <c r="F881" s="5" t="inlineStr"/>
      <c r="G881" s="6" t="inlineStr"/>
      <c r="H881" s="6" t="inlineStr">
        <is>
          <t>Otuz gün aralıksız yürüdün. Adım sayar uygulaması seni tebrik etti; uzun zamandır ilk kez biri etti.</t>
        </is>
      </c>
      <c r="I881" s="6" t="inlineStr">
        <is>
          <t>Yürüyüş koşuya, koşu alışkanlığa döndü. Mahallenin köpekleri seni artık tanıyor.</t>
        </is>
      </c>
      <c r="J881" s="6" t="inlineStr">
        <is>
          <t>Üç gün yürüdün. Dördüncü gün yağmur yağdı. Yağmur hâlâ yağıyor.</t>
        </is>
      </c>
      <c r="K881" s="6" t="inlineStr">
        <is>
          <t>İlk gün yeni ayakkabıyla on kilometre yürüdün. İki hafta terlikle yaşadın.</t>
        </is>
      </c>
      <c r="L881" s="6" t="inlineStr"/>
      <c r="M881" s="5" t="inlineStr"/>
      <c r="N881" s="5" t="inlineStr"/>
      <c r="O881" s="6" t="inlineStr"/>
      <c r="P881" s="6" t="inlineStr"/>
      <c r="Q881" s="5" t="inlineStr"/>
      <c r="R881" s="5" t="inlineStr"/>
      <c r="S881" s="5" t="inlineStr">
        <is>
          <t>Dayanıklılık</t>
        </is>
      </c>
      <c r="T881" s="5" t="inlineStr"/>
      <c r="U881" s="5" t="inlineStr"/>
      <c r="V881" s="5" t="inlineStr">
        <is>
          <t>sporcu</t>
        </is>
      </c>
      <c r="W881" s="5" t="inlineStr"/>
      <c r="X881" s="5" t="inlineStr"/>
      <c r="Y881" s="5" t="inlineStr"/>
      <c r="Z881" s="6" t="inlineStr"/>
      <c r="AA881" s="5" t="inlineStr"/>
      <c r="AB881" s="5" t="inlineStr"/>
      <c r="AC881" s="5" t="inlineStr"/>
      <c r="AD881" s="5" t="inlineStr"/>
      <c r="AE881" s="5" t="inlineStr"/>
      <c r="AF881" s="5" t="inlineStr"/>
      <c r="AG881" s="5" t="inlineStr"/>
      <c r="AH881" s="5" t="inlineStr"/>
      <c r="AI881" s="5" t="inlineStr"/>
      <c r="AJ881" s="5" t="inlineStr"/>
    </row>
    <row r="882">
      <c r="A882" s="5" t="inlineStr">
        <is>
          <t>b8-doktor-stres</t>
        </is>
      </c>
      <c r="B882" s="5" t="n">
        <v>4</v>
      </c>
      <c r="C882" s="6" t="inlineStr">
        <is>
          <t>İki hafta gerçekten tatile çık</t>
        </is>
      </c>
      <c r="D882" s="5" t="inlineStr"/>
      <c r="E882" s="5" t="inlineStr"/>
      <c r="F882" s="5" t="inlineStr">
        <is>
          <t>Dayanıklılık +1, Kurnazlık +1</t>
        </is>
      </c>
      <c r="G882" s="6" t="inlineStr">
        <is>
          <t>İki hafta tatile çıktın, telefona bakmadın. Döndüğünde iş yerindeydi; kimse seni aramamıştı bile. Tansiyonun düştü, gururun da.</t>
        </is>
      </c>
      <c r="H882" s="6" t="inlineStr"/>
      <c r="I882" s="6" t="inlineStr"/>
      <c r="J882" s="6" t="inlineStr"/>
      <c r="K882" s="6" t="inlineStr"/>
      <c r="L882" s="6" t="inlineStr"/>
      <c r="M882" s="5" t="inlineStr"/>
      <c r="N882" s="5" t="inlineStr"/>
      <c r="O882" s="6" t="inlineStr"/>
      <c r="P882" s="6" t="inlineStr"/>
      <c r="Q882" s="5" t="inlineStr">
        <is>
          <t>Kuralı Koyan</t>
        </is>
      </c>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c r="AI882" s="5" t="inlineStr"/>
      <c r="AJ882" s="5" t="inlineStr"/>
    </row>
    <row r="883">
      <c r="A883" s="5" t="inlineStr">
        <is>
          <t>b8-cocuk-sinav</t>
        </is>
      </c>
      <c r="B883" s="5" t="n">
        <v>1</v>
      </c>
      <c r="C883" s="6" t="inlineStr">
        <is>
          <t>Kahvaltı hazırla, sus</t>
        </is>
      </c>
      <c r="D883" s="5" t="inlineStr"/>
      <c r="E883" s="5" t="inlineStr"/>
      <c r="F883" s="5" t="inlineStr">
        <is>
          <t>Dayanıklılık +1, Gönül +1</t>
        </is>
      </c>
      <c r="G883" s="6" t="inlineStr">
        <is>
          <t>Kahvaltıyı hazırladın, tek kelime nasihat etmedin. Çocuk kapıdan çıkarken “Sağ ol” dedi. Arkasından bir tas su döktün; kimse görmedi.</t>
        </is>
      </c>
      <c r="H883" s="6" t="inlineStr"/>
      <c r="I883" s="6" t="inlineStr"/>
      <c r="J883" s="6" t="inlineStr"/>
      <c r="K883" s="6" t="inlineStr"/>
      <c r="L883" s="6" t="inlineStr"/>
      <c r="M883" s="5" t="inlineStr"/>
      <c r="N883" s="5" t="inlineStr"/>
      <c r="O883" s="6" t="inlineStr"/>
      <c r="P883" s="6" t="inlineStr"/>
      <c r="Q883" s="5" t="inlineStr"/>
      <c r="R883" s="5" t="inlineStr"/>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c r="AI883" s="5" t="inlineStr"/>
      <c r="AJ883" s="5" t="inlineStr"/>
    </row>
    <row r="884">
      <c r="A884" s="5" t="inlineStr">
        <is>
          <t>b8-cocuk-sinav</t>
        </is>
      </c>
      <c r="B884" s="5" t="n">
        <v>2</v>
      </c>
      <c r="C884" s="6" t="inlineStr">
        <is>
          <t>Son dakika taktiği ver</t>
        </is>
      </c>
      <c r="D884" s="5" t="inlineStr">
        <is>
          <t>Akıl</t>
        </is>
      </c>
      <c r="E884" s="5" t="inlineStr">
        <is>
          <t>Orta</t>
        </is>
      </c>
      <c r="F884" s="5" t="inlineStr"/>
      <c r="G884" s="6" t="inlineStr"/>
      <c r="H884" s="6" t="inlineStr">
        <is>
          <t>“Önce bildiklerini yap” dedin. Akşam çocuk gururla anlattı: “Önce bildiklerimi yaptım.” Senin adını hiç anmadı.</t>
        </is>
      </c>
      <c r="I884" s="6" t="inlineStr">
        <is>
          <t>Çıkışta çocuk koşarak geldi: “Dediğin oldu, son yirmi dakikada üç soru daha çözdüm!” Akşam sınıf grubuna yazdı: “Taktik evdeki hocadan.”</t>
        </is>
      </c>
      <c r="J884" s="6" t="inlineStr">
        <is>
          <t>“Öğretmenim tam tersini söyledi” dedi. Öğretmen kazandı, her zamanki gibi.</t>
        </is>
      </c>
      <c r="K884" s="6" t="inlineStr">
        <is>
          <t>Kendi sınavında cevap kâğıdını bir satır kaydırdığını anlattın, ayrıntısıyla. Çocuk sınav boyunca her sorudan sonra kâğıdı kontrol etti; süre yetmedi. Çıkışta tek cümle kurdu: “Bir daha anlatma.”</t>
        </is>
      </c>
      <c r="L884" s="6" t="inlineStr"/>
      <c r="M884" s="5" t="inlineStr"/>
      <c r="N884" s="5" t="inlineStr"/>
      <c r="O884" s="6" t="inlineStr"/>
      <c r="P884" s="6" t="inlineStr"/>
      <c r="Q884" s="5" t="inlineStr"/>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c r="AI884" s="5" t="inlineStr"/>
      <c r="AJ884" s="5" t="inlineStr"/>
    </row>
    <row r="885">
      <c r="A885" s="5" t="inlineStr">
        <is>
          <t>b8-cocuk-sinav</t>
        </is>
      </c>
      <c r="B885" s="5" t="n">
        <v>3</v>
      </c>
      <c r="C885" s="6" t="inlineStr">
        <is>
          <t>'Tek kapı bu değil' de</t>
        </is>
      </c>
      <c r="D885" s="5" t="inlineStr">
        <is>
          <t>İtibar</t>
        </is>
      </c>
      <c r="E885" s="5" t="inlineStr">
        <is>
          <t>Kolay</t>
        </is>
      </c>
      <c r="F885" s="5" t="inlineStr"/>
      <c r="G885" s="6" t="inlineStr"/>
      <c r="H885" s="6" t="inlineStr">
        <is>
          <t>Söyledin. Çocuk derin bir nefes aldı; sen de.</t>
        </is>
      </c>
      <c r="I885" s="6" t="inlineStr">
        <is>
          <t>Söyledin. Çocuk bir şey demedi, sadece sarıldı. Omzunda ıslak bir iz kaldı; o gün üstünü değiştirmedin.</t>
        </is>
      </c>
      <c r="J885" s="6" t="inlineStr">
        <is>
          <t>Söyledin. Çocuk “Şimdi mi söylüyorsun?” dedi. Haklıydı; bunu bir yıl önce söyleyecektin.</t>
        </is>
      </c>
      <c r="K885" s="6" t="inlineStr">
        <is>
          <t>Çocuk bunu “Bana güvenmiyorsun” diye anladı, kapıyı çarpıp çıktı. Sınavdan çıkınca ilk teyzesini aradı; haberi sen teyzeden aldın.</t>
        </is>
      </c>
      <c r="L885" s="6" t="inlineStr"/>
      <c r="M885" s="5" t="inlineStr"/>
      <c r="N885" s="5" t="inlineStr"/>
      <c r="O885" s="6" t="inlineStr"/>
      <c r="P885" s="6" t="inlineStr"/>
      <c r="Q885" s="5" t="inlineStr"/>
      <c r="R885" s="5" t="inlineStr"/>
      <c r="S885" s="5" t="inlineStr">
        <is>
          <t>İtibar</t>
        </is>
      </c>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c r="AI885" s="5" t="inlineStr"/>
      <c r="AJ885" s="5" t="inlineStr"/>
    </row>
    <row r="886">
      <c r="A886" s="5" t="inlineStr">
        <is>
          <t>b8-cocuk-sinav</t>
        </is>
      </c>
      <c r="B886" s="5" t="n">
        <v>4</v>
      </c>
      <c r="C886" s="6" t="inlineStr">
        <is>
          <t>Kendi uğurlu kalemini ver</t>
        </is>
      </c>
      <c r="D886" s="5" t="inlineStr"/>
      <c r="E886" s="5" t="inlineStr"/>
      <c r="F886" s="5" t="inlineStr">
        <is>
          <t>Gönül +1</t>
        </is>
      </c>
      <c r="G886" s="6" t="inlineStr">
        <is>
          <t>Kendi sınavına girdiğin kalemi çekmeceden çıkardın. Yazmıyordu. Çocuk yine de cebine koydu.</t>
        </is>
      </c>
      <c r="H886" s="6" t="inlineStr"/>
      <c r="I886" s="6" t="inlineStr"/>
      <c r="J886" s="6" t="inlineStr"/>
      <c r="K886" s="6" t="inlineStr"/>
      <c r="L886" s="6" t="inlineStr"/>
      <c r="M886" s="5" t="inlineStr"/>
      <c r="N886" s="5" t="inlineStr"/>
      <c r="O886" s="6" t="inlineStr"/>
      <c r="P886" s="6" t="inlineStr"/>
      <c r="Q886" s="5" t="inlineStr"/>
      <c r="R886" s="5" t="inlineStr">
        <is>
          <t>universiteli</t>
        </is>
      </c>
      <c r="S886" s="5" t="inlineStr"/>
      <c r="T886" s="5" t="inlineStr"/>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c r="AI886" s="5" t="inlineStr"/>
      <c r="AJ886" s="5" t="inlineStr"/>
    </row>
    <row r="887">
      <c r="A887" s="5" t="inlineStr">
        <is>
          <t>b8-cocuk-sinav</t>
        </is>
      </c>
      <c r="B887" s="5" t="n">
        <v>5</v>
      </c>
      <c r="C887" s="6" t="inlineStr">
        <is>
          <t>Sınav binasının önünde bekle</t>
        </is>
      </c>
      <c r="D887" s="5" t="inlineStr">
        <is>
          <t>Dayanıklılık</t>
        </is>
      </c>
      <c r="E887" s="5" t="inlineStr">
        <is>
          <t>Orta</t>
        </is>
      </c>
      <c r="F887" s="5" t="inlineStr"/>
      <c r="G887" s="6" t="inlineStr"/>
      <c r="H887" s="6" t="inlineStr">
        <is>
          <t>Üç saat güneşte, elinde su şişesiyle bekledin. Çocuk çıkınca “Kolaydı” dedi; sen ancak o zaman oturabildin.</t>
        </is>
      </c>
      <c r="I887" s="6" t="inlineStr">
        <is>
          <t>Üç saat kapının önünde bekledin, yirmi veliyle tanıştın, ikisine poğaça verdin. Çocuk çıkınca kalabalıkta ilk seni gördü ve sarıldı.</t>
        </is>
      </c>
      <c r="J887" s="6" t="inlineStr">
        <is>
          <t>Bekledin; çocuk arka kapıdan çıkıp arkadaşlarıyla gitti. Su şişesini sen içtin.</t>
        </is>
      </c>
      <c r="K887" s="6" t="inlineStr">
        <is>
          <t>Yanındaki veliyle soruları tartışmaya daldın. Çocuk çıktığında “Altıncı soru C miydi?” diye bağırıyordun; çocuk seni tanımıyormuş gibi yürüdü.</t>
        </is>
      </c>
      <c r="L887" s="6" t="inlineStr"/>
      <c r="M887" s="5" t="inlineStr"/>
      <c r="N887" s="5" t="inlineStr"/>
      <c r="O887" s="6" t="inlineStr"/>
      <c r="P887" s="6" t="inlineStr"/>
      <c r="Q887" s="5" t="inlineStr"/>
      <c r="R887" s="5" t="inlineStr"/>
      <c r="S887" s="5" t="inlineStr"/>
      <c r="T887" s="5" t="inlineStr"/>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is>
          <t>Dayanıklılık 30</t>
        </is>
      </c>
      <c r="AI887" s="5" t="inlineStr"/>
      <c r="AJ887" s="5" t="inlineStr"/>
    </row>
    <row r="888">
      <c r="A888" s="5" t="inlineStr">
        <is>
          <t>mb-kisa-gorusme</t>
        </is>
      </c>
      <c r="B888" s="5" t="n">
        <v>1</v>
      </c>
      <c r="C888" s="6" t="inlineStr">
        <is>
          <t>Yüzünü belli etme</t>
        </is>
      </c>
      <c r="D888" s="5" t="inlineStr">
        <is>
          <t>Dayanıklılık</t>
        </is>
      </c>
      <c r="E888" s="5" t="inlineStr">
        <is>
          <t>Zor</t>
        </is>
      </c>
      <c r="F888" s="5" t="inlineStr"/>
      <c r="G888" s="6" t="inlineStr"/>
      <c r="H888" s="6" t="inlineStr">
        <is>
          <t>Hiçbir şey belli etmedin. Görüşme 'devam' kararıyla bitti. Masan hâlâ senin.</t>
        </is>
      </c>
      <c r="I888" s="6" t="inlineStr">
        <is>
          <t>Öyle sakindin ki görüşmenin sonunda yöneticin kendi durumunu sana sordu.</t>
        </is>
      </c>
      <c r="J888" s="6" t="inlineStr">
        <is>
          <t>'Kartınızı getirdiniz mi?' sorusunda yüzün düştü. Penceresiz bir departmana 'yatay geçiş' yaptın.</t>
        </is>
      </c>
      <c r="K888" s="6" t="inlineStr">
        <is>
          <t>Görüşmede ağlayan sen değil, insan kaynaklarından gelen kişiydi. On dakika onu teselli ettin, peçete uzattın. Kalan beş dakikada sana yarım gün çalışmayı önerdi; duygulanmıştın, kabul ettin.</t>
        </is>
      </c>
      <c r="L888" s="6" t="inlineStr">
        <is>
          <t>Bir soruda gözün seğirdi. Kaldın ama masan pencere kenarından koridora taşındı.</t>
        </is>
      </c>
      <c r="M888" s="5" t="inlineStr">
        <is>
          <t>duel</t>
        </is>
      </c>
      <c r="N888" s="5" t="inlineStr">
        <is>
          <t>Kısa Görüşme</t>
        </is>
      </c>
      <c r="O888" s="6" t="inlineStr">
        <is>
          <t>Karşındakinin sabrı bitmeden en iyi cevabı seç.</t>
        </is>
      </c>
      <c r="P888" s="6" t="inlineStr">
        <is>
          <t>{"who": "İnsan kaynakları", "rounds": [{"q": "Şirkette kendini nasıl görüyorsun?", "o": [{"t": "Değer üreten, uyum sağlayan biri olarak.", "s": 1}, {"t": "Hiç düşünmedim.", "s": 0.2}, {"t": "Sen söyle.", "s": 0.3}]}, {"q": "Değişime açık mısın?", "o": [{"t": "Açığım; hangi değişim, takvim ne?", "s": 1}, {"t": "Elbette, her şeye.", "s": 0.4}, {"t": "Bu bir yeniden yapılanma mı?", "s": 0.55}]}, {"q": "Şu formu bir okur musun?", "o": [{"t": "Okurum, ama önce metni ve tarihi konuşalım.", "s": 1}, {"t": "İmzalarım.", "s": 0.1}, {"t": "Avukatıma sorayım.", "s": 0.6}]}]}</t>
        </is>
      </c>
      <c r="Q888" s="5" t="inlineStr"/>
      <c r="R888" s="5" t="inlineStr"/>
      <c r="S888" s="5" t="inlineStr"/>
      <c r="T888" s="5" t="inlineStr"/>
      <c r="U888" s="5" t="inlineStr"/>
      <c r="V888" s="5" t="inlineStr">
        <is>
          <t>beyazyaka-sag-kaldi</t>
        </is>
      </c>
      <c r="W888" s="5" t="inlineStr"/>
      <c r="X888" s="5" t="inlineStr"/>
      <c r="Y888" s="5" t="inlineStr"/>
      <c r="Z888" s="6" t="inlineStr"/>
      <c r="AA888" s="5" t="inlineStr"/>
      <c r="AB888" s="5" t="inlineStr"/>
      <c r="AC888" s="5" t="inlineStr"/>
      <c r="AD888" s="5" t="inlineStr"/>
      <c r="AE888" s="5" t="inlineStr"/>
      <c r="AF888" s="5" t="inlineStr"/>
      <c r="AG888" s="5" t="inlineStr"/>
      <c r="AH888" s="5" t="inlineStr"/>
      <c r="AI888" s="5" t="inlineStr"/>
      <c r="AJ888" s="5" t="inlineStr"/>
    </row>
    <row r="889">
      <c r="A889" s="5" t="inlineStr">
        <is>
          <t>mb-kisa-gorusme</t>
        </is>
      </c>
      <c r="B889" s="5" t="n">
        <v>2</v>
      </c>
      <c r="C889" s="6" t="inlineStr">
        <is>
          <t>'Ekibimi ben korurum' de</t>
        </is>
      </c>
      <c r="D889" s="5" t="inlineStr">
        <is>
          <t>Cesaret</t>
        </is>
      </c>
      <c r="E889" s="5" t="inlineStr">
        <is>
          <t>Orta</t>
        </is>
      </c>
      <c r="F889" s="5" t="inlineStr"/>
      <c r="G889" s="6" t="inlineStr"/>
      <c r="H889" s="6" t="inlineStr">
        <is>
          <t>Ekibin kaldı, sen de kaldın. Bütçe üç kişilik, ekip altı kişi; çayı artık evden termosla getiriyorsun.</t>
        </is>
      </c>
      <c r="I889" s="6" t="inlineStr">
        <is>
          <t>Ekibini savundun, yönetim etkilendi, sana bir ekip daha verdi. Bütçesiz.</t>
        </is>
      </c>
      <c r="J889" s="6" t="inlineStr">
        <is>
          <t>Ekibin kaldı. Sen “danışman” oldun; masan, çay bardağın ve otopark yerin aynı gün gitti.</t>
        </is>
      </c>
      <c r="K889" s="6" t="inlineStr">
        <is>
          <t>Ekibini savunurken 'Beni de çıkarın o zaman' dedin. Not alındı.</t>
        </is>
      </c>
      <c r="L889" s="6" t="inlineStr"/>
      <c r="M889" s="5" t="inlineStr"/>
      <c r="N889" s="5" t="inlineStr"/>
      <c r="O889" s="6" t="inlineStr"/>
      <c r="P889" s="6" t="inlineStr"/>
      <c r="Q889" s="5" t="inlineStr"/>
      <c r="R889" s="5" t="inlineStr">
        <is>
          <t>beyazyaka-terfi-aldi</t>
        </is>
      </c>
      <c r="S889" s="5" t="inlineStr"/>
      <c r="T889" s="5" t="inlineStr"/>
      <c r="U889" s="5" t="inlineStr"/>
      <c r="V889" s="5" t="inlineStr">
        <is>
          <t>beyazyaka-sag-kaldi</t>
        </is>
      </c>
      <c r="W889" s="5" t="inlineStr"/>
      <c r="X889" s="5" t="inlineStr"/>
      <c r="Y889" s="5" t="inlineStr"/>
      <c r="Z889" s="6" t="inlineStr"/>
      <c r="AA889" s="5" t="inlineStr"/>
      <c r="AB889" s="5" t="inlineStr"/>
      <c r="AC889" s="5" t="inlineStr"/>
      <c r="AD889" s="5" t="inlineStr"/>
      <c r="AE889" s="5" t="inlineStr"/>
      <c r="AF889" s="5" t="inlineStr"/>
      <c r="AG889" s="5" t="inlineStr"/>
      <c r="AH889" s="5" t="inlineStr"/>
      <c r="AI889" s="5" t="inlineStr"/>
      <c r="AJ889" s="5" t="inlineStr"/>
    </row>
    <row r="890">
      <c r="A890" s="5" t="inlineStr">
        <is>
          <t>mb-kisa-gorusme</t>
        </is>
      </c>
      <c r="B890" s="5" t="n">
        <v>3</v>
      </c>
      <c r="C890" s="6" t="inlineStr">
        <is>
          <t>Sessizce dinle</t>
        </is>
      </c>
      <c r="D890" s="5" t="inlineStr"/>
      <c r="E890" s="5" t="inlineStr"/>
      <c r="F890" s="5" t="inlineStr">
        <is>
          <t>Dayanıklılık +1</t>
        </is>
      </c>
      <c r="G890" s="6" t="inlineStr">
        <is>
          <t>Dinledin. Görüşme on dört dakika sürdü. Bir dakikası 'Nasılsın?' için ayrılmıştı.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is>
          <t>beyazyaka-sag-kaldi</t>
        </is>
      </c>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c r="AI890" s="5" t="inlineStr"/>
      <c r="AJ890" s="5" t="inlineStr"/>
    </row>
    <row r="891">
      <c r="A891" s="5" t="inlineStr">
        <is>
          <t>me-internet-satis</t>
        </is>
      </c>
      <c r="B891" s="5" t="n">
        <v>1</v>
      </c>
      <c r="C891" s="6" t="inlineStr">
        <is>
          <t>Siteyi kendin kur</t>
        </is>
      </c>
      <c r="D891" s="5" t="inlineStr">
        <is>
          <t>Akıl</t>
        </is>
      </c>
      <c r="E891" s="5" t="inlineStr">
        <is>
          <t>Zor</t>
        </is>
      </c>
      <c r="F891" s="5" t="inlineStr"/>
      <c r="G891" s="6" t="inlineStr"/>
      <c r="H891" s="6" t="inlineStr">
        <is>
          <t>Siteyi kurdun. İlk sipariş komşudan geldi; kargoyla, karşı kapıdan.</t>
        </is>
      </c>
      <c r="I891" s="6" t="inlineStr">
        <is>
          <t>Başka şehirlerden sipariş gelmeye başladı. 'Kargoya verildi' mesajı yazarken artık gururlanıyorsun.</t>
        </is>
      </c>
      <c r="J891" s="6" t="inlineStr">
        <is>
          <t>Siteyi kurdun. Bütün ürün fotoğraflarında başparmağın var.</t>
        </is>
      </c>
      <c r="K891" s="6" t="inlineStr">
        <is>
          <t>Fiyatları sıfır girmişsin. Gece üç yüz sipariş geldi. Sabah kepengi açamadın; kapı kolilerle kapanmıştı.</t>
        </is>
      </c>
      <c r="L891" s="6" t="inlineStr"/>
      <c r="M891" s="5" t="inlineStr"/>
      <c r="N891" s="5" t="inlineStr"/>
      <c r="O891" s="6" t="inlineStr"/>
      <c r="P891" s="6" t="inlineStr"/>
      <c r="Q891" s="5" t="inlineStr"/>
      <c r="R891" s="5" t="inlineStr"/>
      <c r="S891" s="5" t="inlineStr"/>
      <c r="T891" s="5" t="inlineStr"/>
      <c r="U891" s="5" t="inlineStr"/>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c r="AI891" s="5" t="inlineStr"/>
      <c r="AJ891" s="5" t="inlineStr"/>
    </row>
    <row r="892">
      <c r="A892" s="5" t="inlineStr">
        <is>
          <t>me-internet-satis</t>
        </is>
      </c>
      <c r="B892" s="5" t="n">
        <v>2</v>
      </c>
      <c r="C892" s="6" t="inlineStr">
        <is>
          <t>Çırağa emanet et</t>
        </is>
      </c>
      <c r="D892" s="5" t="inlineStr"/>
      <c r="E892" s="5" t="inlineStr"/>
      <c r="F892" s="5" t="inlineStr">
        <is>
          <t>Sosyal Radar +1, Akıl +1</t>
        </is>
      </c>
      <c r="G892" s="6" t="inlineStr">
        <is>
          <t>Çırak siteyi bir haftada kurdu. Sen 'Beğen' tuşuna basmayı öğrendin; o da yetti.</t>
        </is>
      </c>
      <c r="H892" s="6" t="inlineStr"/>
      <c r="I892" s="6" t="inlineStr"/>
      <c r="J892" s="6" t="inlineStr"/>
      <c r="K892" s="6" t="inlineStr"/>
      <c r="L892" s="6" t="inlineStr"/>
      <c r="M892" s="5" t="inlineStr"/>
      <c r="N892" s="5" t="inlineStr"/>
      <c r="O892" s="6" t="inlineStr"/>
      <c r="P892" s="6" t="inlineStr"/>
      <c r="Q892" s="5" t="inlineStr"/>
      <c r="R892" s="5" t="inlineStr">
        <is>
          <t>esnaf-cirak</t>
        </is>
      </c>
      <c r="S892" s="5" t="inlineStr"/>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c r="AI892" s="5" t="inlineStr"/>
      <c r="AJ892" s="5" t="inlineStr"/>
    </row>
    <row r="893">
      <c r="A893" s="5" t="inlineStr">
        <is>
          <t>me-internet-satis</t>
        </is>
      </c>
      <c r="B893" s="5" t="n">
        <v>3</v>
      </c>
      <c r="C893" s="6" t="inlineStr">
        <is>
          <t>Dükkândan kısa video çek</t>
        </is>
      </c>
      <c r="D893" s="5" t="inlineStr">
        <is>
          <t>Pişkinlik</t>
        </is>
      </c>
      <c r="E893" s="5" t="inlineStr">
        <is>
          <t>Orta</t>
        </is>
      </c>
      <c r="F893" s="5" t="inlineStr"/>
      <c r="G893" s="6" t="inlineStr"/>
      <c r="H893" s="6" t="inlineStr">
        <is>
          <t>Video tuttu. Satışlar biraz arttı, tanınman çok. Pazarda biri seni durdurdu: “Siz o videodaki değil misiniz?” Elinde karşı dükkândan aldığı poşet vardı.</t>
        </is>
      </c>
      <c r="I893" s="6" t="inlineStr">
        <is>
          <t>Videon yayıldı. Dükkâna fotoğraf çekmeye gelenler artık bir şey de alıyor. Çoğu.</t>
        </is>
      </c>
      <c r="J893" s="6" t="inlineStr">
        <is>
          <t>Videonun en çok izlenen kısmı arkadan geçen kedi oldu.</t>
        </is>
      </c>
      <c r="K893" s="6" t="inlineStr">
        <is>
          <t>Videoda karşı dükkânın tabelası seninkinden net çıktı. Onun satışları arttı.</t>
        </is>
      </c>
      <c r="L893" s="6" t="inlineStr"/>
      <c r="M893" s="5" t="inlineStr"/>
      <c r="N893" s="5" t="inlineStr"/>
      <c r="O893" s="6" t="inlineStr"/>
      <c r="P893" s="6" t="inlineStr"/>
      <c r="Q893" s="5" t="inlineStr">
        <is>
          <t>Şifreyi Bilen</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c r="AI893" s="5" t="inlineStr"/>
      <c r="AJ893" s="5" t="inlineStr"/>
    </row>
    <row r="894">
      <c r="A894" s="5" t="inlineStr">
        <is>
          <t>me-internet-satis</t>
        </is>
      </c>
      <c r="B894" s="5" t="n">
        <v>4</v>
      </c>
      <c r="C894" s="6" t="inlineStr">
        <is>
          <t>Direnmeye devam et</t>
        </is>
      </c>
      <c r="D894" s="5" t="inlineStr"/>
      <c r="E894" s="5" t="inlineStr"/>
      <c r="F894" s="5" t="inlineStr">
        <is>
          <t>İtibar +1</t>
        </is>
      </c>
      <c r="G894" s="6" t="inlineStr">
        <is>
          <t>'Benim müşterim kapıdan gelir' dedin. Kapı hâlâ açık. Önünden kargo kuryeleri geçiyor.</t>
        </is>
      </c>
      <c r="H894" s="6" t="inlineStr"/>
      <c r="I894" s="6" t="inlineStr"/>
      <c r="J894" s="6" t="inlineStr"/>
      <c r="K894" s="6" t="inlineStr"/>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c r="AI894" s="5" t="inlineStr"/>
      <c r="AJ894" s="5" t="inlineStr"/>
    </row>
    <row r="895">
      <c r="A895" s="5" t="inlineStr">
        <is>
          <t>mm-terfi-sinavi</t>
        </is>
      </c>
      <c r="B895" s="5" t="n">
        <v>1</v>
      </c>
      <c r="C895" s="6" t="inlineStr">
        <is>
          <t>Gece gündüz çalış</t>
        </is>
      </c>
      <c r="D895" s="5" t="inlineStr">
        <is>
          <t>Akıl</t>
        </is>
      </c>
      <c r="E895" s="5" t="inlineStr">
        <is>
          <t>Zor</t>
        </is>
      </c>
      <c r="F895" s="5" t="inlineStr"/>
      <c r="G895" s="6" t="inlineStr"/>
      <c r="H895" s="6" t="inlineStr">
        <is>
          <t>Sınavı geçtin, şube müdürü oldun. Artık 'Yarın gelin' diyen değil, 'Yarın gelsinler' diyen sensin.</t>
        </is>
      </c>
      <c r="I895" s="6" t="inlineStr">
        <is>
          <t>Birinci oldun. Komisyon senin kâğıdını gelecek yılın cevap anahtarı yaptı.</t>
        </is>
      </c>
      <c r="J895" s="6" t="inlineStr">
        <is>
          <t>Kıl payı kaldın. Kıl payı, kurum dilinde 'bir sonraki döneme kadar' demek.</t>
        </is>
      </c>
      <c r="K895" s="6" t="inlineStr">
        <is>
          <t>Sınav gününü yanlış yazmışsın. Boş salonda iki saat tek başına sınav oldun. Kâğıdın okunmadı.</t>
        </is>
      </c>
      <c r="L895" s="6" t="inlineStr"/>
      <c r="M895" s="5" t="inlineStr"/>
      <c r="N895" s="5" t="inlineStr"/>
      <c r="O895" s="6" t="inlineStr"/>
      <c r="P895" s="6" t="inlineStr"/>
      <c r="Q895" s="5" t="inlineStr"/>
      <c r="R895" s="5" t="inlineStr"/>
      <c r="S895" s="5" t="inlineStr"/>
      <c r="T895" s="5" t="inlineStr">
        <is>
          <t>Mevzuat Kalkanı</t>
        </is>
      </c>
      <c r="U895" s="5" t="inlineStr"/>
      <c r="V895" s="5" t="inlineStr">
        <is>
          <t>memur-terfi</t>
        </is>
      </c>
      <c r="W895" s="5" t="inlineStr"/>
      <c r="X895" s="5" t="inlineStr"/>
      <c r="Y895" s="5" t="inlineStr"/>
      <c r="Z895" s="6" t="inlineStr"/>
      <c r="AA895" s="5" t="inlineStr"/>
      <c r="AB895" s="5" t="inlineStr"/>
      <c r="AC895" s="5" t="inlineStr"/>
      <c r="AD895" s="5" t="inlineStr"/>
      <c r="AE895" s="5" t="inlineStr"/>
      <c r="AF895" s="5" t="inlineStr"/>
      <c r="AG895" s="5" t="inlineStr"/>
      <c r="AH895" s="5" t="inlineStr">
        <is>
          <t>Akıl 35</t>
        </is>
      </c>
      <c r="AI895" s="5" t="inlineStr"/>
      <c r="AJ895" s="5" t="inlineStr"/>
    </row>
    <row r="896">
      <c r="A896" s="5" t="inlineStr">
        <is>
          <t>mm-terfi-sinavi</t>
        </is>
      </c>
      <c r="B896" s="5" t="n">
        <v>2</v>
      </c>
      <c r="C896" s="6" t="inlineStr">
        <is>
          <t>Değişen maddeye odaklan</t>
        </is>
      </c>
      <c r="D896" s="5" t="inlineStr">
        <is>
          <t>Akıl</t>
        </is>
      </c>
      <c r="E896" s="5" t="inlineStr">
        <is>
          <t>Zor</t>
        </is>
      </c>
      <c r="F896" s="5" t="inlineStr"/>
      <c r="G896" s="6" t="inlineStr"/>
      <c r="H896" s="6" t="inlineStr">
        <is>
          <t>Soruların yarısı o maddeden geldi. Sınavı rahat geçtin.</t>
        </is>
      </c>
      <c r="I896" s="6" t="inlineStr">
        <is>
          <t>Soruların tamamı o maddedendi. Sınavdan çıkarken madde numarasını dövme yaptırmayı düşündün.</t>
        </is>
      </c>
      <c r="J896" s="6" t="inlineStr">
        <is>
          <t>Madde o yıl bir kez daha değişmiş. Sen bir önceki değişikliğe çalışmıştın.</t>
        </is>
      </c>
      <c r="K896" s="6" t="inlineStr">
        <is>
          <t>O maddeye o kadar odaklandın ki sınav kâğıdına adını yazmayı unuttun. En yüksek puanı 'isimsiz' aldı.</t>
        </is>
      </c>
      <c r="L896" s="6" t="inlineStr"/>
      <c r="M896" s="5" t="inlineStr"/>
      <c r="N896" s="5" t="inlineStr"/>
      <c r="O896" s="6" t="inlineStr"/>
      <c r="P896" s="6" t="inlineStr"/>
      <c r="Q896" s="5" t="inlineStr"/>
      <c r="R896" s="5" t="inlineStr"/>
      <c r="S896" s="5" t="inlineStr">
        <is>
          <t>Akıl</t>
        </is>
      </c>
      <c r="T896" s="5" t="inlineStr">
        <is>
          <t>Mevzuat Kalkanı</t>
        </is>
      </c>
      <c r="U896" s="5" t="inlineStr"/>
      <c r="V896" s="5" t="inlineStr">
        <is>
          <t>memur-terfi</t>
        </is>
      </c>
      <c r="W896" s="5" t="inlineStr"/>
      <c r="X896" s="5" t="inlineStr"/>
      <c r="Y896" s="5" t="inlineStr"/>
      <c r="Z896" s="6" t="inlineStr"/>
      <c r="AA896" s="5" t="inlineStr"/>
      <c r="AB896" s="5" t="inlineStr"/>
      <c r="AC896" s="5" t="inlineStr"/>
      <c r="AD896" s="5" t="inlineStr"/>
      <c r="AE896" s="5" t="inlineStr"/>
      <c r="AF896" s="5" t="inlineStr"/>
      <c r="AG896" s="5" t="inlineStr"/>
      <c r="AH896" s="5" t="inlineStr"/>
      <c r="AI896" s="5" t="inlineStr">
        <is>
          <t>İsimsiz Birinci</t>
        </is>
      </c>
      <c r="AJ896" s="5" t="inlineStr"/>
    </row>
    <row r="897">
      <c r="A897" s="5" t="inlineStr">
        <is>
          <t>mm-terfi-sinavi</t>
        </is>
      </c>
      <c r="B897" s="5" t="n">
        <v>3</v>
      </c>
      <c r="C897" s="6" t="inlineStr">
        <is>
          <t>Çocuğunla birlikte çalış</t>
        </is>
      </c>
      <c r="D897" s="5" t="inlineStr">
        <is>
          <t>Dayanıklılık</t>
        </is>
      </c>
      <c r="E897" s="5" t="inlineStr">
        <is>
          <t>Orta</t>
        </is>
      </c>
      <c r="F897" s="5" t="inlineStr"/>
      <c r="G897" s="6" t="inlineStr"/>
      <c r="H897" s="6" t="inlineStr">
        <is>
          <t>Aynı masada çalıştınız. İkiniz de geçtiniz: sen terfiyi, o yazılıyı.</t>
        </is>
      </c>
      <c r="I897" s="6" t="inlineStr">
        <is>
          <t>Çocuğun sana test tekniği öğretti, sen ona sabır. Sonuçlar aynı gün açıklandı; ikiniz de birinci. Annen aynı fotoğrafı bütün akrabaya iki kez gönderdi.</t>
        </is>
      </c>
      <c r="J897" s="6" t="inlineStr">
        <is>
          <t>Çocuğun sana test tekniği anlattı; sen onun sorularını çözdün. İkiniz de başkasının sınavına hazırlandınız.</t>
        </is>
      </c>
      <c r="K897" s="6" t="inlineStr">
        <is>
          <t>Onun tabletine alıştın. Sınav gününe kadar öğrendiğin tek şey bir oyunun üçüncü bölümü.</t>
        </is>
      </c>
      <c r="L897" s="6" t="inlineStr"/>
      <c r="M897" s="5" t="inlineStr"/>
      <c r="N897" s="5" t="inlineStr"/>
      <c r="O897" s="6" t="inlineStr"/>
      <c r="P897" s="6" t="inlineStr"/>
      <c r="Q897" s="5" t="inlineStr"/>
      <c r="R897" s="5" t="inlineStr">
        <is>
          <t>cocuklu</t>
        </is>
      </c>
      <c r="S897" s="5" t="inlineStr"/>
      <c r="T897" s="5" t="inlineStr"/>
      <c r="U897" s="5" t="inlineStr"/>
      <c r="V897" s="5" t="inlineStr">
        <is>
          <t>memur-terfi</t>
        </is>
      </c>
      <c r="W897" s="5" t="inlineStr"/>
      <c r="X897" s="5" t="inlineStr"/>
      <c r="Y897" s="5" t="inlineStr"/>
      <c r="Z897" s="6" t="inlineStr"/>
      <c r="AA897" s="5" t="inlineStr"/>
      <c r="AB897" s="5" t="inlineStr"/>
      <c r="AC897" s="5" t="inlineStr"/>
      <c r="AD897" s="5" t="inlineStr"/>
      <c r="AE897" s="5" t="inlineStr"/>
      <c r="AF897" s="5" t="inlineStr"/>
      <c r="AG897" s="5" t="inlineStr"/>
      <c r="AH897" s="5" t="inlineStr"/>
      <c r="AI897" s="5" t="inlineStr"/>
      <c r="AJ897" s="5" t="inlineStr"/>
    </row>
    <row r="898">
      <c r="A898" s="5" t="inlineStr">
        <is>
          <t>mm-terfi-sinavi</t>
        </is>
      </c>
      <c r="B898" s="5" t="n">
        <v>4</v>
      </c>
      <c r="C898" s="6" t="inlineStr">
        <is>
          <t>Girme, masanda kal</t>
        </is>
      </c>
      <c r="D898" s="5" t="inlineStr"/>
      <c r="E898" s="5" t="inlineStr"/>
      <c r="F898" s="5" t="inlineStr">
        <is>
          <t>Dayanıklılık +1</t>
        </is>
      </c>
      <c r="G898" s="6" t="inlineStr">
        <is>
          <t>Sınava girmedin. Masan pencere kenarında, çayın sıcak. Yeni şube müdürü ilk gün sana geldi: “Burada işler nasıl yürüyor?” Anlattın; o müdür, sen bilen.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c r="AI898" s="5" t="inlineStr"/>
      <c r="AJ898" s="5" t="inlineStr"/>
    </row>
    <row r="899">
      <c r="A899" s="5" t="inlineStr">
        <is>
          <t>b8-dijital-para</t>
        </is>
      </c>
      <c r="B899" s="5" t="n">
        <v>1</v>
      </c>
      <c r="C899" s="6" t="inlineStr">
        <is>
          <t>Teşekkür et, kapat</t>
        </is>
      </c>
      <c r="D899" s="5" t="inlineStr"/>
      <c r="E899" s="5" t="inlineStr"/>
      <c r="F899" s="5" t="inlineStr">
        <is>
          <t>Akıl +1, İtibar +1</t>
        </is>
      </c>
      <c r="G899" s="6" t="inlineStr">
        <is>
          <t>Telefonu kapattın. Bir hafta sonra paranın kurucuları da telefonlarını kapattı.</t>
        </is>
      </c>
      <c r="H899" s="6" t="inlineStr"/>
      <c r="I899" s="6" t="inlineStr"/>
      <c r="J899" s="6" t="inlineStr"/>
      <c r="K899" s="6" t="inlineStr"/>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c r="AI899" s="5" t="inlineStr"/>
      <c r="AJ899" s="5" t="inlineStr"/>
    </row>
    <row r="900">
      <c r="A900" s="5" t="inlineStr">
        <is>
          <t>b8-dijital-para</t>
        </is>
      </c>
      <c r="B900" s="5" t="n">
        <v>2</v>
      </c>
      <c r="C900" s="6" t="inlineStr">
        <is>
          <t>Küçük bir miktar yatır</t>
        </is>
      </c>
      <c r="D900" s="5" t="inlineStr">
        <is>
          <t>Kurnazlık</t>
        </is>
      </c>
      <c r="E900" s="5" t="inlineStr">
        <is>
          <t>Zor</t>
        </is>
      </c>
      <c r="F900" s="5" t="inlineStr"/>
      <c r="G900" s="6" t="inlineStr"/>
      <c r="H900" s="6" t="inlineStr">
        <is>
          <t>Az yatırdın, ikiye katladın, hemen sattın. Bu hikâyeyi on yıl anlatacaksın.</t>
        </is>
      </c>
      <c r="I900" s="6" t="inlineStr">
        <is>
          <t>Tam tepede sattın; bir saat sonra grafik uçurumdan atladı. Eski arkadaşın artık sana “hocam” diyor. Şans olduğunu kimseye söylemiyorsun.</t>
        </is>
      </c>
      <c r="J900" s="6" t="inlineStr">
        <is>
          <t>Az yatırdın; daha da az oldu. Grafik şu an bir kayak pisti.</t>
        </is>
      </c>
      <c r="K900" s="6" t="inlineStr">
        <is>
          <t>Az yatırdın, sonra biraz daha. Cüzdan şifresi bir kâğıttaydı. Kâğıt çamaşır makinesinde.</t>
        </is>
      </c>
      <c r="L900" s="6" t="inlineStr"/>
      <c r="M900" s="5" t="inlineStr"/>
      <c r="N900" s="5" t="inlineStr"/>
      <c r="O900" s="6" t="inlineStr"/>
      <c r="P900" s="6" t="inlineStr"/>
      <c r="Q900" s="5" t="inlineStr"/>
      <c r="R900" s="5" t="inlineStr"/>
      <c r="S900" s="5" t="inlineStr"/>
      <c r="T900" s="5" t="inlineStr"/>
      <c r="U900" s="5" t="inlineStr">
        <is>
          <t>dijital-paraci</t>
        </is>
      </c>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c r="AI900" s="5" t="inlineStr"/>
      <c r="AJ900" s="5" t="inlineStr"/>
    </row>
    <row r="901">
      <c r="A901" s="5" t="inlineStr">
        <is>
          <t>b8-dijital-para</t>
        </is>
      </c>
      <c r="B901" s="5" t="n">
        <v>3</v>
      </c>
      <c r="C901" s="6" t="inlineStr">
        <is>
          <t>Borç tablonu arkadaşına gönder</t>
        </is>
      </c>
      <c r="D901" s="5" t="inlineStr">
        <is>
          <t>Akıl</t>
        </is>
      </c>
      <c r="E901" s="5" t="inlineStr">
        <is>
          <t>Orta</t>
        </is>
      </c>
      <c r="F901" s="5" t="inlineStr"/>
      <c r="G901" s="6" t="inlineStr"/>
      <c r="H901" s="6" t="inlineStr">
        <is>
          <t>Tabloyu gördü, sustu. Sonra 'Haklısın' dedi ve kendi yatırımını çekti.</t>
        </is>
      </c>
      <c r="I901" s="6" t="inlineStr">
        <is>
          <t>Tablon öyle ikna ediciydi ki arkadaşın parasını çekti, sonra annesini aradı, o da çekti. Bayramda annesi kapına bir tepsi baklava bıraktı.</t>
        </is>
      </c>
      <c r="J901" s="6" t="inlineStr">
        <is>
          <t>Tabloyu gönderdin. Cevap geldi: bir roket. Bir hafta sonra ikinci mesaj geldi: ağlayan bir yüz.</t>
        </is>
      </c>
      <c r="K901" s="6" t="inlineStr">
        <is>
          <t>Arkadaş tablonu başka arkadaşlarına gösterdi. Şimdi üç kişi daha sana 'hâlâ erken' diyor.</t>
        </is>
      </c>
      <c r="L901" s="6" t="inlineStr"/>
      <c r="M901" s="5" t="inlineStr"/>
      <c r="N901" s="5" t="inlineStr"/>
      <c r="O901" s="6" t="inlineStr"/>
      <c r="P901" s="6" t="inlineStr"/>
      <c r="Q901" s="5" t="inlineStr"/>
      <c r="R901" s="5" t="inlineStr"/>
      <c r="S901" s="5" t="inlineStr">
        <is>
          <t>Akıl</t>
        </is>
      </c>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c r="AI901" s="5" t="inlineStr"/>
      <c r="AJ901" s="5" t="inlineStr"/>
    </row>
    <row r="902">
      <c r="A902" s="5" t="inlineStr">
        <is>
          <t>b8-dijital-para</t>
        </is>
      </c>
      <c r="B902" s="5" t="n">
        <v>4</v>
      </c>
      <c r="C902" s="6" t="inlineStr">
        <is>
          <t>'Sen ne kadar yatırdın?' diye sor</t>
        </is>
      </c>
      <c r="D902" s="5" t="inlineStr">
        <is>
          <t>Sosyal Radar</t>
        </is>
      </c>
      <c r="E902" s="5" t="inlineStr">
        <is>
          <t>Kolay</t>
        </is>
      </c>
      <c r="F902" s="5" t="inlineStr"/>
      <c r="G902" s="6" t="inlineStr"/>
      <c r="H902" s="6" t="inlineStr">
        <is>
          <t>'Hiç' dedi. Mesele anlaşıldı.</t>
        </is>
      </c>
      <c r="I902" s="6" t="inlineStr">
        <is>
          <t>Cevap vermeden önce iki saniye durdu. O iki saniye sana bir maaş kazandırdı.</t>
        </is>
      </c>
      <c r="J902" s="6" t="inlineStr">
        <is>
          <t>'Her şeyimi' dedi. İkiniz de sustunuz.</t>
        </is>
      </c>
      <c r="K902" s="6" t="inlineStr">
        <is>
          <t>'Her şeyimi, bir de senin payını' dedi. Senin adına yatırmış.</t>
        </is>
      </c>
      <c r="L902" s="6" t="inlineStr"/>
      <c r="M902" s="5" t="inlineStr"/>
      <c r="N902" s="5" t="inlineStr"/>
      <c r="O902" s="6" t="inlineStr"/>
      <c r="P902" s="6" t="inlineStr"/>
      <c r="Q902" s="5" t="inlineStr">
        <is>
          <t>Para Üstü Radarı</t>
        </is>
      </c>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c r="AI902" s="5" t="inlineStr"/>
      <c r="AJ902" s="5" t="inlineStr"/>
    </row>
    <row r="903">
      <c r="A903" s="5" t="inlineStr">
        <is>
          <t>b8-o-cumle</t>
        </is>
      </c>
      <c r="B903" s="5" t="n">
        <v>1</v>
      </c>
      <c r="C903" s="6" t="inlineStr">
        <is>
          <t>“Biz senin yaşındayken…” diye başla</t>
        </is>
      </c>
      <c r="D903" s="5" t="inlineStr">
        <is>
          <t>Pişkinlik</t>
        </is>
      </c>
      <c r="E903" s="5" t="inlineStr">
        <is>
          <t>Kolay</t>
        </is>
      </c>
      <c r="F903" s="5" t="inlineStr"/>
      <c r="G903" s="6" t="inlineStr"/>
      <c r="H903" s="6" t="inlineStr">
        <is>
          <t>“Biz senin yaşında sokaktan eve girmezdik” dedin. Çocuk gözlerini devirdi. Sen içinden anne-babana hak verdin; otuz beş yıl gecikmeyle.</t>
        </is>
      </c>
      <c r="I903" s="6" t="inlineStr">
        <is>
          <t>Öyle kurdun ki çocuk telefonu bıraktı: “Anlat.” Gece ikiye kadar mahalle maçlarını, misket kavgalarını, sokak lambası yanınca eve çağrılmayı anlattın. Sabah çocuk kahvaltıya kendi geldi: “Dün kaldığın yerden.”</t>
        </is>
      </c>
      <c r="J903" s="6" t="inlineStr">
        <is>
          <t>Cümlenin yarısında kendi annenin sesiyle konuştuğunu fark ettin. Durdun. Geç kalmıştın.</t>
        </is>
      </c>
      <c r="K903" s="6" t="inlineStr">
        <is>
          <t>Çocuk seni gizlice kaydetmiş. Video “Biz senin yaşındayken, bölüm 12” adıyla bütün sınıfı dolaşıyor.</t>
        </is>
      </c>
      <c r="L903" s="6" t="inlineStr"/>
      <c r="M903" s="5" t="inlineStr"/>
      <c r="N903" s="5" t="inlineStr"/>
      <c r="O903" s="6" t="inlineStr"/>
      <c r="P903" s="6" t="inlineStr"/>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c r="AI903" s="5" t="inlineStr">
        <is>
          <t>Biz Senin Yaşındayken</t>
        </is>
      </c>
      <c r="AJ903" s="5" t="inlineStr"/>
    </row>
    <row r="904">
      <c r="A904" s="5" t="inlineStr">
        <is>
          <t>b8-o-cumle</t>
        </is>
      </c>
      <c r="B904" s="5" t="n">
        <v>2</v>
      </c>
      <c r="C904" s="6" t="inlineStr">
        <is>
          <t>Cümleyi yut, birlikte sıkıl</t>
        </is>
      </c>
      <c r="D904" s="5" t="inlineStr"/>
      <c r="E904" s="5" t="inlineStr"/>
      <c r="F904" s="5" t="inlineStr">
        <is>
          <t>Gönül +1</t>
        </is>
      </c>
      <c r="G904" s="6" t="inlineStr">
        <is>
          <t>Cümleyi yuttun. Birlikte tavana baktınız. On dakika sonra ikiniz de güldünüz; sebep bulunamadı.</t>
        </is>
      </c>
      <c r="H904" s="6" t="inlineStr"/>
      <c r="I904" s="6" t="inlineStr"/>
      <c r="J904" s="6" t="inlineStr"/>
      <c r="K904" s="6" t="inlineStr"/>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c r="AI904" s="5" t="inlineStr"/>
      <c r="AJ904" s="5" t="inlineStr"/>
    </row>
    <row r="905">
      <c r="A905" s="5" t="inlineStr">
        <is>
          <t>b8-o-cumle</t>
        </is>
      </c>
      <c r="B905" s="5" t="n">
        <v>3</v>
      </c>
      <c r="C905" s="6" t="inlineStr">
        <is>
          <t>Bir sokak oyunu öğret</t>
        </is>
      </c>
      <c r="D905" s="5" t="inlineStr">
        <is>
          <t>Gönül</t>
        </is>
      </c>
      <c r="E905" s="5" t="inlineStr">
        <is>
          <t>Orta</t>
        </is>
      </c>
      <c r="F905" s="5" t="inlineStr"/>
      <c r="G905" s="6" t="inlineStr"/>
      <c r="H905" s="6" t="inlineStr">
        <is>
          <t>Apartmanın önünde yakan top kurdun. Çocuk önce “Bu ne?” dedi, sonra iki saat oynadı; alt kattaki çocukları da çağırdı.</t>
        </is>
      </c>
      <c r="I905" s="6" t="inlineStr">
        <is>
          <t>Öğrettiğin oyun okulda moda oldu. Veli grubunda biri yazdı: “Bunu kim öğretti? Çocuk eve gelmiyor!” Cevap vermedin; gururla.</t>
        </is>
      </c>
      <c r="J905" s="6" t="inlineStr">
        <is>
          <t>Anlatırken kuralları unuttun. Çocuk yenilerini yazdı; sen kaybettin.</t>
        </is>
      </c>
      <c r="K905" s="6" t="inlineStr">
        <is>
          <t>Gösterirken belin tutuldu. Çocuk sordu: 'Sizin zamanınızda bel var mıydı?'</t>
        </is>
      </c>
      <c r="L905" s="6" t="inlineStr"/>
      <c r="M905" s="5" t="inlineStr"/>
      <c r="N905" s="5" t="inlineStr"/>
      <c r="O905" s="6" t="inlineStr"/>
      <c r="P905" s="6" t="inlineStr"/>
      <c r="Q905" s="5" t="inlineStr"/>
      <c r="R905" s="5" t="inlineStr"/>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c r="AI905" s="5" t="inlineStr"/>
      <c r="AJ905" s="5" t="inlineStr"/>
    </row>
    <row r="906">
      <c r="A906" s="5" t="inlineStr">
        <is>
          <t>b8-o-cumle</t>
        </is>
      </c>
      <c r="B906" s="5" t="n">
        <v>4</v>
      </c>
      <c r="C906" s="6" t="inlineStr">
        <is>
          <t>Kırılan camın hikâyesini anlat</t>
        </is>
      </c>
      <c r="D906" s="5" t="inlineStr"/>
      <c r="E906" s="5" t="inlineStr"/>
      <c r="F906" s="5" t="inlineStr">
        <is>
          <t>Çene +1</t>
        </is>
      </c>
      <c r="G906" s="6" t="inlineStr">
        <is>
          <t>Mahalle maçını ve komşunun camını anlattın. Çocuk sana ilk kez hayranlıkla baktı. Komşu hâlâ affetmedi.</t>
        </is>
      </c>
      <c r="H906" s="6" t="inlineStr"/>
      <c r="I906" s="6" t="inlineStr"/>
      <c r="J906" s="6" t="inlineStr"/>
      <c r="K906" s="6" t="inlineStr"/>
      <c r="L906" s="6" t="inlineStr"/>
      <c r="M906" s="5" t="inlineStr"/>
      <c r="N906" s="5" t="inlineStr"/>
      <c r="O906" s="6" t="inlineStr"/>
      <c r="P906" s="6" t="inlineStr"/>
      <c r="Q906" s="5" t="inlineStr"/>
      <c r="R906" s="5" t="inlineStr">
        <is>
          <t>camKirildi</t>
        </is>
      </c>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c r="AI906" s="5" t="inlineStr"/>
      <c r="AJ906" s="5" t="inlineStr"/>
    </row>
    <row r="907">
      <c r="A907" s="5" t="inlineStr">
        <is>
          <t>b8-evli-rutin</t>
        </is>
      </c>
      <c r="B907" s="5" t="n">
        <v>1</v>
      </c>
      <c r="C907" s="6" t="inlineStr">
        <is>
          <t>Telefonu bırak, sohbet et</t>
        </is>
      </c>
      <c r="D907" s="5" t="inlineStr"/>
      <c r="E907" s="5" t="inlineStr"/>
      <c r="F907" s="5" t="inlineStr">
        <is>
          <t>Çene +1, Gönül +1</t>
        </is>
      </c>
      <c r="G907" s="6" t="inlineStr">
        <is>
          <t>Telefonlar masaya ters kondu. Konuşacak çok şey çıktı; çoğu kombi hakkında, ama olsun.</t>
        </is>
      </c>
      <c r="H907" s="6" t="inlineStr"/>
      <c r="I907" s="6" t="inlineStr"/>
      <c r="J907" s="6" t="inlineStr"/>
      <c r="K907" s="6" t="inlineStr"/>
      <c r="L907" s="6" t="inlineStr"/>
      <c r="M907" s="5" t="inlineStr"/>
      <c r="N907" s="5" t="inlineStr"/>
      <c r="O907" s="6" t="inlineStr"/>
      <c r="P907" s="6" t="inlineStr"/>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c r="AI907" s="5" t="inlineStr"/>
      <c r="AJ907" s="5" t="inlineStr"/>
    </row>
    <row r="908">
      <c r="A908" s="5" t="inlineStr">
        <is>
          <t>b8-evli-rutin</t>
        </is>
      </c>
      <c r="B908" s="5" t="n">
        <v>2</v>
      </c>
      <c r="C908" s="6" t="inlineStr">
        <is>
          <t>Sürpriz akşam yemeği planla</t>
        </is>
      </c>
      <c r="D908" s="5" t="inlineStr">
        <is>
          <t>Gönül</t>
        </is>
      </c>
      <c r="E908" s="5" t="inlineStr">
        <is>
          <t>Orta</t>
        </is>
      </c>
      <c r="F908" s="5" t="inlineStr"/>
      <c r="G908" s="6" t="inlineStr"/>
      <c r="H908" s="6" t="inlineStr">
        <is>
          <t>Masa hazırdı, mumlar yanıyordu. Eşin 'Ne oldu?' diye sordu. Hiçbir şey olmamıştı; mesele de buydu.</t>
        </is>
      </c>
      <c r="I908" s="6" t="inlineStr">
        <is>
          <t>Evlendiğiniz yıl gittiğiniz yeri buldun; hâlâ açıktı. Garson sizi hatırlamadı ama öyle yaptı.</t>
        </is>
      </c>
      <c r="J908" s="6" t="inlineStr">
        <is>
          <t>Sürpriz yemek günü eşin de sana sürpriz hazırlamış: biri restoranda, biri evde. İkisine de gittiniz, ikisini de bitirdiniz. Gece mide ilacını paylaştınız.</t>
        </is>
      </c>
      <c r="K908" s="6" t="inlineStr">
        <is>
          <t>Rezervasyonu yanlış güne yaptın. Garson üstünde tarih yazan pastayı getirdi; yıl dönümünüz iki hafta sonraymış. Eşin pastayı yedi, seninle konuşmadı.</t>
        </is>
      </c>
      <c r="L908" s="6" t="inlineStr"/>
      <c r="M908" s="5" t="inlineStr"/>
      <c r="N908" s="5" t="inlineStr"/>
      <c r="O908" s="6" t="inlineStr"/>
      <c r="P908" s="6" t="inlineStr"/>
      <c r="Q908" s="5" t="inlineStr"/>
      <c r="R908" s="5" t="inlineStr"/>
      <c r="S908" s="5" t="inlineStr"/>
      <c r="T908" s="5" t="inlineStr"/>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c r="AI908" s="5" t="inlineStr"/>
      <c r="AJ908" s="5" t="inlineStr"/>
    </row>
    <row r="909">
      <c r="A909" s="5" t="inlineStr">
        <is>
          <t>b8-evli-rutin</t>
        </is>
      </c>
      <c r="B909" s="5" t="n">
        <v>3</v>
      </c>
      <c r="C909" s="6" t="inlineStr">
        <is>
          <t>'Nasılsın?' diye gerçekten sor</t>
        </is>
      </c>
      <c r="D909" s="5" t="inlineStr">
        <is>
          <t>Gönül</t>
        </is>
      </c>
      <c r="E909" s="5" t="inlineStr">
        <is>
          <t>Kolay</t>
        </is>
      </c>
      <c r="F909" s="5" t="inlineStr"/>
      <c r="G909" s="6" t="inlineStr"/>
      <c r="H909" s="6" t="inlineStr">
        <is>
          <t>Sordun ve dinledin. Cevap kırk dakika sürdü; içinde kayınvalide, kombi ve on yıl önceki bir bayram vardı. Sonunda eşin “İyi geldi” dedi; sana da.</t>
        </is>
      </c>
      <c r="I909" s="6" t="inlineStr">
        <is>
          <t>Sordun; eşin bir süre sustu, sonra 'Kimse sormuyordu' dedi. Gece balkonda uzadı.</t>
        </is>
      </c>
      <c r="J909" s="6" t="inlineStr">
        <is>
          <t>Sordun; “İyiyim” dedi, çayını tazeledi. Bir dahaki sefere.</t>
        </is>
      </c>
      <c r="K909" s="6" t="inlineStr">
        <is>
          <t>Sordun; eşin anlatmaya başladı. Üçüncü cümlede telefonun titredi, baktın: kargo bildirimi. Eşin cümlesini bitirmedi. “Boş ver” dedi; o “boş ver” bir hafta sürdü.</t>
        </is>
      </c>
      <c r="L909" s="6" t="inlineStr"/>
      <c r="M909" s="5" t="inlineStr"/>
      <c r="N909" s="5" t="inlineStr"/>
      <c r="O909" s="6" t="inlineStr"/>
      <c r="P909" s="6" t="inlineStr"/>
      <c r="Q909" s="5" t="inlineStr"/>
      <c r="R909" s="5" t="inlineStr"/>
      <c r="S909" s="5" t="inlineStr">
        <is>
          <t>Gönül</t>
        </is>
      </c>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c r="AI909" s="5" t="inlineStr"/>
      <c r="AJ909" s="5" t="inlineStr"/>
    </row>
    <row r="910">
      <c r="A910" s="5" t="inlineStr">
        <is>
          <t>b8-evli-rutin</t>
        </is>
      </c>
      <c r="B910" s="5" t="n">
        <v>4</v>
      </c>
      <c r="C910" s="6" t="inlineStr">
        <is>
          <t>Mutfakta dansa kaldır</t>
        </is>
      </c>
      <c r="D910" s="5" t="inlineStr">
        <is>
          <t>Pişkinlik</t>
        </is>
      </c>
      <c r="E910" s="5" t="inlineStr">
        <is>
          <t>Orta</t>
        </is>
      </c>
      <c r="F910" s="5" t="inlineStr"/>
      <c r="G910" s="6" t="inlineStr"/>
      <c r="H910" s="6" t="inlineStr">
        <is>
          <t>Mutfakta, buzdolabının ışığında dans ettiniz. Kimse görmedi; zaten mesele buydu.</t>
        </is>
      </c>
      <c r="I910" s="6" t="inlineStr">
        <is>
          <t>Dans ettiniz; alt kattaki komşu tavana süpürge sapıyla vurdu, ama ritmi tuttu. Apartman ilk kez aynı şarkıda.</t>
        </is>
      </c>
      <c r="J910" s="6" t="inlineStr">
        <is>
          <t>Dansa kaldırdın; eşin 'Bulaşık' dedi. Bulaşık kazandı.</t>
        </is>
      </c>
      <c r="K910" s="6" t="inlineStr">
        <is>
          <t>Dans ederken tencerenin kulpuna takıldın. Kuru fasulye yere döküldü, ikiniz birden fasulyenin üstüne oturdunuz. Belin iki gün tutuldu.</t>
        </is>
      </c>
      <c r="L910" s="6" t="inlineStr">
        <is>
          <t>Bir tabak kırıldı, dans durmadı. Eşin “Kırılan uğur getirir” dedi, süpürgeyi sana uzattı.</t>
        </is>
      </c>
      <c r="M910" s="5" t="inlineStr">
        <is>
          <t>simon</t>
        </is>
      </c>
      <c r="N910" s="5" t="inlineStr">
        <is>
          <t>Mutfak Dansı</t>
        </is>
      </c>
      <c r="O910" s="6" t="inlineStr">
        <is>
          <t>Sırayı dinle, aynı sırayla tekrar et.</t>
        </is>
      </c>
      <c r="P910" s="6" t="inlineStr">
        <is>
          <t>{"items": ["🍽️", "🥄", "🍴", "🧂"]}</t>
        </is>
      </c>
      <c r="Q910" s="5" t="inlineStr">
        <is>
          <t>Sahne Sever</t>
        </is>
      </c>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c r="AI910" s="5" t="inlineStr"/>
      <c r="AJ910" s="5" t="inlineStr"/>
    </row>
    <row r="911">
      <c r="A911" s="5" t="inlineStr">
        <is>
          <t>b8-cocuk-odasi</t>
        </is>
      </c>
      <c r="B911" s="5" t="n">
        <v>1</v>
      </c>
      <c r="C911" s="6" t="inlineStr">
        <is>
          <t>Kapıyı kapat, görmedin</t>
        </is>
      </c>
      <c r="D911" s="5" t="inlineStr"/>
      <c r="E911" s="5" t="inlineStr"/>
      <c r="F911" s="5" t="inlineStr">
        <is>
          <t>Dayanıklılık +1</t>
        </is>
      </c>
      <c r="G911" s="6" t="inlineStr">
        <is>
          <t>Kapıyı kapattın. İçinde annenin sesi yankılandı: “Burası oda değil, ahır.” Bu sefer söylemedin; tabak da orada kaldı.</t>
        </is>
      </c>
      <c r="H911" s="6" t="inlineStr"/>
      <c r="I911" s="6" t="inlineStr"/>
      <c r="J911" s="6" t="inlineStr"/>
      <c r="K911" s="6" t="inlineStr"/>
      <c r="L911" s="6" t="inlineStr"/>
      <c r="M911" s="5" t="inlineStr"/>
      <c r="N911" s="5" t="inlineStr"/>
      <c r="O911" s="6" t="inlineStr"/>
      <c r="P911" s="6" t="inlineStr"/>
      <c r="Q911" s="5" t="inlineStr"/>
      <c r="R911" s="5" t="inlineStr"/>
      <c r="S911" s="5" t="inlineStr"/>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c r="AI911" s="5" t="inlineStr"/>
      <c r="AJ911" s="5" t="inlineStr"/>
    </row>
    <row r="912">
      <c r="A912" s="5" t="inlineStr">
        <is>
          <t>b8-cocuk-odasi</t>
        </is>
      </c>
      <c r="B912" s="5" t="n">
        <v>2</v>
      </c>
      <c r="C912" s="6" t="inlineStr">
        <is>
          <t>Hızla topla</t>
        </is>
      </c>
      <c r="D912" s="5" t="inlineStr">
        <is>
          <t>Dayanıklılık</t>
        </is>
      </c>
      <c r="E912" s="5" t="inlineStr">
        <is>
          <t>Orta</t>
        </is>
      </c>
      <c r="F912" s="5" t="inlineStr"/>
      <c r="G912" s="6" t="inlineStr"/>
      <c r="H912" s="6" t="inlineStr">
        <is>
          <t>On dört çorap topladın. Hiçbiri eşleşmedi, ama zemin göründü.</t>
        </is>
      </c>
      <c r="I912" s="6" t="inlineStr">
        <is>
          <t>Oda toplandı, tabak bulundu; altından iki yıldır kayıp kumanda çıktı. Kumandayı salona götürdün, herkes alkışladı. Tabağı kimse sormadı.</t>
        </is>
      </c>
      <c r="J912" s="6" t="inlineStr">
        <is>
          <t>Topladın; çocuk gelip 'Her şeyin yerini biliyordum' dedi. Artık bilmiyor.</t>
        </is>
      </c>
      <c r="K912" s="6" t="inlineStr">
        <is>
          <t>Çıplak ayakla yerdeki bir şarj adaptörüne bastın. Öyle bağırdın ki alt komşu kapıyı çalıp “İyi misiniz?” diye sordu. İyi değildin.</t>
        </is>
      </c>
      <c r="L912" s="6" t="inlineStr">
        <is>
          <t>Yarısını topladın. Kalan yarısı yatağın altına kaçtı; orası artık ayrı bir oda.</t>
        </is>
      </c>
      <c r="M912" s="5" t="inlineStr">
        <is>
          <t>collect</t>
        </is>
      </c>
      <c r="N912" s="5" t="inlineStr">
        <is>
          <t>Tek Çorap Avı</t>
        </is>
      </c>
      <c r="O912" s="6" t="inlineStr">
        <is>
          <t>Odaya saçılmış tek çorapları kaybolmadan topla. Eşini bulan yok.</t>
        </is>
      </c>
      <c r="P912" s="6" t="inlineStr">
        <is>
          <t>{"piece": "🧦"}</t>
        </is>
      </c>
      <c r="Q912" s="5" t="inlineStr"/>
      <c r="R912" s="5" t="inlineStr"/>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c r="AI912" s="5" t="inlineStr"/>
      <c r="AJ912" s="5" t="inlineStr"/>
    </row>
    <row r="913">
      <c r="A913" s="5" t="inlineStr">
        <is>
          <t>b8-cocuk-odasi</t>
        </is>
      </c>
      <c r="B913" s="5" t="n">
        <v>3</v>
      </c>
      <c r="C913" s="6" t="inlineStr">
        <is>
          <t>Çocukla pazarlık et</t>
        </is>
      </c>
      <c r="D913" s="5" t="inlineStr">
        <is>
          <t>Çene</t>
        </is>
      </c>
      <c r="E913" s="5" t="inlineStr">
        <is>
          <t>Orta</t>
        </is>
      </c>
      <c r="F913" s="5" t="inlineStr"/>
      <c r="G913" s="6" t="inlineStr"/>
      <c r="H913" s="6" t="inlineStr">
        <is>
          <t>Oda karşılığında bir hafta ek ekran süresi. Sözleşme buzdolabına mıknatısla asıldı.</t>
        </is>
      </c>
      <c r="I913" s="6" t="inlineStr">
        <is>
          <t>Çocuk odasını da, salonu da topladı. Karşılığında ne istediğini hâlâ söylemedi; endişe verici.</t>
        </is>
      </c>
      <c r="J913" s="6" t="inlineStr">
        <is>
          <t>Pazarlığa sen başladın, çocuk bitirdi: oda toplanmayacak ama kapısı kapalı tutulacak. Nasıl olduysa kabul ettin.</t>
        </is>
      </c>
      <c r="K913" s="6" t="inlineStr">
        <is>
          <t>Çocuk telefonunu çıkarıp senin çalışma masanın fotoğrafını gösterdi: üç kirli fincan, kâğıt yığını, bir de kayıp tabağın eşi. Akşam fotoğraf aile grubundaydı; altında tek satır: “Örnek olun.”</t>
        </is>
      </c>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c r="AI913" s="5" t="inlineStr"/>
      <c r="AJ913" s="5" t="inlineStr"/>
    </row>
    <row r="914">
      <c r="A914" s="5" t="inlineStr">
        <is>
          <t>b8-cocuk-odasi</t>
        </is>
      </c>
      <c r="B914" s="5" t="n">
        <v>4</v>
      </c>
      <c r="C914" s="6" t="inlineStr">
        <is>
          <t>Tabağı kediye yükle</t>
        </is>
      </c>
      <c r="D914" s="5" t="inlineStr"/>
      <c r="E914" s="5" t="inlineStr"/>
      <c r="F914" s="5" t="inlineStr">
        <is>
          <t>Pişkinlik +1, Kurnazlık +1</t>
        </is>
      </c>
      <c r="G914" s="6" t="inlineStr">
        <is>
          <t>“Tabağı kedi götürmüş” dedin. Çocuk “Kedimiz yok” dedi. Kırk yıllık aile geleneği yeni kuşağa devredildi.</t>
        </is>
      </c>
      <c r="H914" s="6" t="inlineStr"/>
      <c r="I914" s="6" t="inlineStr"/>
      <c r="J914" s="6" t="inlineStr"/>
      <c r="K914" s="6" t="inlineStr"/>
      <c r="L914" s="6" t="inlineStr"/>
      <c r="M914" s="5" t="inlineStr"/>
      <c r="N914" s="5" t="inlineStr"/>
      <c r="O914" s="6" t="inlineStr"/>
      <c r="P914" s="6" t="inlineStr"/>
      <c r="Q914" s="5" t="inlineStr"/>
      <c r="R914" s="5" t="inlineStr">
        <is>
          <t>kediSuclu</t>
        </is>
      </c>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c r="AI914" s="5" t="inlineStr"/>
      <c r="AJ914" s="5" t="inlineStr"/>
    </row>
    <row r="915">
      <c r="A915" s="5" t="inlineStr">
        <is>
          <t>ms-eski-musteri</t>
        </is>
      </c>
      <c r="B915" s="5" t="n">
        <v>1</v>
      </c>
      <c r="C915" s="6" t="inlineStr">
        <is>
          <t>Görmezden gel</t>
        </is>
      </c>
      <c r="D915" s="5" t="inlineStr"/>
      <c r="E915" s="5" t="inlineStr"/>
      <c r="F915" s="5" t="inlineStr">
        <is>
          <t>Dayanıklılık +1</t>
        </is>
      </c>
      <c r="G915" s="6" t="inlineStr">
        <is>
          <t>Mesajı “görüldü”de bıraktın. On beş yıldır ilk kez bekleten sensin; hiç bu kadar keyifli bir sessizlik olmamıştı.</t>
        </is>
      </c>
      <c r="H915" s="6" t="inlineStr"/>
      <c r="I915" s="6" t="inlineStr"/>
      <c r="J915" s="6" t="inlineStr"/>
      <c r="K915" s="6" t="inlineStr"/>
      <c r="L915" s="6" t="inlineStr"/>
      <c r="M915" s="5" t="inlineStr"/>
      <c r="N915" s="5" t="inlineStr"/>
      <c r="O915" s="6" t="inlineStr"/>
      <c r="P915" s="6" t="inlineStr"/>
      <c r="Q915" s="5" t="inlineStr"/>
      <c r="R915" s="5" t="inlineStr"/>
      <c r="S915" s="5" t="inlineStr"/>
      <c r="T915" s="5" t="inlineStr"/>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c r="AI915" s="5" t="inlineStr"/>
      <c r="AJ915" s="5" t="inlineStr"/>
    </row>
    <row r="916">
      <c r="A916" s="5" t="inlineStr">
        <is>
          <t>ms-eski-musteri</t>
        </is>
      </c>
      <c r="B916" s="5" t="n">
        <v>2</v>
      </c>
      <c r="C916" s="6" t="inlineStr">
        <is>
          <t>Yeni fiyatını söyle</t>
        </is>
      </c>
      <c r="D916" s="5" t="inlineStr">
        <is>
          <t>Çene</t>
        </is>
      </c>
      <c r="E916" s="5" t="inlineStr">
        <is>
          <t>Zor</t>
        </is>
      </c>
      <c r="F916" s="5" t="inlineStr"/>
      <c r="G916" s="6" t="inlineStr"/>
      <c r="H916" s="6" t="inlineStr">
        <is>
          <t>Fiyatını ikiye katladın. Kabul ettiler. Bu kez peşin.</t>
        </is>
      </c>
      <c r="I916" s="6" t="inlineStr">
        <is>
          <t>Yeni fiyatı söyledin, eski faturayı da ekledin. İkisini birden ödediler. Faizsiz ama olsun.</t>
        </is>
      </c>
      <c r="J916" s="6" t="inlineStr">
        <is>
          <t>Fiyatı söyledin; 'Görünürlük sağlarız' dediler. On beş yıl geçmiş, cümle aynı.</t>
        </is>
      </c>
      <c r="K916" s="6" t="inlineStr">
        <is>
          <t>Pazarlıkta öyle geriledin ki indirimi sen yaptın, kahveleri sen ısmarladın. Çıkarken “Sizi yine özleriz” dediler.</t>
        </is>
      </c>
      <c r="L916" s="6" t="inlineStr">
        <is>
          <t>Fiyat biraz yükseldi, peşinat yarım kaldı. Sözleşmeyi bu kez sen yazdın.</t>
        </is>
      </c>
      <c r="M916" s="5" t="inlineStr">
        <is>
          <t>duel</t>
        </is>
      </c>
      <c r="N916" s="5" t="inlineStr">
        <is>
          <t>Özlem Fiyatı</t>
        </is>
      </c>
      <c r="O916" s="6" t="inlineStr">
        <is>
          <t>Karşındakinin sabrı bitmeden en iyi cevabı seç.</t>
        </is>
      </c>
      <c r="P916" s="6" t="inlineStr">
        <is>
          <t>{"who": "Eski müşteri", "item": "yeni proje", "mode": "sell"}</t>
        </is>
      </c>
      <c r="Q916" s="5" t="inlineStr"/>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c r="AI916" s="5" t="inlineStr"/>
      <c r="AJ916" s="5" t="inlineStr"/>
    </row>
    <row r="917">
      <c r="A917" s="5" t="inlineStr">
        <is>
          <t>ms-eski-musteri</t>
        </is>
      </c>
      <c r="B917" s="5" t="n">
        <v>3</v>
      </c>
      <c r="C917" s="6" t="inlineStr">
        <is>
          <t>Eski faturayı faiziyle hatırlat</t>
        </is>
      </c>
      <c r="D917" s="5" t="inlineStr">
        <is>
          <t>Kurnazlık</t>
        </is>
      </c>
      <c r="E917" s="5" t="inlineStr">
        <is>
          <t>Zor</t>
        </is>
      </c>
      <c r="F917" s="5" t="inlineStr"/>
      <c r="G917" s="6" t="inlineStr"/>
      <c r="H917" s="6" t="inlineStr">
        <is>
          <t>Eski faturayı gecikme faiziyle ekledin. Ödendi. On beş yıllık bir onay nihayet verildi.</t>
        </is>
      </c>
      <c r="I917" s="6" t="inlineStr">
        <is>
          <t>Faiz hesabını öyle düzgün yaptın ki muhasebeci 'Bizde çalışır mısınız?' diye sordu.</t>
        </is>
      </c>
      <c r="J917" s="6" t="inlineStr">
        <is>
          <t>Eski fatura bulundu; 'Zaman aşımına uğramış' dediler. Onay bekleyen fatura sonunda emekli oldu.</t>
        </is>
      </c>
      <c r="K917" s="6" t="inlineStr">
        <is>
          <t>Faturayı buldular ve ödediler. Senin eski hesabına. Hesap kapanalı on yıl oldu.</t>
        </is>
      </c>
      <c r="L917" s="6" t="inlineStr"/>
      <c r="M917" s="5" t="inlineStr"/>
      <c r="N917" s="5" t="inlineStr"/>
      <c r="O917" s="6" t="inlineStr"/>
      <c r="P917" s="6" t="inlineStr"/>
      <c r="Q917" s="5" t="inlineStr"/>
      <c r="R917" s="5" t="inlineStr">
        <is>
          <t>serbest-alacakli</t>
        </is>
      </c>
      <c r="S917" s="5" t="inlineStr"/>
      <c r="T917" s="5" t="inlineStr">
        <is>
          <t>Fatura Avcısı</t>
        </is>
      </c>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c r="AI917" s="5" t="inlineStr"/>
      <c r="AJ917" s="5" t="inlineStr"/>
    </row>
    <row r="918">
      <c r="A918" s="5" t="inlineStr">
        <is>
          <t>b8-lise-bulusmasi</t>
        </is>
      </c>
      <c r="B918" s="5" t="n">
        <v>1</v>
      </c>
      <c r="C918" s="6" t="inlineStr">
        <is>
          <t>Herkesle kısa sohbet et</t>
        </is>
      </c>
      <c r="D918" s="5" t="inlineStr"/>
      <c r="E918" s="5" t="inlineStr"/>
      <c r="F918" s="5" t="inlineStr">
        <is>
          <t>Sosyal Radar +1</t>
        </is>
      </c>
      <c r="G918" s="6" t="inlineStr">
        <is>
          <t>Kırk dört kişiyle “Ne yapıyorsun?” sohbeti yaptın, kırk dört kez aynı cevabı verdin: “İşte, koşturuyoruz.” Gece sonunda telefonunda yirmi yeni numara var; hiçbirini aramayacaksın.</t>
        </is>
      </c>
      <c r="H918" s="6" t="inlineStr"/>
      <c r="I918" s="6" t="inlineStr"/>
      <c r="J918" s="6" t="inlineStr"/>
      <c r="K918" s="6" t="inlineStr"/>
      <c r="L918" s="6" t="inlineStr"/>
      <c r="M918" s="5" t="inlineStr"/>
      <c r="N918" s="5" t="inlineStr"/>
      <c r="O918" s="6" t="inlineStr"/>
      <c r="P918" s="6" t="inlineStr"/>
      <c r="Q918" s="5" t="inlineStr"/>
      <c r="R918" s="5" t="inlineStr"/>
      <c r="S918" s="5" t="inlineStr"/>
      <c r="T918" s="5" t="inlineStr"/>
      <c r="U918" s="5" t="inlineStr"/>
      <c r="V918" s="5" t="inlineStr"/>
      <c r="W918" s="5" t="inlineStr"/>
      <c r="X918" s="5" t="inlineStr"/>
      <c r="Y918" s="5" t="inlineStr"/>
      <c r="Z918" s="6" t="inlineStr"/>
      <c r="AA918" s="5" t="inlineStr"/>
      <c r="AB918" s="5" t="inlineStr"/>
      <c r="AC918" s="5" t="inlineStr"/>
      <c r="AD918" s="5" t="inlineStr"/>
      <c r="AE918" s="5" t="inlineStr"/>
      <c r="AF918" s="5" t="inlineStr"/>
      <c r="AG918" s="5" t="inlineStr"/>
      <c r="AH918" s="5" t="inlineStr"/>
      <c r="AI918" s="5" t="inlineStr"/>
      <c r="AJ918" s="5" t="inlineStr"/>
    </row>
    <row r="919">
      <c r="A919" s="5" t="inlineStr">
        <is>
          <t>b8-lise-bulusmasi</t>
        </is>
      </c>
      <c r="B919" s="5" t="n">
        <v>2</v>
      </c>
      <c r="C919" s="6" t="inlineStr">
        <is>
          <t>Kürsüye çık, anı konuşması yap</t>
        </is>
      </c>
      <c r="D919" s="5" t="inlineStr">
        <is>
          <t>Pişkinlik</t>
        </is>
      </c>
      <c r="E919" s="5" t="inlineStr">
        <is>
          <t>Orta</t>
        </is>
      </c>
      <c r="F919" s="5" t="inlineStr"/>
      <c r="G919" s="6" t="inlineStr"/>
      <c r="H919" s="6" t="inlineStr">
        <is>
          <t>Edebiyat öğretmenini, kantinciyi ve ilk zayıf karneni anlattın. Salon güldü; en arka masada biri gülerken ağladı, kimse yadırgamadı.</t>
        </is>
      </c>
      <c r="I919" s="6" t="inlineStr">
        <is>
          <t>Konuşmanın sonunda herkes ayağa kalktı ve okul marşını söyledi. Sözleri kimse hatırlamıyordu; ezgi yetti.</t>
        </is>
      </c>
      <c r="J919" s="6" t="inlineStr">
        <is>
          <t>Konuşmaya başladın; mikrofon arkadan gelen şarkıyla yarıştı. Şarkı kazandı.</t>
        </is>
      </c>
      <c r="K919" s="6" t="inlineStr">
        <is>
          <t>Eski kimya öğretmenini taklit ettin: gözlük burnun ucunda, “Arka sıra, ben sizi görüyorum!” Salon kırıldı. Sonra öğretmen en ön masadan kalktı, gözlüğünü indirdi: “Arka sıra, ben seni hâlâ görüyorum.” Salon bu kez ona güldü.</t>
        </is>
      </c>
      <c r="L919" s="6" t="inlineStr"/>
      <c r="M919" s="5" t="inlineStr"/>
      <c r="N919" s="5" t="inlineStr"/>
      <c r="O919" s="6" t="inlineStr"/>
      <c r="P919" s="6" t="inlineStr"/>
      <c r="Q919" s="5" t="inlineStr"/>
      <c r="R919" s="5" t="inlineStr"/>
      <c r="S919" s="5" t="inlineStr"/>
      <c r="T919" s="5" t="inlineStr"/>
      <c r="U919" s="5" t="inlineStr"/>
      <c r="V919" s="5" t="inlineStr"/>
      <c r="W919" s="5" t="inlineStr"/>
      <c r="X919" s="5" t="inlineStr"/>
      <c r="Y919" s="5" t="inlineStr"/>
      <c r="Z919" s="6" t="inlineStr"/>
      <c r="AA919" s="5" t="inlineStr"/>
      <c r="AB919" s="5" t="inlineStr"/>
      <c r="AC919" s="5" t="inlineStr"/>
      <c r="AD919" s="5" t="inlineStr"/>
      <c r="AE919" s="5" t="inlineStr"/>
      <c r="AF919" s="5" t="inlineStr"/>
      <c r="AG919" s="5" t="inlineStr"/>
      <c r="AH919" s="5" t="inlineStr"/>
      <c r="AI919" s="5" t="inlineStr"/>
      <c r="AJ919" s="5" t="inlineStr"/>
    </row>
    <row r="920">
      <c r="A920" s="5" t="inlineStr">
        <is>
          <t>b8-lise-bulusmasi</t>
        </is>
      </c>
      <c r="B920" s="5" t="n">
        <v>3</v>
      </c>
      <c r="C920" s="6" t="inlineStr">
        <is>
          <t>Kim kiminle, tahmin et</t>
        </is>
      </c>
      <c r="D920" s="5" t="inlineStr">
        <is>
          <t>Sosyal Radar</t>
        </is>
      </c>
      <c r="E920" s="5" t="inlineStr">
        <is>
          <t>Kolay</t>
        </is>
      </c>
      <c r="F920" s="5" t="inlineStr"/>
      <c r="G920" s="6" t="inlineStr"/>
      <c r="H920" s="6" t="inlineStr">
        <is>
          <t>Gece bitmeden kimin boşandığını, kimin Öte Diyar'a gittiğini, kimin hâlâ aynı sevgiliyle olduğunu biliyordun. Ertesi gün üç kişi seni aradı: “Sen bilirsin, o şimdi ne yapıyor?”</t>
        </is>
      </c>
      <c r="I920" s="6" t="inlineStr">
        <is>
          <t>Tahminlerin o kadar tuttu ki otuz beşinci yılı düzenleme işi sana kaldı. Mezunlar grubunun yöneticisi artık sensin; gece ikide gelen “Kim geliyor?” mesajları da sana.</t>
        </is>
      </c>
      <c r="J920" s="6" t="inlineStr">
        <is>
          <t>Analizinde bir boşanmayı evlilik sandın. Tebrik ettin.</t>
        </is>
      </c>
      <c r="K920" s="6" t="inlineStr">
        <is>
          <t>Analizini yüksek sesle yaptın. Masanın öbür ucu seni duydu; eski sevgililer bu kez birlikte baktı.</t>
        </is>
      </c>
      <c r="L920" s="6" t="inlineStr"/>
      <c r="M920" s="5" t="inlineStr"/>
      <c r="N920" s="5" t="inlineStr"/>
      <c r="O920" s="6" t="inlineStr"/>
      <c r="P920" s="6" t="inlineStr"/>
      <c r="Q920" s="5" t="inlineStr"/>
      <c r="R920" s="5" t="inlineStr"/>
      <c r="S920" s="5" t="inlineStr">
        <is>
          <t>Sosyal Radar</t>
        </is>
      </c>
      <c r="T920" s="5" t="inlineStr"/>
      <c r="U920" s="5" t="inlineStr"/>
      <c r="V920" s="5" t="inlineStr"/>
      <c r="W920" s="5" t="inlineStr"/>
      <c r="X920" s="5" t="inlineStr"/>
      <c r="Y920" s="5" t="inlineStr"/>
      <c r="Z920" s="6" t="inlineStr"/>
      <c r="AA920" s="5" t="inlineStr"/>
      <c r="AB920" s="5" t="inlineStr"/>
      <c r="AC920" s="5" t="inlineStr"/>
      <c r="AD920" s="5" t="inlineStr"/>
      <c r="AE920" s="5" t="inlineStr"/>
      <c r="AF920" s="5" t="inlineStr"/>
      <c r="AG920" s="5" t="inlineStr"/>
      <c r="AH920" s="5" t="inlineStr"/>
      <c r="AI920" s="5" t="inlineStr"/>
      <c r="AJ920" s="5" t="inlineStr"/>
    </row>
    <row r="921">
      <c r="A921" s="5" t="inlineStr">
        <is>
          <t>b8-lise-bulusmasi</t>
        </is>
      </c>
      <c r="B921" s="5" t="n">
        <v>4</v>
      </c>
      <c r="C921" s="6" t="inlineStr">
        <is>
          <t>O eski videoyu canlandır</t>
        </is>
      </c>
      <c r="D921" s="5" t="inlineStr">
        <is>
          <t>Pişkinlik</t>
        </is>
      </c>
      <c r="E921" s="5" t="inlineStr">
        <is>
          <t>Kolay</t>
        </is>
      </c>
      <c r="F921" s="5" t="inlineStr"/>
      <c r="G921" s="6" t="inlineStr"/>
      <c r="H921" s="6" t="inlineStr">
        <is>
          <t>Hareketi yaptın. Salon çıldırdı; otuz yıl bir anda sıfırlandı.</t>
        </is>
      </c>
      <c r="I921" s="6" t="inlineStr">
        <is>
          <t>Herkes seninle birlikte yaptı: kırk kişi, aynı hareket, kırk ayrı bel ağrısı. Video ikinci kez yayıldı; bu kez çocuklarınız da paylaştı, utanarak.</t>
        </is>
      </c>
      <c r="J921" s="6" t="inlineStr">
        <is>
          <t>Hareketi yaptın; belin artık o hareketi yapmıyor. Yarıda kaldı.</t>
        </is>
      </c>
      <c r="K921" s="6" t="inlineStr">
        <is>
          <t>Hareketi yaptın; kimse hatırlamadı. Yeni video: 'Orta yaşlı biri tek başına dans ediyor.'</t>
        </is>
      </c>
      <c r="L921" s="6" t="inlineStr"/>
      <c r="M921" s="5" t="inlineStr"/>
      <c r="N921" s="5" t="inlineStr"/>
      <c r="O921" s="6" t="inlineStr"/>
      <c r="P921" s="6" t="inlineStr"/>
      <c r="Q921" s="5" t="inlineStr"/>
      <c r="R921" s="5" t="inlineStr">
        <is>
          <t>fenomen</t>
        </is>
      </c>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c r="AI921" s="5" t="inlineStr"/>
      <c r="AJ921" s="5" t="inlineStr"/>
    </row>
    <row r="922">
      <c r="A922" s="5" t="inlineStr">
        <is>
          <t>b8-sahte-haber</t>
        </is>
      </c>
      <c r="B922" s="5" t="n">
        <v>1</v>
      </c>
      <c r="C922" s="6" t="inlineStr">
        <is>
          <t>Görmezden gel</t>
        </is>
      </c>
      <c r="D922" s="5" t="inlineStr"/>
      <c r="E922" s="5" t="inlineStr"/>
      <c r="F922" s="5" t="inlineStr">
        <is>
          <t>Dayanıklılık +1</t>
        </is>
      </c>
      <c r="G922" s="6" t="inlineStr">
        <is>
          <t>Saat 15.00'te telefonun patlamadı. Sadece annen dört kez aradı: 'Sen kapatmadın mı?'</t>
        </is>
      </c>
      <c r="H922" s="6" t="inlineStr"/>
      <c r="I922" s="6" t="inlineStr"/>
      <c r="J922" s="6" t="inlineStr"/>
      <c r="K922" s="6" t="inlineStr"/>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c r="AI922" s="5" t="inlineStr"/>
      <c r="AJ922" s="5" t="inlineStr"/>
    </row>
    <row r="923">
      <c r="A923" s="5" t="inlineStr">
        <is>
          <t>b8-sahte-haber</t>
        </is>
      </c>
      <c r="B923" s="5" t="n">
        <v>2</v>
      </c>
      <c r="C923" s="6" t="inlineStr">
        <is>
          <t>Yalanlama bağlantısı gönder</t>
        </is>
      </c>
      <c r="D923" s="5" t="inlineStr">
        <is>
          <t>Akıl</t>
        </is>
      </c>
      <c r="E923" s="5" t="inlineStr">
        <is>
          <t>Orta</t>
        </is>
      </c>
      <c r="F923" s="5" t="inlineStr"/>
      <c r="G923" s="6" t="inlineStr"/>
      <c r="H923" s="6" t="inlineStr">
        <is>
          <t>Amca “Olsun, tedbir” dedi ve telefonunu yine de kapattı. 15.01'de açıp gruba yazdı: “Gördünüz mü, bir şey olmadı. Çünkü kapattık.”</t>
        </is>
      </c>
      <c r="I923" s="6" t="inlineStr">
        <is>
          <t>Amca özür diledi: “Bir daha iletmem.” İki gün sonra gruba yeni bir mesaj düştü: “Bunu iletmiyorum, sadece söylüyorum.”</t>
        </is>
      </c>
      <c r="J923" s="6" t="inlineStr">
        <is>
          <t>Bağlantını kimse açmadı. Halan sordu: “Bunda virüs var mı?” Amcan cevap verdi: “Açmayın, yeğenim bu ara tuhaf.”</t>
        </is>
      </c>
      <c r="K923" s="6" t="inlineStr">
        <is>
          <t>Amcan grupta anket açtı: “Kim haklı?” Amcaya dört oy, sana bir; o da seninki. Annen oy vermedi, sadece altına yazdı: “Tedbirin zararı yok evladım.”</t>
        </is>
      </c>
      <c r="L923" s="6" t="inlineStr">
        <is>
          <t>Üç haberden ikisini yalanladın. Amca üçüncüsüne sarıldı: “Bari bunu bırak.”</t>
        </is>
      </c>
      <c r="M923" s="5" t="inlineStr">
        <is>
          <t>diff</t>
        </is>
      </c>
      <c r="N923" s="5" t="inlineStr">
        <is>
          <t>Sahte Haber Farkı</t>
        </is>
      </c>
      <c r="O923" s="6" t="inlineStr">
        <is>
          <t>İki haber panosu aynı olmalı: oynanmış kareleri bul.</t>
        </is>
      </c>
      <c r="P923" s="6" t="inlineStr">
        <is>
          <t>{"set": ["📰", "📢", "📺", "📱", "🗞️"]}</t>
        </is>
      </c>
      <c r="Q923" s="5" t="inlineStr"/>
      <c r="R923" s="5" t="inlineStr"/>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c r="AI923" s="5" t="inlineStr"/>
      <c r="AJ923" s="5" t="inlineStr"/>
    </row>
    <row r="924">
      <c r="A924" s="5" t="inlineStr">
        <is>
          <t>b8-sahte-haber</t>
        </is>
      </c>
      <c r="B924" s="5" t="n">
        <v>3</v>
      </c>
      <c r="C924" s="6" t="inlineStr">
        <is>
          <t>Amcayı özelden ara</t>
        </is>
      </c>
      <c r="D924" s="5" t="inlineStr">
        <is>
          <t>Sosyal Radar</t>
        </is>
      </c>
      <c r="E924" s="5" t="inlineStr">
        <is>
          <t>Zor</t>
        </is>
      </c>
      <c r="F924" s="5" t="inlineStr"/>
      <c r="G924" s="6" t="inlineStr"/>
      <c r="H924" s="6" t="inlineStr">
        <is>
          <t>Haberi değil, hâlini sordun; meğer kimse sormuyormuş. Haberler azaldı. Artık gruba bahçesindeki domatesin fotoğrafını atıyor.</t>
        </is>
      </c>
      <c r="I924" s="6" t="inlineStr">
        <is>
          <t>Yarım saat konuştunuz; haberden değil, dizinden, eski bayramlardan. Kapatırken sesi değişmişti: “Arada sen de ara.” O hafta gruba tek bir mesaj düştü, amcandan: “Yeğenim aradı.”</t>
        </is>
      </c>
      <c r="J924" s="6" t="inlineStr">
        <is>
          <t>Amca sana üç haber daha anlattı. Bu kez sesli.</t>
        </is>
      </c>
      <c r="K924" s="6" t="inlineStr">
        <is>
          <t>Amcayı aradın; telefonu hoparlöre almış, yanında yengen ve iki komşu. “Bakın, bu da yalan diyor” dedi; dördü birden seni ikna etmeye başladı. Bir saat sonra telefonunu kapattın; saat 15.00'i beklemeden.</t>
        </is>
      </c>
      <c r="L924" s="6" t="inlineStr"/>
      <c r="M924" s="5" t="inlineStr"/>
      <c r="N924" s="5" t="inlineStr"/>
      <c r="O924" s="6" t="inlineStr"/>
      <c r="P924" s="6" t="inlineStr"/>
      <c r="Q924" s="5" t="inlineStr"/>
      <c r="R924" s="5" t="inlineStr"/>
      <c r="S924" s="5" t="inlineStr"/>
      <c r="T924" s="5" t="inlineStr">
        <is>
          <t>Aile Grubu Moderatörü</t>
        </is>
      </c>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c r="AI924" s="5" t="inlineStr"/>
      <c r="AJ924" s="5" t="inlineStr"/>
    </row>
    <row r="925">
      <c r="A925" s="5" t="inlineStr">
        <is>
          <t>b8-sahte-haber</t>
        </is>
      </c>
      <c r="B925" s="5" t="n">
        <v>4</v>
      </c>
      <c r="C925" s="6" t="inlineStr">
        <is>
          <t>Daha absürt bir haberle karşılık ver</t>
        </is>
      </c>
      <c r="D925" s="5" t="inlineStr">
        <is>
          <t>Pişkinlik</t>
        </is>
      </c>
      <c r="E925" s="5" t="inlineStr">
        <is>
          <t>Orta</t>
        </is>
      </c>
      <c r="F925" s="5" t="inlineStr"/>
      <c r="G925" s="6" t="inlineStr"/>
      <c r="H925" s="6" t="inlineStr">
        <is>
          <t>'Yarın yerçekimi yarım saat kapanıyor' yazdın. Grup güldü; amca da güldü, sonra 'Doğru mu?' diye sordu.</t>
        </is>
      </c>
      <c r="I925" s="6" t="inlineStr">
        <is>
          <t>Grup kahkahaya boğuldu; amca ilk kez bir haberin altına gülen surat koydu. Ertesi sabah gruba haber değil, yalnızca “Günaydın” yazdı.</t>
        </is>
      </c>
      <c r="J925" s="6" t="inlineStr">
        <is>
          <t>Haberin fazla inandırıcı bulundu. Halan pencereleri kapattı.</t>
        </is>
      </c>
      <c r="K925" s="6" t="inlineStr">
        <is>
          <t>Haberin başka gruplara sıçradı. Üç gün sonra amcan aynı haberi sana iletti: “Bunu bir mühendis yazmış, dikkat et.”</t>
        </is>
      </c>
      <c r="L925" s="6" t="inlineStr"/>
      <c r="M925" s="5" t="inlineStr"/>
      <c r="N925" s="5" t="inlineStr"/>
      <c r="O925" s="6" t="inlineStr"/>
      <c r="P925" s="6" t="inlineStr"/>
      <c r="Q925" s="5" t="inlineStr">
        <is>
          <t>Yüzü Kızarmaz</t>
        </is>
      </c>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c r="AI925" s="5" t="inlineStr"/>
      <c r="AJ925" s="5" t="inlineStr"/>
    </row>
    <row r="926">
      <c r="A926" s="5" t="inlineStr">
        <is>
          <t>mb-asansorde-genel-mudur</t>
        </is>
      </c>
      <c r="B926" s="5" t="n">
        <v>1</v>
      </c>
      <c r="C926" s="6" t="inlineStr">
        <is>
          <t>Hava durumundan bahset</t>
        </is>
      </c>
      <c r="D926" s="5" t="inlineStr"/>
      <c r="E926" s="5" t="inlineStr"/>
      <c r="F926" s="5" t="inlineStr">
        <is>
          <t>Dayanıklılık +1</t>
        </is>
      </c>
      <c r="G926" s="6" t="inlineStr">
        <is>
          <t>Kırk dakika hava durumu konuştunuz. Çıkarken genel müdür 'Güzel sohbetti. Adın neydi?' dedi.</t>
        </is>
      </c>
      <c r="H926" s="6" t="inlineStr"/>
      <c r="I926" s="6" t="inlineStr"/>
      <c r="J926" s="6" t="inlineStr"/>
      <c r="K926" s="6" t="inlineStr"/>
      <c r="L926" s="6" t="inlineStr"/>
      <c r="M926" s="5" t="inlineStr"/>
      <c r="N926" s="5" t="inlineStr"/>
      <c r="O926" s="6" t="inlineStr"/>
      <c r="P926" s="6" t="inlineStr"/>
      <c r="Q926" s="5" t="inlineStr"/>
      <c r="R926" s="5" t="inlineStr"/>
      <c r="S926" s="5" t="inlineStr"/>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c r="AI926" s="5" t="inlineStr"/>
      <c r="AJ926" s="5" t="inlineStr"/>
    </row>
    <row r="927">
      <c r="A927" s="5" t="inlineStr">
        <is>
          <t>mb-asansorde-genel-mudur</t>
        </is>
      </c>
      <c r="B927" s="5" t="n">
        <v>2</v>
      </c>
      <c r="C927" s="6" t="inlineStr">
        <is>
          <t>Projeni anlat</t>
        </is>
      </c>
      <c r="D927" s="5" t="inlineStr">
        <is>
          <t>Cesaret</t>
        </is>
      </c>
      <c r="E927" s="5" t="inlineStr">
        <is>
          <t>Zor</t>
        </is>
      </c>
      <c r="F927" s="5" t="inlineStr"/>
      <c r="G927" s="6" t="inlineStr"/>
      <c r="H927" s="6" t="inlineStr">
        <is>
          <t>Projeni kırk dakikada üç kez anlattın; üçüncüsünde genel müdür telefonuna not aldı. Kapı açıldığında projenin bütçesi vardı, senin de terden sırılsıklam bir gömleğin.</t>
        </is>
      </c>
      <c r="I927" s="6" t="inlineStr">
        <is>
          <t>Kapı açılınca genel müdür teknisyene değil sana döndü: “Devam edelim, yukarı gel.” Bir ay sonra masan yirmi üçüncü kattaydı. Asansöre hâlâ binmiyorsun; merdivenden çıkıyorsun.</t>
        </is>
      </c>
      <c r="J927" s="6" t="inlineStr">
        <is>
          <t>Anlattın; genel müdür kırk dakika boyunca telefonunun çekip çekmediğine baktı.</t>
        </is>
      </c>
      <c r="K927" s="6" t="inlineStr">
        <is>
          <t>Projeni anlatırken eski bir projeyi yerden yere vurdun. O projeyi başlatan oydu. Daha otuz sekiz dakika vardı.</t>
        </is>
      </c>
      <c r="L927" s="6" t="inlineStr"/>
      <c r="M927" s="5" t="inlineStr"/>
      <c r="N927" s="5" t="inlineStr"/>
      <c r="O927" s="6" t="inlineStr"/>
      <c r="P927" s="6" t="inlineStr"/>
      <c r="Q927" s="5" t="inlineStr"/>
      <c r="R927" s="5" t="inlineStr"/>
      <c r="S927" s="5" t="inlineStr"/>
      <c r="T927" s="5" t="inlineStr"/>
      <c r="U927" s="5" t="inlineStr"/>
      <c r="V927" s="5" t="inlineStr">
        <is>
          <t>beyazyaka-gm-tanidik</t>
        </is>
      </c>
      <c r="W927" s="5" t="inlineStr"/>
      <c r="X927" s="5" t="inlineStr"/>
      <c r="Y927" s="5" t="inlineStr"/>
      <c r="Z927" s="6" t="inlineStr"/>
      <c r="AA927" s="5" t="inlineStr"/>
      <c r="AB927" s="5" t="inlineStr"/>
      <c r="AC927" s="5" t="inlineStr"/>
      <c r="AD927" s="5" t="inlineStr"/>
      <c r="AE927" s="5" t="inlineStr"/>
      <c r="AF927" s="5" t="inlineStr"/>
      <c r="AG927" s="5" t="inlineStr"/>
      <c r="AH927" s="5" t="inlineStr"/>
      <c r="AI927" s="5" t="inlineStr"/>
      <c r="AJ927" s="5" t="inlineStr"/>
    </row>
    <row r="928">
      <c r="A928" s="5" t="inlineStr">
        <is>
          <t>mb-asansorde-genel-mudur</t>
        </is>
      </c>
      <c r="B928" s="5" t="n">
        <v>3</v>
      </c>
      <c r="C928" s="6" t="inlineStr">
        <is>
          <t>Balıkçılıktan aç</t>
        </is>
      </c>
      <c r="D928" s="5" t="inlineStr">
        <is>
          <t>Sosyal Radar</t>
        </is>
      </c>
      <c r="E928" s="5" t="inlineStr">
        <is>
          <t>Kolay</t>
        </is>
      </c>
      <c r="F928" s="5" t="inlineStr"/>
      <c r="G928" s="6" t="inlineStr"/>
      <c r="H928" s="6" t="inlineStr">
        <is>
          <t>Kırk dakika olta konuştunuz. Hafta sonu göle davet edildin.</t>
        </is>
      </c>
      <c r="I928" s="6" t="inlineStr">
        <is>
          <t>Göle davet edildin. Üç saatte o dört balık tuttu, sen yalnızca üşüdün. Ertesi ay bir birimin başına getirildin; masanda çerçeveli bir fotoğraf var: ikiniz ve onun balığı.</t>
        </is>
      </c>
      <c r="J928" s="6" t="inlineStr">
        <is>
          <t>Balıktan açtın; genel müdür denizci çıktı. Göl lafı hakaret sayıldı.</t>
        </is>
      </c>
      <c r="K928" s="6" t="inlineStr">
        <is>
          <t>Balıktan açtın; genel müdür “Balık tuttuğumu nereden biliyorsun?” dedi. Çantasına baktığını itiraf ettin. Kalan otuz beş dakika boyunca çantasını göğsüne bastırarak durdu.</t>
        </is>
      </c>
      <c r="L928" s="6" t="inlineStr"/>
      <c r="M928" s="5" t="inlineStr"/>
      <c r="N928" s="5" t="inlineStr"/>
      <c r="O928" s="6" t="inlineStr"/>
      <c r="P928" s="6" t="inlineStr"/>
      <c r="Q928" s="5" t="inlineStr"/>
      <c r="R928" s="5" t="inlineStr"/>
      <c r="S928" s="5" t="inlineStr">
        <is>
          <t>Sosyal Radar</t>
        </is>
      </c>
      <c r="T928" s="5" t="inlineStr"/>
      <c r="U928" s="5" t="inlineStr"/>
      <c r="V928" s="5" t="inlineStr">
        <is>
          <t>beyazyaka-gm-tanidik</t>
        </is>
      </c>
      <c r="W928" s="5" t="inlineStr"/>
      <c r="X928" s="5" t="inlineStr"/>
      <c r="Y928" s="5" t="inlineStr"/>
      <c r="Z928" s="6" t="inlineStr"/>
      <c r="AA928" s="5" t="inlineStr"/>
      <c r="AB928" s="5" t="inlineStr"/>
      <c r="AC928" s="5" t="inlineStr"/>
      <c r="AD928" s="5" t="inlineStr"/>
      <c r="AE928" s="5" t="inlineStr"/>
      <c r="AF928" s="5" t="inlineStr"/>
      <c r="AG928" s="5" t="inlineStr"/>
      <c r="AH928" s="5" t="inlineStr"/>
      <c r="AI928" s="5" t="inlineStr"/>
      <c r="AJ928" s="5" t="inlineStr"/>
    </row>
    <row r="929">
      <c r="A929" s="5" t="inlineStr">
        <is>
          <t>mb-asansorde-genel-mudur</t>
        </is>
      </c>
      <c r="B929" s="5" t="n">
        <v>4</v>
      </c>
      <c r="C929" s="6" t="inlineStr">
        <is>
          <t>Tavan kapağından çıkmayı dene</t>
        </is>
      </c>
      <c r="D929" s="5" t="inlineStr">
        <is>
          <t>Cesaret</t>
        </is>
      </c>
      <c r="E929" s="5" t="inlineStr">
        <is>
          <t>Zor</t>
        </is>
      </c>
      <c r="F929" s="5" t="inlineStr"/>
      <c r="G929" s="6" t="inlineStr"/>
      <c r="H929" s="6" t="inlineStr">
        <is>
          <t>Kapağı açıp kafanı çıkardın, teknisyene bağırdın: “Yirmi üçteyiz!” Teknisyen “Biliyorum” dedi. Ertesi gün genel müdür seni toplantıda herkese gösterdi: “Bu arkadaş tavandan çıktı.”</t>
        </is>
      </c>
      <c r="I929" s="6" t="inlineStr">
        <is>
          <t>Genel müdürü tavandan çıkardın. Şirket bülteninde kapak oldun: 'Liderlik yukarıdan başlar.'</t>
        </is>
      </c>
      <c r="J929" s="6" t="inlineStr">
        <is>
          <t>Kapağa uzandın, açamadın; pantolonunun dikişi açıldı. Genel müdür kalan otuz dakika boyunca nazikçe tavana baktı.</t>
        </is>
      </c>
      <c r="K929" s="6" t="inlineStr">
        <is>
          <t>Tavan kapağından yarıya kadar çıktın, kalçadan takıldın. Bacakların otuz beş dakika asansörün içinde sallandı; genel müdür onlara bakmamaya çalıştı. Teknisyen önce seni çıkardı. Ertesi sabah kantinde biri seslendi: “Avize, çayın soğuyor!”</t>
        </is>
      </c>
      <c r="L929" s="6" t="inlineStr"/>
      <c r="M929" s="5" t="inlineStr"/>
      <c r="N929" s="5" t="inlineStr"/>
      <c r="O929" s="6" t="inlineStr"/>
      <c r="P929" s="6" t="inlineStr"/>
      <c r="Q929" s="5" t="inlineStr"/>
      <c r="R929" s="5" t="inlineStr"/>
      <c r="S929" s="5" t="inlineStr"/>
      <c r="T929" s="5" t="inlineStr"/>
      <c r="U929" s="5" t="inlineStr"/>
      <c r="V929" s="5" t="inlineStr">
        <is>
          <t>beyazyaka-gm-tanidik</t>
        </is>
      </c>
      <c r="W929" s="5" t="inlineStr"/>
      <c r="X929" s="5" t="inlineStr"/>
      <c r="Y929" s="5" t="n">
        <v>2</v>
      </c>
      <c r="Z929" s="6" t="inlineStr">
        <is>
          <t>Arızalı plaza asansörünün tavan kapağından genel müdürü kurtarmaya çalışırken. Asansör tam o sırada düzeldi.</t>
        </is>
      </c>
      <c r="AA929" s="5" t="inlineStr"/>
      <c r="AB929" s="5" t="inlineStr"/>
      <c r="AC929" s="5" t="inlineStr"/>
      <c r="AD929" s="5" t="inlineStr"/>
      <c r="AE929" s="5" t="inlineStr"/>
      <c r="AF929" s="5" t="inlineStr"/>
      <c r="AG929" s="5" t="inlineStr"/>
      <c r="AH929" s="5" t="inlineStr"/>
      <c r="AI929" s="5" t="inlineStr">
        <is>
          <t>Avize</t>
        </is>
      </c>
      <c r="AJ929" s="5" t="inlineStr"/>
    </row>
    <row r="930">
      <c r="A930" s="5" t="inlineStr">
        <is>
          <t>me-tek-yildiz</t>
        </is>
      </c>
      <c r="B930" s="5" t="n">
        <v>1</v>
      </c>
      <c r="C930" s="6" t="inlineStr">
        <is>
          <t>Kibar bir cevap yaz</t>
        </is>
      </c>
      <c r="D930" s="5" t="inlineStr"/>
      <c r="E930" s="5" t="inlineStr"/>
      <c r="F930" s="5" t="inlineStr">
        <is>
          <t>İtibar +1, Çene +1</t>
        </is>
      </c>
      <c r="G930" s="6" t="inlineStr">
        <is>
          <t>“Değerli yorumunuz için teşekkürler, gündüz de bekleriz; çayımız demli” yazdın. Cevabın yorumdan fazla beğeni aldı; birini karşı dükkân yapmış.</t>
        </is>
      </c>
      <c r="H930" s="6" t="inlineStr"/>
      <c r="I930" s="6" t="inlineStr"/>
      <c r="J930" s="6" t="inlineStr"/>
      <c r="K930" s="6" t="inlineStr"/>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c r="AI930" s="5" t="inlineStr"/>
      <c r="AJ930" s="5" t="inlineStr"/>
    </row>
    <row r="931">
      <c r="A931" s="5" t="inlineStr">
        <is>
          <t>me-tek-yildiz</t>
        </is>
      </c>
      <c r="B931" s="5" t="n">
        <v>2</v>
      </c>
      <c r="C931" s="6" t="inlineStr">
        <is>
          <t>Müşteriyi bul, gönlünü al</t>
        </is>
      </c>
      <c r="D931" s="5" t="inlineStr">
        <is>
          <t>Sosyal Radar</t>
        </is>
      </c>
      <c r="E931" s="5" t="inlineStr">
        <is>
          <t>Orta</t>
        </is>
      </c>
      <c r="F931" s="5" t="inlineStr"/>
      <c r="G931" s="6" t="inlineStr"/>
      <c r="H931" s="6" t="inlineStr">
        <is>
          <t>Yorumcuyu buldun: gece vardiyasından dönen bir hemşire, o saatte açık dükkân arıyormuş. Ertesi gün çay, simit, bir de kolonya ikram ettin. Yıldız beşe çıktı, altına bir satır eklendi: “Gündüz gelin, değer.”</t>
        </is>
      </c>
      <c r="I931" s="6" t="inlineStr">
        <is>
          <t>Yorum 'Hayatımın esnafı' olarak güncellendi. Fotoğraf da eklendi; ikinizin.</t>
        </is>
      </c>
      <c r="J931" s="6" t="inlineStr">
        <is>
          <t>Bulduğun kişi yanlış kişiymiş. Şimdi iki kişi seni güler yüzsüz buluyor.</t>
        </is>
      </c>
      <c r="K931" s="6" t="inlineStr">
        <is>
          <t>Gönlünü almaya gittin, fazla gülümsedin. Yeni yorum: 'Esnaf ürkütücü derecede güler yüzlü.'</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inlineStr"/>
      <c r="Z931" s="6" t="inlineStr"/>
      <c r="AA931" s="5" t="inlineStr"/>
      <c r="AB931" s="5" t="inlineStr"/>
      <c r="AC931" s="5" t="inlineStr"/>
      <c r="AD931" s="5" t="inlineStr"/>
      <c r="AE931" s="5" t="inlineStr"/>
      <c r="AF931" s="5" t="inlineStr"/>
      <c r="AG931" s="5" t="inlineStr"/>
      <c r="AH931" s="5" t="inlineStr"/>
      <c r="AI931" s="5" t="inlineStr"/>
      <c r="AJ931" s="5" t="inlineStr"/>
    </row>
    <row r="932">
      <c r="A932" s="5" t="inlineStr">
        <is>
          <t>me-tek-yildiz</t>
        </is>
      </c>
      <c r="B932" s="5" t="n">
        <v>3</v>
      </c>
      <c r="C932" s="6" t="inlineStr">
        <is>
          <t>Karşı dükkâna yorum yaz</t>
        </is>
      </c>
      <c r="D932" s="5" t="inlineStr">
        <is>
          <t>Kurnazlık</t>
        </is>
      </c>
      <c r="E932" s="5" t="inlineStr">
        <is>
          <t>Zor</t>
        </is>
      </c>
      <c r="F932" s="5" t="inlineStr"/>
      <c r="G932" s="6" t="inlineStr"/>
      <c r="H932" s="6" t="inlineStr">
        <is>
          <t>Karşıya dört yıldız verdin: “Ürünler güzel, esnaf güler yüzlü. Karşıdaki kadar değil ama.” Ertesi sabah karşının sahibi kapıda sana gülümsedi; dişlerini sıkarak.</t>
        </is>
      </c>
      <c r="I932" s="6" t="inlineStr">
        <is>
          <t>Yorumun o kadar dengeli oldu ki karşı dükkân onu vitrinine astı. Vitrinlerinde senin reklamın duruyor.</t>
        </is>
      </c>
      <c r="J932" s="6" t="inlineStr">
        <is>
          <t>Yorumu yazdın; profil fotoğrafında kendi kasan görünüyordu.</t>
        </is>
      </c>
      <c r="K932" s="6" t="inlineStr">
        <is>
          <t>Yorumu yanlış dükkâna yazdın: kendine. Tek yıldız. Artık iki tane.</t>
        </is>
      </c>
      <c r="L932" s="6" t="inlineStr"/>
      <c r="M932" s="5" t="inlineStr"/>
      <c r="N932" s="5" t="inlineStr"/>
      <c r="O932" s="6" t="inlineStr"/>
      <c r="P932" s="6" t="inlineStr"/>
      <c r="Q932" s="5" t="inlineStr"/>
      <c r="R932" s="5" t="inlineStr">
        <is>
          <t>esnaf-komsu-rakip</t>
        </is>
      </c>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c r="AI932" s="5" t="inlineStr"/>
      <c r="AJ932" s="5" t="inlineStr"/>
    </row>
    <row r="933">
      <c r="A933" s="5" t="inlineStr">
        <is>
          <t>me-tek-yildiz</t>
        </is>
      </c>
      <c r="B933" s="5" t="n">
        <v>4</v>
      </c>
      <c r="C933" s="6" t="inlineStr">
        <is>
          <t>Görmezden gel</t>
        </is>
      </c>
      <c r="D933" s="5" t="inlineStr"/>
      <c r="E933" s="5" t="inlineStr"/>
      <c r="F933" s="5" t="inlineStr">
        <is>
          <t>Dayanıklılık +1</t>
        </is>
      </c>
      <c r="G933" s="6" t="inlineStr">
        <is>
          <t>Yorumu görmezden geldin; çarşı gelmedi. Akşam kepenk indirirken yan dükkândan seslendiler: “Gülümse biraz!”</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c r="AI933" s="5" t="inlineStr"/>
      <c r="AJ933" s="5" t="inlineStr"/>
    </row>
    <row r="934">
      <c r="A934" s="5" t="inlineStr">
        <is>
          <t>mm-vatandasla-diyalog</t>
        </is>
      </c>
      <c r="B934" s="5" t="n">
        <v>1</v>
      </c>
      <c r="C934" s="6" t="inlineStr">
        <is>
          <t>Usulü anlat</t>
        </is>
      </c>
      <c r="D934" s="5" t="inlineStr"/>
      <c r="E934" s="5" t="inlineStr"/>
      <c r="F934" s="5" t="inlineStr">
        <is>
          <t>İtibar +1, Akıl +1</t>
        </is>
      </c>
      <c r="G934" s="6" t="inlineStr">
        <is>
          <t>Dilekçe, iki fotokopi, bir vesikalık. Adam söylene söylene sıraya geçti; çıkarken “Siz iyi birisiniz ama düzen bozuk” dedi. Yirmi yıldır en sık duyduğun iltifat.</t>
        </is>
      </c>
      <c r="H934" s="6" t="inlineStr"/>
      <c r="I934" s="6" t="inlineStr"/>
      <c r="J934" s="6" t="inlineStr"/>
      <c r="K934" s="6" t="inlineStr"/>
      <c r="L934" s="6" t="inlineStr"/>
      <c r="M934" s="5" t="inlineStr"/>
      <c r="N934" s="5" t="inlineStr"/>
      <c r="O934" s="6" t="inlineStr"/>
      <c r="P934" s="6" t="inlineStr"/>
      <c r="Q934" s="5" t="inlineStr"/>
      <c r="R934" s="5" t="inlineStr"/>
      <c r="S934" s="5" t="inlineStr"/>
      <c r="T934" s="5" t="inlineStr"/>
      <c r="U934" s="5" t="inlineStr"/>
      <c r="V934" s="5" t="inlineStr"/>
      <c r="W934" s="5" t="inlineStr"/>
      <c r="X934" s="5" t="inlineStr"/>
      <c r="Y934" s="5" t="inlineStr"/>
      <c r="Z934" s="6" t="inlineStr"/>
      <c r="AA934" s="5" t="inlineStr"/>
      <c r="AB934" s="5" t="inlineStr"/>
      <c r="AC934" s="5" t="inlineStr"/>
      <c r="AD934" s="5" t="inlineStr"/>
      <c r="AE934" s="5" t="inlineStr"/>
      <c r="AF934" s="5" t="inlineStr"/>
      <c r="AG934" s="5" t="inlineStr"/>
      <c r="AH934" s="5" t="inlineStr"/>
      <c r="AI934" s="5" t="inlineStr"/>
      <c r="AJ934" s="5" t="inlineStr"/>
    </row>
    <row r="935">
      <c r="A935" s="5" t="inlineStr">
        <is>
          <t>mm-vatandasla-diyalog</t>
        </is>
      </c>
      <c r="B935" s="5" t="n">
        <v>2</v>
      </c>
      <c r="C935" s="6" t="inlineStr">
        <is>
          <t>'Ben de masayım' de</t>
        </is>
      </c>
      <c r="D935" s="5" t="inlineStr">
        <is>
          <t>Pişkinlik</t>
        </is>
      </c>
      <c r="E935" s="5" t="inlineStr">
        <is>
          <t>Orta</t>
        </is>
      </c>
      <c r="F935" s="5" t="inlineStr"/>
      <c r="G935" s="6" t="inlineStr"/>
      <c r="H935" s="6" t="inlineStr">
        <is>
          <t>Vatandaş bir masaya baktı, bir sana; anlamadı ama sıraya geçti. Yan masadaki arkadaşın çayını bırakıp fısıldadı: “Yirmi yıldır bunu bekliyordun, değil mi?”</t>
        </is>
      </c>
      <c r="I935" s="6" t="inlineStr">
        <is>
          <t>Koridor alkışladı. Cümle bir haftada kısa video uygulamasında 'masa memur' diye yayıldı.</t>
        </is>
      </c>
      <c r="J935" s="6" t="inlineStr">
        <is>
          <t>'Masa mı? Müdürünüzü çağırın' dedi. Müdür de bir masaydı.</t>
        </is>
      </c>
      <c r="K935" s="6" t="inlineStr">
        <is>
          <t>Gerçekten birinin nesiymiş: müdürün kayınpederi. Pazartesiden itibaren arşivdesin; kapında elle yazılmış bir kâğıt: “Masa.”</t>
        </is>
      </c>
      <c r="L935" s="6" t="inlineStr"/>
      <c r="M935" s="5" t="inlineStr"/>
      <c r="N935" s="5" t="inlineStr"/>
      <c r="O935" s="6" t="inlineStr"/>
      <c r="P935" s="6" t="inlineStr"/>
      <c r="Q935" s="5" t="inlineStr"/>
      <c r="R935" s="5" t="inlineStr"/>
      <c r="S935" s="5" t="inlineStr">
        <is>
          <t>Pişkinlik</t>
        </is>
      </c>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c r="AI935" s="5" t="inlineStr">
        <is>
          <t>Masa</t>
        </is>
      </c>
      <c r="AJ935" s="5" t="inlineStr"/>
    </row>
    <row r="936">
      <c r="A936" s="5" t="inlineStr">
        <is>
          <t>mm-vatandasla-diyalog</t>
        </is>
      </c>
      <c r="B936" s="5" t="n">
        <v>3</v>
      </c>
      <c r="C936" s="6" t="inlineStr">
        <is>
          <t>Kayıp dosyayı tanı</t>
        </is>
      </c>
      <c r="D936" s="5" t="inlineStr">
        <is>
          <t>Akıl</t>
        </is>
      </c>
      <c r="E936" s="5" t="inlineStr">
        <is>
          <t>Orta</t>
        </is>
      </c>
      <c r="F936" s="5" t="inlineStr"/>
      <c r="G936" s="6" t="inlineStr"/>
      <c r="H936" s="6" t="inlineStr">
        <is>
          <t>Arşivin tam yerini hatırladın. Yıllardır süren iş on üç dakikada bitti.</t>
        </is>
      </c>
      <c r="I936" s="6" t="inlineStr">
        <is>
          <t>Dosyayı buldun: yıllardır kayıp olan, adamın dedesinin tapusu. İşlem bitince adam elini sıktı, kapıda döndü: “Kim olduğumu sormadınız.” “Artık biliyorum: sırası gelmiş biri.”</t>
        </is>
      </c>
      <c r="J936" s="6" t="inlineStr">
        <is>
          <t>Arşiv taşınmış. Yeni arşiv, eski arşivin nerede olduğunu bilmiyor.</t>
        </is>
      </c>
      <c r="K936" s="6" t="inlineStr">
        <is>
          <t>'Bunu ben kaybetmiştim' dedin. Kim olduğunu bu kez söyledi: avukat.</t>
        </is>
      </c>
      <c r="L936" s="6" t="inlineStr"/>
      <c r="M936" s="5" t="inlineStr"/>
      <c r="N936" s="5" t="inlineStr"/>
      <c r="O936" s="6" t="inlineStr"/>
      <c r="P936" s="6" t="inlineStr"/>
      <c r="Q936" s="5" t="inlineStr"/>
      <c r="R936" s="5" t="inlineStr">
        <is>
          <t>memur-kayip-dosya</t>
        </is>
      </c>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c r="AI936" s="5" t="inlineStr"/>
      <c r="AJ936" s="5" t="inlineStr"/>
    </row>
    <row r="937">
      <c r="A937" s="5" t="inlineStr">
        <is>
          <t>mm-vatandasla-diyalog</t>
        </is>
      </c>
      <c r="B937" s="5" t="n">
        <v>4</v>
      </c>
      <c r="C937" s="6" t="inlineStr">
        <is>
          <t>Kibarca sıraya yönlendir</t>
        </is>
      </c>
      <c r="D937" s="5" t="inlineStr">
        <is>
          <t>Cesaret</t>
        </is>
      </c>
      <c r="E937" s="5" t="inlineStr">
        <is>
          <t>Kolay</t>
        </is>
      </c>
      <c r="F937" s="5" t="inlineStr"/>
      <c r="G937" s="6" t="inlineStr"/>
      <c r="H937" s="6" t="inlineStr">
        <is>
          <t>Sıra numarası verdin. Vatandaş kim olduğunu sıra numarasıyla öğrendi: 47.</t>
        </is>
      </c>
      <c r="I937" s="6" t="inlineStr">
        <is>
          <t>Öyle sakin söyledin ki arkadaki herkes de sıraya geçti. Koridorda ilk kez düzen var.</t>
        </is>
      </c>
      <c r="J937" s="6" t="inlineStr">
        <is>
          <t>Sıraya geçti; üç dakika sonra yine masadaydı. 'Bir şey soracağım sadece.'</t>
        </is>
      </c>
      <c r="K937" s="6" t="inlineStr">
        <is>
          <t>Sıraya yönlendirdin; sıranın başındaki kişi onun kim olduğunu biliyormuş. Herkes ona yer verdi.</t>
        </is>
      </c>
      <c r="L937" s="6" t="inlineStr"/>
      <c r="M937" s="5" t="inlineStr"/>
      <c r="N937" s="5" t="inlineStr"/>
      <c r="O937" s="6" t="inlineStr"/>
      <c r="P937" s="6" t="inlineStr"/>
      <c r="Q937" s="5" t="inlineStr"/>
      <c r="R937" s="5" t="inlineStr"/>
      <c r="S937" s="5" t="inlineStr"/>
      <c r="T937" s="5" t="inlineStr"/>
      <c r="U937" s="5" t="inlineStr"/>
      <c r="V937" s="5" t="inlineStr"/>
      <c r="W937" s="5" t="inlineStr"/>
      <c r="X937" s="5" t="inlineStr"/>
      <c r="Y937" s="5" t="inlineStr"/>
      <c r="Z937" s="6" t="inlineStr"/>
      <c r="AA937" s="5" t="inlineStr"/>
      <c r="AB937" s="5" t="inlineStr"/>
      <c r="AC937" s="5" t="inlineStr"/>
      <c r="AD937" s="5" t="inlineStr"/>
      <c r="AE937" s="5" t="inlineStr"/>
      <c r="AF937" s="5" t="inlineStr"/>
      <c r="AG937" s="5" t="inlineStr"/>
      <c r="AH937" s="5" t="inlineStr"/>
      <c r="AI937" s="5" t="inlineStr"/>
      <c r="AJ937" s="5" t="inlineStr"/>
    </row>
    <row r="938">
      <c r="A938" s="5" t="inlineStr">
        <is>
          <t>b8-yeni-hobi</t>
        </is>
      </c>
      <c r="B938" s="5" t="n">
        <v>1</v>
      </c>
      <c r="C938" s="6" t="inlineStr">
        <is>
          <t>Ekşi maya besle</t>
        </is>
      </c>
      <c r="D938" s="5" t="inlineStr"/>
      <c r="E938" s="5" t="inlineStr"/>
      <c r="F938" s="5" t="inlineStr">
        <is>
          <t>İtibar +1, Dayanıklılık +1</t>
        </is>
      </c>
      <c r="G938" s="6" t="inlineStr">
        <is>
          <t>Mayaya bir isim verdin: Necmiye. Haftada iki kez besliyorsun; tatile giderken komşuya bırakıp “Sabah akşam bir bak” diyorsun. Dönüşte komşu sordu: “Bu ekmek mi, çocuk mu?”</t>
        </is>
      </c>
      <c r="H938" s="6" t="inlineStr"/>
      <c r="I938" s="6" t="inlineStr"/>
      <c r="J938" s="6" t="inlineStr"/>
      <c r="K938" s="6" t="inlineStr"/>
      <c r="L938" s="6" t="inlineStr"/>
      <c r="M938" s="5" t="inlineStr"/>
      <c r="N938" s="5" t="inlineStr"/>
      <c r="O938" s="6" t="inlineStr"/>
      <c r="P938" s="6" t="inlineStr"/>
      <c r="Q938" s="5" t="inlineStr"/>
      <c r="R938" s="5" t="inlineStr"/>
      <c r="S938" s="5" t="inlineStr"/>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c r="AI938" s="5" t="inlineStr"/>
      <c r="AJ938" s="5" t="inlineStr"/>
    </row>
    <row r="939">
      <c r="A939" s="5" t="inlineStr">
        <is>
          <t>b8-yeni-hobi</t>
        </is>
      </c>
      <c r="B939" s="5" t="n">
        <v>2</v>
      </c>
      <c r="C939" s="6" t="inlineStr">
        <is>
          <t>Bağlama kursuna yazıl</t>
        </is>
      </c>
      <c r="D939" s="5" t="inlineStr">
        <is>
          <t>Dayanıklılık</t>
        </is>
      </c>
      <c r="E939" s="5" t="inlineStr">
        <is>
          <t>Orta</t>
        </is>
      </c>
      <c r="F939" s="5" t="inlineStr"/>
      <c r="G939" s="6" t="inlineStr"/>
      <c r="H939" s="6" t="inlineStr">
        <is>
          <t>Üç ayda iki türkü çaldın. Komşular birini ezberledi.</t>
        </is>
      </c>
      <c r="I939" s="6" t="inlineStr">
        <is>
          <t>Kurs sonu konserinde solo verdin. Salonda iki kişi ağladı; biri duygulandığı için.</t>
        </is>
      </c>
      <c r="J939" s="6" t="inlineStr">
        <is>
          <t>Parmaklar tele alışmadı. Bağlama duvarda, dekorasyon olarak çalıyor.</t>
        </is>
      </c>
      <c r="K939" s="6" t="inlineStr">
        <is>
          <t>Gece on birde prova yaptın. Alt kat süpürge sapıyla tavana vurdu; sen tempo tutuyorlar sandın. Sabah asansörde bir not vardı: “Bağlama çalan komşumuz, o türküyü artık biz de biliyoruz.” Altında on iki imza.</t>
        </is>
      </c>
      <c r="L939" s="6" t="inlineStr"/>
      <c r="M939" s="5" t="inlineStr"/>
      <c r="N939" s="5" t="inlineStr"/>
      <c r="O939" s="6" t="inlineStr"/>
      <c r="P939" s="6" t="inlineStr"/>
      <c r="Q939" s="5" t="inlineStr"/>
      <c r="R939" s="5" t="inlineStr"/>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c r="AI939" s="5" t="inlineStr"/>
      <c r="AJ939" s="5" t="inlineStr"/>
    </row>
    <row r="940">
      <c r="A940" s="5" t="inlineStr">
        <is>
          <t>b8-yeni-hobi</t>
        </is>
      </c>
      <c r="B940" s="5" t="n">
        <v>3</v>
      </c>
      <c r="C940" s="6" t="inlineStr">
        <is>
          <t>Yamaç paraşütüne başla</t>
        </is>
      </c>
      <c r="D940" s="5" t="inlineStr">
        <is>
          <t>Cesaret</t>
        </is>
      </c>
      <c r="E940" s="5" t="inlineStr">
        <is>
          <t>Zor</t>
        </is>
      </c>
      <c r="F940" s="5" t="inlineStr"/>
      <c r="G940" s="6" t="inlineStr"/>
      <c r="H940" s="6" t="inlineStr">
        <is>
          <t>Atladın, süzüldün, indin. Bacakların hâlâ titrerken ilk işin aile grubuna fotoğraf atmak oldu. Annen hemen yazdı: “Aklını mı kaçırdın? Kim çekti bunu?”</t>
        </is>
      </c>
      <c r="I940" s="6" t="inlineStr">
        <is>
          <t>Sabah rüzgârında yarım saat süzüldün. Aşağıdaki kasaba seni reklam balonu sandı.</t>
        </is>
      </c>
      <c r="J940" s="6" t="inlineStr">
        <is>
          <t>Tepeye çıktın, aşağı baktın, geri indin. Yürüyüş olarak kaydedildi.</t>
        </is>
      </c>
      <c r="K940" s="6" t="inlineStr">
        <is>
          <t>Rüzgâr döndü; bir seranın naylon çatısını delip domateslerin arasına indin. Seracı seni kasaların arasından çıkarıp zararı kasa kasa yazdı. Faturada adının yerinde “Uçan Domates” yazıyordu.</t>
        </is>
      </c>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n">
        <v>3</v>
      </c>
      <c r="Z940" s="6" t="inlineStr">
        <is>
          <t>Yamaç paraşütü eğitiminde, eğitmen 'Şimdi' demeden atlarken. Eğitmen 'Şimdi değil' diyordu.</t>
        </is>
      </c>
      <c r="AA940" s="5" t="inlineStr"/>
      <c r="AB940" s="5" t="inlineStr"/>
      <c r="AC940" s="5" t="inlineStr"/>
      <c r="AD940" s="5" t="inlineStr"/>
      <c r="AE940" s="5" t="inlineStr"/>
      <c r="AF940" s="5" t="inlineStr"/>
      <c r="AG940" s="5" t="inlineStr"/>
      <c r="AH940" s="5" t="inlineStr"/>
      <c r="AI940" s="5" t="inlineStr">
        <is>
          <t>Uçan Domates</t>
        </is>
      </c>
      <c r="AJ940" s="5" t="inlineStr"/>
    </row>
    <row r="941">
      <c r="A941" s="5" t="inlineStr">
        <is>
          <t>b8-yeni-hobi</t>
        </is>
      </c>
      <c r="B941" s="5" t="n">
        <v>4</v>
      </c>
      <c r="C941" s="6" t="inlineStr">
        <is>
          <t>Kamera uçurmaya başla</t>
        </is>
      </c>
      <c r="D941" s="5" t="inlineStr">
        <is>
          <t>Akıl</t>
        </is>
      </c>
      <c r="E941" s="5" t="inlineStr">
        <is>
          <t>Kolay</t>
        </is>
      </c>
      <c r="F941" s="5" t="inlineStr"/>
      <c r="G941" s="6" t="inlineStr"/>
      <c r="H941" s="6" t="inlineStr">
        <is>
          <t>Mahalleyi yukarıdan çektin. Evin çatısı sandığından da eski.</t>
        </is>
      </c>
      <c r="I941" s="6" t="inlineStr">
        <is>
          <t>Çektiğin sahil görüntüleri belediyenin tanıtım filmine girdi. Annen filmi dokuz kez izledi; her seferinde jeneriği durdurup misafire gösterdi.</t>
        </is>
      </c>
      <c r="J941" s="6" t="inlineStr">
        <is>
          <t>Uçan kamera bir ağaca kondu. Artık bir kuş gözlemevi.</t>
        </is>
      </c>
      <c r="K941" s="6" t="inlineStr">
        <is>
          <t>Uçan kamera komşunun balkonuna, tam kahvaltı sofrasının ortasına indi. Komşu kamerayı geri verdi; içindeki görüntüleri site yönetimine.</t>
        </is>
      </c>
      <c r="L941" s="6" t="inlineStr"/>
      <c r="M941" s="5" t="inlineStr"/>
      <c r="N941" s="5" t="inlineStr"/>
      <c r="O941" s="6" t="inlineStr"/>
      <c r="P941" s="6" t="inlineStr"/>
      <c r="Q941" s="5" t="inlineStr">
        <is>
          <t>Şifreyi Bilen</t>
        </is>
      </c>
      <c r="R941" s="5" t="inlineStr"/>
      <c r="S941" s="5" t="inlineStr"/>
      <c r="T941" s="5" t="inlineStr"/>
      <c r="U941" s="5" t="inlineStr"/>
      <c r="V941" s="5" t="inlineStr"/>
      <c r="W941" s="5" t="inlineStr"/>
      <c r="X941" s="5" t="inlineStr"/>
      <c r="Y941" s="5" t="inlineStr"/>
      <c r="Z941" s="6" t="inlineStr"/>
      <c r="AA941" s="5" t="inlineStr"/>
      <c r="AB941" s="5" t="inlineStr"/>
      <c r="AC941" s="5" t="inlineStr"/>
      <c r="AD941" s="5" t="inlineStr"/>
      <c r="AE941" s="5" t="inlineStr"/>
      <c r="AF941" s="5" t="inlineStr"/>
      <c r="AG941" s="5" t="inlineStr"/>
      <c r="AH941" s="5" t="inlineStr"/>
      <c r="AI941" s="5" t="inlineStr"/>
      <c r="AJ941" s="5" t="inlineStr"/>
    </row>
    <row r="942">
      <c r="A942" s="5" t="inlineStr">
        <is>
          <t>b8-maraton</t>
        </is>
      </c>
      <c r="B942" s="5" t="n">
        <v>1</v>
      </c>
      <c r="C942" s="6" t="inlineStr">
        <is>
          <t>Kendi temponda bitir</t>
        </is>
      </c>
      <c r="D942" s="5" t="inlineStr"/>
      <c r="E942" s="5" t="inlineStr"/>
      <c r="F942" s="5" t="inlineStr">
        <is>
          <t>Dayanıklılık +1</t>
        </is>
      </c>
      <c r="G942" s="6" t="inlineStr">
        <is>
          <t>Beş saat on dört dakika. Son düzlükte bir çocuk seni alkışladı; beş saatin tamamına değdi.</t>
        </is>
      </c>
      <c r="H942" s="6" t="inlineStr"/>
      <c r="I942" s="6" t="inlineStr"/>
      <c r="J942" s="6" t="inlineStr"/>
      <c r="K942" s="6" t="inlineStr"/>
      <c r="L942" s="6" t="inlineStr"/>
      <c r="M942" s="5" t="inlineStr"/>
      <c r="N942" s="5" t="inlineStr"/>
      <c r="O942" s="6" t="inlineStr"/>
      <c r="P942" s="6" t="inlineStr"/>
      <c r="Q942" s="5" t="inlineStr"/>
      <c r="R942" s="5" t="inlineStr"/>
      <c r="S942" s="5" t="inlineStr"/>
      <c r="T942" s="5" t="inlineStr"/>
      <c r="U942" s="5" t="inlineStr">
        <is>
          <t>maratoncu</t>
        </is>
      </c>
      <c r="V942" s="5" t="inlineStr"/>
      <c r="W942" s="5" t="inlineStr"/>
      <c r="X942" s="5" t="inlineStr"/>
      <c r="Y942" s="5" t="inlineStr"/>
      <c r="Z942" s="6" t="inlineStr"/>
      <c r="AA942" s="5" t="inlineStr"/>
      <c r="AB942" s="5" t="inlineStr"/>
      <c r="AC942" s="5" t="inlineStr"/>
      <c r="AD942" s="5" t="inlineStr"/>
      <c r="AE942" s="5" t="inlineStr"/>
      <c r="AF942" s="5" t="inlineStr"/>
      <c r="AG942" s="5" t="inlineStr"/>
      <c r="AH942" s="5" t="inlineStr"/>
      <c r="AI942" s="5" t="inlineStr"/>
      <c r="AJ942" s="5" t="inlineStr"/>
    </row>
    <row r="943">
      <c r="A943" s="5" t="inlineStr">
        <is>
          <t>b8-maraton</t>
        </is>
      </c>
      <c r="B943" s="5" t="n">
        <v>2</v>
      </c>
      <c r="C943" s="6" t="inlineStr">
        <is>
          <t>Son kilometrede depara kalk</t>
        </is>
      </c>
      <c r="D943" s="5" t="inlineStr">
        <is>
          <t>Dayanıklılık</t>
        </is>
      </c>
      <c r="E943" s="5" t="inlineStr">
        <is>
          <t>Zor</t>
        </is>
      </c>
      <c r="F943" s="5" t="inlineStr"/>
      <c r="G943" s="6" t="inlineStr"/>
      <c r="H943" s="6" t="inlineStr">
        <is>
          <t>Son kilometrede on iki kişiyi geçtin. Fotoğrafçı seni tam o anda çekti; gözlerin kapalıydı.</t>
        </is>
      </c>
      <c r="I943" s="6" t="inlineStr">
        <is>
          <t>Finişe kollarını açarak girdin. O fotoğraf şimdi annenin vitrininde, kristal şekerliğin yanında; misafire ilk o gösteriliyor.</t>
        </is>
      </c>
      <c r="J943" s="6" t="inlineStr">
        <is>
          <t>Depara kalktın; bacakların kalkmadı. Son kilometre yürüyerek tamamlandı.</t>
        </is>
      </c>
      <c r="K943" s="6" t="inlineStr">
        <is>
          <t>Son kilometrede gözün karardı; finiş yerine sponsor standına koştun. Üç yüz şişelik piramit üstüne yıkıldı. Sağlık ekibi seni şişelerin arasından çıkardı. Görüntü sponsorun yeni reklamında, altında tek kelime: “Durdurulamaz.”</t>
        </is>
      </c>
      <c r="L943" s="6" t="inlineStr">
        <is>
          <t>Yarı yolda kramp girdi. Finişe topallayarak ve alkışlar eşliğinde vardın.</t>
        </is>
      </c>
      <c r="M943" s="5" t="inlineStr">
        <is>
          <t>timing</t>
        </is>
      </c>
      <c r="N943" s="5" t="inlineStr">
        <is>
          <t>Son Kilometre</t>
        </is>
      </c>
      <c r="O943" s="6" t="inlineStr">
        <is>
          <t>İbre yeşil alandayken DURDUR'a bas. Art arda tutturdukça kombo kazanırsın.</t>
        </is>
      </c>
      <c r="P943" s="6" t="n"/>
      <c r="Q943" s="5" t="inlineStr"/>
      <c r="R943" s="5" t="inlineStr"/>
      <c r="S943" s="5" t="inlineStr"/>
      <c r="T943" s="5" t="inlineStr">
        <is>
          <t>Kolay Dağılmaz</t>
        </is>
      </c>
      <c r="U943" s="5" t="inlineStr"/>
      <c r="V943" s="5" t="inlineStr">
        <is>
          <t>maratoncu</t>
        </is>
      </c>
      <c r="W943" s="5" t="inlineStr"/>
      <c r="X943" s="5" t="inlineStr"/>
      <c r="Y943" s="5" t="n">
        <v>2</v>
      </c>
      <c r="Z943" s="6" t="inlineStr">
        <is>
          <t>Maratonun son kilometresinde sponsor standına dalarken. Madalyası kargoyla gönderildi.</t>
        </is>
      </c>
      <c r="AA943" s="5" t="inlineStr"/>
      <c r="AB943" s="5" t="inlineStr"/>
      <c r="AC943" s="5" t="inlineStr"/>
      <c r="AD943" s="5" t="inlineStr"/>
      <c r="AE943" s="5" t="inlineStr"/>
      <c r="AF943" s="5" t="inlineStr"/>
      <c r="AG943" s="5" t="inlineStr"/>
      <c r="AH943" s="5" t="inlineStr">
        <is>
          <t>Dayanıklılık 34</t>
        </is>
      </c>
      <c r="AI943" s="5" t="inlineStr"/>
      <c r="AJ943" s="5" t="inlineStr"/>
    </row>
    <row r="944">
      <c r="A944" s="5" t="inlineStr">
        <is>
          <t>b8-maraton</t>
        </is>
      </c>
      <c r="B944" s="5" t="n">
        <v>3</v>
      </c>
      <c r="C944" s="6" t="inlineStr">
        <is>
          <t>Rotada kestirme bul</t>
        </is>
      </c>
      <c r="D944" s="5" t="inlineStr">
        <is>
          <t>Kurnazlık</t>
        </is>
      </c>
      <c r="E944" s="5" t="inlineStr">
        <is>
          <t>Orta</t>
        </is>
      </c>
      <c r="F944" s="5" t="inlineStr"/>
      <c r="G944" s="6" t="inlineStr"/>
      <c r="H944" s="6" t="inlineStr">
        <is>
          <t>Kestirmeden yirmi dakika kazandın. Madalyayı boynuna taktılar; eve kadar ceketinin altında taşıdın.</t>
        </is>
      </c>
      <c r="I944" s="6" t="inlineStr">
        <is>
          <t>Kestirmeden çıktığında kamera seni lider sandı. Birkaç saniye boyunca maratonun lideriydin.</t>
        </is>
      </c>
      <c r="J944" s="6" t="inlineStr">
        <is>
          <t>Kestirme bir otoparka çıktı. Otopark ücretliydi.</t>
        </is>
      </c>
      <c r="K944" s="6" t="inlineStr">
        <is>
          <t>Hakem seni gördü. Diskalifiye edildin ve bir sertifika aldın: 'Katılımınız için teşekkür ederiz.'</t>
        </is>
      </c>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c r="AI944" s="5" t="inlineStr"/>
      <c r="AJ944" s="5" t="inlineStr"/>
    </row>
    <row r="945">
      <c r="A945" s="5" t="inlineStr">
        <is>
          <t>b8-yeniden-egitim</t>
        </is>
      </c>
      <c r="B945" s="5" t="n">
        <v>1</v>
      </c>
      <c r="C945" s="6" t="inlineStr">
        <is>
          <t>Hafta sonu sertifika programı</t>
        </is>
      </c>
      <c r="D945" s="5" t="inlineStr"/>
      <c r="E945" s="5" t="inlineStr"/>
      <c r="F945" s="5" t="inlineStr">
        <is>
          <t>Akıl +1</t>
        </is>
      </c>
      <c r="G945" s="6" t="inlineStr">
        <is>
          <t>Sekiz hafta sonu, bir sertifika. Çerçeveletirken fark ettin: çerçeve sertifikadan pahalıydı.</t>
        </is>
      </c>
      <c r="H945" s="6" t="inlineStr"/>
      <c r="I945" s="6" t="inlineStr"/>
      <c r="J945" s="6" t="inlineStr"/>
      <c r="K945" s="6" t="inlineStr"/>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c r="AI945" s="5" t="inlineStr"/>
      <c r="AJ945" s="5" t="inlineStr"/>
    </row>
    <row r="946">
      <c r="A946" s="5" t="inlineStr">
        <is>
          <t>b8-yeniden-egitim</t>
        </is>
      </c>
      <c r="B946" s="5" t="n">
        <v>2</v>
      </c>
      <c r="C946" s="6" t="inlineStr">
        <is>
          <t>Tamamen yeni bir mesleğe geç</t>
        </is>
      </c>
      <c r="D946" s="5" t="inlineStr">
        <is>
          <t>Cesaret</t>
        </is>
      </c>
      <c r="E946" s="5" t="inlineStr">
        <is>
          <t>Zor</t>
        </is>
      </c>
      <c r="F946" s="5" t="inlineStr"/>
      <c r="G946" s="6" t="inlineStr"/>
      <c r="H946" s="6" t="inlineStr">
        <is>
          <t>İstifa ettin, yeni mesleğe başladın. İlk maaş eskisinin yarısı; ilk sabahki yüzün eskisinin iki katı.</t>
        </is>
      </c>
      <c r="I946" s="6" t="inlineStr">
        <is>
          <t>Bir yılda uzmanlaştın. Eski patronun seni danışman olarak geri çağırdı; iki katı ücretle.</t>
        </is>
      </c>
      <c r="J946" s="6" t="inlineStr">
        <is>
          <t>Üç ay denedin, eski işine döndün. Masan boşaltılmamıştı; kimse fark etmemişti.</t>
        </is>
      </c>
      <c r="K946" s="6" t="inlineStr">
        <is>
          <t>İstifa ettin; ertesi hafta kurs iptal edildi. Eski işyerine uğradığında masanda yirmi beş yaşında biri oturuyordu; senin kupandan çay içiyordu.</t>
        </is>
      </c>
      <c r="L946" s="6" t="inlineStr"/>
      <c r="M946" s="5" t="inlineStr"/>
      <c r="N946" s="5" t="inlineStr"/>
      <c r="O946" s="6" t="inlineStr"/>
      <c r="P946" s="6" t="inlineStr"/>
      <c r="Q946" s="5" t="inlineStr"/>
      <c r="R946" s="5" t="inlineStr"/>
      <c r="S946" s="5" t="inlineStr"/>
      <c r="T946" s="5" t="inlineStr">
        <is>
          <t>Geri Adım Atmaz</t>
        </is>
      </c>
      <c r="U946" s="5" t="inlineStr"/>
      <c r="V946" s="5" t="inlineStr">
        <is>
          <t>kariyer-degisti</t>
        </is>
      </c>
      <c r="W946" s="5" t="inlineStr"/>
      <c r="X946" s="5" t="inlineStr"/>
      <c r="Y946" s="5" t="inlineStr"/>
      <c r="Z946" s="6" t="inlineStr"/>
      <c r="AA946" s="5" t="inlineStr"/>
      <c r="AB946" s="5" t="inlineStr"/>
      <c r="AC946" s="5" t="inlineStr"/>
      <c r="AD946" s="5" t="inlineStr"/>
      <c r="AE946" s="5" t="inlineStr"/>
      <c r="AF946" s="5" t="inlineStr"/>
      <c r="AG946" s="5" t="inlineStr"/>
      <c r="AH946" s="5" t="inlineStr">
        <is>
          <t>Cesaret 30</t>
        </is>
      </c>
      <c r="AI946" s="5" t="inlineStr"/>
      <c r="AJ946" s="5" t="inlineStr"/>
    </row>
    <row r="947">
      <c r="A947" s="5" t="inlineStr">
        <is>
          <t>b8-yeniden-egitim</t>
        </is>
      </c>
      <c r="B947" s="5" t="n">
        <v>3</v>
      </c>
      <c r="C947" s="6" t="inlineStr">
        <is>
          <t>En ön sıraya otur</t>
        </is>
      </c>
      <c r="D947" s="5" t="inlineStr">
        <is>
          <t>Cesaret</t>
        </is>
      </c>
      <c r="E947" s="5" t="inlineStr">
        <is>
          <t>Orta</t>
        </is>
      </c>
      <c r="F947" s="5" t="inlineStr"/>
      <c r="G947" s="6" t="inlineStr"/>
      <c r="H947" s="6" t="inlineStr">
        <is>
          <t>En ön sırada oturdun, her soruya parmak kaldırdın. Sınav haftası yirmi yaşındakiler kapında sıraya girdi: “Hocam, notlarınızın fotokopisini alabilir miyiz?”</t>
        </is>
      </c>
      <c r="I947" s="6" t="inlineStr">
        <is>
          <t>Hoca seni asistan sandı. Dönem sonunda ciddi ciddi asistanlık teklif etti.</t>
        </is>
      </c>
      <c r="J947" s="6" t="inlineStr">
        <is>
          <t>En ön sırada uyuyakaldın. Hoca uyandırmadı; saygıdan.</t>
        </is>
      </c>
      <c r="K947" s="6" t="inlineStr">
        <is>
          <t>Her soruya 'Bizim zamanımızda' diye başladın. Sınıfta kısaltması var: 'BZ'.</t>
        </is>
      </c>
      <c r="L947" s="6" t="inlineStr"/>
      <c r="M947" s="5" t="inlineStr"/>
      <c r="N947" s="5" t="inlineStr"/>
      <c r="O947" s="6" t="inlineStr"/>
      <c r="P947" s="6" t="inlineStr"/>
      <c r="Q947" s="5" t="inlineStr"/>
      <c r="R947" s="5" t="inlineStr"/>
      <c r="S947" s="5" t="inlineStr">
        <is>
          <t>Cesaret</t>
        </is>
      </c>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c r="AI947" s="5" t="inlineStr"/>
      <c r="AJ947" s="5" t="inlineStr"/>
    </row>
    <row r="948">
      <c r="A948" s="5" t="inlineStr">
        <is>
          <t>b8-yeniden-egitim</t>
        </is>
      </c>
      <c r="B948" s="5" t="n">
        <v>4</v>
      </c>
      <c r="C948" s="6" t="inlineStr">
        <is>
          <t>Kurumdan eğitim izni iste</t>
        </is>
      </c>
      <c r="D948" s="5" t="inlineStr">
        <is>
          <t>Çene</t>
        </is>
      </c>
      <c r="E948" s="5" t="inlineStr">
        <is>
          <t>Kolay</t>
        </is>
      </c>
      <c r="F948" s="5" t="inlineStr"/>
      <c r="G948" s="6" t="inlineStr"/>
      <c r="H948" s="6" t="inlineStr">
        <is>
          <t>Dilekçeni verdin; dört imzadan geçti. İzin onaylandı, kurs bitti, imza süreci sürüyor.</t>
        </is>
      </c>
      <c r="I948" s="6" t="inlineStr">
        <is>
          <t>Dilekçen o kadar usule uygundu ki örnek dilekçe olarak bütün birimlere dağıtıldı.</t>
        </is>
      </c>
      <c r="J948" s="6" t="inlineStr">
        <is>
          <t>Dilekçe 'üst yazı eksik' gerekçesiyle iade edildi. Üst yazının üst yazısı isteniyor.</t>
        </is>
      </c>
      <c r="K948" s="6" t="inlineStr">
        <is>
          <t>İzin çıktı; kursun bittiği gün. Kurumun eğitim raporunda başarı örneği olarak yer aldın.</t>
        </is>
      </c>
      <c r="L948" s="6" t="inlineStr"/>
      <c r="M948" s="5" t="inlineStr"/>
      <c r="N948" s="5" t="inlineStr"/>
      <c r="O948" s="6" t="inlineStr"/>
      <c r="P948" s="6" t="inlineStr"/>
      <c r="Q948" s="5" t="inlineStr"/>
      <c r="R948" s="5" t="inlineStr">
        <is>
          <t>meslek-memur</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c r="AI948" s="5" t="inlineStr"/>
      <c r="AJ948" s="5" t="inlineStr"/>
    </row>
    <row r="949">
      <c r="A949" s="5" t="inlineStr">
        <is>
          <t>b8-yazlik</t>
        </is>
      </c>
      <c r="B949" s="5" t="n">
        <v>1</v>
      </c>
      <c r="C949" s="6" t="inlineStr">
        <is>
          <t>Kiralık yazlıkla devam et</t>
        </is>
      </c>
      <c r="D949" s="5" t="inlineStr"/>
      <c r="E949" s="5" t="inlineStr"/>
      <c r="F949" s="5" t="inlineStr">
        <is>
          <t>Akıl +1, Kurnazlık +1</t>
        </is>
      </c>
      <c r="G949" s="6" t="inlineStr">
        <is>
          <t>Kiraya devam ettin. Her yaz başka bir ev. Ev sahibi telefonda “Çatı biraz akıyor” dediğinde “Kolay gelsin” deyip denize girdin.</t>
        </is>
      </c>
      <c r="H949" s="6" t="inlineStr"/>
      <c r="I949" s="6" t="inlineStr"/>
      <c r="J949" s="6" t="inlineStr"/>
      <c r="K949" s="6" t="inlineStr"/>
      <c r="L949" s="6" t="inlineStr"/>
      <c r="M949" s="5" t="inlineStr"/>
      <c r="N949" s="5" t="inlineStr"/>
      <c r="O949" s="6" t="inlineStr"/>
      <c r="P949" s="6" t="inlineStr"/>
      <c r="Q949" s="5" t="inlineStr"/>
      <c r="R949" s="5" t="inlineStr"/>
      <c r="S949" s="5" t="inlineStr"/>
      <c r="T949" s="5" t="inlineStr"/>
      <c r="U949" s="5" t="inlineStr"/>
      <c r="V949" s="5" t="inlineStr"/>
      <c r="W949" s="5" t="inlineStr"/>
      <c r="X949" s="5" t="inlineStr"/>
      <c r="Y949" s="5" t="inlineStr"/>
      <c r="Z949" s="6" t="inlineStr"/>
      <c r="AA949" s="5" t="inlineStr"/>
      <c r="AB949" s="5" t="inlineStr"/>
      <c r="AC949" s="5" t="inlineStr"/>
      <c r="AD949" s="5" t="inlineStr"/>
      <c r="AE949" s="5" t="inlineStr"/>
      <c r="AF949" s="5" t="inlineStr"/>
      <c r="AG949" s="5" t="inlineStr"/>
      <c r="AH949" s="5" t="inlineStr"/>
      <c r="AI949" s="5" t="inlineStr"/>
      <c r="AJ949" s="5" t="inlineStr"/>
    </row>
    <row r="950">
      <c r="A950" s="5" t="inlineStr">
        <is>
          <t>b8-yazlik</t>
        </is>
      </c>
      <c r="B950" s="5" t="n">
        <v>2</v>
      </c>
      <c r="C950" s="6" t="inlineStr">
        <is>
          <t>Pazarlık et, al</t>
        </is>
      </c>
      <c r="D950" s="5" t="inlineStr">
        <is>
          <t>Çene</t>
        </is>
      </c>
      <c r="E950" s="5" t="inlineStr">
        <is>
          <t>Orta</t>
        </is>
      </c>
      <c r="F950" s="5" t="inlineStr"/>
      <c r="G950" s="6" t="inlineStr"/>
      <c r="H950" s="6" t="inlineStr">
        <is>
          <t>Yazlığı aldın. İlk yaz bütün akrabalar ziyarete geldi; sen salonda yattın.</t>
        </is>
      </c>
      <c r="I950" s="6" t="inlineStr">
        <is>
          <t>Fiyatı indirdin; emlakçı imzadan sonra arabasında on dakika oturdu, çıkmadı. Bahçedeki incir ağacı da tapuya dahilmiş; ağustosta bütün sokak tabakla kapında.</t>
        </is>
      </c>
      <c r="J950" s="6" t="inlineStr">
        <is>
          <t>Aldın; denize yürüme mesafesi kırk dakikaymış. Sen yürüyorsun; deniz yürümüyor.</t>
        </is>
      </c>
      <c r="K950" s="6" t="inlineStr">
        <is>
          <t>Aldın; ilk kış çatı aktı. İkinci kış da. Yazlık artık yazın da su alıyor.</t>
        </is>
      </c>
      <c r="L950" s="6" t="inlineStr">
        <is>
          <t>Fiyatı biraz indirdin, emlakçı komisyonu biraz yükseltti. Yazlık senin; ödeştiniz sayılır.</t>
        </is>
      </c>
      <c r="M950" s="5" t="inlineStr">
        <is>
          <t>duel</t>
        </is>
      </c>
      <c r="N950" s="5" t="inlineStr">
        <is>
          <t>Emlakçı Pazarlığı</t>
        </is>
      </c>
      <c r="O950" s="6" t="inlineStr">
        <is>
          <t>Karşındakinin sabrı bitmeden en iyi cevabı seç.</t>
        </is>
      </c>
      <c r="P950" s="6" t="inlineStr">
        <is>
          <t>{"who": "Emlakçı", "item": "yazlık", "mode": "buy"}</t>
        </is>
      </c>
      <c r="Q950" s="5" t="inlineStr"/>
      <c r="R950" s="5" t="inlineStr"/>
      <c r="S950" s="5" t="inlineStr"/>
      <c r="T950" s="5" t="inlineStr"/>
      <c r="U950" s="5" t="inlineStr"/>
      <c r="V950" s="5" t="inlineStr">
        <is>
          <t>yazlikci</t>
        </is>
      </c>
      <c r="W950" s="5" t="inlineStr"/>
      <c r="X950" s="5" t="inlineStr"/>
      <c r="Y950" s="5" t="inlineStr"/>
      <c r="Z950" s="6" t="inlineStr"/>
      <c r="AA950" s="5" t="inlineStr"/>
      <c r="AB950" s="5" t="inlineStr"/>
      <c r="AC950" s="5" t="inlineStr">
        <is>
          <t>Rahat</t>
        </is>
      </c>
      <c r="AD950" s="5" t="inlineStr"/>
      <c r="AE950" s="5" t="inlineStr"/>
      <c r="AF950" s="5" t="inlineStr"/>
      <c r="AG950" s="5" t="inlineStr"/>
      <c r="AH950" s="5" t="inlineStr"/>
      <c r="AI950" s="5" t="inlineStr"/>
      <c r="AJ950" s="5" t="inlineStr"/>
    </row>
    <row r="951">
      <c r="A951" s="5" t="inlineStr">
        <is>
          <t>b8-yazlik</t>
        </is>
      </c>
      <c r="B951" s="5" t="n">
        <v>3</v>
      </c>
      <c r="C951" s="6" t="inlineStr">
        <is>
          <t>Al ve çatıyı kendin onar</t>
        </is>
      </c>
      <c r="D951" s="5" t="inlineStr">
        <is>
          <t>Dayanıklılık</t>
        </is>
      </c>
      <c r="E951" s="5" t="inlineStr">
        <is>
          <t>Zor</t>
        </is>
      </c>
      <c r="F951" s="5" t="inlineStr"/>
      <c r="G951" s="6" t="inlineStr"/>
      <c r="H951" s="6" t="inlineStr">
        <is>
          <t>Çatıyı onardın. Ustaya gidecek para cebinde, güneş yanığı sırtında.</t>
        </is>
      </c>
      <c r="I951" s="6" t="inlineStr">
        <is>
          <t>Çatıyı onardın, üstüne güneş paneli de taktın. Komşular seni müteahhit sanıyor.</t>
        </is>
      </c>
      <c r="J951" s="6" t="inlineStr">
        <is>
          <t>Bir kiremit düşürdün, indin. Usta çağrıldı; kiremit ayrıca faturalandı.</t>
        </is>
      </c>
      <c r="K951" s="6" t="inlineStr">
        <is>
          <t>Onardın; ilk yağmurda su bu kez salondan değil, yatak odasından girdi, tam yastığının üstüne. Usta gelip baktı, güldü, iki katını istedi.</t>
        </is>
      </c>
      <c r="L951" s="6" t="inlineStr"/>
      <c r="M951" s="5" t="inlineStr"/>
      <c r="N951" s="5" t="inlineStr"/>
      <c r="O951" s="6" t="inlineStr"/>
      <c r="P951" s="6" t="inlineStr"/>
      <c r="Q951" s="5" t="inlineStr"/>
      <c r="R951" s="5" t="inlineStr"/>
      <c r="S951" s="5" t="inlineStr"/>
      <c r="T951" s="5" t="inlineStr"/>
      <c r="U951" s="5" t="inlineStr"/>
      <c r="V951" s="5" t="inlineStr">
        <is>
          <t>yazlikci</t>
        </is>
      </c>
      <c r="W951" s="5" t="inlineStr"/>
      <c r="X951" s="5" t="inlineStr"/>
      <c r="Y951" s="5" t="n">
        <v>3</v>
      </c>
      <c r="Z951" s="6" t="inlineStr">
        <is>
          <t>Yazlığın çatısını ustaya para vermemek için kendi tamir ederken. Usta hâlâ 'Ben demiştim' diyor.</t>
        </is>
      </c>
      <c r="AA951" s="5" t="inlineStr"/>
      <c r="AB951" s="5" t="inlineStr"/>
      <c r="AC951" s="5" t="inlineStr">
        <is>
          <t>Rahat</t>
        </is>
      </c>
      <c r="AD951" s="5" t="inlineStr"/>
      <c r="AE951" s="5" t="inlineStr"/>
      <c r="AF951" s="5" t="inlineStr"/>
      <c r="AG951" s="5" t="inlineStr"/>
      <c r="AH951" s="5" t="inlineStr"/>
      <c r="AI951" s="5" t="inlineStr"/>
      <c r="AJ951" s="5" t="inlineStr"/>
    </row>
    <row r="952">
      <c r="A952" s="5" t="inlineStr">
        <is>
          <t>b8-yazlik</t>
        </is>
      </c>
      <c r="B952" s="5" t="n">
        <v>4</v>
      </c>
      <c r="C952" s="6" t="inlineStr">
        <is>
          <t>Şehirdeki evi kiraya ver, yazlığa taşın</t>
        </is>
      </c>
      <c r="D952" s="5" t="inlineStr">
        <is>
          <t>Kurnazlık</t>
        </is>
      </c>
      <c r="E952" s="5" t="inlineStr">
        <is>
          <t>Orta</t>
        </is>
      </c>
      <c r="F952" s="5" t="inlineStr"/>
      <c r="G952" s="6" t="inlineStr"/>
      <c r="H952" s="6" t="inlineStr">
        <is>
          <t>Kira geliri yazlığın taksidini karşılıyor. Denize kırk dakika, patrona dört saat uzaktasın.</t>
        </is>
      </c>
      <c r="I952" s="6" t="inlineStr">
        <is>
          <t>Uzaktan çalışmaya geçtin. Toplantılara deniz manzarasıyla katılıyorsun; iş arkadaşları kamerayı kapattı.</t>
        </is>
      </c>
      <c r="J952" s="6" t="inlineStr">
        <is>
          <t>Kiracı ilk ay kombiyi bozdu. Şimdi iki evin sorunu da senin.</t>
        </is>
      </c>
      <c r="K952" s="6" t="inlineStr">
        <is>
          <t>Kış geldi. Kasabada sen, iki kedi ve kapalı bir bakkal kaldınız.</t>
        </is>
      </c>
      <c r="L952" s="6" t="inlineStr"/>
      <c r="M952" s="5" t="inlineStr"/>
      <c r="N952" s="5" t="inlineStr"/>
      <c r="O952" s="6" t="inlineStr"/>
      <c r="P952" s="6" t="inlineStr"/>
      <c r="Q952" s="5" t="inlineStr"/>
      <c r="R952" s="5" t="inlineStr">
        <is>
          <t>ev-sahibi</t>
        </is>
      </c>
      <c r="S952" s="5" t="inlineStr"/>
      <c r="T952" s="5" t="inlineStr"/>
      <c r="U952" s="5" t="inlineStr"/>
      <c r="V952" s="5" t="inlineStr">
        <is>
          <t>yazlikci</t>
        </is>
      </c>
      <c r="W952" s="5" t="inlineStr"/>
      <c r="X952" s="5" t="inlineStr"/>
      <c r="Y952" s="5" t="inlineStr"/>
      <c r="Z952" s="6" t="inlineStr"/>
      <c r="AA952" s="5" t="inlineStr"/>
      <c r="AB952" s="5" t="inlineStr"/>
      <c r="AC952" s="5" t="inlineStr">
        <is>
          <t>Rahat</t>
        </is>
      </c>
      <c r="AD952" s="5" t="inlineStr"/>
      <c r="AE952" s="5" t="inlineStr"/>
      <c r="AF952" s="5" t="inlineStr"/>
      <c r="AG952" s="5" t="inlineStr"/>
      <c r="AH952" s="5" t="inlineStr"/>
      <c r="AI952" s="5" t="inlineStr"/>
      <c r="AJ952" s="5" t="inlineStr"/>
    </row>
    <row r="953">
      <c r="A953" s="5" t="inlineStr">
        <is>
          <t>b8-ilac-kutusu</t>
        </is>
      </c>
      <c r="B953" s="5" t="n">
        <v>1</v>
      </c>
      <c r="C953" s="6" t="inlineStr">
        <is>
          <t>Her sabah telefonla hatırlat</t>
        </is>
      </c>
      <c r="D953" s="5" t="inlineStr"/>
      <c r="E953" s="5" t="inlineStr"/>
      <c r="F953" s="5" t="inlineStr">
        <is>
          <t>İtibar +1</t>
        </is>
      </c>
      <c r="G953" s="6" t="inlineStr">
        <is>
          <t>Her sabah 08.00'de aradın. Aramadığın ilk gün onlar aradı: 'İyi misin?'</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c r="AI953" s="5" t="inlineStr"/>
      <c r="AJ953" s="5" t="inlineStr"/>
    </row>
    <row r="954">
      <c r="A954" s="5" t="inlineStr">
        <is>
          <t>b8-ilac-kutusu</t>
        </is>
      </c>
      <c r="B954" s="5" t="n">
        <v>2</v>
      </c>
      <c r="C954" s="6" t="inlineStr">
        <is>
          <t>Renkli bir tablo hazırla</t>
        </is>
      </c>
      <c r="D954" s="5" t="inlineStr">
        <is>
          <t>Akıl</t>
        </is>
      </c>
      <c r="E954" s="5" t="inlineStr">
        <is>
          <t>Orta</t>
        </is>
      </c>
      <c r="F954" s="5" t="inlineStr"/>
      <c r="G954" s="6" t="inlineStr"/>
      <c r="H954" s="6" t="inlineStr">
        <is>
          <t>Tabloyu buzdolabına astın. Babanın yorumu: 'Devlet dairesi gibi.' Övgü olarak kabul edildi.</t>
        </is>
      </c>
      <c r="I954" s="6" t="inlineStr">
        <is>
          <t>Tablon öyle anlaşılır oldu ki alt kattaki teyze de kendi ilaçlarını getirdi. Artık apartmanın bütün ilaç saatlerini sen biliyorsun; kapın sabah sekizde çalıyor.</t>
        </is>
      </c>
      <c r="J954" s="6" t="inlineStr">
        <is>
          <t>Tabloyu hazırladın; yazı çok küçük çıktı. Kimse okuyamıyor, sen dahil.</t>
        </is>
      </c>
      <c r="K954" s="6" t="inlineStr">
        <is>
          <t>Pazartesiyle perşembenin gözlerini karıştırdın. Perşembe sabahı baban kutuyu boş bulup telaşla aradı; yarım saat tartıştınız, haklı çıkan o oldu. Annen telefonu aldı: “Senin kafana da bir kutu alalım mı?”</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c r="AI954" s="5" t="inlineStr"/>
      <c r="AJ954" s="5" t="inlineStr"/>
    </row>
    <row r="955">
      <c r="A955" s="5" t="inlineStr">
        <is>
          <t>b8-ilac-kutusu</t>
        </is>
      </c>
      <c r="B955" s="5" t="n">
        <v>3</v>
      </c>
      <c r="C955" s="6" t="inlineStr">
        <is>
          <t>Eczacıyla dost ol</t>
        </is>
      </c>
      <c r="D955" s="5" t="inlineStr">
        <is>
          <t>Çene</t>
        </is>
      </c>
      <c r="E955" s="5" t="inlineStr">
        <is>
          <t>Kolay</t>
        </is>
      </c>
      <c r="F955" s="5" t="inlineStr"/>
      <c r="G955" s="6" t="inlineStr"/>
      <c r="H955" s="6" t="inlineStr">
        <is>
          <t>Eczacı seni adınla tanıyor. Reçete yenilemesi artık sohbet eşliğinde.</t>
        </is>
      </c>
      <c r="I955" s="6" t="inlineStr">
        <is>
          <t>Eczacı hatırlatma mesajı atmaya başladı. Anne-baban artık seni değil, onu arıyor.</t>
        </is>
      </c>
      <c r="J955" s="6" t="inlineStr">
        <is>
          <t>Eczacı değişti. Yeni gelen genç babanın ilacını “Reçete?” diye karşıladı. Eskisi olsa önce sorardı: “Baban nasıl?”</t>
        </is>
      </c>
      <c r="K955" s="6" t="inlineStr">
        <is>
          <t>O kadar samimi oldunuz ki eczacı sana da tansiyon ölçmeye başladı. Yüksek çıktı; annene de söyledi. Artık her sabah 08.00'de annen seni arayıp ilacını soruyor.</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c r="AI955" s="5" t="inlineStr"/>
      <c r="AJ955" s="5" t="inlineStr"/>
    </row>
    <row r="956">
      <c r="A956" s="5" t="inlineStr">
        <is>
          <t>b8-ilac-kutusu</t>
        </is>
      </c>
      <c r="B956" s="5" t="n">
        <v>4</v>
      </c>
      <c r="C956" s="6" t="inlineStr">
        <is>
          <t>Kardeşlerle nöbet çizelgesi yap</t>
        </is>
      </c>
      <c r="D956" s="5" t="inlineStr">
        <is>
          <t>Sosyal Radar</t>
        </is>
      </c>
      <c r="E956" s="5" t="inlineStr">
        <is>
          <t>Orta</t>
        </is>
      </c>
      <c r="F956" s="5" t="inlineStr"/>
      <c r="G956" s="6" t="inlineStr"/>
      <c r="H956" s="6" t="inlineStr">
        <is>
          <t>Herkes haftasını aldı. Bayram haftası hâlâ sahipsiz.</t>
        </is>
      </c>
      <c r="I956" s="6" t="inlineStr">
        <is>
          <t>Çizelge o kadar adil çıktı ki kimse itiraz etmedi; en kaytarıcı kardeşin bile. Annen çizelgeyi vitrine koydu, düğün fotoğrafının yanına.</t>
        </is>
      </c>
      <c r="J956" s="6" t="inlineStr">
        <is>
          <t>Çizelge aile grubuna gönderildi. Herkes okudu, kimse cevap vermedi. Nöbet sende.</t>
        </is>
      </c>
      <c r="K956" s="6" t="inlineStr">
        <is>
          <t>Kimseye danışmadan yapıp aile grubuna attın. Pazar günü bütün kardeşler annenlerde toplandı; çay demlendi, börek kesildi, konu sendin. Sen yoktun; çağrılmamıştın.</t>
        </is>
      </c>
      <c r="L956" s="6" t="inlineStr"/>
      <c r="M956" s="5" t="inlineStr"/>
      <c r="N956" s="5" t="inlineStr"/>
      <c r="O956" s="6" t="inlineStr"/>
      <c r="P956" s="6" t="inlineStr"/>
      <c r="Q956" s="5" t="inlineStr">
        <is>
          <t>Kuralı Koyan</t>
        </is>
      </c>
      <c r="R956" s="5" t="inlineStr"/>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c r="AI956" s="5" t="inlineStr"/>
      <c r="AJ956" s="5" t="inlineStr"/>
    </row>
    <row r="957">
      <c r="A957" s="5" t="inlineStr">
        <is>
          <t>b8-ilac-kutusu</t>
        </is>
      </c>
      <c r="B957" s="5" t="n">
        <v>5</v>
      </c>
      <c r="C957" s="6" t="inlineStr">
        <is>
          <t>Gözlüğü tak, prospektüsleri oku</t>
        </is>
      </c>
      <c r="D957" s="5" t="inlineStr"/>
      <c r="E957" s="5" t="inlineStr"/>
      <c r="F957" s="5" t="inlineStr">
        <is>
          <t>Akıl +1</t>
        </is>
      </c>
      <c r="G957" s="6" t="inlineStr">
        <is>
          <t>Bütün prospektüsleri okudun. Artık yan etkileri ezbere biliyorsun; hiçbirinde 'evlat telaşı' yazmıyor.</t>
        </is>
      </c>
      <c r="H957" s="6" t="inlineStr"/>
      <c r="I957" s="6" t="inlineStr"/>
      <c r="J957" s="6" t="inlineStr"/>
      <c r="K957" s="6" t="inlineStr"/>
      <c r="L957" s="6" t="inlineStr"/>
      <c r="M957" s="5" t="inlineStr"/>
      <c r="N957" s="5" t="inlineStr"/>
      <c r="O957" s="6" t="inlineStr"/>
      <c r="P957" s="6" t="inlineStr"/>
      <c r="Q957" s="5" t="inlineStr"/>
      <c r="R957" s="5" t="inlineStr">
        <is>
          <t>gozluklu</t>
        </is>
      </c>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c r="AI957" s="5" t="inlineStr"/>
      <c r="AJ957" s="5" t="inlineStr"/>
    </row>
    <row r="958">
      <c r="A958" s="5" t="inlineStr">
        <is>
          <t>b8-site-yoneticisi</t>
        </is>
      </c>
      <c r="B958" s="5" t="n">
        <v>1</v>
      </c>
      <c r="C958" s="6" t="inlineStr">
        <is>
          <t>Aday ol</t>
        </is>
      </c>
      <c r="D958" s="5" t="inlineStr">
        <is>
          <t>İtibar</t>
        </is>
      </c>
      <c r="E958" s="5" t="inlineStr">
        <is>
          <t>Zor</t>
        </is>
      </c>
      <c r="F958" s="5" t="inlineStr"/>
      <c r="G958" s="6" t="inlineStr"/>
      <c r="H958" s="6" t="inlineStr">
        <is>
          <t>Seçildin. İlk akşam kapın dört kez çalındı: üçüncü kat otoparkı, ikinci kat kediyi, beşinci kat dördüncünün halı silkelemesini şikâyet etti. Saat on birde kapıyı açmamayı öğrendin.</t>
        </is>
      </c>
      <c r="I958" s="6" t="inlineStr">
        <is>
          <t>Oybirliğiyle seçildin; aidat borcu olanlar bile el kaldırdı. Tahsilata onlardan başlayacaksın.</t>
        </is>
      </c>
      <c r="J958" s="6" t="inlineStr">
        <is>
          <t>Üçüncü kattaki komşu çantasından dosyasını çıkardı. Dosyalı adaylar kazanır.</t>
        </is>
      </c>
      <c r="K958" s="6" t="inlineStr">
        <is>
          <t>Seçildin. İlk hafta asansör bozuldu, ikinci hafta kombi, üçüncü hafta sen.</t>
        </is>
      </c>
      <c r="L958" s="6" t="inlineStr"/>
      <c r="M958" s="5" t="inlineStr"/>
      <c r="N958" s="5" t="inlineStr"/>
      <c r="O958" s="6" t="inlineStr"/>
      <c r="P958" s="6" t="inlineStr"/>
      <c r="Q958" s="5" t="inlineStr"/>
      <c r="R958" s="5" t="inlineStr"/>
      <c r="S958" s="5" t="inlineStr"/>
      <c r="T958" s="5" t="inlineStr">
        <is>
          <t>Aidat Tahsildarı</t>
        </is>
      </c>
      <c r="U958" s="5" t="inlineStr"/>
      <c r="V958" s="5" t="inlineStr">
        <is>
          <t>site-yoneticisi</t>
        </is>
      </c>
      <c r="W958" s="5" t="inlineStr"/>
      <c r="X958" s="5" t="inlineStr"/>
      <c r="Y958" s="5" t="inlineStr"/>
      <c r="Z958" s="6" t="inlineStr"/>
      <c r="AA958" s="5" t="inlineStr"/>
      <c r="AB958" s="5" t="inlineStr"/>
      <c r="AC958" s="5" t="inlineStr"/>
      <c r="AD958" s="5" t="inlineStr"/>
      <c r="AE958" s="5" t="inlineStr"/>
      <c r="AF958" s="5" t="inlineStr"/>
      <c r="AG958" s="5" t="inlineStr"/>
      <c r="AH958" s="5" t="inlineStr">
        <is>
          <t>İtibar 33</t>
        </is>
      </c>
      <c r="AI958" s="5" t="inlineStr"/>
      <c r="AJ958" s="5" t="inlineStr"/>
    </row>
    <row r="959">
      <c r="A959" s="5" t="inlineStr">
        <is>
          <t>b8-site-yoneticisi</t>
        </is>
      </c>
      <c r="B959" s="5" t="n">
        <v>2</v>
      </c>
      <c r="C959" s="6" t="inlineStr">
        <is>
          <t>Asansörü kendin tamir et, aidatı düşür</t>
        </is>
      </c>
      <c r="D959" s="5" t="inlineStr">
        <is>
          <t>Akıl</t>
        </is>
      </c>
      <c r="E959" s="5" t="inlineStr">
        <is>
          <t>Zor</t>
        </is>
      </c>
      <c r="F959" s="5" t="inlineStr"/>
      <c r="G959" s="6" t="inlineStr"/>
      <c r="H959" s="6" t="inlineStr">
        <is>
          <t>Asansörü tamir ettin, aidat düştü. Ertesi sabah asansörün aynasında elle yazılmış bir kâğıt vardı: “Bu asansörü 4 numara yaptı. Eline sağlık.” Altında altı imza, biri kapıcının.</t>
        </is>
      </c>
      <c r="I959" s="6" t="inlineStr">
        <is>
          <t>Tamir ettin, üstüne müzik sistemi ekledin. Site artık katlar arası konserlerle anılıyor.</t>
        </is>
      </c>
      <c r="J959" s="6" t="inlineStr">
        <is>
          <t>Tamir ettin; asansör artık yalnızca çift katlarda duruyor.</t>
        </is>
      </c>
      <c r="K959" s="6" t="inlineStr">
        <is>
          <t>Asansör seni bütün gün katlar arasında gezdirdi. Kurtarıldığında toplantı bitmiş, yönetici seçilmiştin.</t>
        </is>
      </c>
      <c r="L959" s="6" t="inlineStr"/>
      <c r="M959" s="5" t="inlineStr"/>
      <c r="N959" s="5" t="inlineStr"/>
      <c r="O959" s="6" t="inlineStr"/>
      <c r="P959" s="6" t="inlineStr"/>
      <c r="Q959" s="5" t="inlineStr"/>
      <c r="R959" s="5" t="inlineStr"/>
      <c r="S959" s="5" t="inlineStr"/>
      <c r="T959" s="5" t="inlineStr"/>
      <c r="U959" s="5" t="inlineStr"/>
      <c r="V959" s="5" t="inlineStr"/>
      <c r="W959" s="5" t="inlineStr">
        <is>
          <t>site-yoneticisi</t>
        </is>
      </c>
      <c r="X959" s="5" t="inlineStr"/>
      <c r="Y959" s="5" t="n">
        <v>3</v>
      </c>
      <c r="Z959" s="6" t="inlineStr">
        <is>
          <t>Aidatları düşürmek için asansör bakımını bizzat yaparken. Aidatlar düştü.</t>
        </is>
      </c>
      <c r="AA959" s="5" t="inlineStr"/>
      <c r="AB959" s="5" t="inlineStr"/>
      <c r="AC959" s="5" t="inlineStr"/>
      <c r="AD959" s="5" t="inlineStr"/>
      <c r="AE959" s="5" t="inlineStr"/>
      <c r="AF959" s="5" t="inlineStr"/>
      <c r="AG959" s="5" t="inlineStr"/>
      <c r="AH959" s="5" t="inlineStr"/>
      <c r="AI959" s="5" t="inlineStr"/>
      <c r="AJ959" s="5" t="inlineStr"/>
    </row>
    <row r="960">
      <c r="A960" s="5" t="inlineStr">
        <is>
          <t>b8-site-yoneticisi</t>
        </is>
      </c>
      <c r="B960" s="5" t="n">
        <v>3</v>
      </c>
      <c r="C960" s="6" t="inlineStr">
        <is>
          <t>Kedi mama kabını savun</t>
        </is>
      </c>
      <c r="D960" s="5" t="inlineStr"/>
      <c r="E960" s="5" t="inlineStr"/>
      <c r="F960" s="5" t="inlineStr">
        <is>
          <t>Gönül +1</t>
        </is>
      </c>
      <c r="G960" s="6" t="inlineStr">
        <is>
          <t>Mama kabı oybirliğiyle kaldı. Tutanağa bir satır eklendi: 'Kediler yönetimin güvencesindedir.'</t>
        </is>
      </c>
      <c r="H960" s="6" t="inlineStr"/>
      <c r="I960" s="6" t="inlineStr"/>
      <c r="J960" s="6" t="inlineStr"/>
      <c r="K960" s="6" t="inlineStr"/>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c r="AI960" s="5" t="inlineStr"/>
      <c r="AJ960" s="5" t="inlineStr"/>
    </row>
    <row r="961">
      <c r="A961" s="5" t="inlineStr">
        <is>
          <t>b8-site-yoneticisi</t>
        </is>
      </c>
      <c r="B961" s="5" t="n">
        <v>4</v>
      </c>
      <c r="C961" s="6" t="inlineStr">
        <is>
          <t>Toplantıyı yirmi dakikada bitir</t>
        </is>
      </c>
      <c r="D961" s="5" t="inlineStr">
        <is>
          <t>Kurnazlık</t>
        </is>
      </c>
      <c r="E961" s="5" t="inlineStr">
        <is>
          <t>Orta</t>
        </is>
      </c>
      <c r="F961" s="5" t="inlineStr"/>
      <c r="G961" s="6" t="inlineStr"/>
      <c r="H961" s="6" t="inlineStr">
        <is>
          <t>Gündem yirmi dakikada bitti. Sitede adın “Kronometre” oldu; aday gösterildin, reddedemedin.</t>
        </is>
      </c>
      <c r="I961" s="6" t="inlineStr">
        <is>
          <t>On sekiz dakika. Rekor. Kimse ne karar alındığını hatırlamıyor ama herkes memnun.</t>
        </is>
      </c>
      <c r="J961" s="6" t="inlineStr">
        <is>
          <t>Yirmi dakikada bitirdin; kimse kalkmadı. Serbest kürsüde iki saat otopark konuşuldu.</t>
        </is>
      </c>
      <c r="K961" s="6" t="inlineStr">
        <is>
          <t>Hızlı oylama sırasında aidatı yanlışlıkla ikiye katladın. Karar oybirliğiyle alındı.</t>
        </is>
      </c>
      <c r="L961" s="6" t="inlineStr"/>
      <c r="M961" s="5" t="inlineStr"/>
      <c r="N961" s="5" t="inlineStr"/>
      <c r="O961" s="6" t="inlineStr"/>
      <c r="P961" s="6" t="inlineStr"/>
      <c r="Q961" s="5" t="inlineStr">
        <is>
          <t>Kuralı Koyan</t>
        </is>
      </c>
      <c r="R961" s="5" t="inlineStr"/>
      <c r="S961" s="5" t="inlineStr"/>
      <c r="T961" s="5" t="inlineStr"/>
      <c r="U961" s="5" t="inlineStr"/>
      <c r="V961" s="5" t="inlineStr">
        <is>
          <t>site-yoneticisi</t>
        </is>
      </c>
      <c r="W961" s="5" t="inlineStr"/>
      <c r="X961" s="5" t="inlineStr"/>
      <c r="Y961" s="5" t="inlineStr"/>
      <c r="Z961" s="6" t="inlineStr"/>
      <c r="AA961" s="5" t="inlineStr"/>
      <c r="AB961" s="5" t="inlineStr"/>
      <c r="AC961" s="5" t="inlineStr"/>
      <c r="AD961" s="5" t="inlineStr"/>
      <c r="AE961" s="5" t="inlineStr"/>
      <c r="AF961" s="5" t="inlineStr"/>
      <c r="AG961" s="5" t="inlineStr"/>
      <c r="AH961" s="5" t="inlineStr"/>
      <c r="AI961" s="5" t="inlineStr"/>
      <c r="AJ961" s="5" t="inlineStr"/>
    </row>
    <row r="962">
      <c r="A962" s="5" t="inlineStr">
        <is>
          <t>mb-genc-yonetici</t>
        </is>
      </c>
      <c r="B962" s="5" t="n">
        <v>1</v>
      </c>
      <c r="C962" s="6" t="inlineStr">
        <is>
          <t>Mentorluk teklif et</t>
        </is>
      </c>
      <c r="D962" s="5" t="inlineStr"/>
      <c r="E962" s="5" t="inlineStr"/>
      <c r="F962" s="5" t="inlineStr">
        <is>
          <t>İtibar +1</t>
        </is>
      </c>
      <c r="G962" s="6" t="inlineStr">
        <is>
          <t>Ona her şeyi öğrettin. Bir yıl sonra yöneticisinin de yöneticisi oldu. Hâlâ sana danışıyor. Gizlice.</t>
        </is>
      </c>
      <c r="H962" s="6" t="inlineStr"/>
      <c r="I962" s="6" t="inlineStr"/>
      <c r="J962" s="6" t="inlineStr"/>
      <c r="K962" s="6" t="inlineStr"/>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c r="AI962" s="5" t="inlineStr"/>
      <c r="AJ962" s="5" t="inlineStr"/>
    </row>
    <row r="963">
      <c r="A963" s="5" t="inlineStr">
        <is>
          <t>mb-genc-yonetici</t>
        </is>
      </c>
      <c r="B963" s="5" t="n">
        <v>2</v>
      </c>
      <c r="C963" s="6" t="inlineStr">
        <is>
          <t>Onun dilini öğren</t>
        </is>
      </c>
      <c r="D963" s="5" t="inlineStr">
        <is>
          <t>Kurnazlık</t>
        </is>
      </c>
      <c r="E963" s="5" t="inlineStr">
        <is>
          <t>Kolay</t>
        </is>
      </c>
      <c r="F963" s="5" t="inlineStr"/>
      <c r="G963" s="6" t="inlineStr"/>
      <c r="H963" s="6" t="inlineStr">
        <is>
          <t>Her cümlene “aksiyon” ve “hızlıca” ekledin. Yöneticin seni toplantıda örnek gösterdi. Akşam yemekte tuzu “hızlıca” istedin; evdekiler birbirine baktı.</t>
        </is>
      </c>
      <c r="I963" s="6" t="inlineStr">
        <is>
          <t>Onun jargonunu ondan iyi konuştun. Toplantılarda artık sana tercümanlık yapıyor.</t>
        </is>
      </c>
      <c r="J963" s="6" t="inlineStr">
        <is>
          <t>'Hızlıca bir aksiyon alalım' dedin; bu ifade geçen çeyrekte kullanımdan kalkmış.</t>
        </is>
      </c>
      <c r="K963" s="6" t="inlineStr">
        <is>
          <t>Yeni jargonla bir e-posta yazdın. Kimse anlamadı. Sen de.</t>
        </is>
      </c>
      <c r="L963" s="6" t="inlineStr"/>
      <c r="M963" s="5" t="inlineStr"/>
      <c r="N963" s="5" t="inlineStr"/>
      <c r="O963" s="6" t="inlineStr"/>
      <c r="P963" s="6" t="inlineStr"/>
      <c r="Q963" s="5" t="inlineStr"/>
      <c r="R963" s="5" t="inlineStr"/>
      <c r="S963" s="5" t="inlineStr"/>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c r="AI963" s="5" t="inlineStr"/>
      <c r="AJ963" s="5" t="inlineStr"/>
    </row>
    <row r="964">
      <c r="A964" s="5" t="inlineStr">
        <is>
          <t>mb-genc-yonetici</t>
        </is>
      </c>
      <c r="B964" s="5" t="n">
        <v>3</v>
      </c>
      <c r="C964" s="6" t="inlineStr">
        <is>
          <t>Deneyimini masaya koy</t>
        </is>
      </c>
      <c r="D964" s="5" t="inlineStr">
        <is>
          <t>Akıl</t>
        </is>
      </c>
      <c r="E964" s="5" t="inlineStr">
        <is>
          <t>Orta</t>
        </is>
      </c>
      <c r="F964" s="5" t="inlineStr"/>
      <c r="G964" s="6" t="inlineStr"/>
      <c r="H964" s="6" t="inlineStr">
        <is>
          <t>“Bunu iki kez denedik, ikisinde de batırdık” dedin. Proje yeniden planlandı; yöneticin ilk kez not aldı.</t>
        </is>
      </c>
      <c r="I964" s="6" t="inlineStr">
        <is>
          <t>Eski bir raporu açtın; yeni fikir yirmi yıl önce denenmiş, belgesiyle. Toplantı saygıyla sustu.</t>
        </is>
      </c>
      <c r="J964" s="6" t="inlineStr">
        <is>
          <t>Deneyimini anlattın; yöneticin 'Çok değerli' deyip tam tersini yaptı.</t>
        </is>
      </c>
      <c r="K964" s="6" t="inlineStr">
        <is>
          <t>Deneyimini göstermek için eski bir raporu açtın. Kapakta şirket pikniğinden bir fotoğraf vardı: yöneticin bebek, senin kucağında. Toplantı orada bitti; fotoğraf ofis grubunda hâlâ dolaşıyor.</t>
        </is>
      </c>
      <c r="L964" s="6" t="inlineStr"/>
      <c r="M964" s="5" t="inlineStr"/>
      <c r="N964" s="5" t="inlineStr"/>
      <c r="O964" s="6" t="inlineStr"/>
      <c r="P964" s="6" t="inlineStr"/>
      <c r="Q964" s="5" t="inlineStr"/>
      <c r="R964" s="5" t="inlineStr"/>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c r="AI964" s="5" t="inlineStr"/>
      <c r="AJ964" s="5" t="inlineStr"/>
    </row>
    <row r="965">
      <c r="A965" s="5" t="inlineStr">
        <is>
          <t>mb-genc-yonetici</t>
        </is>
      </c>
      <c r="B965" s="5" t="n">
        <v>4</v>
      </c>
      <c r="C965" s="6" t="inlineStr">
        <is>
          <t>Genel müdürü göle çağır, yöneticiyi de</t>
        </is>
      </c>
      <c r="D965" s="5" t="inlineStr">
        <is>
          <t>Sosyal Radar</t>
        </is>
      </c>
      <c r="E965" s="5" t="inlineStr">
        <is>
          <t>Orta</t>
        </is>
      </c>
      <c r="F965" s="5" t="inlineStr"/>
      <c r="G965" s="6" t="inlineStr"/>
      <c r="H965" s="6" t="inlineStr">
        <is>
          <t>Üçünüz gölde balık tuttunuz. Pazartesi yöneticin toplantıyı senin sözünle açtı: “Önce bir de tecrübeye soralım.”</t>
        </is>
      </c>
      <c r="I965" s="6" t="inlineStr">
        <is>
          <t>Genel müdür oltasını bırakıp yeni yöneticine döndü: “Bu işi ondan öğren.” Dönüş yolunda yöneticin arabada sana çay doldurdu; termos onundu.</t>
        </is>
      </c>
      <c r="J965" s="6" t="inlineStr">
        <is>
          <t>Göle gittiniz; en büyük balığı yöneticin tuttu. Sen fotoğrafı çektin.</t>
        </is>
      </c>
      <c r="K965" s="6" t="inlineStr">
        <is>
          <t>Gölde yöneticin genel müdürle o kadar iyi anlaştı ki bir sonraki göl davetine sen çağrılmadın.</t>
        </is>
      </c>
      <c r="L965" s="6" t="inlineStr"/>
      <c r="M965" s="5" t="inlineStr"/>
      <c r="N965" s="5" t="inlineStr"/>
      <c r="O965" s="6" t="inlineStr"/>
      <c r="P965" s="6" t="inlineStr"/>
      <c r="Q965" s="5" t="inlineStr"/>
      <c r="R965" s="5" t="inlineStr">
        <is>
          <t>beyazyaka-gm-tanidik</t>
        </is>
      </c>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c r="AI965" s="5" t="inlineStr"/>
      <c r="AJ965" s="5" t="inlineStr"/>
    </row>
    <row r="966">
      <c r="A966" s="5" t="inlineStr">
        <is>
          <t>ms-atolye-kirasi</t>
        </is>
      </c>
      <c r="B966" s="5" t="n">
        <v>1</v>
      </c>
      <c r="C966" s="6" t="inlineStr">
        <is>
          <t>Atölyeyi eve taşı</t>
        </is>
      </c>
      <c r="D966" s="5" t="inlineStr"/>
      <c r="E966" s="5" t="inlineStr"/>
      <c r="F966" s="5" t="inlineStr">
        <is>
          <t>Dayanıklılık +1</t>
        </is>
      </c>
      <c r="G966" s="6" t="inlineStr">
        <is>
          <t>Atölyeyi salona taşıdın. Misafirler artık bir koltuğa değil, bir enstalasyona oturuyor.</t>
        </is>
      </c>
      <c r="H966" s="6" t="inlineStr"/>
      <c r="I966" s="6" t="inlineStr"/>
      <c r="J966" s="6" t="inlineStr"/>
      <c r="K966" s="6" t="inlineStr"/>
      <c r="L966" s="6" t="inlineStr"/>
      <c r="M966" s="5" t="inlineStr"/>
      <c r="N966" s="5" t="inlineStr"/>
      <c r="O966" s="6" t="inlineStr"/>
      <c r="P966" s="6" t="inlineStr"/>
      <c r="Q966" s="5" t="inlineStr"/>
      <c r="R966" s="5" t="inlineStr"/>
      <c r="S966" s="5" t="inlineStr"/>
      <c r="T966" s="5" t="inlineStr"/>
      <c r="U966" s="5" t="inlineStr"/>
      <c r="V966" s="5" t="inlineStr"/>
      <c r="W966" s="5" t="inlineStr"/>
      <c r="X966" s="5" t="inlineStr"/>
      <c r="Y966" s="5" t="inlineStr"/>
      <c r="Z966" s="6" t="inlineStr"/>
      <c r="AA966" s="5" t="inlineStr"/>
      <c r="AB966" s="5" t="inlineStr"/>
      <c r="AC966" s="5" t="inlineStr"/>
      <c r="AD966" s="5" t="inlineStr"/>
      <c r="AE966" s="5" t="inlineStr"/>
      <c r="AF966" s="5" t="inlineStr"/>
      <c r="AG966" s="5" t="inlineStr"/>
      <c r="AH966" s="5" t="inlineStr"/>
      <c r="AI966" s="5" t="inlineStr"/>
      <c r="AJ966" s="5" t="inlineStr"/>
    </row>
    <row r="967">
      <c r="A967" s="5" t="inlineStr">
        <is>
          <t>ms-atolye-kirasi</t>
        </is>
      </c>
      <c r="B967" s="5" t="n">
        <v>2</v>
      </c>
      <c r="C967" s="6" t="inlineStr">
        <is>
          <t>Ev sahibinin portresini yap, pazarlığa otur</t>
        </is>
      </c>
      <c r="D967" s="5" t="inlineStr">
        <is>
          <t>Çene</t>
        </is>
      </c>
      <c r="E967" s="5" t="inlineStr">
        <is>
          <t>Orta</t>
        </is>
      </c>
      <c r="F967" s="5" t="inlineStr"/>
      <c r="G967" s="6" t="inlineStr"/>
      <c r="H967" s="6" t="inlineStr">
        <is>
          <t>Portreyi çok beğendi. Kira yalnızca iki katına çıktı.</t>
        </is>
      </c>
      <c r="I967" s="6" t="inlineStr">
        <is>
          <t>Ev sahibi portreyi apartman girişine astı; önünden geçen herkese “Bunu bizim sanatçı yaptı” diyor. Kiran sabitlendi.</t>
        </is>
      </c>
      <c r="J967" s="6" t="inlineStr">
        <is>
          <t>Portreyi beğendi. Kiradan düşmedi ama çerçeve parası istemedi.</t>
        </is>
      </c>
      <c r="K967" s="6" t="inlineStr">
        <is>
          <t>Portrede burnunu biraz büyük yaptın. Kira dört katına çıktı.</t>
        </is>
      </c>
      <c r="L967" s="6" t="inlineStr"/>
      <c r="M967" s="5" t="inlineStr"/>
      <c r="N967" s="5" t="inlineStr"/>
      <c r="O967" s="6" t="inlineStr"/>
      <c r="P967" s="6" t="inlineStr"/>
      <c r="Q967" s="5" t="inlineStr"/>
      <c r="R967" s="5" t="inlineStr"/>
      <c r="S967" s="5" t="inlineStr"/>
      <c r="T967" s="5" t="inlineStr"/>
      <c r="U967" s="5" t="inlineStr"/>
      <c r="V967" s="5" t="inlineStr"/>
      <c r="W967" s="5" t="inlineStr"/>
      <c r="X967" s="5" t="inlineStr"/>
      <c r="Y967" s="5" t="inlineStr"/>
      <c r="Z967" s="6" t="inlineStr"/>
      <c r="AA967" s="5" t="inlineStr"/>
      <c r="AB967" s="5" t="inlineStr"/>
      <c r="AC967" s="5" t="inlineStr"/>
      <c r="AD967" s="5" t="inlineStr"/>
      <c r="AE967" s="5" t="inlineStr"/>
      <c r="AF967" s="5" t="inlineStr"/>
      <c r="AG967" s="5" t="inlineStr"/>
      <c r="AH967" s="5" t="inlineStr"/>
      <c r="AI967" s="5" t="inlineStr"/>
      <c r="AJ967" s="5" t="inlineStr"/>
    </row>
    <row r="968">
      <c r="A968" s="5" t="inlineStr">
        <is>
          <t>ms-atolye-kirasi</t>
        </is>
      </c>
      <c r="B968" s="5" t="n">
        <v>3</v>
      </c>
      <c r="C968" s="6" t="inlineStr">
        <is>
          <t>Fonun mekân kalemini kullan</t>
        </is>
      </c>
      <c r="D968" s="5" t="inlineStr">
        <is>
          <t>Kurnazlık</t>
        </is>
      </c>
      <c r="E968" s="5" t="inlineStr">
        <is>
          <t>Kolay</t>
        </is>
      </c>
      <c r="F968" s="5" t="inlineStr"/>
      <c r="G968" s="6" t="inlineStr"/>
      <c r="H968" s="6" t="inlineStr">
        <is>
          <t>Fon raporuna 'sanatın mekânla ilişkisi' yazdın. Kira bir yıl çözüldü.</t>
        </is>
      </c>
      <c r="I968" s="6" t="inlineStr">
        <is>
          <t>Mekân giderini anlattın; fon yetkilisi atölyeyi görmeye geldi, nem kokusuna “Otantik” dedi. Ertesi yılın bütçesi atölyene ayrıldı; nem de dahil.</t>
        </is>
      </c>
      <c r="J968" s="6" t="inlineStr">
        <is>
          <t>Fonun mekân kalemi yalnızca 'etkinlik salonu' için geçerliymiş. Atölye etkinlik sayılmıyor.</t>
        </is>
      </c>
      <c r="K968" s="6" t="inlineStr">
        <is>
          <t>Raporu gönderdin; denetçi atölyeyi ziyarete geldi ve tavandan su damladı. Üstüne.</t>
        </is>
      </c>
      <c r="L968" s="6" t="inlineStr"/>
      <c r="M968" s="5" t="inlineStr"/>
      <c r="N968" s="5" t="inlineStr"/>
      <c r="O968" s="6" t="inlineStr"/>
      <c r="P968" s="6" t="inlineStr"/>
      <c r="Q968" s="5" t="inlineStr"/>
      <c r="R968" s="5" t="inlineStr">
        <is>
          <t>serbest-fon-aldi</t>
        </is>
      </c>
      <c r="S968" s="5" t="inlineStr"/>
      <c r="T968" s="5" t="inlineStr"/>
      <c r="U968" s="5" t="inlineStr"/>
      <c r="V968" s="5" t="inlineStr"/>
      <c r="W968" s="5" t="inlineStr"/>
      <c r="X968" s="5" t="inlineStr"/>
      <c r="Y968" s="5" t="inlineStr"/>
      <c r="Z968" s="6" t="inlineStr"/>
      <c r="AA968" s="5" t="inlineStr"/>
      <c r="AB968" s="5" t="inlineStr"/>
      <c r="AC968" s="5" t="inlineStr"/>
      <c r="AD968" s="5" t="inlineStr"/>
      <c r="AE968" s="5" t="inlineStr"/>
      <c r="AF968" s="5" t="inlineStr"/>
      <c r="AG968" s="5" t="inlineStr"/>
      <c r="AH968" s="5" t="inlineStr"/>
      <c r="AI968" s="5" t="inlineStr"/>
      <c r="AJ968" s="5" t="inlineStr"/>
    </row>
    <row r="969">
      <c r="A969" s="5" t="inlineStr">
        <is>
          <t>ms-atolye-kirasi</t>
        </is>
      </c>
      <c r="B969" s="5" t="n">
        <v>4</v>
      </c>
      <c r="C969" s="6" t="inlineStr">
        <is>
          <t>Mahalledeki sanatçılarla ortak atölye kur</t>
        </is>
      </c>
      <c r="D969" s="5" t="inlineStr">
        <is>
          <t>Sosyal Radar</t>
        </is>
      </c>
      <c r="E969" s="5" t="inlineStr">
        <is>
          <t>Orta</t>
        </is>
      </c>
      <c r="F969" s="5" t="inlineStr"/>
      <c r="G969" s="6" t="inlineStr"/>
      <c r="H969" s="6" t="inlineStr">
        <is>
          <t>Beş kişi bir depoyu paylaştınız. Kira beşte bir, dedikodu beş kat.</t>
        </is>
      </c>
      <c r="I969" s="6" t="inlineStr">
        <is>
          <t>Ortak atölye bir kültür merkezine dönüştü. Belediye önünden tur otobüsü geçiriyor.</t>
        </is>
      </c>
      <c r="J969" s="6" t="inlineStr">
        <is>
          <t>Ortak atölye kuruldu; ilk ay ortak buzdolabı yüzünden dağıldı.</t>
        </is>
      </c>
      <c r="K969" s="6" t="inlineStr">
        <is>
          <t>Ortak atölyeyi kurdunuz; mahalle daha da 'sanat mahallesi' oldu. Depo kirası da üçe katlandı.</t>
        </is>
      </c>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c r="AI969" s="5" t="inlineStr"/>
      <c r="AJ969" s="5" t="inlineStr"/>
    </row>
    <row r="970">
      <c r="A970" s="5" t="inlineStr">
        <is>
          <t>b8-bakim-evraki</t>
        </is>
      </c>
      <c r="B970" s="5" t="n">
        <v>1</v>
      </c>
      <c r="C970" s="6" t="inlineStr">
        <is>
          <t>Sıranı bekle</t>
        </is>
      </c>
      <c r="D970" s="5" t="inlineStr"/>
      <c r="E970" s="5" t="inlineStr"/>
      <c r="F970" s="5" t="inlineStr">
        <is>
          <t>Dayanıklılık +1</t>
        </is>
      </c>
      <c r="G970" s="6" t="inlineStr">
        <is>
          <t>Dört saat bekledin. Sıra gelince memur “Bir fotokopi eksik” dedi. Eve dönünce annen “Yoruldun mu, yavrum?” diye sordu; “Yok” dedin. Yarın yine gideceksin.</t>
        </is>
      </c>
      <c r="H970" s="6" t="inlineStr"/>
      <c r="I970" s="6" t="inlineStr"/>
      <c r="J970" s="6" t="inlineStr"/>
      <c r="K970" s="6" t="inlineStr"/>
      <c r="L970" s="6" t="inlineStr"/>
      <c r="M970" s="5" t="inlineStr"/>
      <c r="N970" s="5" t="inlineStr"/>
      <c r="O970" s="6" t="inlineStr"/>
      <c r="P970" s="6" t="inlineStr"/>
      <c r="Q970" s="5" t="inlineStr"/>
      <c r="R970" s="5" t="inlineStr"/>
      <c r="S970" s="5" t="inlineStr"/>
      <c r="T970" s="5" t="inlineStr"/>
      <c r="U970" s="5" t="inlineStr"/>
      <c r="V970" s="5" t="inlineStr"/>
      <c r="W970" s="5" t="inlineStr"/>
      <c r="X970" s="5" t="inlineStr"/>
      <c r="Y970" s="5" t="inlineStr"/>
      <c r="Z970" s="6" t="inlineStr"/>
      <c r="AA970" s="5" t="inlineStr"/>
      <c r="AB970" s="5" t="inlineStr"/>
      <c r="AC970" s="5" t="inlineStr"/>
      <c r="AD970" s="5" t="inlineStr"/>
      <c r="AE970" s="5" t="inlineStr"/>
      <c r="AF970" s="5" t="inlineStr"/>
      <c r="AG970" s="5" t="inlineStr"/>
      <c r="AH970" s="5" t="inlineStr"/>
      <c r="AI970" s="5" t="inlineStr"/>
      <c r="AJ970" s="5" t="inlineStr"/>
    </row>
    <row r="971">
      <c r="A971" s="5" t="inlineStr">
        <is>
          <t>b8-bakim-evraki</t>
        </is>
      </c>
      <c r="B971" s="5" t="n">
        <v>2</v>
      </c>
      <c r="C971" s="6" t="inlineStr">
        <is>
          <t>Evrak listesini baştan kontrol et</t>
        </is>
      </c>
      <c r="D971" s="5" t="inlineStr">
        <is>
          <t>Akıl</t>
        </is>
      </c>
      <c r="E971" s="5" t="inlineStr">
        <is>
          <t>Orta</t>
        </is>
      </c>
      <c r="F971" s="5" t="inlineStr"/>
      <c r="G971" s="6" t="inlineStr"/>
      <c r="H971" s="6" t="inlineStr">
        <is>
          <t>Eksik fotokopiyi sıra gelmeden fark ettin. Koridordaki makineden çektin. Dosya bir seferde kabul edildi; nadir görülen bir olay.</t>
        </is>
      </c>
      <c r="I971" s="6" t="inlineStr">
        <is>
          <t>Listeyi düzenledin; arkandaki teyze dosyasını uzattı: “Benimkine de bir bak evladım.” Öğlene kadar koridorda beş dosya düzelttin; biri sana termosundan çay koydu.</t>
        </is>
      </c>
      <c r="J971" s="6" t="inlineStr">
        <is>
          <t>Listeyi kontrol ettin; liste güncellenmiş. Senin elindeki geçen yılınki.</t>
        </is>
      </c>
      <c r="K971" s="6" t="inlineStr">
        <is>
          <t>Kontrol ederken belgeleri yere düşürdün; yandaki teyzenin belgeleriyle karıştı. Kurum iki dosyayı birleştirdi. Annenin bakım kararında artık iki kişinin adı var; öbür teyze bayramda el öpmeye gelmek istiyor.</t>
        </is>
      </c>
      <c r="L971" s="6" t="inlineStr"/>
      <c r="M971" s="5" t="inlineStr"/>
      <c r="N971" s="5" t="inlineStr"/>
      <c r="O971" s="6" t="inlineStr"/>
      <c r="P971" s="6" t="inlineStr"/>
      <c r="Q971" s="5" t="inlineStr"/>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c r="AI971" s="5" t="inlineStr"/>
      <c r="AJ971" s="5" t="inlineStr"/>
    </row>
    <row r="972">
      <c r="A972" s="5" t="inlineStr">
        <is>
          <t>b8-bakim-evraki</t>
        </is>
      </c>
      <c r="B972" s="5" t="n">
        <v>3</v>
      </c>
      <c r="C972" s="6" t="inlineStr">
        <is>
          <t>Doğrudan yedi numaraya git</t>
        </is>
      </c>
      <c r="D972" s="5" t="inlineStr">
        <is>
          <t>Kurnazlık</t>
        </is>
      </c>
      <c r="E972" s="5" t="inlineStr">
        <is>
          <t>Kolay</t>
        </is>
      </c>
      <c r="F972" s="5" t="inlineStr"/>
      <c r="G972" s="6" t="inlineStr"/>
      <c r="H972" s="6" t="inlineStr">
        <is>
          <t>Yedi numara seni hemen aldı. İşlem on dakika. Koridordakiler seni kıskançlıkla izledi.</t>
        </is>
      </c>
      <c r="I972" s="6" t="inlineStr">
        <is>
          <t>Yedi numaradaki memur dosyana baktı, annenin adını okudu: “Bu teyze bizim eski komşu değil mi?” Dosyan on dakikada tamamlandı. Annene selam, sana da çay.</t>
        </is>
      </c>
      <c r="J972" s="6" t="inlineStr">
        <is>
          <t>Yedi numara 'Önce üçe uğrayın' dedi. Üç, seni yeniden yediye gönderdi.</t>
        </is>
      </c>
      <c r="K972" s="6" t="inlineStr">
        <is>
          <t>Yedi numaraya vardığın an memur camın önüne bir kâğıt astı: “Öğle arası.” Döndüğünde ekranda 348 yazıyordu. Seninki az önce okunmuş, geçmişti.</t>
        </is>
      </c>
      <c r="L972" s="6" t="inlineStr"/>
      <c r="M972" s="5" t="inlineStr"/>
      <c r="N972" s="5" t="inlineStr"/>
      <c r="O972" s="6" t="inlineStr"/>
      <c r="P972" s="6" t="inlineStr"/>
      <c r="Q972" s="5" t="inlineStr"/>
      <c r="R972" s="5" t="inlineStr"/>
      <c r="S972" s="5" t="inlineStr">
        <is>
          <t>Kurnazlık</t>
        </is>
      </c>
      <c r="T972" s="5" t="inlineStr"/>
      <c r="U972" s="5" t="inlineStr"/>
      <c r="V972" s="5" t="inlineStr"/>
      <c r="W972" s="5" t="inlineStr"/>
      <c r="X972" s="5" t="inlineStr"/>
      <c r="Y972" s="5" t="inlineStr"/>
      <c r="Z972" s="6" t="inlineStr"/>
      <c r="AA972" s="5" t="inlineStr"/>
      <c r="AB972" s="5" t="inlineStr"/>
      <c r="AC972" s="5" t="inlineStr"/>
      <c r="AD972" s="5" t="inlineStr"/>
      <c r="AE972" s="5" t="inlineStr"/>
      <c r="AF972" s="5" t="inlineStr"/>
      <c r="AG972" s="5" t="inlineStr"/>
      <c r="AH972" s="5" t="inlineStr"/>
      <c r="AI972" s="5" t="inlineStr"/>
      <c r="AJ972" s="5" t="inlineStr"/>
    </row>
    <row r="973">
      <c r="A973" s="5" t="inlineStr">
        <is>
          <t>b8-bakim-evraki</t>
        </is>
      </c>
      <c r="B973" s="5" t="n">
        <v>4</v>
      </c>
      <c r="C973" s="6" t="inlineStr">
        <is>
          <t>Memur dilinden konuş</t>
        </is>
      </c>
      <c r="D973" s="5" t="inlineStr">
        <is>
          <t>Çene</t>
        </is>
      </c>
      <c r="E973" s="5" t="inlineStr">
        <is>
          <t>Kolay</t>
        </is>
      </c>
      <c r="F973" s="5" t="inlineStr"/>
      <c r="G973" s="6" t="inlineStr"/>
      <c r="H973" s="6" t="inlineStr">
        <is>
          <t>'Dosya üst yazıyla tamamlandı mı?' diye sordun. Memur başını kaldırdı; meslektaş tanındı.</t>
        </is>
      </c>
      <c r="I973" s="6" t="inlineStr">
        <is>
          <t>Memurla aynı yönetmelik maddesini aynı anda söylediniz. İşlem beş dakika; üstüne kurum çayı.</t>
        </is>
      </c>
      <c r="J973" s="6" t="inlineStr">
        <is>
          <t>Fazla teknik konuştun. Memur 'Bu bizim birimin işi değil' dedi.</t>
        </is>
      </c>
      <c r="K973" s="6" t="inlineStr">
        <is>
          <t>Yönetmelik maddesini yanlış söyledin. Memur düzeltti ve bunu bütün servise anlattı.</t>
        </is>
      </c>
      <c r="L973" s="6" t="inlineStr"/>
      <c r="M973" s="5" t="inlineStr"/>
      <c r="N973" s="5" t="inlineStr"/>
      <c r="O973" s="6" t="inlineStr"/>
      <c r="P973" s="6" t="inlineStr"/>
      <c r="Q973" s="5" t="inlineStr"/>
      <c r="R973" s="5" t="inlineStr">
        <is>
          <t>meslek-memur</t>
        </is>
      </c>
      <c r="S973" s="5" t="inlineStr"/>
      <c r="T973" s="5" t="inlineStr"/>
      <c r="U973" s="5" t="inlineStr"/>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c r="AI973" s="5" t="inlineStr"/>
      <c r="AJ973" s="5" t="inlineStr"/>
    </row>
    <row r="974">
      <c r="A974" s="5" t="inlineStr">
        <is>
          <t>b8-ikinci-bahar</t>
        </is>
      </c>
      <c r="B974" s="5" t="n">
        <v>1</v>
      </c>
      <c r="C974" s="6" t="inlineStr">
        <is>
          <t>Gitme, evde kal</t>
        </is>
      </c>
      <c r="D974" s="5" t="inlineStr"/>
      <c r="E974" s="5" t="inlineStr"/>
      <c r="F974" s="5" t="inlineStr">
        <is>
          <t>Dayanıklılık +1</t>
        </is>
      </c>
      <c r="G974" s="6" t="inlineStr">
        <is>
          <t>Evde kaldın. Televizyon seni hiç yargılamadı. Ama bir şey de sormadı.</t>
        </is>
      </c>
      <c r="H974" s="6" t="inlineStr"/>
      <c r="I974" s="6" t="inlineStr"/>
      <c r="J974" s="6" t="inlineStr"/>
      <c r="K974" s="6" t="inlineStr"/>
      <c r="L974" s="6" t="inlineStr"/>
      <c r="M974" s="5" t="inlineStr"/>
      <c r="N974" s="5" t="inlineStr"/>
      <c r="O974" s="6" t="inlineStr"/>
      <c r="P974" s="6" t="inlineStr"/>
      <c r="Q974" s="5" t="inlineStr"/>
      <c r="R974" s="5" t="inlineStr"/>
      <c r="S974" s="5" t="inlineStr"/>
      <c r="T974" s="5" t="inlineStr"/>
      <c r="U974" s="5" t="inlineStr"/>
      <c r="V974" s="5" t="inlineStr"/>
      <c r="W974" s="5" t="inlineStr"/>
      <c r="X974" s="5" t="inlineStr"/>
      <c r="Y974" s="5" t="inlineStr"/>
      <c r="Z974" s="6" t="inlineStr"/>
      <c r="AA974" s="5" t="inlineStr"/>
      <c r="AB974" s="5" t="inlineStr"/>
      <c r="AC974" s="5" t="inlineStr"/>
      <c r="AD974" s="5" t="inlineStr"/>
      <c r="AE974" s="5" t="inlineStr"/>
      <c r="AF974" s="5" t="inlineStr"/>
      <c r="AG974" s="5" t="inlineStr"/>
      <c r="AH974" s="5" t="inlineStr"/>
      <c r="AI974" s="5" t="inlineStr"/>
      <c r="AJ974" s="5" t="inlineStr"/>
    </row>
    <row r="975">
      <c r="A975" s="5" t="inlineStr">
        <is>
          <t>b8-ikinci-bahar</t>
        </is>
      </c>
      <c r="B975" s="5" t="n">
        <v>2</v>
      </c>
      <c r="C975" s="6" t="inlineStr">
        <is>
          <t>Doğal ol</t>
        </is>
      </c>
      <c r="D975" s="5" t="inlineStr">
        <is>
          <t>Gönül</t>
        </is>
      </c>
      <c r="E975" s="5" t="inlineStr">
        <is>
          <t>Orta</t>
        </is>
      </c>
      <c r="F975" s="5" t="inlineStr"/>
      <c r="G975" s="6" t="inlineStr"/>
      <c r="H975" s="6" t="inlineStr">
        <is>
          <t>Konuştunuz, güldünüz, hesabı bölüştünüz. İkinci buluşma takvime yazıldı; kurşun kalemle, ama yazıldı.</t>
        </is>
      </c>
      <c r="I975" s="6" t="inlineStr">
        <is>
          <t>Saatin nasıl geçtiğini anlamadınız. Kafe kapanırken sandalyeleri toplamaya birlikte yardım ettiniz.</t>
        </is>
      </c>
      <c r="J975" s="6" t="inlineStr">
        <is>
          <t>Doğal oldun; fazla doğal. Bir saat bel ağrısı anlattın, sonra fıtık ameliyatı olan kuzenini.</t>
        </is>
      </c>
      <c r="K975" s="6" t="inlineStr">
        <is>
          <t>Eski eşinden söz ettin. Üç kez. Adıyla.</t>
        </is>
      </c>
      <c r="L975" s="6" t="inlineStr">
        <is>
          <t>İlk yarım saat ellerin terledi, sonra açıldın. İkinci buluşma “bakarız”a kaldı; ama gülerek söylendi.</t>
        </is>
      </c>
      <c r="M975" s="5" t="inlineStr">
        <is>
          <t>duel</t>
        </is>
      </c>
      <c r="N975" s="5" t="inlineStr">
        <is>
          <t>İlk Buluşma Sohbeti</t>
        </is>
      </c>
      <c r="O975" s="6" t="inlineStr">
        <is>
          <t>Karşındakinin sabrı bitmeden en iyi cevabı seç.</t>
        </is>
      </c>
      <c r="P975" s="6" t="inlineStr">
        <is>
          <t>{"who": "Karşındaki", "rounds": [{"q": "Siz de mi bir tanıdığın tanıdığısınız?", "o": [{"t": "Evet; umarım tanıdığımız iyi bir kahveci çıkar.", "s": 1}, {"t": "Aslında hiç gelmek istememiştim.", "s": 0.15}, {"t": "Tanıdık bilmem, kahve güzelmiş.", "s": 0.6}]}, {"q": "Ne yapıyorsunuz, emekli misiniz?", "o": [{"t": "İşten çok işlerin peşinden koşuyorum.", "s": 1}, {"t": "Evet, çok sıkıcı.", "s": 0.25}, {"t": "Hayat bana bakıyor.", "s": 0.5}]}, {"q": "Bir daha kahve içer miyiz?", "o": [{"t": "İçeriz; bu sefer benden.", "s": 1}, {"t": "Düşüneyim.", "s": 0.4}, {"t": "Teyze ayarlasın.", "s": 0.3}]}]}</t>
        </is>
      </c>
      <c r="Q975" s="5" t="inlineStr"/>
      <c r="R975" s="5" t="inlineStr"/>
      <c r="S975" s="5" t="inlineStr"/>
      <c r="T975" s="5" t="inlineStr"/>
      <c r="U975" s="5" t="inlineStr"/>
      <c r="V975" s="5" t="inlineStr">
        <is>
          <t>ikinci-bahar</t>
        </is>
      </c>
      <c r="W975" s="5" t="inlineStr"/>
      <c r="X975" s="5" t="inlineStr"/>
      <c r="Y975" s="5" t="inlineStr"/>
      <c r="Z975" s="6" t="inlineStr"/>
      <c r="AA975" s="5" t="inlineStr"/>
      <c r="AB975" s="5" t="inlineStr"/>
      <c r="AC975" s="5" t="inlineStr"/>
      <c r="AD975" s="5" t="inlineStr"/>
      <c r="AE975" s="5" t="inlineStr"/>
      <c r="AF975" s="5" t="inlineStr"/>
      <c r="AG975" s="5" t="inlineStr"/>
      <c r="AH975" s="5" t="inlineStr"/>
      <c r="AI975" s="5" t="inlineStr"/>
      <c r="AJ975" s="5" t="inlineStr"/>
    </row>
    <row r="976">
      <c r="A976" s="5" t="inlineStr">
        <is>
          <t>b8-ikinci-bahar</t>
        </is>
      </c>
      <c r="B976" s="5" t="n">
        <v>3</v>
      </c>
      <c r="C976" s="6" t="inlineStr">
        <is>
          <t>Gerginliği ilk sen kır</t>
        </is>
      </c>
      <c r="D976" s="5" t="inlineStr">
        <is>
          <t>Sosyal Radar</t>
        </is>
      </c>
      <c r="E976" s="5" t="inlineStr">
        <is>
          <t>Kolay</t>
        </is>
      </c>
      <c r="F976" s="5" t="inlineStr"/>
      <c r="G976" s="6" t="inlineStr"/>
      <c r="H976" s="6" t="inlineStr">
        <is>
          <t>'Ben de menüyü üç kez okudum' dedin. İkiniz de güldünüz; gerisi kolay geldi.</t>
        </is>
      </c>
      <c r="I976" s="6" t="inlineStr">
        <is>
          <t>Güldünüz, sonra aynı anda “Bir kahve daha?” dediniz. İkinci kahve masada soğudu; ikiniz de fark etmediniz.</t>
        </is>
      </c>
      <c r="J976" s="6" t="inlineStr">
        <is>
          <t>Espri yaptın; karşındaki 'Hangi menü?' dedi. Gerginlik ikiye katlandı.</t>
        </is>
      </c>
      <c r="K976" s="6" t="inlineStr">
        <is>
          <t>Gerginliği kırmak için gözlüğünü takıp menüyü yüksek sesle okudun, fiyatlarıyla birlikte. Yan masa güldü. Karşındaki telefonuna baktı: “Kızım arıyor.” Telefon çalmıyordu.</t>
        </is>
      </c>
      <c r="L976" s="6" t="inlineStr"/>
      <c r="M976" s="5" t="inlineStr"/>
      <c r="N976" s="5" t="inlineStr"/>
      <c r="O976" s="6" t="inlineStr"/>
      <c r="P976" s="6" t="inlineStr"/>
      <c r="Q976" s="5" t="inlineStr"/>
      <c r="R976" s="5" t="inlineStr"/>
      <c r="S976" s="5" t="inlineStr">
        <is>
          <t>Sosyal Radar</t>
        </is>
      </c>
      <c r="T976" s="5" t="inlineStr"/>
      <c r="U976" s="5" t="inlineStr"/>
      <c r="V976" s="5" t="inlineStr">
        <is>
          <t>ikinci-bahar</t>
        </is>
      </c>
      <c r="W976" s="5" t="inlineStr"/>
      <c r="X976" s="5" t="inlineStr"/>
      <c r="Y976" s="5" t="inlineStr"/>
      <c r="Z976" s="6" t="inlineStr"/>
      <c r="AA976" s="5" t="inlineStr"/>
      <c r="AB976" s="5" t="inlineStr"/>
      <c r="AC976" s="5" t="inlineStr"/>
      <c r="AD976" s="5" t="inlineStr"/>
      <c r="AE976" s="5" t="inlineStr"/>
      <c r="AF976" s="5" t="inlineStr"/>
      <c r="AG976" s="5" t="inlineStr"/>
      <c r="AH976" s="5" t="inlineStr"/>
      <c r="AI976" s="5" t="inlineStr"/>
      <c r="AJ976" s="5" t="inlineStr"/>
    </row>
    <row r="977">
      <c r="A977" s="5" t="inlineStr">
        <is>
          <t>b8-ikinci-bahar</t>
        </is>
      </c>
      <c r="B977" s="5" t="n">
        <v>4</v>
      </c>
      <c r="C977" s="6" t="inlineStr">
        <is>
          <t>Kendi hikâyene gülerek başla</t>
        </is>
      </c>
      <c r="D977" s="5" t="inlineStr">
        <is>
          <t>Pişkinlik</t>
        </is>
      </c>
      <c r="E977" s="5" t="inlineStr">
        <is>
          <t>Kolay</t>
        </is>
      </c>
      <c r="F977" s="5" t="inlineStr"/>
      <c r="G977" s="6" t="inlineStr"/>
      <c r="H977" s="6" t="inlineStr">
        <is>
          <t>'Evrak işlerinde iyiyimdir, boşanma dahil' dedin. Karşındaki kahkaha attı.</t>
        </is>
      </c>
      <c r="I977" s="6" t="inlineStr">
        <is>
          <t>Sen hikâyeni anlattın, karşındaki kendininkini. Hesap gelince ikiniz birden cüzdana uzandınız, kavga ederek ödediniz. Kapıda ikinci kahvenin sırası belliydi: “Bu sefer ben.”</t>
        </is>
      </c>
      <c r="J977" s="6" t="inlineStr">
        <is>
          <t>Espri fazla kara kaçtı. Karşındaki çayını yavaşça bitirdi.</t>
        </is>
      </c>
      <c r="K977" s="6" t="inlineStr">
        <is>
          <t>Hikâyeyi en baştan anlattın: nişandan. Kafe kapanırken sen daha düğün salonundaydın. Karşındaki taksi çağırdı; ikinci buluşmayı değil.</t>
        </is>
      </c>
      <c r="L977" s="6" t="inlineStr"/>
      <c r="M977" s="5" t="inlineStr"/>
      <c r="N977" s="5" t="inlineStr"/>
      <c r="O977" s="6" t="inlineStr"/>
      <c r="P977" s="6" t="inlineStr"/>
      <c r="Q977" s="5" t="inlineStr">
        <is>
          <t>Kendine Gülebilir</t>
        </is>
      </c>
      <c r="R977" s="5" t="inlineStr"/>
      <c r="S977" s="5" t="inlineStr"/>
      <c r="T977" s="5" t="inlineStr"/>
      <c r="U977" s="5" t="inlineStr"/>
      <c r="V977" s="5" t="inlineStr">
        <is>
          <t>ikinci-bahar</t>
        </is>
      </c>
      <c r="W977" s="5" t="inlineStr"/>
      <c r="X977" s="5" t="inlineStr"/>
      <c r="Y977" s="5" t="inlineStr"/>
      <c r="Z977" s="6" t="inlineStr"/>
      <c r="AA977" s="5" t="inlineStr"/>
      <c r="AB977" s="5" t="inlineStr"/>
      <c r="AC977" s="5" t="inlineStr"/>
      <c r="AD977" s="5" t="inlineStr"/>
      <c r="AE977" s="5" t="inlineStr"/>
      <c r="AF977" s="5" t="inlineStr"/>
      <c r="AG977" s="5" t="inlineStr"/>
      <c r="AH977" s="5" t="inlineStr"/>
      <c r="AI977" s="5" t="inlineStr"/>
      <c r="AJ977" s="5" t="inlineStr"/>
    </row>
    <row r="978">
      <c r="A978" s="5" t="inlineStr">
        <is>
          <t>me-dernek-secimi</t>
        </is>
      </c>
      <c r="B978" s="5" t="n">
        <v>1</v>
      </c>
      <c r="C978" s="6" t="inlineStr">
        <is>
          <t>Oyunu kullan, çayını iç</t>
        </is>
      </c>
      <c r="D978" s="5" t="inlineStr"/>
      <c r="E978" s="5" t="inlineStr"/>
      <c r="F978" s="5" t="inlineStr">
        <is>
          <t>Sosyal Radar +1</t>
        </is>
      </c>
      <c r="G978" s="6" t="inlineStr">
        <is>
          <t>Oyunu verdin, çayını içtin. Başkan yine seçildi; teşekkür konuşmasını yirmi yıl önceki kâğıttan okudu. Kâğıt sararmıştı, çay aynı demdeydi.</t>
        </is>
      </c>
      <c r="H978" s="6" t="inlineStr"/>
      <c r="I978" s="6" t="inlineStr"/>
      <c r="J978" s="6" t="inlineStr"/>
      <c r="K978" s="6" t="inlineStr"/>
      <c r="L978" s="6" t="inlineStr"/>
      <c r="M978" s="5" t="inlineStr"/>
      <c r="N978" s="5" t="inlineStr"/>
      <c r="O978" s="6" t="inlineStr"/>
      <c r="P978" s="6" t="inlineStr"/>
      <c r="Q978" s="5" t="inlineStr"/>
      <c r="R978" s="5" t="inlineStr"/>
      <c r="S978" s="5" t="inlineStr"/>
      <c r="T978" s="5" t="inlineStr"/>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c r="AI978" s="5" t="inlineStr"/>
      <c r="AJ978" s="5" t="inlineStr"/>
    </row>
    <row r="979">
      <c r="A979" s="5" t="inlineStr">
        <is>
          <t>me-dernek-secimi</t>
        </is>
      </c>
      <c r="B979" s="5" t="n">
        <v>2</v>
      </c>
      <c r="C979" s="6" t="inlineStr">
        <is>
          <t>Aday ol</t>
        </is>
      </c>
      <c r="D979" s="5" t="inlineStr">
        <is>
          <t>İtibar</t>
        </is>
      </c>
      <c r="E979" s="5" t="inlineStr">
        <is>
          <t>Zor</t>
        </is>
      </c>
      <c r="F979" s="5" t="inlineStr"/>
      <c r="G979" s="6" t="inlineStr"/>
      <c r="H979" s="6" t="inlineStr">
        <is>
          <t>Kazandın. İlk icraatın çarşıya ortak çöp kutusu oldu. Çöp kutusunun yeri hâlâ tartışılıyor.</t>
        </is>
      </c>
      <c r="I979" s="6" t="inlineStr">
        <is>
          <t>Farkla kazandın. Eski başkan bile sana oy verdi; sonradan yanlış kutuya attığını söyledi.</t>
        </is>
      </c>
      <c r="J979" s="6" t="inlineStr">
        <is>
          <t>Seçim günü dükkânı kapatmaya kıyamadın. Oy vermeye gidemeyen tek aday sendin.</t>
        </is>
      </c>
      <c r="K979" s="6" t="inlineStr">
        <is>
          <t>Tek oy aldın. Kimin verdiği hâlâ tartışma konusu. Senin değildi.</t>
        </is>
      </c>
      <c r="L979" s="6" t="inlineStr"/>
      <c r="M979" s="5" t="inlineStr"/>
      <c r="N979" s="5" t="inlineStr"/>
      <c r="O979" s="6" t="inlineStr"/>
      <c r="P979" s="6" t="inlineStr"/>
      <c r="Q979" s="5" t="inlineStr"/>
      <c r="R979" s="5" t="inlineStr"/>
      <c r="S979" s="5" t="inlineStr"/>
      <c r="T979" s="5" t="inlineStr"/>
      <c r="U979" s="5" t="inlineStr"/>
      <c r="V979" s="5" t="inlineStr">
        <is>
          <t>esnaf-dernek-baskani</t>
        </is>
      </c>
      <c r="W979" s="5" t="inlineStr"/>
      <c r="X979" s="5" t="inlineStr"/>
      <c r="Y979" s="5" t="inlineStr"/>
      <c r="Z979" s="6" t="inlineStr"/>
      <c r="AA979" s="5" t="inlineStr"/>
      <c r="AB979" s="5" t="inlineStr"/>
      <c r="AC979" s="5" t="inlineStr"/>
      <c r="AD979" s="5" t="inlineStr"/>
      <c r="AE979" s="5" t="inlineStr"/>
      <c r="AF979" s="5" t="inlineStr"/>
      <c r="AG979" s="5" t="inlineStr"/>
      <c r="AH979" s="5" t="inlineStr">
        <is>
          <t>İtibar 34</t>
        </is>
      </c>
      <c r="AI979" s="5" t="inlineStr">
        <is>
          <t>Tek Oy</t>
        </is>
      </c>
      <c r="AJ979" s="5" t="inlineStr"/>
    </row>
    <row r="980">
      <c r="A980" s="5" t="inlineStr">
        <is>
          <t>me-dernek-secimi</t>
        </is>
      </c>
      <c r="B980" s="5" t="n">
        <v>3</v>
      </c>
      <c r="C980" s="6" t="inlineStr">
        <is>
          <t>Seçimi organize et</t>
        </is>
      </c>
      <c r="D980" s="5" t="inlineStr">
        <is>
          <t>Sosyal Radar</t>
        </is>
      </c>
      <c r="E980" s="5" t="inlineStr">
        <is>
          <t>Kolay</t>
        </is>
      </c>
      <c r="F980" s="5" t="inlineStr"/>
      <c r="G980" s="6" t="inlineStr"/>
      <c r="H980" s="6" t="inlineStr">
        <is>
          <t>Sandık, pusula, çay, sayım: hepsini sen kurdun. Çarşının ilk tartışmasız seçimi yapıldı.</t>
        </is>
      </c>
      <c r="I980" s="6" t="inlineStr">
        <is>
          <t>İki aday da sana başkanlık teklif etti. “Ben sandığa bakarım” dedin. Çarşı o günden beri her kavgada senin dükkânına geliyor; hakemlik bedava, çay değil.</t>
        </is>
      </c>
      <c r="J980" s="6" t="inlineStr">
        <is>
          <t>Sandığın anahtarı sende kalmış. Oylar ertesi gün sayıldı; itirazlar bir hafta.</t>
        </is>
      </c>
      <c r="K980" s="6" t="inlineStr">
        <is>
          <t>Pusulaları dükkânının indirim kuponu kâğıdına bastırdın. Seçim iptal edildi, başkan yeniden seçildi; ilk kararı senin dükkânına “seçim reklamı” cezası kesmek oldu.</t>
        </is>
      </c>
      <c r="L980" s="6" t="inlineStr"/>
      <c r="M980" s="5" t="inlineStr"/>
      <c r="N980" s="5" t="inlineStr"/>
      <c r="O980" s="6" t="inlineStr"/>
      <c r="P980" s="6" t="inlineStr"/>
      <c r="Q980" s="5" t="inlineStr">
        <is>
          <t>Kuralı Koyan</t>
        </is>
      </c>
      <c r="R980" s="5" t="inlineStr"/>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c r="AI980" s="5" t="inlineStr"/>
      <c r="AJ980" s="5" t="inlineStr"/>
    </row>
    <row r="981">
      <c r="A981" s="5" t="inlineStr">
        <is>
          <t>me-dernek-secimi</t>
        </is>
      </c>
      <c r="B981" s="5" t="n">
        <v>4</v>
      </c>
      <c r="C981" s="6" t="inlineStr">
        <is>
          <t>Sınıf başkanlığını hatırlat</t>
        </is>
      </c>
      <c r="D981" s="5" t="inlineStr">
        <is>
          <t>Pişkinlik</t>
        </is>
      </c>
      <c r="E981" s="5" t="inlineStr">
        <is>
          <t>Orta</t>
        </is>
      </c>
      <c r="F981" s="5" t="inlineStr"/>
      <c r="G981" s="6" t="inlineStr"/>
      <c r="H981" s="6" t="inlineStr">
        <is>
          <t>'Ben ilkokulda da başkandım' dedin. Esnaflar güldü, sonra oy verdi.</t>
        </is>
      </c>
      <c r="I981" s="6" t="inlineStr">
        <is>
          <t>Seçim bildirgen ilkokuldaki bildirgenin aynısıydı; yalnızca “teneffüs” yerine “çay molası” yazdın. Farkla kazandın.</t>
        </is>
      </c>
      <c r="J981" s="6" t="inlineStr">
        <is>
          <t>Esnaflar güldü. Sadece güldü.</t>
        </is>
      </c>
      <c r="K981" s="6" t="inlineStr">
        <is>
          <t>Eski sınıf arkadaşın da çarşıda esnafmış. 'O zaman da söz verip yapmamıştı' dedi.</t>
        </is>
      </c>
      <c r="L981" s="6" t="inlineStr"/>
      <c r="M981" s="5" t="inlineStr"/>
      <c r="N981" s="5" t="inlineStr"/>
      <c r="O981" s="6" t="inlineStr"/>
      <c r="P981" s="6" t="inlineStr"/>
      <c r="Q981" s="5" t="inlineStr"/>
      <c r="R981" s="5" t="inlineStr">
        <is>
          <t>baskan</t>
        </is>
      </c>
      <c r="S981" s="5" t="inlineStr"/>
      <c r="T981" s="5" t="inlineStr"/>
      <c r="U981" s="5" t="inlineStr"/>
      <c r="V981" s="5" t="inlineStr">
        <is>
          <t>esnaf-dernek-baskani</t>
        </is>
      </c>
      <c r="W981" s="5" t="inlineStr"/>
      <c r="X981" s="5" t="inlineStr"/>
      <c r="Y981" s="5" t="inlineStr"/>
      <c r="Z981" s="6" t="inlineStr"/>
      <c r="AA981" s="5" t="inlineStr"/>
      <c r="AB981" s="5" t="inlineStr"/>
      <c r="AC981" s="5" t="inlineStr"/>
      <c r="AD981" s="5" t="inlineStr"/>
      <c r="AE981" s="5" t="inlineStr"/>
      <c r="AF981" s="5" t="inlineStr"/>
      <c r="AG981" s="5" t="inlineStr"/>
      <c r="AH981" s="5" t="inlineStr"/>
      <c r="AI981" s="5" t="inlineStr"/>
      <c r="AJ981" s="5" t="inlineStr"/>
    </row>
    <row r="982">
      <c r="A982" s="5" t="inlineStr">
        <is>
          <t>mm-ikinci-is-hayali</t>
        </is>
      </c>
      <c r="B982" s="5" t="n">
        <v>1</v>
      </c>
      <c r="C982" s="6" t="inlineStr">
        <is>
          <t>Planı deftere yaz</t>
        </is>
      </c>
      <c r="D982" s="5" t="inlineStr"/>
      <c r="E982" s="5" t="inlineStr"/>
      <c r="F982" s="5" t="inlineStr">
        <is>
          <t>Akıl +1, İtibar +1</t>
        </is>
      </c>
      <c r="G982" s="6" t="inlineStr">
        <is>
          <t>Menü, kira, fiyat listesi. Defterin kapağında 'Emeklilik' yazıyor, ilk sayfasında tek kelime: 'Belki.'</t>
        </is>
      </c>
      <c r="H982" s="6" t="inlineStr"/>
      <c r="I982" s="6" t="inlineStr"/>
      <c r="J982" s="6" t="inlineStr"/>
      <c r="K982" s="6" t="inlineStr"/>
      <c r="L982" s="6" t="inlineStr"/>
      <c r="M982" s="5" t="inlineStr"/>
      <c r="N982" s="5" t="inlineStr"/>
      <c r="O982" s="6" t="inlineStr"/>
      <c r="P982" s="6" t="inlineStr"/>
      <c r="Q982" s="5" t="inlineStr"/>
      <c r="R982" s="5" t="inlineStr"/>
      <c r="S982" s="5" t="inlineStr"/>
      <c r="T982" s="5" t="inlineStr"/>
      <c r="U982" s="5" t="inlineStr">
        <is>
          <t>memur-ikinci-is</t>
        </is>
      </c>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c r="AI982" s="5" t="inlineStr"/>
      <c r="AJ982" s="5" t="inlineStr"/>
    </row>
    <row r="983">
      <c r="A983" s="5" t="inlineStr">
        <is>
          <t>mm-ikinci-is-hayali</t>
        </is>
      </c>
      <c r="B983" s="5" t="n">
        <v>2</v>
      </c>
      <c r="C983" s="6" t="inlineStr">
        <is>
          <t>Hafta sonları bir kafede çalış</t>
        </is>
      </c>
      <c r="D983" s="5" t="inlineStr">
        <is>
          <t>Dayanıklılık</t>
        </is>
      </c>
      <c r="E983" s="5" t="inlineStr">
        <is>
          <t>Orta</t>
        </is>
      </c>
      <c r="F983" s="5" t="inlineStr"/>
      <c r="G983" s="6" t="inlineStr"/>
      <c r="H983" s="6" t="inlineStr">
        <is>
          <t>Hafta sonları kafede çalıştın. Pazartesi masanda esniyorsun; dilekçe getirene farkında olmadan “Şekerli mi?” diye soruyorsun.</t>
        </is>
      </c>
      <c r="I983" s="6" t="inlineStr">
        <is>
          <t>Kafe sahibi seni ortaklığa davet etti. Tabelaya ikinizin adı yazılacak; seninki emekli olana kadar küçük puntoyla.</t>
        </is>
      </c>
      <c r="J983" s="6" t="inlineStr">
        <is>
          <t>İlk gün bir fincanı üç kez imzalamaya çalıştın. Refleks.</t>
        </is>
      </c>
      <c r="K983" s="6" t="inlineStr">
        <is>
          <t>Kafeye müdürün geldi; kahvesini sen getirdin. Önlüğüne baktı, sonra yüzüne: “Pazartesi raporlu musun?” Pazartesi masanda iki nüsha bir form duruyordu: “Ek iş beyanı.”</t>
        </is>
      </c>
      <c r="L983" s="6" t="inlineStr"/>
      <c r="M983" s="5" t="inlineStr"/>
      <c r="N983" s="5" t="inlineStr"/>
      <c r="O983" s="6" t="inlineStr"/>
      <c r="P983" s="6" t="inlineStr"/>
      <c r="Q983" s="5" t="inlineStr"/>
      <c r="R983" s="5" t="inlineStr"/>
      <c r="S983" s="5" t="inlineStr"/>
      <c r="T983" s="5" t="inlineStr"/>
      <c r="U983" s="5" t="inlineStr"/>
      <c r="V983" s="5" t="inlineStr">
        <is>
          <t>memur-ikinci-is</t>
        </is>
      </c>
      <c r="W983" s="5" t="inlineStr">
        <is>
          <t>memur-mudur-dusmani</t>
        </is>
      </c>
      <c r="X983" s="5" t="inlineStr"/>
      <c r="Y983" s="5" t="inlineStr"/>
      <c r="Z983" s="6" t="inlineStr"/>
      <c r="AA983" s="5" t="inlineStr"/>
      <c r="AB983" s="5" t="inlineStr"/>
      <c r="AC983" s="5" t="inlineStr"/>
      <c r="AD983" s="5" t="inlineStr"/>
      <c r="AE983" s="5" t="inlineStr"/>
      <c r="AF983" s="5" t="inlineStr"/>
      <c r="AG983" s="5" t="inlineStr"/>
      <c r="AH983" s="5" t="inlineStr"/>
      <c r="AI983" s="5" t="inlineStr"/>
      <c r="AJ983" s="5" t="inlineStr"/>
    </row>
    <row r="984">
      <c r="A984" s="5" t="inlineStr">
        <is>
          <t>mm-ikinci-is-hayali</t>
        </is>
      </c>
      <c r="B984" s="5" t="n">
        <v>3</v>
      </c>
      <c r="C984" s="6" t="inlineStr">
        <is>
          <t>İş planı çıkar</t>
        </is>
      </c>
      <c r="D984" s="5" t="inlineStr">
        <is>
          <t>Akıl</t>
        </is>
      </c>
      <c r="E984" s="5" t="inlineStr">
        <is>
          <t>Kolay</t>
        </is>
      </c>
      <c r="F984" s="5" t="inlineStr"/>
      <c r="G984" s="6" t="inlineStr"/>
      <c r="H984" s="6" t="inlineStr">
        <is>
          <t>Plan hazır. Banka 'Devlet maaşı güvenilirdir' dedi ve kredi ön onayı verdi.</t>
        </is>
      </c>
      <c r="I984" s="6" t="inlineStr">
        <is>
          <t>Bir kafe zinciri planını satın almak istedi. Satmadın. Teklif mektubunu katlayıp defterin arasına koydun, “Belki” yazan sayfaya.</t>
        </is>
      </c>
      <c r="J984" s="6" t="inlineStr">
        <is>
          <t>Planı bitirdin. Kira satırına gelince hesap makinesini kapattın, defteri de. Kafeyi bir sonraki öğle arasına erteledin.</t>
        </is>
      </c>
      <c r="K984" s="6" t="inlineStr">
        <is>
          <t>Planı yıllık izin formunun arkasına yazmışsın. Form müdüre gitti, oradan arşive; kafen şimdi bir klasörün içinde.</t>
        </is>
      </c>
      <c r="L984" s="6" t="inlineStr"/>
      <c r="M984" s="5" t="inlineStr"/>
      <c r="N984" s="5" t="inlineStr"/>
      <c r="O984" s="6" t="inlineStr"/>
      <c r="P984" s="6" t="inlineStr"/>
      <c r="Q984" s="5" t="inlineStr">
        <is>
          <t>Sofra Müteahhidi</t>
        </is>
      </c>
      <c r="R984" s="5" t="inlineStr"/>
      <c r="S984" s="5" t="inlineStr"/>
      <c r="T984" s="5" t="inlineStr"/>
      <c r="U984" s="5" t="inlineStr"/>
      <c r="V984" s="5" t="inlineStr">
        <is>
          <t>memur-ikinci-is</t>
        </is>
      </c>
      <c r="W984" s="5" t="inlineStr"/>
      <c r="X984" s="5" t="inlineStr"/>
      <c r="Y984" s="5" t="inlineStr"/>
      <c r="Z984" s="6" t="inlineStr"/>
      <c r="AA984" s="5" t="inlineStr"/>
      <c r="AB984" s="5" t="inlineStr"/>
      <c r="AC984" s="5" t="inlineStr"/>
      <c r="AD984" s="5" t="inlineStr"/>
      <c r="AE984" s="5" t="inlineStr"/>
      <c r="AF984" s="5" t="inlineStr"/>
      <c r="AG984" s="5" t="inlineStr"/>
      <c r="AH984" s="5" t="inlineStr"/>
      <c r="AI984" s="5" t="inlineStr"/>
      <c r="AJ984" s="5" t="inlineStr"/>
    </row>
    <row r="985">
      <c r="A985" s="5" t="inlineStr">
        <is>
          <t>mm-ikinci-is-hayali</t>
        </is>
      </c>
      <c r="B985" s="5" t="n">
        <v>4</v>
      </c>
      <c r="C985" s="6" t="inlineStr">
        <is>
          <t>Hayalden vazgeç</t>
        </is>
      </c>
      <c r="D985" s="5" t="inlineStr"/>
      <c r="E985" s="5" t="inlineStr"/>
      <c r="F985" s="5" t="inlineStr">
        <is>
          <t>Dayanıklılık +1</t>
        </is>
      </c>
      <c r="G985" s="6" t="inlineStr">
        <is>
          <t>Menüyü atmadın ama çekmeceye koydun; eski maaş bordrolarının altına, ara sıra bakarsın diye.</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c r="AI985" s="5" t="inlineStr"/>
      <c r="AJ985" s="5" t="inlineStr"/>
    </row>
    <row r="986">
      <c r="A986" s="5" t="inlineStr">
        <is>
          <t>b8-cocuk-fenomen</t>
        </is>
      </c>
      <c r="B986" s="5" t="n">
        <v>1</v>
      </c>
      <c r="C986" s="6" t="inlineStr">
        <is>
          <t>Rolü kabul et, yeni bölüm çek</t>
        </is>
      </c>
      <c r="D986" s="5" t="inlineStr">
        <is>
          <t>Pişkinlik</t>
        </is>
      </c>
      <c r="E986" s="5" t="inlineStr">
        <is>
          <t>Orta</t>
        </is>
      </c>
      <c r="F986" s="5" t="inlineStr"/>
      <c r="G986" s="6" t="inlineStr"/>
      <c r="H986" s="6" t="inlineStr">
        <is>
          <t>Yeni bölüm: “Bizimki yazıcıyla konuşuyor.” Hayran sayfası açıldı; yorumların yarısı yazıcıya selam söylüyor.</t>
        </is>
      </c>
      <c r="I986" s="6" t="inlineStr">
        <is>
          <t>Bir reklam anlaşması geldi. Çocuğun sana ilk kez harçlık verdi; sen de aldın, cebine koydun.</t>
        </is>
      </c>
      <c r="J986" s="6" t="inlineStr">
        <is>
          <t>Kamera karşısında doğal olamadın. Yorumlar: 'Senaryolu.'</t>
        </is>
      </c>
      <c r="K986" s="6" t="inlineStr">
        <is>
          <t>Çekimde yazıcıyla gerçekten kavga ettin. Video bu sefer gerçekten patladı; yazıcı da.</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c r="AI986" s="5" t="inlineStr"/>
      <c r="AJ986" s="5" t="inlineStr"/>
    </row>
    <row r="987">
      <c r="A987" s="5" t="inlineStr">
        <is>
          <t>b8-cocuk-fenomen</t>
        </is>
      </c>
      <c r="B987" s="5" t="n">
        <v>2</v>
      </c>
      <c r="C987" s="6" t="inlineStr">
        <is>
          <t>Videonun kaldırılmasını iste</t>
        </is>
      </c>
      <c r="D987" s="5" t="inlineStr">
        <is>
          <t>Cesaret</t>
        </is>
      </c>
      <c r="E987" s="5" t="inlineStr">
        <is>
          <t>Zor</t>
        </is>
      </c>
      <c r="F987" s="5" t="inlineStr"/>
      <c r="G987" s="6" t="inlineStr"/>
      <c r="H987" s="6" t="inlineStr">
        <is>
          <t>Videoyu kaldırdı. Yerine “Bizimki videoyu kaldırttı” videosunu çekti. Daha çok izlendi.</t>
        </is>
      </c>
      <c r="I987" s="6" t="inlineStr">
        <is>
          <t>Kaldırdı ve özür diledi. Sonra birlikte bir kural listesi yazdınız. Liste de viral oldu.</t>
        </is>
      </c>
      <c r="J987" s="6" t="inlineStr">
        <is>
          <t>Kaldırmadı; 'Özgür sanat' dedi. Sanatın konusu sensin.</t>
        </is>
      </c>
      <c r="K987" s="6" t="inlineStr">
        <is>
          <t>Konuşmanızı gizlice çekmiş. Yeni video: “Bizimki video hakkında konuşuyor.” Seri üçüncü sezonunda.</t>
        </is>
      </c>
      <c r="L987" s="6" t="inlineStr"/>
      <c r="M987" s="5" t="inlineStr"/>
      <c r="N987" s="5" t="inlineStr"/>
      <c r="O987" s="6" t="inlineStr"/>
      <c r="P987" s="6" t="inlineStr"/>
      <c r="Q987" s="5" t="inlineStr"/>
      <c r="R987" s="5" t="inlineStr"/>
      <c r="S987" s="5" t="inlineStr"/>
      <c r="T987" s="5" t="inlineStr">
        <is>
          <t>Sözünü Geçirir</t>
        </is>
      </c>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c r="AI987" s="5" t="inlineStr"/>
      <c r="AJ987" s="5" t="inlineStr"/>
    </row>
    <row r="988">
      <c r="A988" s="5" t="inlineStr">
        <is>
          <t>b8-cocuk-fenomen</t>
        </is>
      </c>
      <c r="B988" s="5" t="n">
        <v>3</v>
      </c>
      <c r="C988" s="6" t="inlineStr">
        <is>
          <t>Yorumları okumadan yaşa</t>
        </is>
      </c>
      <c r="D988" s="5" t="inlineStr"/>
      <c r="E988" s="5" t="inlineStr"/>
      <c r="F988" s="5" t="inlineStr">
        <is>
          <t>Dayanıklılık +1</t>
        </is>
      </c>
      <c r="G988" s="6" t="inlineStr">
        <is>
          <t>Hiçbir yorumu okumadın. Markette biri seni tanıdı ve yazıcını sordu. Yazıcın iyi.</t>
        </is>
      </c>
      <c r="H988" s="6" t="inlineStr"/>
      <c r="I988" s="6" t="inlineStr"/>
      <c r="J988" s="6" t="inlineStr"/>
      <c r="K988" s="6" t="inlineStr"/>
      <c r="L988" s="6" t="inlineStr"/>
      <c r="M988" s="5" t="inlineStr"/>
      <c r="N988" s="5" t="inlineStr"/>
      <c r="O988" s="6" t="inlineStr"/>
      <c r="P988" s="6" t="inlineStr"/>
      <c r="Q988" s="5" t="inlineStr"/>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c r="AI988" s="5" t="inlineStr"/>
      <c r="AJ988" s="5" t="inlineStr"/>
    </row>
    <row r="989">
      <c r="A989" s="5" t="inlineStr">
        <is>
          <t>b8-cocuk-fenomen</t>
        </is>
      </c>
      <c r="B989" s="5" t="n">
        <v>4</v>
      </c>
      <c r="C989" s="6" t="inlineStr">
        <is>
          <t>Eski hesabını aç, düello yap</t>
        </is>
      </c>
      <c r="D989" s="5" t="inlineStr">
        <is>
          <t>Pişkinlik</t>
        </is>
      </c>
      <c r="E989" s="5" t="inlineStr">
        <is>
          <t>Kolay</t>
        </is>
      </c>
      <c r="F989" s="5" t="inlineStr"/>
      <c r="G989" s="6" t="inlineStr"/>
      <c r="H989" s="6" t="inlineStr">
        <is>
          <t>Kendi eski hesabından cevap videosu çektin. Takipçiler ikiye bölündü; aile içi derbi başladı.</t>
        </is>
      </c>
      <c r="I989" s="6" t="inlineStr">
        <is>
          <t>Düello videonuz ikinizinkinden de çok izlendi. Ortak hesap açıldı; tapu gibi, yarı yarıya.</t>
        </is>
      </c>
      <c r="J989" s="6" t="inlineStr">
        <is>
          <t>Eski hesabının şifresini hatırlayamadın. Şifre sıfırlama e-postası, kapanmış bir adrese gitti.</t>
        </is>
      </c>
      <c r="K989" s="6" t="inlineStr">
        <is>
          <t>Cevap videon çocuğunkinden az izlendi. Çocuğun yeni videosu: “Bizimki benimle yarışıyor.” O da seninkinden çok izlendi.</t>
        </is>
      </c>
      <c r="L989" s="6" t="inlineStr"/>
      <c r="M989" s="5" t="inlineStr"/>
      <c r="N989" s="5" t="inlineStr"/>
      <c r="O989" s="6" t="inlineStr"/>
      <c r="P989" s="6" t="inlineStr"/>
      <c r="Q989" s="5" t="inlineStr"/>
      <c r="R989" s="5" t="inlineStr">
        <is>
          <t>fenomen</t>
        </is>
      </c>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c r="AI989" s="5" t="inlineStr"/>
      <c r="AJ989" s="5" t="inlineStr"/>
    </row>
    <row r="990">
      <c r="A990" s="5" t="inlineStr">
        <is>
          <t>b8-yapay-zeka-egitimi</t>
        </is>
      </c>
      <c r="B990" s="5" t="n">
        <v>1</v>
      </c>
      <c r="C990" s="6" t="inlineStr">
        <is>
          <t>Not al, sessizce öğren</t>
        </is>
      </c>
      <c r="D990" s="5" t="inlineStr"/>
      <c r="E990" s="5" t="inlineStr"/>
      <c r="F990" s="5" t="inlineStr">
        <is>
          <t>Akıl +1, Dayanıklılık +1</t>
        </is>
      </c>
      <c r="G990" s="6" t="inlineStr">
        <is>
          <t>Not aldın. Eğitim sonunda yapay zekâya bir e-posta yazdırdın. E-posta senden daha kibar.</t>
        </is>
      </c>
      <c r="H990" s="6" t="inlineStr"/>
      <c r="I990" s="6" t="inlineStr"/>
      <c r="J990" s="6" t="inlineStr"/>
      <c r="K990" s="6" t="inlineStr"/>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c r="AI990" s="5" t="inlineStr"/>
      <c r="AJ990" s="5" t="inlineStr"/>
    </row>
    <row r="991">
      <c r="A991" s="5" t="inlineStr">
        <is>
          <t>b8-yapay-zeka-egitimi</t>
        </is>
      </c>
      <c r="B991" s="5" t="n">
        <v>2</v>
      </c>
      <c r="C991" s="6" t="inlineStr">
        <is>
          <t>Yapay zekâya tüm işini yaptır</t>
        </is>
      </c>
      <c r="D991" s="5" t="inlineStr">
        <is>
          <t>Kurnazlık</t>
        </is>
      </c>
      <c r="E991" s="5" t="inlineStr">
        <is>
          <t>Orta</t>
        </is>
      </c>
      <c r="F991" s="5" t="inlineStr"/>
      <c r="G991" s="6" t="inlineStr"/>
      <c r="H991" s="6" t="inlineStr">
        <is>
          <t>Haftalık raporu yapay zekâ yazdı. Müdür 'Bu hafta çok iyi yazmışsın' dedi. Teşekkür ettin; ikiniz adına.</t>
        </is>
      </c>
      <c r="I991" s="6" t="inlineStr">
        <is>
          <t>Bütün işini otomatikleştirdin. Artık günde iki saat çalışıp altı saat 'strateji' yapıyorsun.</t>
        </is>
      </c>
      <c r="J991" s="6" t="inlineStr">
        <is>
          <t>Rapor fazla kusursuz çıktı. Müdür 'Bunu sen mi yazdın?' diye sordu. Yalan söylemek için bile yardım istedin.</t>
        </is>
      </c>
      <c r="K991" s="6" t="inlineStr">
        <is>
          <t>Yapay zekâ raporuna bir şiir ekledi. Rapor yönetim kuruluna gitti. Şiir de.</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c r="AI991" s="5" t="inlineStr"/>
      <c r="AJ991" s="5" t="inlineStr"/>
    </row>
    <row r="992">
      <c r="A992" s="5" t="inlineStr">
        <is>
          <t>b8-yapay-zeka-egitimi</t>
        </is>
      </c>
      <c r="B992" s="5" t="n">
        <v>3</v>
      </c>
      <c r="C992" s="6" t="inlineStr">
        <is>
          <t>Eğitmene faksı anlat</t>
        </is>
      </c>
      <c r="D992" s="5" t="inlineStr">
        <is>
          <t>Çene</t>
        </is>
      </c>
      <c r="E992" s="5" t="inlineStr">
        <is>
          <t>Kolay</t>
        </is>
      </c>
      <c r="F992" s="5" t="inlineStr"/>
      <c r="G992" s="6" t="inlineStr"/>
      <c r="H992" s="6" t="inlineStr">
        <is>
          <t>Eğitmen faksı ağzı açık dinledi, sonunda sordu: “Yani kâğıdı telefonla mı gönderiyordunuz?” “Evet.” Eğitimin geri kalanında sana herkesten yavaş anlattı.</t>
        </is>
      </c>
      <c r="I992" s="6" t="inlineStr">
        <is>
          <t>Faks hikâyen o kadar ilgi gördü ki şirket içi 'Eski Teknolojiler' semineri istendi. Konuşmacı: sen.</t>
        </is>
      </c>
      <c r="J992" s="6" t="inlineStr">
        <is>
          <t>Eğitmen 'Faks bir tür sosyal medya mı?' diye sordu. Cevap veremedin.</t>
        </is>
      </c>
      <c r="K992" s="6" t="inlineStr">
        <is>
          <t>Faksı anlatırken sesini de taklit ettin: “Dıııt, kşşşş.” Eğitmen videoya alıp şirket grubuna attı. Bir haftadır koridorda seni o sesle selamlıyorlar.</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c r="AI992" s="5" t="inlineStr">
        <is>
          <t>Faks</t>
        </is>
      </c>
      <c r="AJ992" s="5" t="inlineStr"/>
    </row>
    <row r="993">
      <c r="A993" s="5" t="inlineStr">
        <is>
          <t>b8-yapay-zeka-egitimi</t>
        </is>
      </c>
      <c r="B993" s="5" t="n">
        <v>4</v>
      </c>
      <c r="C993" s="6" t="inlineStr">
        <is>
          <t>Eğitmene soru yağdır</t>
        </is>
      </c>
      <c r="D993" s="5" t="inlineStr">
        <is>
          <t>Akıl</t>
        </is>
      </c>
      <c r="E993" s="5" t="inlineStr">
        <is>
          <t>Zor</t>
        </is>
      </c>
      <c r="F993" s="5" t="inlineStr"/>
      <c r="G993" s="6" t="inlineStr"/>
      <c r="H993" s="6" t="inlineStr">
        <is>
          <t>Sorularının yarısına cevap verildi. Diğer yarısı eğitmenin gece ödevi oldu.</t>
        </is>
      </c>
      <c r="I993" s="6" t="inlineStr">
        <is>
          <t>Eğitimin sonunda eğitmen sana döndü: “Beni siz eğittiniz.” Ertesi hafta eğitmenin annesi aradı; yapay zekâyı telefonda ona da anlatmanı istiyor.</t>
        </is>
      </c>
      <c r="J993" s="6" t="inlineStr">
        <is>
          <t>Sorular teknikti, cevaplar daha teknikti. Eğitim uzadı; öğle yemeği kısaldı.</t>
        </is>
      </c>
      <c r="K993" s="6" t="inlineStr">
        <is>
          <t>Soru sorarken yapay zekâ senin sorunu senin yerine cevapladı. Yanlış cevapladı. Sen de onayladın.</t>
        </is>
      </c>
      <c r="L993" s="6" t="inlineStr"/>
      <c r="M993" s="5" t="inlineStr"/>
      <c r="N993" s="5" t="inlineStr"/>
      <c r="O993" s="6" t="inlineStr"/>
      <c r="P993" s="6" t="inlineStr"/>
      <c r="Q993" s="5" t="inlineStr">
        <is>
          <t>Şifreyi Bilen</t>
        </is>
      </c>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c r="AI993" s="5" t="inlineStr"/>
      <c r="AJ993" s="5" t="inlineStr"/>
    </row>
    <row r="994">
      <c r="A994" s="5" t="inlineStr">
        <is>
          <t>b8-emeklilik-hesabi</t>
        </is>
      </c>
      <c r="B994" s="5" t="n">
        <v>1</v>
      </c>
      <c r="C994" s="6" t="inlineStr">
        <is>
          <t>Bir yıl sonra yeniden hesapla</t>
        </is>
      </c>
      <c r="D994" s="5" t="inlineStr"/>
      <c r="E994" s="5" t="inlineStr"/>
      <c r="F994" s="5" t="inlineStr">
        <is>
          <t>Dayanıklılık +1</t>
        </is>
      </c>
      <c r="G994" s="6" t="inlineStr">
        <is>
          <t>Bir yıl sonra yeniden hesapladın. Sonuç: 'Bir yıl sonra yeniden hesaplayın.'</t>
        </is>
      </c>
      <c r="H994" s="6" t="inlineStr"/>
      <c r="I994" s="6" t="inlineStr"/>
      <c r="J994" s="6" t="inlineStr"/>
      <c r="K994" s="6" t="inlineStr"/>
      <c r="L994" s="6" t="inlineStr"/>
      <c r="M994" s="5" t="inlineStr"/>
      <c r="N994" s="5" t="inlineStr"/>
      <c r="O994" s="6" t="inlineStr"/>
      <c r="P994" s="6" t="inlineStr"/>
      <c r="Q994" s="5" t="inlineStr"/>
      <c r="R994" s="5" t="inlineStr"/>
      <c r="S994" s="5" t="inlineStr"/>
      <c r="T994" s="5" t="inlineStr"/>
      <c r="U994" s="5" t="inlineStr"/>
      <c r="V994" s="5" t="inlineStr"/>
      <c r="W994" s="5" t="inlineStr"/>
      <c r="X994" s="5" t="inlineStr"/>
      <c r="Y994" s="5" t="inlineStr"/>
      <c r="Z994" s="6" t="inlineStr"/>
      <c r="AA994" s="5" t="inlineStr"/>
      <c r="AB994" s="5" t="inlineStr"/>
      <c r="AC994" s="5" t="inlineStr"/>
      <c r="AD994" s="5" t="inlineStr"/>
      <c r="AE994" s="5" t="inlineStr"/>
      <c r="AF994" s="5" t="inlineStr"/>
      <c r="AG994" s="5" t="inlineStr"/>
      <c r="AH994" s="5" t="inlineStr"/>
      <c r="AI994" s="5" t="inlineStr"/>
      <c r="AJ994" s="5" t="inlineStr"/>
    </row>
    <row r="995">
      <c r="A995" s="5" t="inlineStr">
        <is>
          <t>b8-emeklilik-hesabi</t>
        </is>
      </c>
      <c r="B995" s="5" t="n">
        <v>2</v>
      </c>
      <c r="C995" s="6" t="inlineStr">
        <is>
          <t>Hizmet dökümünü satır satır incele</t>
        </is>
      </c>
      <c r="D995" s="5" t="inlineStr">
        <is>
          <t>Akıl</t>
        </is>
      </c>
      <c r="E995" s="5" t="inlineStr">
        <is>
          <t>Orta</t>
        </is>
      </c>
      <c r="F995" s="5" t="inlineStr"/>
      <c r="G995" s="6" t="inlineStr"/>
      <c r="H995" s="6" t="inlineStr">
        <is>
          <t>Eksik yüz gün buldun. Eski bir işverenin bildirmemiş. Dilekçe gönderildi; gün geri geldi.</t>
        </is>
      </c>
      <c r="I995" s="6" t="inlineStr">
        <is>
          <t>Dökümdeki üç hatayı düzelttirdin; emeklilik tarihin bir yıl öne çekildi. Haberi aile grubuna yazdın; eniştenin cevabı hemen geldi: “Bizimkine de bir bakar mısın?”</t>
        </is>
      </c>
      <c r="J995" s="6" t="inlineStr">
        <is>
          <t>Dökümü inceledin; hiçbir şey anlamadın. Kahvede emekli bir komşuya gösterdin; o da anlamadı ama bir saat yorum yaptı.</t>
        </is>
      </c>
      <c r="K995" s="6" t="inlineStr">
        <is>
          <t>İnceledin, fazladan iki yüz gün buldun ve dürüstçe bildirdin. Kurum hesabı yeniden yaptı: emekliliğin üç yıl ileri gitti. Gişedeki memur “Kimse bildirmez, siz bildirdiniz” dedi; övgü müydü acıma mı, anlayamadın.</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c r="AI995" s="5" t="inlineStr"/>
      <c r="AJ995" s="5" t="inlineStr"/>
    </row>
    <row r="996">
      <c r="A996" s="5" t="inlineStr">
        <is>
          <t>b8-emeklilik-hesabi</t>
        </is>
      </c>
      <c r="B996" s="5" t="n">
        <v>3</v>
      </c>
      <c r="C996" s="6" t="inlineStr">
        <is>
          <t>Askerlik borçlanması yap</t>
        </is>
      </c>
      <c r="D996" s="5" t="inlineStr"/>
      <c r="E996" s="5" t="inlineStr"/>
      <c r="F996" s="5" t="inlineStr">
        <is>
          <t>Kurnazlık +1</t>
        </is>
      </c>
      <c r="G996" s="6" t="inlineStr">
        <is>
          <t>Askerlik süreni borçlanarak prim gününe ekledin. Dört ay erken emeklilik. Kışlada nöbet tuttuğun geceler, sonunda ödendi.</t>
        </is>
      </c>
      <c r="H996" s="6" t="inlineStr"/>
      <c r="I996" s="6" t="inlineStr"/>
      <c r="J996" s="6" t="inlineStr"/>
      <c r="K996" s="6" t="inlineStr"/>
      <c r="L996" s="6" t="inlineStr"/>
      <c r="M996" s="5" t="inlineStr"/>
      <c r="N996" s="5" t="inlineStr"/>
      <c r="O996" s="6" t="inlineStr"/>
      <c r="P996" s="6" t="inlineStr"/>
      <c r="Q996" s="5" t="inlineStr"/>
      <c r="R996" s="5" t="inlineStr">
        <is>
          <t>askerlik-yapti</t>
        </is>
      </c>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c r="AI996" s="5" t="inlineStr"/>
      <c r="AJ996" s="5" t="inlineStr"/>
    </row>
    <row r="997">
      <c r="A997" s="5" t="inlineStr">
        <is>
          <t>b8-emeklilik-hesabi</t>
        </is>
      </c>
      <c r="B997" s="5" t="n">
        <v>4</v>
      </c>
      <c r="C997" s="6" t="inlineStr">
        <is>
          <t>Yastık altını say</t>
        </is>
      </c>
      <c r="D997" s="5" t="inlineStr">
        <is>
          <t>Kurnazlık</t>
        </is>
      </c>
      <c r="E997" s="5" t="inlineStr">
        <is>
          <t>Kolay</t>
        </is>
      </c>
      <c r="F997" s="5" t="inlineStr"/>
      <c r="G997" s="6" t="inlineStr"/>
      <c r="H997" s="6" t="inlineStr">
        <is>
          <t>Yastık altı tahmininden fazla çıktı. Emeklilik planı B hazır.</t>
        </is>
      </c>
      <c r="I997" s="6" t="inlineStr">
        <is>
          <t>Saydıkça çıktı: eski paltonun cebinden, bir kitabın arasından, kışlık çizmenin içinden. Toplam, bankanın planından fazla. Annen telefonda “Benden öğrendin” dedi.</t>
        </is>
      </c>
      <c r="J997" s="6" t="inlineStr">
        <is>
          <t>Saydın; enflasyon senden önce saymış.</t>
        </is>
      </c>
      <c r="K997" s="6" t="inlineStr">
        <is>
          <t>Saydın; destenin yarısı çoktan tedavülden kalkmış. Bankadaki genç memur bir tanesini ışığa tuttu: “Bunlar artık geçmiyor. Ama çok güzel duruyor.”</t>
        </is>
      </c>
      <c r="L997" s="6" t="inlineStr"/>
      <c r="M997" s="5" t="inlineStr"/>
      <c r="N997" s="5" t="inlineStr"/>
      <c r="O997" s="6" t="inlineStr"/>
      <c r="P997" s="6" t="inlineStr"/>
      <c r="Q997" s="5" t="inlineStr">
        <is>
          <t>Yastık Altı Ekonomisti</t>
        </is>
      </c>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c r="AI997" s="5" t="inlineStr"/>
      <c r="AJ997" s="5" t="inlineStr"/>
    </row>
    <row r="998">
      <c r="A998" s="5" t="inlineStr">
        <is>
          <t>b8-bos-yuva</t>
        </is>
      </c>
      <c r="B998" s="5" t="n">
        <v>1</v>
      </c>
      <c r="C998" s="6" t="inlineStr">
        <is>
          <t>Odayı olduğu gibi bırak</t>
        </is>
      </c>
      <c r="D998" s="5" t="inlineStr"/>
      <c r="E998" s="5" t="inlineStr"/>
      <c r="F998" s="5" t="inlineStr">
        <is>
          <t>Gönül +1</t>
        </is>
      </c>
      <c r="G998" s="6" t="inlineStr">
        <is>
          <t>Odaya dokunmadın. Akşamları girip yatağın kenarına oturuyorsun. Yastığın kokusu bir ayda gitti; yastığı yine de değiştirmedin.</t>
        </is>
      </c>
      <c r="H998" s="6" t="inlineStr"/>
      <c r="I998" s="6" t="inlineStr"/>
      <c r="J998" s="6" t="inlineStr"/>
      <c r="K998" s="6" t="inlineStr"/>
      <c r="L998" s="6" t="inlineStr"/>
      <c r="M998" s="5" t="inlineStr"/>
      <c r="N998" s="5" t="inlineStr"/>
      <c r="O998" s="6" t="inlineStr"/>
      <c r="P998" s="6" t="inlineStr"/>
      <c r="Q998" s="5" t="inlineStr"/>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c r="AI998" s="5" t="inlineStr"/>
      <c r="AJ998" s="5" t="inlineStr"/>
    </row>
    <row r="999">
      <c r="A999" s="5" t="inlineStr">
        <is>
          <t>b8-bos-yuva</t>
        </is>
      </c>
      <c r="B999" s="5" t="n">
        <v>2</v>
      </c>
      <c r="C999" s="6" t="inlineStr">
        <is>
          <t>Hobi odasına çevir</t>
        </is>
      </c>
      <c r="D999" s="5" t="inlineStr">
        <is>
          <t>Kurnazlık</t>
        </is>
      </c>
      <c r="E999" s="5" t="inlineStr">
        <is>
          <t>Orta</t>
        </is>
      </c>
      <c r="F999" s="5" t="inlineStr"/>
      <c r="G999" s="6" t="inlineStr"/>
      <c r="H999" s="6" t="inlineStr">
        <is>
          <t>Oda hobi odası oldu. Çocuk tatilde gelip 'Benim odam nerede?' dedi. Salonda.</t>
        </is>
      </c>
      <c r="I999" s="6" t="inlineStr">
        <is>
          <t>Oda öyle güzel oldu ki çocuk tatilde gelip orada yatmak istedi. Gece yarısı ikiniz o odada çay içtiniz; bir saat boyunca kimse telefonuna bakmadı.</t>
        </is>
      </c>
      <c r="J999" s="6" t="inlineStr">
        <is>
          <t>Hobi malzemeleri geldi. Oda artık bir depo; hobi hâlâ gelmedi.</t>
        </is>
      </c>
      <c r="K999" s="6" t="inlineStr">
        <is>
          <t>Çocuk dönem arası habersiz geldi; eşyalarını bodrumda, bir kolinin içinde buldu. Kolinin üstünde senin el yazın: “Eski.” Üç gün seninle konuşmadı.</t>
        </is>
      </c>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c r="AI999" s="5" t="inlineStr"/>
      <c r="AJ999" s="5" t="inlineStr"/>
    </row>
    <row r="1000">
      <c r="A1000" s="5" t="inlineStr">
        <is>
          <t>b8-bos-yuva</t>
        </is>
      </c>
      <c r="B1000" s="5" t="n">
        <v>3</v>
      </c>
      <c r="C1000" s="6" t="inlineStr">
        <is>
          <t>Ara, ama her gün değil</t>
        </is>
      </c>
      <c r="D1000" s="5" t="inlineStr">
        <is>
          <t>Sosyal Radar</t>
        </is>
      </c>
      <c r="E1000" s="5" t="inlineStr">
        <is>
          <t>Orta</t>
        </is>
      </c>
      <c r="F1000" s="5" t="inlineStr"/>
      <c r="G1000" s="6" t="inlineStr"/>
      <c r="H1000" s="6" t="inlineStr">
        <is>
          <t>Haftada üç arama. Çocuk telefonu açıyor; bazen gülümsüyor bile.</t>
        </is>
      </c>
      <c r="I1000" s="6" t="inlineStr">
        <is>
          <t>Pazartesi ve perşembe aradın, kısa tuttun, hep önce sen kapattın. Üçüncü hafta, çarşamba gecesi telefon çaldı: “Bir şey yok. Sesini duymak istedim.”</t>
        </is>
      </c>
      <c r="J1000" s="6" t="inlineStr">
        <is>
          <t>Kendini iki gün tuttun, üçüncü gün dört kez aradın. Çocuk artık “Toplantıdayım” diye yazıyor. Öğrencinin toplantısı yok.</t>
        </is>
      </c>
      <c r="K1000" s="6" t="inlineStr">
        <is>
          <t>Görüntülü aradın; çocuğun telefonu masada açık kalmış, kendisi yok. Ev arkadaşları bir saat seninle sohbet etti. Artık onlar her pazar arıyor; çocuğun aramıyor.</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c r="AI1000" s="5" t="inlineStr"/>
      <c r="AJ1000" s="5" t="inlineStr"/>
    </row>
    <row r="1001">
      <c r="A1001" s="5" t="inlineStr">
        <is>
          <t>b8-bos-yuva</t>
        </is>
      </c>
      <c r="B1001" s="5" t="n">
        <v>4</v>
      </c>
      <c r="C1001" s="6" t="inlineStr">
        <is>
          <t>Bir tabağı gizlice odaya koy</t>
        </is>
      </c>
      <c r="D1001" s="5" t="inlineStr">
        <is>
          <t>Pişkinlik</t>
        </is>
      </c>
      <c r="E1001" s="5" t="inlineStr">
        <is>
          <t>Kolay</t>
        </is>
      </c>
      <c r="F1001" s="5" t="inlineStr"/>
      <c r="G1001" s="6" t="inlineStr"/>
      <c r="H1001" s="6" t="inlineStr">
        <is>
          <t>Tabağı koydun. Oda eski hâline döndü gibi oldu. Kimse bilmiyor; sen biliyorsun.</t>
        </is>
      </c>
      <c r="I1001" s="6" t="inlineStr">
        <is>
          <t>Çocuk tatilde geldi, tabağı gördü, güldü: “Hâlâ burada mı?” Sonra sana sarıldı; bavulu kapıda kaldı.</t>
        </is>
      </c>
      <c r="J1001" s="6" t="inlineStr">
        <is>
          <t>Tabağı koydun; ertesi gün mutfakta yıkanmış buldun. Kimin kaldırdığını kimse söylemiyor. İkinci tabak yolda.</t>
        </is>
      </c>
      <c r="K1001" s="6" t="inlineStr">
        <is>
          <t>Tabağı koydun, unuttun. Üç hafta sonra odadan bir koku yükseldi. Gelen misafir burnunu kırıştırdı: “Çocuk dönmüş mü?”</t>
        </is>
      </c>
      <c r="L1001" s="6" t="inlineStr"/>
      <c r="M1001" s="5" t="inlineStr"/>
      <c r="N1001" s="5" t="inlineStr"/>
      <c r="O1001" s="6" t="inlineStr"/>
      <c r="P1001" s="6" t="inlineStr"/>
      <c r="Q1001" s="5" t="inlineStr"/>
      <c r="R1001" s="5" t="inlineStr"/>
      <c r="S1001" s="5" t="inlineStr"/>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c r="AI1001" s="5" t="inlineStr"/>
      <c r="AJ1001" s="5" t="inlineStr"/>
    </row>
    <row r="1002">
      <c r="A1002" s="5" t="inlineStr">
        <is>
          <t>b8-bos-yuva</t>
        </is>
      </c>
      <c r="B1002" s="5" t="n">
        <v>5</v>
      </c>
      <c r="C1002" s="6" t="inlineStr">
        <is>
          <t>Kargoya koli ver</t>
        </is>
      </c>
      <c r="D1002" s="5" t="inlineStr">
        <is>
          <t>Gönül</t>
        </is>
      </c>
      <c r="E1002" s="5" t="inlineStr">
        <is>
          <t>Orta</t>
        </is>
      </c>
      <c r="F1002" s="5" t="inlineStr"/>
      <c r="G1002" s="6" t="inlineStr"/>
      <c r="H1002" s="6" t="inlineStr">
        <is>
          <t>Koli iki günde vardı. Çocuk fotoğraf attı: kurabiyeler bitmiş, çoraplar duruyor. “Çorabı neden yolladın?” Çünkü kış geliyor.</t>
        </is>
      </c>
      <c r="I1002" s="6" t="inlineStr">
        <is>
          <t>Koliye sarma, kurabiye, iki kavanoz reçel ve kalın çorap koydun. Yurtta koli açılınca koridor boşaldı; ertesi hafta oda arkadaşları kendi adreslerini yolladı.</t>
        </is>
      </c>
      <c r="J1002" s="6" t="inlineStr">
        <is>
          <t>Koli kargoda dört gün bekledi; sarmalar yola dayanamadı. Çocuk kapağı açmadan çöpe attı, sana “Çok güzeldi” yazdı.</t>
        </is>
      </c>
      <c r="K1002" s="6" t="inlineStr">
        <is>
          <t>Reçel kavanozu yolda açılmış. Koli yurt kapısına damlayarak geldi; görevli çocuğun adını bütün yurda anons etti. Çocuk bir hafta telefonunu açmadı.</t>
        </is>
      </c>
      <c r="L1002" s="6" t="inlineStr"/>
      <c r="M1002" s="5" t="inlineStr"/>
      <c r="N1002" s="5" t="inlineStr"/>
      <c r="O1002" s="6" t="inlineStr"/>
      <c r="P1002" s="6" t="inlineStr"/>
      <c r="Q1002" s="5" t="inlineStr"/>
      <c r="R1002" s="5" t="inlineStr"/>
      <c r="S1002" s="5" t="inlineStr"/>
      <c r="T1002" s="5" t="inlineStr"/>
      <c r="U1002" s="5" t="inlineStr"/>
      <c r="V1002" s="5" t="inlineStr"/>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c r="AI1002" s="5" t="inlineStr"/>
      <c r="AJ1002" s="5" t="inlineStr"/>
    </row>
    <row r="1003">
      <c r="A1003" s="5" t="inlineStr">
        <is>
          <t>b8-son-taksit</t>
        </is>
      </c>
      <c r="B1003" s="5" t="n">
        <v>1</v>
      </c>
      <c r="C1003" s="6" t="inlineStr">
        <is>
          <t>Baklava al, apartmana dağıt</t>
        </is>
      </c>
      <c r="D1003" s="5" t="inlineStr"/>
      <c r="E1003" s="5" t="inlineStr"/>
      <c r="F1003" s="5" t="inlineStr">
        <is>
          <t>İtibar +1, Dayanıklılık +1</t>
        </is>
      </c>
      <c r="G1003" s="6" t="inlineStr">
        <is>
          <t>İki tepsi baklava aldın, kapı kapı dağıttın. Alt kat “Ne kutluyoruz?” diye sordu; “Ev bizim oldu” dedin. Akşam tapuyla fotoğraf çektin; tapu senden iyi çıktı.</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c r="AI1003" s="5" t="inlineStr"/>
      <c r="AJ1003" s="5" t="inlineStr"/>
    </row>
    <row r="1004">
      <c r="A1004" s="5" t="inlineStr">
        <is>
          <t>b8-son-taksit</t>
        </is>
      </c>
      <c r="B1004" s="5" t="n">
        <v>2</v>
      </c>
      <c r="C1004" s="6" t="inlineStr">
        <is>
          <t>Yeni kredi teklifini değerlendir</t>
        </is>
      </c>
      <c r="D1004" s="5" t="inlineStr">
        <is>
          <t>Kurnazlık</t>
        </is>
      </c>
      <c r="E1004" s="5" t="inlineStr">
        <is>
          <t>Zor</t>
        </is>
      </c>
      <c r="F1004" s="5" t="inlineStr"/>
      <c r="G1004" s="6" t="inlineStr"/>
      <c r="H1004" s="6" t="inlineStr">
        <is>
          <t>Teklifi inceledin, faizi pazarlıkla düşürdün, sonra yine reddettin. Şube müdürü seni kapıya kadar geçirdi: “Sizin gibi müşteri istemeyiz, ama saygı duyarız.”</t>
        </is>
      </c>
      <c r="I1004" s="6" t="inlineStr">
        <is>
          <t>Teklifi kullanıp mutfağı, banyoyu, o duvardaki çatlağı yeniledin. Ev değer kazandı; borç da geri geldi. Ama bu sefer çatlaksız bir duvara bakarak ödüyorsun.</t>
        </is>
      </c>
      <c r="J1004" s="6" t="inlineStr">
        <is>
          <t>Teklifi okudun; yıldızlı dipnota gözlüğün yetmedi. Sen karar verene kadar teklifin süresi doldu. Banka ertesi sabah yenisini yolladı.</t>
        </is>
      </c>
      <c r="K1004" s="6" t="inlineStr">
        <is>
          <t>Teklifi imzaladın; son taksit yetmiş dört yaşında. Yanında gelen sigorta, kart ve bir mutfak robotu da hesaba yazıldı.</t>
        </is>
      </c>
      <c r="L1004" s="6" t="inlineStr"/>
      <c r="M1004" s="5" t="inlineStr"/>
      <c r="N1004" s="5" t="inlineStr"/>
      <c r="O1004" s="6" t="inlineStr"/>
      <c r="P1004" s="6" t="inlineStr"/>
      <c r="Q1004" s="5" t="inlineStr"/>
      <c r="R1004" s="5" t="inlineStr"/>
      <c r="S1004" s="5" t="inlineStr"/>
      <c r="T1004" s="5" t="inlineStr"/>
      <c r="U1004" s="5" t="inlineStr"/>
      <c r="V1004" s="5" t="inlineStr"/>
      <c r="W1004" s="5" t="inlineStr">
        <is>
          <t>borclu</t>
        </is>
      </c>
      <c r="X1004" s="5" t="inlineStr"/>
      <c r="Y1004" s="5" t="inlineStr"/>
      <c r="Z1004" s="6" t="inlineStr"/>
      <c r="AA1004" s="5" t="inlineStr"/>
      <c r="AB1004" s="5" t="inlineStr"/>
      <c r="AC1004" s="5" t="inlineStr"/>
      <c r="AD1004" s="5" t="inlineStr"/>
      <c r="AE1004" s="5" t="inlineStr"/>
      <c r="AF1004" s="5" t="inlineStr"/>
      <c r="AG1004" s="5" t="inlineStr"/>
      <c r="AH1004" s="5" t="inlineStr"/>
      <c r="AI1004" s="5" t="inlineStr"/>
      <c r="AJ1004" s="5" t="inlineStr"/>
    </row>
    <row r="1005">
      <c r="A1005" s="5" t="inlineStr">
        <is>
          <t>b8-son-taksit</t>
        </is>
      </c>
      <c r="B1005" s="5" t="n">
        <v>3</v>
      </c>
      <c r="C1005" s="6" t="inlineStr">
        <is>
          <t>Bankaya teşekkür dilekçesi yaz</t>
        </is>
      </c>
      <c r="D1005" s="5" t="inlineStr">
        <is>
          <t>Pişkinlik</t>
        </is>
      </c>
      <c r="E1005" s="5" t="inlineStr">
        <is>
          <t>Kolay</t>
        </is>
      </c>
      <c r="F1005" s="5" t="inlineStr"/>
      <c r="G1005" s="6" t="inlineStr"/>
      <c r="H1005" s="6" t="inlineStr">
        <is>
          <t>'Yirmi yıllık birlikteliğimiz için teşekkürler' yazdın. Banka cevabı otomatik gönderdi: 'Kredi teklifimiz geçerlidir.'</t>
        </is>
      </c>
      <c r="I1005" s="6" t="inlineStr">
        <is>
          <t>Dilekçen şubede panoya asıldı. Müdür seni aradı ve ilk kez kredi teklif etmedi.</t>
        </is>
      </c>
      <c r="J1005" s="6" t="inlineStr">
        <is>
          <t>Dilekçeni gişeye verdin. Memur okudu, güldü, geri uzattı: “Teşekkür formumuz yok. Şikâyet formuna yazalım mı?”</t>
        </is>
      </c>
      <c r="K1005" s="6" t="inlineStr">
        <is>
          <t>Dilekçe yanlışlıkla kredi başvurusu olarak işleme alındı. Onaylandı.</t>
        </is>
      </c>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c r="AI1005" s="5" t="inlineStr"/>
      <c r="AJ1005" s="5" t="inlineStr"/>
    </row>
    <row r="1006">
      <c r="A1006" s="5" t="inlineStr">
        <is>
          <t>b9-yazi-boyutu</t>
        </is>
      </c>
      <c r="B1006" s="5" t="n">
        <v>1</v>
      </c>
      <c r="C1006" s="6" t="inlineStr">
        <is>
          <t>Yazı boyutunu en büyüğe al</t>
        </is>
      </c>
      <c r="D1006" s="5" t="inlineStr"/>
      <c r="E1006" s="5" t="inlineStr"/>
      <c r="F1006" s="5" t="inlineStr">
        <is>
          <t>Akıl +1</t>
        </is>
      </c>
      <c r="G1006" s="6" t="inlineStr">
        <is>
          <t>Yazı boyutunu en büyüğe çektin. 'Günaydın' artık iki satıra bölünüyor. Karşı komşu senin mesajlarını kendi balkonundan okuyabiliyor.</t>
        </is>
      </c>
      <c r="H1006" s="6" t="inlineStr"/>
      <c r="I1006" s="6" t="inlineStr"/>
      <c r="J1006" s="6" t="inlineStr"/>
      <c r="K1006" s="6" t="inlineStr"/>
      <c r="L1006" s="6" t="inlineStr"/>
      <c r="M1006" s="5" t="inlineStr"/>
      <c r="N1006" s="5" t="inlineStr"/>
      <c r="O1006" s="6" t="inlineStr"/>
      <c r="P1006" s="6" t="inlineStr"/>
      <c r="Q1006" s="5" t="inlineStr"/>
      <c r="R1006" s="5" t="inlineStr"/>
      <c r="S1006" s="5" t="inlineStr"/>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c r="AI1006" s="5" t="inlineStr"/>
      <c r="AJ1006" s="5" t="inlineStr"/>
    </row>
    <row r="1007">
      <c r="A1007" s="5" t="inlineStr">
        <is>
          <t>b9-yazi-boyutu</t>
        </is>
      </c>
      <c r="B1007" s="5" t="n">
        <v>2</v>
      </c>
      <c r="C1007" s="6" t="inlineStr">
        <is>
          <t>Gözlüğü ara</t>
        </is>
      </c>
      <c r="D1007" s="5" t="inlineStr">
        <is>
          <t>Dayanıklılık</t>
        </is>
      </c>
      <c r="E1007" s="5" t="inlineStr">
        <is>
          <t>Kolay</t>
        </is>
      </c>
      <c r="F1007" s="5" t="inlineStr"/>
      <c r="G1007" s="6" t="inlineStr"/>
      <c r="H1007" s="6" t="inlineStr">
        <is>
          <t>Gözlüğü buldun, taktın, mesajı okudun: 'Gözlüğün bizde kalmış.' Taktığın gözlüğün kimin olduğunu hâlâ bilmiyorsun.</t>
        </is>
      </c>
      <c r="I1007" s="6" t="inlineStr">
        <is>
          <t>Gözlüğü ilk denemede, olması gereken yerde buldun: kılıfında. Haber aile grubuna düştü; üç kişi inanmadı.</t>
        </is>
      </c>
      <c r="J1007" s="6" t="inlineStr">
        <is>
          <t>Gözlüğü aradın. Başının üstündeydi. Bunu aynaya bakınca öğrendin.</t>
        </is>
      </c>
      <c r="K1007" s="6" t="inlineStr">
        <is>
          <t>Gözlüğü ararken koltuğa oturdun. Altından çıt diye bir ses geldi. Bir hafta mesajları tek camla, bir gözünü kısarak okudun.</t>
        </is>
      </c>
      <c r="L1007" s="6" t="inlineStr"/>
      <c r="M1007" s="5" t="inlineStr"/>
      <c r="N1007" s="5" t="inlineStr"/>
      <c r="O1007" s="6" t="inlineStr"/>
      <c r="P1007" s="6" t="inlineStr"/>
      <c r="Q1007" s="5" t="inlineStr"/>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c r="AI1007" s="5" t="inlineStr"/>
      <c r="AJ1007" s="5" t="inlineStr"/>
    </row>
    <row r="1008">
      <c r="A1008" s="5" t="inlineStr">
        <is>
          <t>b9-yazi-boyutu</t>
        </is>
      </c>
      <c r="B1008" s="5" t="n">
        <v>3</v>
      </c>
      <c r="C1008" s="6" t="inlineStr">
        <is>
          <t>Sesli okuma özelliğini aç</t>
        </is>
      </c>
      <c r="D1008" s="5" t="inlineStr">
        <is>
          <t>Akıl</t>
        </is>
      </c>
      <c r="E1008" s="5" t="inlineStr">
        <is>
          <t>Orta</t>
        </is>
      </c>
      <c r="F1008" s="5" t="inlineStr"/>
      <c r="G1008" s="6" t="inlineStr"/>
      <c r="H1008" s="6" t="inlineStr">
        <is>
          <t>Telefon mesajı sesli okudu. Robot ses 'Acil havale yapar mısın, akşam anlatırım' derken bile tatlıydı. Havaleyi yaptın, akşam kimse anlatmadı.</t>
        </is>
      </c>
      <c r="I1008" s="6" t="inlineStr">
        <is>
          <t>Sesli okuma, ekran büyüteci, karanlık mod. Aile grubunda telefon ayarı soran herkes artık seni arıyor; sen de 'Bir saniye, gözlüğümü takayım' diyorsun.</t>
        </is>
      </c>
      <c r="J1008" s="6" t="inlineStr">
        <is>
          <t>Sesli okuma açıldı. Kapanmıyor. Market fişi dahil her şey yüksek sesle okunuyor.</t>
        </is>
      </c>
      <c r="K1008" s="6" t="inlineStr">
        <is>
          <t>Sesli okuma otobüste açıldı. Aile grubundaki bütün dedikodu bütün otobüse okundu; şoför sonunu duymak için durakta bekledi.</t>
        </is>
      </c>
      <c r="L1008" s="6" t="inlineStr"/>
      <c r="M1008" s="5" t="inlineStr"/>
      <c r="N1008" s="5" t="inlineStr"/>
      <c r="O1008" s="6" t="inlineStr"/>
      <c r="P1008" s="6" t="inlineStr"/>
      <c r="Q1008" s="5" t="inlineStr">
        <is>
          <t>Şifreyi Bilen</t>
        </is>
      </c>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c r="AI1008" s="5" t="inlineStr">
        <is>
          <t>Hoparlör</t>
        </is>
      </c>
      <c r="AJ1008" s="5" t="inlineStr"/>
    </row>
    <row r="1009">
      <c r="A1009" s="5" t="inlineStr">
        <is>
          <t>b9-gunaydin-gorselleri</t>
        </is>
      </c>
      <c r="B1009" s="5" t="n">
        <v>1</v>
      </c>
      <c r="C1009" s="6" t="inlineStr">
        <is>
          <t>Her sabah göndermeye devam et</t>
        </is>
      </c>
      <c r="D1009" s="5" t="inlineStr"/>
      <c r="E1009" s="5" t="inlineStr"/>
      <c r="F1009" s="5" t="inlineStr">
        <is>
          <t>Dayanıklılık +1</t>
        </is>
      </c>
      <c r="G1009" s="6" t="inlineStr">
        <is>
          <t>Her sabah yedide bir gül gönderdin. Bir yıl sonra bir sabah unuttun; öğlene kadar üç kişi arayıp 'İyi misin?' diye sordu.</t>
        </is>
      </c>
      <c r="H1009" s="6" t="inlineStr"/>
      <c r="I1009" s="6" t="inlineStr"/>
      <c r="J1009" s="6" t="inlineStr"/>
      <c r="K1009" s="6" t="inlineStr"/>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c r="AI1009" s="5" t="inlineStr"/>
      <c r="AJ1009" s="5" t="inlineStr"/>
    </row>
    <row r="1010">
      <c r="A1010" s="5" t="inlineStr">
        <is>
          <t>b9-gunaydin-gorselleri</t>
        </is>
      </c>
      <c r="B1010" s="5" t="n">
        <v>2</v>
      </c>
      <c r="C1010" s="6" t="inlineStr">
        <is>
          <t>Kendi görselini tasarla</t>
        </is>
      </c>
      <c r="D1010" s="5" t="inlineStr">
        <is>
          <t>Pişkinlik</t>
        </is>
      </c>
      <c r="E1010" s="5" t="inlineStr">
        <is>
          <t>Orta</t>
        </is>
      </c>
      <c r="F1010" s="5" t="inlineStr"/>
      <c r="G1010" s="6" t="inlineStr"/>
      <c r="H1010" s="6" t="inlineStr">
        <is>
          <t>Kendi fotoğrafının üstüne 'Güne gülümse' yazdın. Üç kişi kalp bıraktı; teyzen “Ay, ne genç çıkmışsın” yazdı. Fotoğraf on beş yıllıktı.</t>
        </is>
      </c>
      <c r="I1010" s="6" t="inlineStr">
        <is>
          <t>Görselin öyle parladı ki başka ailelerin gruplarında dolaştı. Bir sabah halanın kızı aynı görseli sana 'Günaydın' diye geri yolladı.</t>
        </is>
      </c>
      <c r="J1010" s="6" t="inlineStr">
        <is>
          <t>Yazıyı fotoğrafın tam ortasına koydun. 'Güne gülümse' yazıyor; gülümseyen yüz görünmüyor. Halan 'Bu kim?' diye sordu.</t>
        </is>
      </c>
      <c r="K1010" s="6" t="inlineStr">
        <is>
          <t>Görseli tasarlarken yanlış çerçeveyi seçtin: siyah kenar, tek karanfil, altında 'Başımız sağ olsun.' Grupta on dakika boyunca yalnızca 'Kim?' yazıldı. Halan çoktan siyahlarını giyip taksiye binmişti.</t>
        </is>
      </c>
      <c r="L1010" s="6" t="inlineStr"/>
      <c r="M1010" s="5" t="inlineStr"/>
      <c r="N1010" s="5" t="inlineStr"/>
      <c r="O1010" s="6" t="inlineStr"/>
      <c r="P1010" s="6" t="inlineStr"/>
      <c r="Q1010" s="5" t="inlineStr"/>
      <c r="R1010" s="5" t="inlineStr"/>
      <c r="S1010" s="5" t="inlineStr"/>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c r="AI1010" s="5" t="inlineStr">
        <is>
          <t>Başsağlığı</t>
        </is>
      </c>
      <c r="AJ1010" s="5" t="inlineStr"/>
    </row>
    <row r="1011">
      <c r="A1011" s="5" t="inlineStr">
        <is>
          <t>b9-gunaydin-gorselleri</t>
        </is>
      </c>
      <c r="B1011" s="5" t="n">
        <v>3</v>
      </c>
      <c r="C1011" s="6" t="inlineStr">
        <is>
          <t>'Gizli gruptaki görselleri biliyorum' yaz</t>
        </is>
      </c>
      <c r="D1011" s="5" t="inlineStr">
        <is>
          <t>Sosyal Radar</t>
        </is>
      </c>
      <c r="E1011" s="5" t="inlineStr">
        <is>
          <t>Kolay</t>
        </is>
      </c>
      <c r="F1011" s="5" t="inlineStr"/>
      <c r="G1011" s="6" t="inlineStr"/>
      <c r="H1011" s="6" t="inlineStr">
        <is>
          <t>Grupta derin bir sessizlik oldu. Ertesi sabah yirmi üç kişi 'Günaydın' yazdı.</t>
        </is>
      </c>
      <c r="I1011" s="6" t="inlineStr">
        <is>
          <t>Gizli grubun kurucusu yeğenin çıktı. Özür diledi, seni de gruba ekledi. Artık sabahları kendi gülüne kendin gülüyorsun.</t>
        </is>
      </c>
      <c r="J1011" s="6" t="inlineStr">
        <is>
          <t>Mesajı yazdın; kimse anlamadı. Üç kişi 'Hangi grup?' diye sordu, ikisi 'Ben de girebilir miyim?'</t>
        </is>
      </c>
      <c r="K1011" s="6" t="inlineStr">
        <is>
          <t>Yanlış gruba yazdın: apartman grubuna. Yönetici hemen cevap verdi: 'Ne gizli grubu? Aidatla ilgiliyse açık konuşalım.' Akşama kadar on iki daire kapını çaldı.</t>
        </is>
      </c>
      <c r="L1011" s="6" t="inlineStr"/>
      <c r="M1011" s="5" t="inlineStr"/>
      <c r="N1011" s="5" t="inlineStr"/>
      <c r="O1011" s="6" t="inlineStr"/>
      <c r="P1011" s="6" t="inlineStr"/>
      <c r="Q1011" s="5" t="inlineStr"/>
      <c r="R1011" s="5" t="inlineStr"/>
      <c r="S1011" s="5" t="inlineStr">
        <is>
          <t>Sosyal Radar</t>
        </is>
      </c>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c r="AI1011" s="5" t="inlineStr"/>
      <c r="AJ1011" s="5" t="inlineStr"/>
    </row>
    <row r="1012">
      <c r="A1012" s="5" t="inlineStr">
        <is>
          <t>b9-sabah-yuruyusu</t>
        </is>
      </c>
      <c r="B1012" s="5" t="n">
        <v>1</v>
      </c>
      <c r="C1012" s="6" t="inlineStr">
        <is>
          <t>En öne geç</t>
        </is>
      </c>
      <c r="D1012" s="5" t="inlineStr">
        <is>
          <t>Dayanıklılık</t>
        </is>
      </c>
      <c r="E1012" s="5" t="inlineStr">
        <is>
          <t>Orta</t>
        </is>
      </c>
      <c r="F1012" s="5" t="inlineStr"/>
      <c r="G1012" s="6" t="inlineStr"/>
      <c r="H1012" s="6" t="inlineStr">
        <is>
          <t>En öne geçtin; konuyu sen seçtin: kaldırım taşları. Grup iki tur sabretti. Üçüncüde biri seni geçip sordu: 'Kimin gelini hamileymiş?' Saltanatın iki tur sürdü.</t>
        </is>
      </c>
      <c r="I1012" s="6" t="inlineStr">
        <is>
          <t>Grubu öyle hızlı çektin ki kimsede konuşacak nefes kalmadı. Mahalle tarihinde ilk kez bir sabah yürüyüşünde kimse çekiştirilmedi. Ertesi sabah grubun yarısı gelmedi; dizleri gelmedi.</t>
        </is>
      </c>
      <c r="J1012" s="6" t="inlineStr">
        <is>
          <t>İkinci turda dördüncü sıraya düştün. Arkadan dinledin: konu, nefes nefese kalan biriydi. Sendin.</t>
        </is>
      </c>
      <c r="K1012" s="6" t="inlineStr">
        <is>
          <t>Hızlanırken yanlış patikaya saptın, parktan çıkıp iki mahalle öteye yürüdün. Eve taksiyle döndün. Ertesi sabah grup seni kapıda bekliyordu: 'Bugün en arkada sen yürüyorsun.'</t>
        </is>
      </c>
      <c r="L1012" s="6" t="inlineStr">
        <is>
          <t>Grubun ortasında kaldın. Önde konuşulanı duyuyorsun ama laf yetiştirecek nefesin yok.</t>
        </is>
      </c>
      <c r="M1012" s="5" t="inlineStr">
        <is>
          <t>timing</t>
        </is>
      </c>
      <c r="N1012" s="5" t="inlineStr">
        <is>
          <t>Tempo Yarışı</t>
        </is>
      </c>
      <c r="O1012" s="6" t="inlineStr">
        <is>
          <t>İbre yeşil alandayken DURDUR'a bas. Art arda tutturdukça kombo kazanırsın.</t>
        </is>
      </c>
      <c r="P1012" s="6" t="n"/>
      <c r="Q1012" s="5" t="inlineStr"/>
      <c r="R1012" s="5" t="inlineStr"/>
      <c r="S1012" s="5" t="inlineStr"/>
      <c r="T1012" s="5" t="inlineStr"/>
      <c r="U1012" s="5" t="inlineStr"/>
      <c r="V1012" s="5" t="inlineStr">
        <is>
          <t>yuruyus-grubu</t>
        </is>
      </c>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c r="AI1012" s="5" t="inlineStr"/>
      <c r="AJ1012" s="5" t="inlineStr"/>
    </row>
    <row r="1013">
      <c r="A1013" s="5" t="inlineStr">
        <is>
          <t>b9-sabah-yuruyusu</t>
        </is>
      </c>
      <c r="B1013" s="5" t="n">
        <v>2</v>
      </c>
      <c r="C1013" s="6" t="inlineStr">
        <is>
          <t>Arkada yürü, dinle</t>
        </is>
      </c>
      <c r="D1013" s="5" t="inlineStr"/>
      <c r="E1013" s="5" t="inlineStr"/>
      <c r="F1013" s="5" t="inlineStr">
        <is>
          <t>Sosyal Radar +1</t>
        </is>
      </c>
      <c r="G1013" s="6" t="inlineStr">
        <is>
          <t>Arkada yürüdün. Mahallenin üç boşanmasını, bir tayinini ve bir kombi arızasını öğrendin.</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c r="AI1013" s="5" t="inlineStr"/>
      <c r="AJ1013" s="5" t="inlineStr"/>
    </row>
    <row r="1014">
      <c r="A1014" s="5" t="inlineStr">
        <is>
          <t>b9-sabah-yuruyusu</t>
        </is>
      </c>
      <c r="B1014" s="5" t="n">
        <v>3</v>
      </c>
      <c r="C1014" s="6" t="inlineStr">
        <is>
          <t>Grubu düzenle</t>
        </is>
      </c>
      <c r="D1014" s="5" t="inlineStr">
        <is>
          <t>İtibar</t>
        </is>
      </c>
      <c r="E1014" s="5" t="inlineStr">
        <is>
          <t>Orta</t>
        </is>
      </c>
      <c r="F1014" s="5" t="inlineStr"/>
      <c r="G1014" s="6" t="inlineStr"/>
      <c r="H1014" s="6" t="inlineStr">
        <is>
          <t>Yürüyüş grubuna bir de mesaj grubu kurdun. Artık sabah altıda kimse yürümüyor; herkes yataktan 'Yürüdünüz mü?' yazıyor.</t>
        </is>
      </c>
      <c r="I1014" s="6" t="inlineStr">
        <is>
          <t>Grubun tüzüğünü yazdın. Madde dört: 'Konu açan, konuyu kapatır.' Kabul edildi.</t>
        </is>
      </c>
      <c r="J1014" s="6" t="inlineStr">
        <is>
          <t>Yürüyüş saatini yediye çektin. Eski üyeler altıda ayrı bir grup kurdu.</t>
        </is>
      </c>
      <c r="K1014" s="6" t="inlineStr">
        <is>
          <t>Rotayı bir inşaat alanından geçirdin. Grup çamura battı, biri tek ayakkabıyla döndü. Ertesi sabah sana bir baret hediye ettiler; takmadan yürümen yasak.</t>
        </is>
      </c>
      <c r="L1014" s="6" t="inlineStr"/>
      <c r="M1014" s="5" t="inlineStr"/>
      <c r="N1014" s="5" t="inlineStr"/>
      <c r="O1014" s="6" t="inlineStr"/>
      <c r="P1014" s="6" t="inlineStr"/>
      <c r="Q1014" s="5" t="inlineStr">
        <is>
          <t>Kuralı Koyan</t>
        </is>
      </c>
      <c r="R1014" s="5" t="inlineStr"/>
      <c r="S1014" s="5" t="inlineStr"/>
      <c r="T1014" s="5" t="inlineStr"/>
      <c r="U1014" s="5" t="inlineStr"/>
      <c r="V1014" s="5" t="inlineStr">
        <is>
          <t>yuruyus-grubu</t>
        </is>
      </c>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c r="AI1014" s="5" t="inlineStr"/>
      <c r="AJ1014" s="5" t="inlineStr"/>
    </row>
    <row r="1015">
      <c r="A1015" s="5" t="inlineStr">
        <is>
          <t>mb-emeklilik-hesabi</t>
        </is>
      </c>
      <c r="B1015" s="5" t="n">
        <v>1</v>
      </c>
      <c r="C1015" s="6" t="inlineStr">
        <is>
          <t>Tarihi kabul et</t>
        </is>
      </c>
      <c r="D1015" s="5" t="inlineStr"/>
      <c r="E1015" s="5" t="inlineStr"/>
      <c r="F1015" s="5" t="inlineStr">
        <is>
          <t>Dayanıklılık +1</t>
        </is>
      </c>
      <c r="G1015" s="6" t="inlineStr">
        <is>
          <t>Tarih beş yıl ileride. Takvime kırmızı kalemle daire çizecektin; takvim o yılı göstermiyor. Bir sonraki takvimi bekliyorsun.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c r="AI1015" s="5" t="inlineStr"/>
      <c r="AJ1015" s="5" t="inlineStr"/>
    </row>
    <row r="1016">
      <c r="A1016" s="5" t="inlineStr">
        <is>
          <t>mb-emeklilik-hesabi</t>
        </is>
      </c>
      <c r="B1016" s="5" t="n">
        <v>2</v>
      </c>
      <c r="C1016" s="6" t="inlineStr">
        <is>
          <t>Staj yılının kaydını iste</t>
        </is>
      </c>
      <c r="D1016" s="5" t="inlineStr">
        <is>
          <t>Akıl</t>
        </is>
      </c>
      <c r="E1016" s="5" t="inlineStr">
        <is>
          <t>Orta</t>
        </is>
      </c>
      <c r="F1016" s="5" t="inlineStr"/>
      <c r="G1016" s="6" t="inlineStr"/>
      <c r="H1016" s="6" t="inlineStr">
        <is>
          <t>Stajyerken yatırılan primi buldun. Emekliliğin bir yıl öne çekildi.</t>
        </is>
      </c>
      <c r="I1016" s="6" t="inlineStr">
        <is>
          <t>Staj kaydıyla birlikte unutulmuş bir yarı zamanlı iş de çıktı. Tarih iki yıl öne geldi.</t>
        </is>
      </c>
      <c r="J1016" s="6" t="inlineStr">
        <is>
          <t>Kayıt bulundu ama 'başka bir birimde' duruyor. O birim taşınmış.</t>
        </is>
      </c>
      <c r="K1016" s="6" t="inlineStr">
        <is>
          <t>Kaydı aradılar ve buldular: stajyerken patronun primini hiç yatırmamış. Tarih bir yıl ileri kaydı. O patron geçen ay emekli oldu; davetiye sana da gelmişti.</t>
        </is>
      </c>
      <c r="L1016" s="6" t="inlineStr"/>
      <c r="M1016" s="5" t="inlineStr"/>
      <c r="N1016" s="5" t="inlineStr"/>
      <c r="O1016" s="6" t="inlineStr"/>
      <c r="P1016" s="6" t="inlineStr"/>
      <c r="Q1016" s="5" t="inlineStr"/>
      <c r="R1016" s="5" t="inlineStr"/>
      <c r="S1016" s="5" t="inlineStr">
        <is>
          <t>Akıl</t>
        </is>
      </c>
      <c r="T1016" s="5" t="inlineStr"/>
      <c r="U1016" s="5" t="inlineStr"/>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c r="AI1016" s="5" t="inlineStr"/>
      <c r="AJ1016" s="5" t="inlineStr"/>
    </row>
    <row r="1017">
      <c r="A1017" s="5" t="inlineStr">
        <is>
          <t>mb-emeklilik-hesabi</t>
        </is>
      </c>
      <c r="B1017" s="5" t="n">
        <v>3</v>
      </c>
      <c r="C1017" s="6" t="inlineStr">
        <is>
          <t>Yarı zamanlı danışmanlık planla</t>
        </is>
      </c>
      <c r="D1017" s="5" t="inlineStr">
        <is>
          <t>Kurnazlık</t>
        </is>
      </c>
      <c r="E1017" s="5" t="inlineStr">
        <is>
          <t>Kolay</t>
        </is>
      </c>
      <c r="F1017" s="5" t="inlineStr"/>
      <c r="G1017" s="6" t="inlineStr"/>
      <c r="H1017" s="6" t="inlineStr">
        <is>
          <t>Emekli olup aynı işi danışman olarak yapacaksın. Aynı masa, farklı unvan, saat ücreti.</t>
        </is>
      </c>
      <c r="I1017" s="6" t="inlineStr">
        <is>
          <t>Danışmanlık teklifini daha emekli olmadan imzalattın. Kıdem tazminatı ve saat ücreti bir arada.</t>
        </is>
      </c>
      <c r="J1017" s="6" t="inlineStr">
        <is>
          <t>Plan yaptın; şirket danışmanlığı kaldırdı, yerine bir yazılım aldı. Yazılımın ilk işi senin raporlarını özetlemek oldu: 'Gereksiz.'</t>
        </is>
      </c>
      <c r="K1017" s="6" t="inlineStr">
        <is>
          <t>Danışmanlık teklifini yanlışlıkla kendi yöneticine gönderdin. Yöneticin istifa sandı, kabul etti, veda pastasını da sipariş etti. Emekliliğine beş yıl var; pasta yarın geliyor.</t>
        </is>
      </c>
      <c r="L1017" s="6" t="inlineStr"/>
      <c r="M1017" s="5" t="inlineStr"/>
      <c r="N1017" s="5" t="inlineStr"/>
      <c r="O1017" s="6" t="inlineStr"/>
      <c r="P1017" s="6" t="inlineStr"/>
      <c r="Q1017" s="5" t="inlineStr">
        <is>
          <t>Plaza Diplomatı</t>
        </is>
      </c>
      <c r="R1017" s="5" t="inlineStr"/>
      <c r="S1017" s="5" t="inlineStr"/>
      <c r="T1017" s="5" t="inlineStr"/>
      <c r="U1017" s="5" t="inlineStr"/>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c r="AI1017" s="5" t="inlineStr"/>
      <c r="AJ1017" s="5" t="inlineStr"/>
    </row>
    <row r="1018">
      <c r="A1018" s="5" t="inlineStr">
        <is>
          <t>mm-gun-sayaci</t>
        </is>
      </c>
      <c r="B1018" s="5" t="n">
        <v>1</v>
      </c>
      <c r="C1018" s="6" t="inlineStr">
        <is>
          <t>Bir çizgi daha çek</t>
        </is>
      </c>
      <c r="D1018" s="5" t="inlineStr"/>
      <c r="E1018" s="5" t="inlineStr"/>
      <c r="F1018" s="5" t="inlineStr">
        <is>
          <t>Dayanıklılık +1</t>
        </is>
      </c>
      <c r="G1018" s="6" t="inlineStr">
        <is>
          <t>Bir çizgi daha çektin. Kâğıtta yer kalmadı, yanına ikinci kâğıdı yapıştırdın. Çaycı her sabah tepsiyi bırakırken soruyor: 'Kaç kaldı hocam?' Cevabı artık onun da ezberinde.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c r="AI1018" s="5" t="inlineStr"/>
      <c r="AJ1018" s="5" t="inlineStr"/>
    </row>
    <row r="1019">
      <c r="A1019" s="5" t="inlineStr">
        <is>
          <t>mm-gun-sayaci</t>
        </is>
      </c>
      <c r="B1019" s="5" t="n">
        <v>2</v>
      </c>
      <c r="C1019" s="6" t="inlineStr">
        <is>
          <t>Sayacı bilgisayara taşı</t>
        </is>
      </c>
      <c r="D1019" s="5" t="inlineStr">
        <is>
          <t>Akıl</t>
        </is>
      </c>
      <c r="E1019" s="5" t="inlineStr">
        <is>
          <t>Kolay</t>
        </is>
      </c>
      <c r="F1019" s="5" t="inlineStr"/>
      <c r="G1019" s="6" t="inlineStr"/>
      <c r="H1019" s="6" t="inlineStr">
        <is>
          <t>Saat, dakika, saniye. Mesai bitince ekranda konfeti patlıyor. Yan masa her akşam 16.59'da sandalyesini çevirip izliyor.</t>
        </is>
      </c>
      <c r="I1019" s="6" t="inlineStr">
        <is>
          <t>Sayacı bilgisayarın açılış ekranına koydun; bilgi işlemdeki genç beğenip bütün daireye kurdu. Artık her sabah kırk ekranda aynı anda senin emekliliğin sayılıyor. Müdür kendi sayacını istedi.</t>
        </is>
      </c>
      <c r="J1019" s="6" t="inlineStr">
        <is>
          <t>Sistem çöktüğünde sayaç da sıfırlandı. Kalan gün: bilinmiyor.</t>
        </is>
      </c>
      <c r="K1019" s="6" t="inlineStr">
        <is>
          <t>Sayacı yanlış ayarladın; ekran emekliliğe 4.160 gün diyor. Bir hafta kimseyle konuşmadın. Yan masa hatayı ilk gün gördü ama bir hafta söylemedi.</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c r="AI1019" s="5" t="inlineStr"/>
      <c r="AJ1019" s="5" t="inlineStr"/>
    </row>
    <row r="1020">
      <c r="A1020" s="5" t="inlineStr">
        <is>
          <t>mm-gun-sayaci</t>
        </is>
      </c>
      <c r="B1020" s="5" t="n">
        <v>3</v>
      </c>
      <c r="C1020" s="6" t="inlineStr">
        <is>
          <t>Yan masayla yarış başlat</t>
        </is>
      </c>
      <c r="D1020" s="5" t="inlineStr">
        <is>
          <t>Çene</t>
        </is>
      </c>
      <c r="E1020" s="5" t="inlineStr">
        <is>
          <t>Orta</t>
        </is>
      </c>
      <c r="F1020" s="5" t="inlineStr"/>
      <c r="G1020" s="6" t="inlineStr"/>
      <c r="H1020" s="6" t="inlineStr">
        <is>
          <t>'Kim önce emekli olacak' yarışını duyurdun. Daire ikiye bölündü; çaycı tarafını belli etti: senin çayın artık iki şekerli geliyor.</t>
        </is>
      </c>
      <c r="I1020" s="6" t="inlineStr">
        <is>
          <t>Yan masayla ortak geri sayım panosu kurdunuz. Müdür bile her sabah bir çizgi çekiyor.</t>
        </is>
      </c>
      <c r="J1020" s="6" t="inlineStr">
        <is>
          <t>Yan masa kazandı. Tabii ki. Üç yüz gün öndeydi.</t>
        </is>
      </c>
      <c r="K1020" s="6" t="inlineStr">
        <is>
          <t>Yarış öyle kızıştı ki yan masa emeklilik dilekçesini erken verdi. Onun dosyaları artık sende.</t>
        </is>
      </c>
      <c r="L1020" s="6" t="inlineStr"/>
      <c r="M1020" s="5" t="inlineStr"/>
      <c r="N1020" s="5" t="inlineStr"/>
      <c r="O1020" s="6" t="inlineStr"/>
      <c r="P1020" s="6" t="inlineStr"/>
      <c r="Q1020" s="5" t="inlineStr"/>
      <c r="R1020" s="5" t="inlineStr"/>
      <c r="S1020" s="5" t="inlineStr">
        <is>
          <t>Sosyal Radar</t>
        </is>
      </c>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c r="AI1020" s="5" t="inlineStr"/>
      <c r="AJ1020" s="5" t="inlineStr"/>
    </row>
    <row r="1021">
      <c r="A1021" s="5" t="inlineStr">
        <is>
          <t>mm-gun-sayaci</t>
        </is>
      </c>
      <c r="B1021" s="5" t="n">
        <v>4</v>
      </c>
      <c r="C1021" s="6" t="inlineStr">
        <is>
          <t>Hizmet borçlanmasını hesapla</t>
        </is>
      </c>
      <c r="D1021" s="5" t="inlineStr">
        <is>
          <t>Akıl</t>
        </is>
      </c>
      <c r="E1021" s="5" t="inlineStr">
        <is>
          <t>Orta</t>
        </is>
      </c>
      <c r="F1021" s="5" t="inlineStr"/>
      <c r="G1021" s="6" t="inlineStr"/>
      <c r="H1021" s="6" t="inlineStr">
        <is>
          <t>Staj ve eski hizmet sürelerini ekledin. Sayaç bir gecede dört yüz gün eksildi.</t>
        </is>
      </c>
      <c r="I1021" s="6" t="inlineStr">
        <is>
          <t>Mevzuatta öyle bir madde buldun ki emekliliğin iki yıl öne çekildi. Kâğıdı yeniden yazman gerekti.</t>
        </is>
      </c>
      <c r="J1021" s="6" t="inlineStr">
        <is>
          <t>Hesap doğru ama borçlanma bedeli bir arabalık. Sayaç yerinde, hayal yerinde.</t>
        </is>
      </c>
      <c r="K1021" s="6" t="inlineStr">
        <is>
          <t>Hesabı yaparken yeni bir değişikliği gözden kaçırdın. Sayaç iki yüz gün arttı.</t>
        </is>
      </c>
      <c r="L1021" s="6" t="inlineStr"/>
      <c r="M1021" s="5" t="inlineStr"/>
      <c r="N1021" s="5" t="inlineStr"/>
      <c r="O1021" s="6" t="inlineStr"/>
      <c r="P1021" s="6" t="inlineStr"/>
      <c r="Q1021" s="5" t="inlineStr">
        <is>
          <t>Mevzuat Kalkanı</t>
        </is>
      </c>
      <c r="R1021" s="5" t="inlineStr"/>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c r="AI1021" s="5" t="inlineStr"/>
      <c r="AJ1021" s="5" t="inlineStr"/>
    </row>
    <row r="1022">
      <c r="A1022" s="5" t="inlineStr">
        <is>
          <t>b9-doktor-randevusu</t>
        </is>
      </c>
      <c r="B1022" s="5" t="n">
        <v>1</v>
      </c>
      <c r="C1022" s="6" t="inlineStr">
        <is>
          <t>Gece yarısı iptal avına çık</t>
        </is>
      </c>
      <c r="D1022" s="5" t="inlineStr">
        <is>
          <t>Akıl</t>
        </is>
      </c>
      <c r="E1022" s="5" t="inlineStr">
        <is>
          <t>Zor</t>
        </is>
      </c>
      <c r="F1022" s="5" t="inlineStr"/>
      <c r="G1022" s="6" t="inlineStr"/>
      <c r="H1022" s="6" t="inlineStr">
        <is>
          <t>Gece 02.14'te bir iptal yakaladın, sabah muayenedeydin. Doktor 'Çok uykusuz görünüyorsunuz' dedi ve yeni bir randevu yazdı.</t>
        </is>
      </c>
      <c r="I1022" s="6" t="inlineStr">
        <is>
          <t>İptalleri koklar oldun. Artık bütün akraba randevu için seni arıyor; halanın kızı gece ikide 'Uyanık mısın?' yazıyor. Uyanıksın.</t>
        </is>
      </c>
      <c r="J1022" s="6" t="inlineStr">
        <is>
          <t>İptali gördün, dokundun, 'İşlem zaman aşımına uğradı' dedi uygulama.</t>
        </is>
      </c>
      <c r="K1022" s="6" t="inlineStr">
        <is>
          <t>Gece uyanık kaldın, sabah uyuyakaldın; dört ayda bulduğun randevuyu kaçırdın. Öğlen uygulama kibarca sordu: 'Muayenenizi değerlendirin.' Bir yıldız verdin; kendine.</t>
        </is>
      </c>
      <c r="L1022" s="6" t="inlineStr"/>
      <c r="M1022" s="5" t="inlineStr"/>
      <c r="N1022" s="5" t="inlineStr"/>
      <c r="O1022" s="6" t="inlineStr"/>
      <c r="P1022" s="6" t="inlineStr"/>
      <c r="Q1022" s="5" t="inlineStr"/>
      <c r="R1022" s="5" t="inlineStr"/>
      <c r="S1022" s="5" t="inlineStr"/>
      <c r="T1022" s="5" t="inlineStr">
        <is>
          <t>Randevu Avcısı</t>
        </is>
      </c>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c r="AI1022" s="5" t="inlineStr"/>
      <c r="AJ1022" s="5" t="inlineStr"/>
    </row>
    <row r="1023">
      <c r="A1023" s="5" t="inlineStr">
        <is>
          <t>b9-doktor-randevusu</t>
        </is>
      </c>
      <c r="B1023" s="5" t="n">
        <v>2</v>
      </c>
      <c r="C1023" s="6" t="inlineStr">
        <is>
          <t>Hastaneye bizzat git</t>
        </is>
      </c>
      <c r="D1023" s="5" t="inlineStr"/>
      <c r="E1023" s="5" t="inlineStr"/>
      <c r="F1023" s="5" t="inlineStr">
        <is>
          <t>Dayanıklılık +1</t>
        </is>
      </c>
      <c r="G1023" s="6" t="inlineStr">
        <is>
          <t>Hastaneye gittin. Kapıda sana bir kâğıt verildi. Kâğıtta uygulamanın adresi yazıyordu.</t>
        </is>
      </c>
      <c r="H1023" s="6" t="inlineStr"/>
      <c r="I1023" s="6" t="inlineStr"/>
      <c r="J1023" s="6" t="inlineStr"/>
      <c r="K1023" s="6" t="inlineStr"/>
      <c r="L1023" s="6" t="inlineStr"/>
      <c r="M1023" s="5" t="inlineStr"/>
      <c r="N1023" s="5" t="inlineStr"/>
      <c r="O1023" s="6" t="inlineStr"/>
      <c r="P1023" s="6" t="inlineStr"/>
      <c r="Q1023" s="5" t="inlineStr"/>
      <c r="R1023" s="5" t="inlineStr"/>
      <c r="S1023" s="5" t="inlineStr"/>
      <c r="T1023" s="5" t="inlineStr"/>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c r="AI1023" s="5" t="inlineStr"/>
      <c r="AJ1023" s="5" t="inlineStr"/>
    </row>
    <row r="1024">
      <c r="A1024" s="5" t="inlineStr">
        <is>
          <t>b9-doktor-randevusu</t>
        </is>
      </c>
      <c r="B1024" s="5" t="n">
        <v>3</v>
      </c>
      <c r="C1024" s="6" t="inlineStr">
        <is>
          <t>Tanıdık bir hemşireyi ara</t>
        </is>
      </c>
      <c r="D1024" s="5" t="inlineStr">
        <is>
          <t>Sosyal Radar</t>
        </is>
      </c>
      <c r="E1024" s="5" t="inlineStr">
        <is>
          <t>Orta</t>
        </is>
      </c>
      <c r="F1024" s="5" t="inlineStr"/>
      <c r="G1024" s="6" t="inlineStr"/>
      <c r="H1024" s="6" t="inlineStr">
        <is>
          <t>Tanıdığın tanıdığı randevuyu ertesi haftaya çekti. Karşılığında kızının düğününe davetlisin; takı bekleniyor.</t>
        </is>
      </c>
      <c r="I1024" s="6" t="inlineStr">
        <is>
          <t>Hemşire hem randevu ayarladı hem bekleme salonunda sana çay getirdi. Sıradakiler seni müdürün akrabası sandı.</t>
        </is>
      </c>
      <c r="J1024" s="6" t="inlineStr">
        <is>
          <t>Tanıdığın hemşire iki yıl önce emekli olmuş. Sana emeklilik hakkında yarım saat bilgi verdi.</t>
        </is>
      </c>
      <c r="K1024" s="6" t="inlineStr">
        <is>
          <t>Aradığın hemşire seni tanımadı ama kibarlıktan tanımış gibi yaptı. Yarım saat konuştunuz. Randevun yok; oğluna iş bulman bekleniyor.</t>
        </is>
      </c>
      <c r="L1024" s="6" t="inlineStr"/>
      <c r="M1024" s="5" t="inlineStr"/>
      <c r="N1024" s="5" t="inlineStr"/>
      <c r="O1024" s="6" t="inlineStr"/>
      <c r="P1024" s="6" t="inlineStr"/>
      <c r="Q1024" s="5" t="inlineStr">
        <is>
          <t>Odayı Okur</t>
        </is>
      </c>
      <c r="R1024" s="5" t="inlineStr"/>
      <c r="S1024" s="5" t="inlineStr"/>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c r="AI1024" s="5" t="inlineStr"/>
      <c r="AJ1024" s="5" t="inlineStr"/>
    </row>
    <row r="1025">
      <c r="A1025" s="5" t="inlineStr">
        <is>
          <t>b9-ilk-torun</t>
        </is>
      </c>
      <c r="B1025" s="5" t="n">
        <v>1</v>
      </c>
      <c r="C1025" s="6" t="inlineStr">
        <is>
          <t>Kucağına al, ağla</t>
        </is>
      </c>
      <c r="D1025" s="5" t="inlineStr"/>
      <c r="E1025" s="5" t="inlineStr"/>
      <c r="F1025" s="5" t="inlineStr">
        <is>
          <t>Gönül +1</t>
        </is>
      </c>
      <c r="G1025" s="6" t="inlineStr">
        <is>
          <t>Kucağına aldın ve ağladın. Fotoğraflarda sen bebekten daha çok ağlıyorsun.</t>
        </is>
      </c>
      <c r="H1025" s="6" t="inlineStr"/>
      <c r="I1025" s="6" t="inlineStr"/>
      <c r="J1025" s="6" t="inlineStr"/>
      <c r="K1025" s="6" t="inlineStr"/>
      <c r="L1025" s="6" t="inlineStr"/>
      <c r="M1025" s="5" t="inlineStr"/>
      <c r="N1025" s="5" t="inlineStr"/>
      <c r="O1025" s="6" t="inlineStr"/>
      <c r="P1025" s="6" t="inlineStr"/>
      <c r="Q1025" s="5" t="inlineStr"/>
      <c r="R1025" s="5" t="inlineStr"/>
      <c r="S1025" s="5" t="inlineStr"/>
      <c r="T1025" s="5" t="inlineStr"/>
      <c r="U1025" s="5" t="inlineStr">
        <is>
          <t>torunlu</t>
        </is>
      </c>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c r="AI1025" s="5" t="inlineStr"/>
      <c r="AJ1025" s="5" t="inlineStr"/>
    </row>
    <row r="1026">
      <c r="A1026" s="5" t="inlineStr">
        <is>
          <t>b9-ilk-torun</t>
        </is>
      </c>
      <c r="B1026" s="5" t="n">
        <v>2</v>
      </c>
      <c r="C1026" s="6" t="inlineStr">
        <is>
          <t>İsim önerisini yap</t>
        </is>
      </c>
      <c r="D1026" s="5" t="inlineStr">
        <is>
          <t>Çene</t>
        </is>
      </c>
      <c r="E1026" s="5" t="inlineStr">
        <is>
          <t>Zor</t>
        </is>
      </c>
      <c r="F1026" s="5" t="inlineStr"/>
      <c r="G1026" s="6" t="inlineStr"/>
      <c r="H1026" s="6" t="inlineStr">
        <is>
          <t>Önerdiğin isim ikinci isim olarak kabul edildi. Nüfus kaydında bir satır senin.</t>
        </is>
      </c>
      <c r="I1026" s="6" t="inlineStr">
        <is>
          <t>İsmi sen koydun. Dünürün itiraz etmek için ağzını açtı; bebek tam o an gülümsedi. Kimse bir şey diyemedi.</t>
        </is>
      </c>
      <c r="J1026" s="6" t="inlineStr">
        <is>
          <t>Önerini sundun. 'Çok eski' dendi. Önerdiğin isim, çocuğunun ismiydi.</t>
        </is>
      </c>
      <c r="K1026" s="6" t="inlineStr">
        <is>
          <t>Önerdiğin ismi yüksek sesle söyledin. Dünürün yüzü düştü: kedilerinin adıymış. Bebek o günden beri dünür tarafında 'Pisi' diye seviliyor.</t>
        </is>
      </c>
      <c r="L1026" s="6" t="inlineStr"/>
      <c r="M1026" s="5" t="inlineStr"/>
      <c r="N1026" s="5" t="inlineStr"/>
      <c r="O1026" s="6" t="inlineStr"/>
      <c r="P1026" s="6" t="inlineStr"/>
      <c r="Q1026" s="5" t="inlineStr"/>
      <c r="R1026" s="5" t="inlineStr"/>
      <c r="S1026" s="5" t="inlineStr"/>
      <c r="T1026" s="5" t="inlineStr"/>
      <c r="U1026" s="5" t="inlineStr">
        <is>
          <t>torunlu</t>
        </is>
      </c>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c r="AI1026" s="5" t="inlineStr"/>
      <c r="AJ1026" s="5" t="inlineStr"/>
    </row>
    <row r="1027">
      <c r="A1027" s="5" t="inlineStr">
        <is>
          <t>b9-ilk-torun</t>
        </is>
      </c>
      <c r="B1027" s="5" t="n">
        <v>3</v>
      </c>
      <c r="C1027" s="6" t="inlineStr">
        <is>
          <t>Bebeğin kime benzediğini ilan et</t>
        </is>
      </c>
      <c r="D1027" s="5" t="inlineStr">
        <is>
          <t>Sosyal Radar</t>
        </is>
      </c>
      <c r="E1027" s="5" t="inlineStr">
        <is>
          <t>Orta</t>
        </is>
      </c>
      <c r="F1027" s="5" t="inlineStr"/>
      <c r="G1027" s="6" t="inlineStr"/>
      <c r="H1027" s="6" t="inlineStr">
        <is>
          <t>'Bizim tarafa benziyor' dedin. Dünürün hemen telefonunu çıkarıp kendi bebeklik fotoğrafını gösterdi. Hastane koridorunda fotoğraf yarışı başladı.</t>
        </is>
      </c>
      <c r="I1027" s="6" t="inlineStr">
        <is>
          <t>'Herkese biraz benziyor' dedin. İki taraf da başını salladı, iki dünür de seni yemeğe çağırdı. Aynı akşama.</t>
        </is>
      </c>
      <c r="J1027" s="6" t="inlineStr">
        <is>
          <t>'Kulakları bizden' dedin. Dünür bebeğin şapkasını kaldırdı, baktı; sonra senin kulaklarına baktı. Şapkayı sessizce geri taktı.</t>
        </is>
      </c>
      <c r="K1027" s="6" t="inlineStr">
        <is>
          <t>'Tıpkı Sabri Amca' dedin. Oda buz kesti; Sabri Amca miras yüzünden yıllardır kimseyle konuşmuyor. Dünürün bebeği kucağından usulca geri aldı.</t>
        </is>
      </c>
      <c r="L1027" s="6" t="inlineStr"/>
      <c r="M1027" s="5" t="inlineStr"/>
      <c r="N1027" s="5" t="inlineStr"/>
      <c r="O1027" s="6" t="inlineStr"/>
      <c r="P1027" s="6" t="inlineStr"/>
      <c r="Q1027" s="5" t="inlineStr"/>
      <c r="R1027" s="5" t="inlineStr"/>
      <c r="S1027" s="5" t="inlineStr"/>
      <c r="T1027" s="5" t="inlineStr"/>
      <c r="U1027" s="5" t="inlineStr">
        <is>
          <t>torunlu</t>
        </is>
      </c>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c r="AI1027" s="5" t="inlineStr"/>
      <c r="AJ1027" s="5" t="inlineStr"/>
    </row>
    <row r="1028">
      <c r="A1028" s="5" t="inlineStr">
        <is>
          <t>ms-emeklilik-yok</t>
        </is>
      </c>
      <c r="B1028" s="5" t="n">
        <v>1</v>
      </c>
      <c r="C1028" s="6" t="inlineStr">
        <is>
          <t>Planı 'hep üretmek' olarak güncelle</t>
        </is>
      </c>
      <c r="D1028" s="5" t="inlineStr"/>
      <c r="E1028" s="5" t="inlineStr"/>
      <c r="F1028" s="5" t="inlineStr">
        <is>
          <t>Dayanıklılık +1</t>
        </is>
      </c>
      <c r="G1028" s="6" t="inlineStr">
        <is>
          <t>Emeklilik planına tek satır yazdın: 'Devam.' Muhasebecin okudu, 'En gerçekçi plan bu' dedi ve kendi planını da öyle değiştirdi.</t>
        </is>
      </c>
      <c r="H1028" s="6" t="inlineStr"/>
      <c r="I1028" s="6" t="inlineStr"/>
      <c r="J1028" s="6" t="inlineStr"/>
      <c r="K1028" s="6" t="inlineStr"/>
      <c r="L1028" s="6" t="inlineStr"/>
      <c r="M1028" s="5" t="inlineStr"/>
      <c r="N1028" s="5" t="inlineStr"/>
      <c r="O1028" s="6" t="inlineStr"/>
      <c r="P1028" s="6" t="inlineStr"/>
      <c r="Q1028" s="5" t="inlineStr"/>
      <c r="R1028" s="5" t="inlineStr"/>
      <c r="S1028" s="5" t="inlineStr"/>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c r="AI1028" s="5" t="inlineStr"/>
      <c r="AJ1028" s="5" t="inlineStr"/>
    </row>
    <row r="1029">
      <c r="A1029" s="5" t="inlineStr">
        <is>
          <t>ms-emeklilik-yok</t>
        </is>
      </c>
      <c r="B1029" s="5" t="n">
        <v>2</v>
      </c>
      <c r="C1029" s="6" t="inlineStr">
        <is>
          <t>Eski eserlerini sat</t>
        </is>
      </c>
      <c r="D1029" s="5" t="inlineStr">
        <is>
          <t>Kurnazlık</t>
        </is>
      </c>
      <c r="E1029" s="5" t="inlineStr">
        <is>
          <t>Orta</t>
        </is>
      </c>
      <c r="F1029" s="5" t="inlineStr"/>
      <c r="G1029" s="6" t="inlineStr"/>
      <c r="H1029" s="6" t="inlineStr">
        <is>
          <t>Depodaki eserler koleksiyonculara gitti; bir yıllık kira çıktı. Depo boşaldı, içine ilk kez araba girdi.</t>
        </is>
      </c>
      <c r="I1029" s="6" t="inlineStr">
        <is>
          <t>Otuz yıl önce satamadığın eser, bugün o günkü fiyatının yirmi katına satıldı. Alıcı, o gün 'pahalı' diyen adammış.</t>
        </is>
      </c>
      <c r="J1029" s="6" t="inlineStr">
        <is>
          <t>Eserleri satışa koydun; alıcılar 'İmzalı mı?' diye sordu. İmzalamayı unutmuşsun. Otuz yıl boyunca.</t>
        </is>
      </c>
      <c r="K1029" s="6" t="inlineStr">
        <is>
          <t>Eserleri sattın; bir yıl sonra değeri üçe katlandı. Alıcı teşekkür mesajı yolladı.</t>
        </is>
      </c>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c r="AI1029" s="5" t="inlineStr"/>
      <c r="AJ1029" s="5" t="inlineStr"/>
    </row>
    <row r="1030">
      <c r="A1030" s="5" t="inlineStr">
        <is>
          <t>ms-emeklilik-yok</t>
        </is>
      </c>
      <c r="B1030" s="5" t="n">
        <v>3</v>
      </c>
      <c r="C1030" s="6" t="inlineStr">
        <is>
          <t>Gençlere serbest çalışma dersi ver</t>
        </is>
      </c>
      <c r="D1030" s="5" t="inlineStr">
        <is>
          <t>Çene</t>
        </is>
      </c>
      <c r="E1030" s="5" t="inlineStr">
        <is>
          <t>Kolay</t>
        </is>
      </c>
      <c r="F1030" s="5" t="inlineStr"/>
      <c r="G1030" s="6" t="inlineStr"/>
      <c r="H1030" s="6" t="inlineStr">
        <is>
          <t>İlk dersin konusu: fatura. İkinci dersin konusu: faturayı tahsil etmek. Üçüncü ders hiç bitmedi.</t>
        </is>
      </c>
      <c r="I1030" s="6" t="inlineStr">
        <is>
          <t>Dersin dolup taştı. Ders ücretini peşin aldın; hayatında ilk kez.</t>
        </is>
      </c>
      <c r="J1030" s="6" t="inlineStr">
        <is>
          <t>Öğrencilerden biri sordu: 'Bunu yapay zekâya sorsak olmaz mı?' Oldu.</t>
        </is>
      </c>
      <c r="K1030" s="6" t="inlineStr">
        <is>
          <t>Dersin sonunda öğrenciler sana 'Görünürlük sağlarız' dedi ve ücret ödemedi.</t>
        </is>
      </c>
      <c r="L1030" s="6" t="inlineStr"/>
      <c r="M1030" s="5" t="inlineStr"/>
      <c r="N1030" s="5" t="inlineStr"/>
      <c r="O1030" s="6" t="inlineStr"/>
      <c r="P1030" s="6" t="inlineStr"/>
      <c r="Q1030" s="5" t="inlineStr"/>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c r="AI1030" s="5" t="inlineStr"/>
      <c r="AJ1030" s="5" t="inlineStr"/>
    </row>
    <row r="1031">
      <c r="A1031" s="5" t="inlineStr">
        <is>
          <t>ms-emeklilik-yok</t>
        </is>
      </c>
      <c r="B1031" s="5" t="n">
        <v>4</v>
      </c>
      <c r="C1031" s="6" t="inlineStr">
        <is>
          <t>Evin bir odasını kiraya ver</t>
        </is>
      </c>
      <c r="D1031" s="5" t="inlineStr">
        <is>
          <t>Sosyal Radar</t>
        </is>
      </c>
      <c r="E1031" s="5" t="inlineStr">
        <is>
          <t>Orta</t>
        </is>
      </c>
      <c r="F1031" s="5" t="inlineStr"/>
      <c r="G1031" s="6" t="inlineStr"/>
      <c r="H1031" s="6" t="inlineStr">
        <is>
          <t>Odayı genç bir sanatçıya verdin. Kira düzenli geliyor. Senin kiraların hiç böyle gelmemişti.</t>
        </is>
      </c>
      <c r="I1031" s="6" t="inlineStr">
        <is>
          <t>Kiracın ünlendi; röportajlarda 'Her şeyi ev sahibimden öğrendim' diyor. Turlar evin önünde duruyor; çıkışta herkes senin eserlerinden birini alıyor. Kırk yıl sonra ilk kez kapıda kuyruk var.</t>
        </is>
      </c>
      <c r="J1031" s="6" t="inlineStr">
        <is>
          <t>Kiracı serbest çalışan çıktı. Kira 'onay bekliyor'.</t>
        </is>
      </c>
      <c r="K1031" s="6" t="inlineStr">
        <is>
          <t>Kiracı seninle aynı alanda çalışıyor. Artık bir rakibin var ve banyonu kullanıyor.</t>
        </is>
      </c>
      <c r="L1031" s="6" t="inlineStr"/>
      <c r="M1031" s="5" t="inlineStr"/>
      <c r="N1031" s="5" t="inlineStr"/>
      <c r="O1031" s="6" t="inlineStr"/>
      <c r="P1031" s="6" t="inlineStr"/>
      <c r="Q1031" s="5" t="inlineStr"/>
      <c r="R1031" s="5" t="inlineStr">
        <is>
          <t>ev-sahibi</t>
        </is>
      </c>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c r="AI1031" s="5" t="inlineStr"/>
      <c r="AJ1031" s="5" t="inlineStr"/>
    </row>
    <row r="1032">
      <c r="A1032" s="5" t="inlineStr">
        <is>
          <t>me-defterin-son-sayfasi</t>
        </is>
      </c>
      <c r="B1032" s="5" t="n">
        <v>1</v>
      </c>
      <c r="C1032" s="6" t="inlineStr">
        <is>
          <t>Defteri sil, hesapları kapat</t>
        </is>
      </c>
      <c r="D1032" s="5" t="inlineStr"/>
      <c r="E1032" s="5" t="inlineStr"/>
      <c r="F1032" s="5" t="inlineStr">
        <is>
          <t>İtibar +2</t>
        </is>
      </c>
      <c r="G1032" s="6" t="inlineStr">
        <is>
          <t>Bütün hesapları sildin. Mahalle bunu duydu; ertesi sabah yeni defter açılmasını bekleyenler kapıdaydı.</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c r="AI1032" s="5" t="inlineStr"/>
      <c r="AJ1032" s="5" t="inlineStr"/>
    </row>
    <row r="1033">
      <c r="A1033" s="5" t="inlineStr">
        <is>
          <t>me-defterin-son-sayfasi</t>
        </is>
      </c>
      <c r="B1033" s="5" t="n">
        <v>2</v>
      </c>
      <c r="C1033" s="6" t="inlineStr">
        <is>
          <t>Tahsilat turuna çık</t>
        </is>
      </c>
      <c r="D1033" s="5" t="inlineStr">
        <is>
          <t>İtibar</t>
        </is>
      </c>
      <c r="E1033" s="5" t="inlineStr">
        <is>
          <t>Zor</t>
        </is>
      </c>
      <c r="F1033" s="5" t="inlineStr"/>
      <c r="G1033" s="6" t="inlineStr"/>
      <c r="H1033" s="6" t="inlineStr">
        <is>
          <t>Kapı kapı gezdin, yarısını topladın. Gerisi sana çay ısmarladı.</t>
        </is>
      </c>
      <c r="I1033" s="6" t="inlineStr">
        <is>
          <t>Kasanın iki katı parayla döndün. Bir borçlu 'Faizini de al' diye ısrar etti; almadın.</t>
        </is>
      </c>
      <c r="J1033" s="6" t="inlineStr">
        <is>
          <t>Herkes seni görünce bir şeyler hatırladı. Borçlarını değil, eski günleri.</t>
        </is>
      </c>
      <c r="K1033" s="6" t="inlineStr">
        <is>
          <t>Tahsilattan üç yeni veresiye yazarak döndün. Defter kapanmadı; ikinci cilde geçti.</t>
        </is>
      </c>
      <c r="L1033" s="6" t="inlineStr"/>
      <c r="M1033" s="5" t="inlineStr"/>
      <c r="N1033" s="5" t="inlineStr"/>
      <c r="O1033" s="6" t="inlineStr"/>
      <c r="P1033" s="6" t="inlineStr"/>
      <c r="Q1033" s="5" t="inlineStr"/>
      <c r="R1033" s="5" t="inlineStr"/>
      <c r="S1033" s="5" t="inlineStr"/>
      <c r="T1033" s="5" t="inlineStr">
        <is>
          <t>Mahalle Muhasebecisi</t>
        </is>
      </c>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c r="AI1033" s="5" t="inlineStr"/>
      <c r="AJ1033" s="5" t="inlineStr"/>
    </row>
    <row r="1034">
      <c r="A1034" s="5" t="inlineStr">
        <is>
          <t>me-defterin-son-sayfasi</t>
        </is>
      </c>
      <c r="B1034" s="5" t="n">
        <v>3</v>
      </c>
      <c r="C1034" s="6" t="inlineStr">
        <is>
          <t>Sıfır arabalıya kibarca uğra</t>
        </is>
      </c>
      <c r="D1034" s="5" t="inlineStr">
        <is>
          <t>Kurnazlık</t>
        </is>
      </c>
      <c r="E1034" s="5" t="inlineStr">
        <is>
          <t>Kolay</t>
        </is>
      </c>
      <c r="F1034" s="5" t="inlineStr"/>
      <c r="G1034" s="6" t="inlineStr"/>
      <c r="H1034" s="6" t="inlineStr">
        <is>
          <t>'Güle güle bin, defteri de unutma' dedin. Borç ertesi sabah kapandı; araba bir daha dükkânın önüne park etmedi.</t>
        </is>
      </c>
      <c r="I1034" s="6" t="inlineStr">
        <is>
          <t>Borcunu kapattı, bir de özür diledi. Dükkânın önündeki park yeri artık sana ayrıldı.</t>
        </is>
      </c>
      <c r="J1034" s="6" t="inlineStr">
        <is>
          <t>'Araba taksitle' dedi. Taksitlerin sırası belli; defter en sonda.</t>
        </is>
      </c>
      <c r="K1034" s="6" t="inlineStr">
        <is>
          <t>Kibarca uğradın; arabasıyla seni eve bırakmayı teklif etti. Bindin. Yol boyunca taksitlerini anlattı, inerken senden borç istedi.</t>
        </is>
      </c>
      <c r="L1034" s="6" t="inlineStr"/>
      <c r="M1034" s="5" t="inlineStr"/>
      <c r="N1034" s="5" t="inlineStr"/>
      <c r="O1034" s="6" t="inlineStr"/>
      <c r="P1034" s="6" t="inlineStr"/>
      <c r="Q1034" s="5" t="inlineStr"/>
      <c r="R1034" s="5" t="inlineStr"/>
      <c r="S1034" s="5" t="inlineStr">
        <is>
          <t>Kurnazlık</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c r="AI1034" s="5" t="inlineStr"/>
      <c r="AJ1034" s="5" t="inlineStr"/>
    </row>
    <row r="1035">
      <c r="A1035" s="5" t="inlineStr">
        <is>
          <t>me-defterin-son-sayfasi</t>
        </is>
      </c>
      <c r="B1035" s="5" t="n">
        <v>4</v>
      </c>
      <c r="C1035" s="6" t="inlineStr">
        <is>
          <t>Defteri hatıra kitabı yap</t>
        </is>
      </c>
      <c r="D1035" s="5" t="inlineStr">
        <is>
          <t>Pişkinlik</t>
        </is>
      </c>
      <c r="E1035" s="5" t="inlineStr">
        <is>
          <t>Orta</t>
        </is>
      </c>
      <c r="F1035" s="5" t="inlineStr"/>
      <c r="G1035" s="6" t="inlineStr"/>
      <c r="H1035" s="6" t="inlineStr">
        <is>
          <t>Borçlular kitabı almaya geldi. Kitabın parasını ödediler; borçlarını yine ödemediler.</t>
        </is>
      </c>
      <c r="I1035" s="6" t="inlineStr">
        <is>
          <t>Hatıra kitabı çarşıda çok sattı. Kitabın geliri defterin toplamını geçti.</t>
        </is>
      </c>
      <c r="J1035" s="6" t="inlineStr">
        <is>
          <t>Kitabı bastırdın. Kimse almadı; herkes kendi sayfasını dükkânda okuyup geri koydu.</t>
        </is>
      </c>
      <c r="K1035" s="6" t="inlineStr">
        <is>
          <t>İsimleri gizlemeyi unuttun. İmza gününe üç aile aynı anda geldi, birbirinin sayfasını okudu. Çarşıda o üç aile artık birbirine selam vermiyor; sana hiç vermiyor.</t>
        </is>
      </c>
      <c r="L1035" s="6" t="inlineStr"/>
      <c r="M1035" s="5" t="inlineStr"/>
      <c r="N1035" s="5" t="inlineStr"/>
      <c r="O1035" s="6" t="inlineStr"/>
      <c r="P1035" s="6" t="inlineStr"/>
      <c r="Q1035" s="5" t="inlineStr"/>
      <c r="R1035" s="5" t="inlineStr">
        <is>
          <t>esnaf-veresiye-batagi</t>
        </is>
      </c>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c r="AI1035" s="5" t="inlineStr"/>
      <c r="AJ1035" s="5" t="inlineStr"/>
    </row>
    <row r="1036">
      <c r="A1036" s="5" t="inlineStr">
        <is>
          <t>b9-genclere-tavsiye</t>
        </is>
      </c>
      <c r="B1036" s="5" t="n">
        <v>1</v>
      </c>
      <c r="C1036" s="6" t="inlineStr">
        <is>
          <t>Susup kahveni iç</t>
        </is>
      </c>
      <c r="D1036" s="5" t="inlineStr"/>
      <c r="E1036" s="5" t="inlineStr"/>
      <c r="F1036" s="5" t="inlineStr">
        <is>
          <t>İtibar +1</t>
        </is>
      </c>
      <c r="G1036" s="6" t="inlineStr">
        <is>
          <t>Sustun. Genç kendi hatalarını kendi yapacak. Kahve de soğudu.</t>
        </is>
      </c>
      <c r="H1036" s="6" t="inlineStr"/>
      <c r="I1036" s="6" t="inlineStr"/>
      <c r="J1036" s="6" t="inlineStr"/>
      <c r="K1036" s="6" t="inlineStr"/>
      <c r="L1036" s="6" t="inlineStr"/>
      <c r="M1036" s="5" t="inlineStr"/>
      <c r="N1036" s="5" t="inlineStr"/>
      <c r="O1036" s="6" t="inlineStr"/>
      <c r="P1036" s="6" t="inlineStr"/>
      <c r="Q1036" s="5" t="inlineStr"/>
      <c r="R1036" s="5" t="inlineStr"/>
      <c r="S1036" s="5" t="inlineStr"/>
      <c r="T1036" s="5" t="inlineStr"/>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c r="AI1036" s="5" t="inlineStr"/>
      <c r="AJ1036" s="5" t="inlineStr"/>
    </row>
    <row r="1037">
      <c r="A1037" s="5" t="inlineStr">
        <is>
          <t>b9-genclere-tavsiye</t>
        </is>
      </c>
      <c r="B1037" s="5" t="n">
        <v>2</v>
      </c>
      <c r="C1037" s="6" t="inlineStr">
        <is>
          <t>'Benim zamanımda…' diye başla</t>
        </is>
      </c>
      <c r="D1037" s="5" t="inlineStr">
        <is>
          <t>Çene</t>
        </is>
      </c>
      <c r="E1037" s="5" t="inlineStr">
        <is>
          <t>Zor</t>
        </is>
      </c>
      <c r="F1037" s="5" t="inlineStr"/>
      <c r="G1037" s="6" t="inlineStr"/>
      <c r="H1037" s="6" t="inlineStr">
        <is>
          <t>Anlattın. Genç iki dakika dinledi, sonra 'Haklısınız ama şimdi durum farklı' dedi. Değildi.</t>
        </is>
      </c>
      <c r="I1037" s="6" t="inlineStr">
        <is>
          <t>Hikâyen öyle oturdu ki genç not aldı. Üç ay sonra bir internet yayınında seni anlatıyordu: 'Kafede tanıştığım biri…' Adını bilmiyordu.</t>
        </is>
      </c>
      <c r="J1037" s="6" t="inlineStr">
        <is>
          <t>'Benim zamanımda' dedin; genç kulaklığını taktı. Cümleni tamamlamanın bir anlamı kalmadı.</t>
        </is>
      </c>
      <c r="K1037" s="6" t="inlineStr">
        <is>
          <t>'Benim zamanımda' diye başladın; kafedeki herkes kulaklık taktı. Garson da.</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c r="AI1037" s="5" t="inlineStr"/>
      <c r="AJ1037" s="5" t="inlineStr"/>
    </row>
    <row r="1038">
      <c r="A1038" s="5" t="inlineStr">
        <is>
          <t>b9-genclere-tavsiye</t>
        </is>
      </c>
      <c r="B1038" s="5" t="n">
        <v>3</v>
      </c>
      <c r="C1038" s="6" t="inlineStr">
        <is>
          <t>'Sence ne yapmalısın?' diye sor</t>
        </is>
      </c>
      <c r="D1038" s="5" t="inlineStr">
        <is>
          <t>Çene</t>
        </is>
      </c>
      <c r="E1038" s="5" t="inlineStr">
        <is>
          <t>Kolay</t>
        </is>
      </c>
      <c r="F1038" s="5" t="inlineStr"/>
      <c r="G1038" s="6" t="inlineStr"/>
      <c r="H1038" s="6" t="inlineStr">
        <is>
          <t>Genç kendi sorusunu kendi cevapladı ve sana teşekkür etti. Danışmanlık ücreti: bir kahve.</t>
        </is>
      </c>
      <c r="I1038" s="6" t="inlineStr">
        <is>
          <t>Genç, 'Keşke iş yerimdeki yöneticiler sizin gibi olsa' dedi. Sen sadece soru sormuştun.</t>
        </is>
      </c>
      <c r="J1038" s="6" t="inlineStr">
        <is>
          <t>Genç 'Bilmiyorum, siz ne dersiniz?' dedi. Top sana döndü ve düştü.</t>
        </is>
      </c>
      <c r="K1038" s="6" t="inlineStr">
        <is>
          <t>Soruyu sordun. Genç kırk dakika cevap verdi, sonra ağladı, sonra annesini aradı ve telefonu sana uzattı: 'Siz anlatın.'</t>
        </is>
      </c>
      <c r="L1038" s="6" t="inlineStr"/>
      <c r="M1038" s="5" t="inlineStr"/>
      <c r="N1038" s="5" t="inlineStr"/>
      <c r="O1038" s="6" t="inlineStr"/>
      <c r="P1038" s="6" t="inlineStr"/>
      <c r="Q1038" s="5" t="inlineStr"/>
      <c r="R1038" s="5" t="inlineStr"/>
      <c r="S1038" s="5" t="inlineStr">
        <is>
          <t>Çene</t>
        </is>
      </c>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c r="AI1038" s="5" t="inlineStr"/>
      <c r="AJ1038" s="5" t="inlineStr"/>
    </row>
    <row r="1039">
      <c r="A1039" s="5" t="inlineStr">
        <is>
          <t>b9-lise-bulusmasi</t>
        </is>
      </c>
      <c r="B1039" s="5" t="n">
        <v>1</v>
      </c>
      <c r="C1039" s="6" t="inlineStr">
        <is>
          <t>Toplu fotoğrafı aile grubuna at</t>
        </is>
      </c>
      <c r="D1039" s="5" t="inlineStr"/>
      <c r="E1039" s="5" t="inlineStr"/>
      <c r="F1039" s="5" t="inlineStr">
        <is>
          <t>Pişkinlik +1</t>
        </is>
      </c>
      <c r="G1039" s="6" t="inlineStr">
        <is>
          <t>Fotoğrafı attın. Aile 'Hangisi sensin?' diye sordu. Sen de tam emin değildin.</t>
        </is>
      </c>
      <c r="H1039" s="6" t="inlineStr"/>
      <c r="I1039" s="6" t="inlineStr"/>
      <c r="J1039" s="6" t="inlineStr"/>
      <c r="K1039" s="6" t="inlineStr"/>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c r="AI1039" s="5" t="inlineStr"/>
      <c r="AJ1039" s="5" t="inlineStr"/>
    </row>
    <row r="1040">
      <c r="A1040" s="5" t="inlineStr">
        <is>
          <t>b9-lise-bulusmasi</t>
        </is>
      </c>
      <c r="B1040" s="5" t="n">
        <v>2</v>
      </c>
      <c r="C1040" s="6" t="inlineStr">
        <is>
          <t>Yeni bir mesaj grubu kur</t>
        </is>
      </c>
      <c r="D1040" s="5" t="inlineStr">
        <is>
          <t>Çene</t>
        </is>
      </c>
      <c r="E1040" s="5" t="inlineStr">
        <is>
          <t>Orta</t>
        </is>
      </c>
      <c r="F1040" s="5" t="inlineStr"/>
      <c r="G1040" s="6" t="inlineStr"/>
      <c r="H1040" s="6" t="inlineStr">
        <is>
          <t>Grup kuruldu. İlk hafta seksen mesaj, ikinci hafta bir günaydın görseli, üçüncü hafta sessizlik.</t>
        </is>
      </c>
      <c r="I1040" s="6" t="inlineStr">
        <is>
          <t>Grup öyle yaşadı ki sınıf bir sonraki yıl tatile birlikte gitti. Kırk yıldır ilk kez yoklama tam.</t>
        </is>
      </c>
      <c r="J1040" s="6" t="inlineStr">
        <is>
          <t>Grubu kurdun; otomatik düzeltme 'Lise 3-B'yi 'Lise 3 Bebek' yaptı. Kimse düzeltmedi. Altmışlık bebekler her sabah orada günaydınlaşıyor.</t>
        </is>
      </c>
      <c r="K1040" s="6" t="inlineStr">
        <is>
          <t>Grubu kurdun, ilk mesajda yanlış kişiyi 'merhum' diye andın. Kendisi grupta; hemen yazdı: 'Yaşıyorum, ama sağ ol.' Kırk kişi aynı anda 'Geçmiş olsun' yazdı.</t>
        </is>
      </c>
      <c r="L1040" s="6" t="inlineStr"/>
      <c r="M1040" s="5" t="inlineStr"/>
      <c r="N1040" s="5" t="inlineStr"/>
      <c r="O1040" s="6" t="inlineStr"/>
      <c r="P1040" s="6" t="inlineStr"/>
      <c r="Q1040" s="5" t="inlineStr">
        <is>
          <t>Kuralı Koyan</t>
        </is>
      </c>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c r="AI1040" s="5" t="inlineStr"/>
      <c r="AJ1040" s="5" t="inlineStr"/>
    </row>
    <row r="1041">
      <c r="A1041" s="5" t="inlineStr">
        <is>
          <t>b9-lise-bulusmasi</t>
        </is>
      </c>
      <c r="B1041" s="5" t="n">
        <v>3</v>
      </c>
      <c r="C1041" s="6" t="inlineStr">
        <is>
          <t>Kimin ne olduğunu kıyasla</t>
        </is>
      </c>
      <c r="D1041" s="5" t="inlineStr">
        <is>
          <t>İtibar</t>
        </is>
      </c>
      <c r="E1041" s="5" t="inlineStr">
        <is>
          <t>Orta</t>
        </is>
      </c>
      <c r="F1041" s="5" t="inlineStr"/>
      <c r="G1041" s="6" t="inlineStr"/>
      <c r="H1041" s="6" t="inlineStr">
        <is>
          <t>Kıyasladın ve fark ettin: herkes bir yerinden yorulmuş. Rahatladın.</t>
        </is>
      </c>
      <c r="I1041" s="6" t="inlineStr">
        <is>
          <t>Kıyasladın ve kendini sınıfın ortalamasının üstünde buldun. Gece rahat uyudun. Kimseye söylemedin.</t>
        </is>
      </c>
      <c r="J1041" s="6" t="inlineStr">
        <is>
          <t>Kıyasladın. Sınıfın en tembeli şimdi bir otel zinciri sahibi. Bu bilgiyi hazmetmen iki gün sürdü.</t>
        </is>
      </c>
      <c r="K1041" s="6" t="inlineStr">
        <is>
          <t>Kıyaslarken yüksek sesle düşündün: 'En azından Kemal kadar göbeğim yok.' Seni eve bırakan Kemal'di.</t>
        </is>
      </c>
      <c r="L1041" s="6" t="inlineStr"/>
      <c r="M1041" s="5" t="inlineStr"/>
      <c r="N1041" s="5" t="inlineStr"/>
      <c r="O1041" s="6" t="inlineStr"/>
      <c r="P1041" s="6" t="inlineStr"/>
      <c r="Q1041" s="5" t="inlineStr"/>
      <c r="R1041" s="5" t="inlineStr"/>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c r="AI1041" s="5" t="inlineStr"/>
      <c r="AJ1041" s="5" t="inlineStr"/>
    </row>
    <row r="1042">
      <c r="A1042" s="5" t="inlineStr">
        <is>
          <t>b9-eski-ask</t>
        </is>
      </c>
      <c r="B1042" s="5" t="n">
        <v>1</v>
      </c>
      <c r="C1042" s="6" t="inlineStr">
        <is>
          <t>Nohudu bırak, başka reyona geç</t>
        </is>
      </c>
      <c r="D1042" s="5" t="inlineStr"/>
      <c r="E1042" s="5" t="inlineStr"/>
      <c r="F1042" s="5" t="inlineStr">
        <is>
          <t>Dayanıklılık +1</t>
        </is>
      </c>
      <c r="G1042" s="6" t="inlineStr">
        <is>
          <t>Nohudu bıraktın, başka reyona geçtin. Kasaya vardığında sepetinde üç paket mercimek vardı; neden aldığını bilmiyorsun.</t>
        </is>
      </c>
      <c r="H1042" s="6" t="inlineStr"/>
      <c r="I1042" s="6" t="inlineStr"/>
      <c r="J1042" s="6" t="inlineStr"/>
      <c r="K1042" s="6" t="inlineStr"/>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c r="AI1042" s="5" t="inlineStr"/>
      <c r="AJ1042" s="5" t="inlineStr"/>
    </row>
    <row r="1043">
      <c r="A1043" s="5" t="inlineStr">
        <is>
          <t>b9-eski-ask</t>
        </is>
      </c>
      <c r="B1043" s="5" t="n">
        <v>2</v>
      </c>
      <c r="C1043" s="6" t="inlineStr">
        <is>
          <t>Selam ver</t>
        </is>
      </c>
      <c r="D1043" s="5" t="inlineStr">
        <is>
          <t>Cesaret</t>
        </is>
      </c>
      <c r="E1043" s="5" t="inlineStr">
        <is>
          <t>Orta</t>
        </is>
      </c>
      <c r="F1043" s="5" t="inlineStr"/>
      <c r="G1043" s="6" t="inlineStr"/>
      <c r="H1043" s="6" t="inlineStr">
        <is>
          <t>Selam verdin. On dakika konuştunuz, telefondan fotoğraf gösterdiniz. İkiniz de gözlüğü evde unutmuştu; fotoğraflara uzun uzun baktınız.</t>
        </is>
      </c>
      <c r="I1043" s="6" t="inlineStr">
        <is>
          <t>Selam verdin, kafeye oturdunuz, üç saat konuştunuz. Kasaya dönünce nohudun indirimi bitmişti.</t>
        </is>
      </c>
      <c r="J1043" s="6" t="inlineStr">
        <is>
          <t>Selam verdin. 'Pardon, tanıyamadım' dedi. Sen de tanımamış gibi yaptın. Artık ikiniz de yalan söylüyorsunuz.</t>
        </is>
      </c>
      <c r="K1043" s="6" t="inlineStr">
        <is>
          <t>Selam verdin, adıyla seslendin, 'Hiç değişmemişsin' dedin. Eski aşkın değilmiş. Eski aşkının annesiymiş.</t>
        </is>
      </c>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c r="AI1043" s="5" t="inlineStr"/>
      <c r="AJ1043" s="5" t="inlineStr"/>
    </row>
    <row r="1044">
      <c r="A1044" s="5" t="inlineStr">
        <is>
          <t>b9-eski-ask</t>
        </is>
      </c>
      <c r="B1044" s="5" t="n">
        <v>3</v>
      </c>
      <c r="C1044" s="6" t="inlineStr">
        <is>
          <t>Yarım kalan mektubu anlat</t>
        </is>
      </c>
      <c r="D1044" s="5" t="inlineStr">
        <is>
          <t>Gönül</t>
        </is>
      </c>
      <c r="E1044" s="5" t="inlineStr">
        <is>
          <t>Zor</t>
        </is>
      </c>
      <c r="F1044" s="5" t="inlineStr"/>
      <c r="G1044" s="6" t="inlineStr"/>
      <c r="H1044" s="6" t="inlineStr">
        <is>
          <t>Mektubu anlattın. Güldü: 'O mektubu ben de yazıyordum.' İki yarım mektup bir marketin konserve reyonunda tamamlandı.</t>
        </is>
      </c>
      <c r="I1044" s="6" t="inlineStr">
        <is>
          <t>Mektubu anlattın. O da cüzdanından sararmış bir kâğıt çıkardı. Kırk yıl sonra teslim alındı.</t>
        </is>
      </c>
      <c r="J1044" s="6" t="inlineStr">
        <is>
          <t>Mektubu anlattın. 'Hangi mektup?' dedi. Kırk yıllık bir dram tek taraflıymış.</t>
        </is>
      </c>
      <c r="K1044" s="6" t="inlineStr">
        <is>
          <t>Mektubu anlatırken ağladın; nohut kutusu elinden kaydı, yuvarlana yuvarlana kasaya kadar gitti. Kasiyer kutuyu havaya kaldırdı: “Nohut kimin?” Bütün kuyruk dönüp kızarmış gözlerine baktı.</t>
        </is>
      </c>
      <c r="L1044" s="6" t="inlineStr"/>
      <c r="M1044" s="5" t="inlineStr"/>
      <c r="N1044" s="5" t="inlineStr"/>
      <c r="O1044" s="6" t="inlineStr"/>
      <c r="P1044" s="6" t="inlineStr"/>
      <c r="Q1044" s="5" t="inlineStr"/>
      <c r="R1044" s="5" t="inlineStr"/>
      <c r="S1044" s="5" t="inlineStr">
        <is>
          <t>Gönül</t>
        </is>
      </c>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c r="AI1044" s="5" t="inlineStr">
        <is>
          <t>Nohut</t>
        </is>
      </c>
      <c r="AJ1044" s="5" t="inlineStr"/>
    </row>
    <row r="1045">
      <c r="A1045" s="5" t="inlineStr">
        <is>
          <t>b9-balkon-tarimi</t>
        </is>
      </c>
      <c r="B1045" s="5" t="n">
        <v>1</v>
      </c>
      <c r="C1045" s="6" t="inlineStr">
        <is>
          <t>Her gün sula, bekle</t>
        </is>
      </c>
      <c r="D1045" s="5" t="inlineStr"/>
      <c r="E1045" s="5" t="inlineStr"/>
      <c r="F1045" s="5" t="inlineStr">
        <is>
          <t>İtibar +1, Dayanıklılık +1</t>
        </is>
      </c>
      <c r="G1045" s="6" t="inlineStr">
        <is>
          <t>Bekledin. Hasat: yedi domates. Her birine isim verdin. Salata yapmak zor oldu.</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c r="AI1045" s="5" t="inlineStr"/>
      <c r="AJ1045" s="5" t="inlineStr"/>
    </row>
    <row r="1046">
      <c r="A1046" s="5" t="inlineStr">
        <is>
          <t>b9-balkon-tarimi</t>
        </is>
      </c>
      <c r="B1046" s="5" t="n">
        <v>2</v>
      </c>
      <c r="C1046" s="6" t="inlineStr">
        <is>
          <t>Toprak ve gübre araştır</t>
        </is>
      </c>
      <c r="D1046" s="5" t="inlineStr">
        <is>
          <t>Akıl</t>
        </is>
      </c>
      <c r="E1046" s="5" t="inlineStr">
        <is>
          <t>Zor</t>
        </is>
      </c>
      <c r="F1046" s="5" t="inlineStr"/>
      <c r="G1046" s="6" t="inlineStr"/>
      <c r="H1046" s="6" t="inlineStr">
        <is>
          <t>Toprağı değiştirdin, domatesler coştu. Bütün apartmana birer tabak gönderdin; tabakların hepsi börekle geri geldi.</t>
        </is>
      </c>
      <c r="I1046" s="6" t="inlineStr">
        <is>
          <t>Domatesler öyle büyüdü ki apartman yöneticisi 'Balkon statiği' konulu bir toplantı çağırdı.</t>
        </is>
      </c>
      <c r="J1046" s="6" t="inlineStr">
        <is>
          <t>Doğru gübreyi aldın, yanlış saksıya koydun. Sardunya dev oldu. Domatesler kıskandı.</t>
        </is>
      </c>
      <c r="K1046" s="6" t="inlineStr">
        <is>
          <t>Gübreyi fazla koydun. Balkon üç hafta ahır gibi koktu. Üst kat çamaşırını içeri astı, alt kat selamı kesti.</t>
        </is>
      </c>
      <c r="L1046" s="6" t="inlineStr"/>
      <c r="M1046" s="5" t="inlineStr"/>
      <c r="N1046" s="5" t="inlineStr"/>
      <c r="O1046" s="6" t="inlineStr"/>
      <c r="P1046" s="6" t="inlineStr"/>
      <c r="Q1046" s="5" t="inlineStr"/>
      <c r="R1046" s="5" t="inlineStr"/>
      <c r="S1046" s="5" t="inlineStr"/>
      <c r="T1046" s="5" t="inlineStr">
        <is>
          <t>Bahçe Filozofu</t>
        </is>
      </c>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c r="AI1046" s="5" t="inlineStr"/>
      <c r="AJ1046" s="5" t="inlineStr"/>
    </row>
    <row r="1047">
      <c r="A1047" s="5" t="inlineStr">
        <is>
          <t>b9-balkon-tarimi</t>
        </is>
      </c>
      <c r="B1047" s="5" t="n">
        <v>3</v>
      </c>
      <c r="C1047" s="6" t="inlineStr">
        <is>
          <t>Alt kata doğru genişlet</t>
        </is>
      </c>
      <c r="D1047" s="5" t="inlineStr">
        <is>
          <t>Kurnazlık</t>
        </is>
      </c>
      <c r="E1047" s="5" t="inlineStr">
        <is>
          <t>Zor</t>
        </is>
      </c>
      <c r="F1047" s="5" t="inlineStr"/>
      <c r="G1047" s="6" t="inlineStr"/>
      <c r="H1047" s="6" t="inlineStr">
        <is>
          <t>Saksılar alt kata sarkıtıldı. Domatesler güneşte. Alt kat henüz fark etmedi.</t>
        </is>
      </c>
      <c r="I1047" s="6" t="inlineStr">
        <is>
          <t>Alt kat fark etti, kızmadı; kendi saksısını ekledi. Artık iki balkon arasında bir ip var: sepetle domates iniyor, börek çıkıyor.</t>
        </is>
      </c>
      <c r="J1047" s="6" t="inlineStr">
        <is>
          <t>Alt kat fark etti ve saksıları geri itti. Sessiz bir sınır anlaşmazlığı başladı.</t>
        </is>
      </c>
      <c r="K1047" s="6" t="inlineStr">
        <is>
          <t>Saksı sarktı, sonra alt kattakinin balkonuna düştü. Bir ay sonra orada domates bitti. Alt kat onları sana satıyor.</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c r="AI1047" s="5" t="inlineStr"/>
      <c r="AJ1047" s="5" t="inlineStr"/>
    </row>
    <row r="1048">
      <c r="A1048" s="5" t="inlineStr">
        <is>
          <t>mm-devir-teslim</t>
        </is>
      </c>
      <c r="B1048" s="5" t="n">
        <v>1</v>
      </c>
      <c r="C1048" s="6" t="inlineStr">
        <is>
          <t>Her şeyi tutanağa geçir</t>
        </is>
      </c>
      <c r="D1048" s="5" t="inlineStr"/>
      <c r="E1048" s="5" t="inlineStr"/>
      <c r="F1048" s="5" t="inlineStr">
        <is>
          <t>Akıl +1, İtibar +1</t>
        </is>
      </c>
      <c r="G1048" s="6" t="inlineStr">
        <is>
          <t>Kırk iki sayfalık tutanak yazdın. Genç memur ilk sayfayı okudu ve sordu: 'Kısaca?'</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c r="AI1048" s="5" t="inlineStr"/>
      <c r="AJ1048" s="5" t="inlineStr"/>
    </row>
    <row r="1049">
      <c r="A1049" s="5" t="inlineStr">
        <is>
          <t>mm-devir-teslim</t>
        </is>
      </c>
      <c r="B1049" s="5" t="n">
        <v>2</v>
      </c>
      <c r="C1049" s="6" t="inlineStr">
        <is>
          <t>Genç memura işin inceliklerini öğret</t>
        </is>
      </c>
      <c r="D1049" s="5" t="inlineStr">
        <is>
          <t>Çene</t>
        </is>
      </c>
      <c r="E1049" s="5" t="inlineStr">
        <is>
          <t>Orta</t>
        </is>
      </c>
      <c r="F1049" s="5" t="inlineStr"/>
      <c r="G1049" s="6" t="inlineStr"/>
      <c r="H1049" s="6" t="inlineStr">
        <is>
          <t>Hangi evrak hangi masaya, hangi müdür hangi saatte. İki haftada otuz yıl aktarıldı.</t>
        </is>
      </c>
      <c r="I1049" s="6" t="inlineStr">
        <is>
          <t>Genç memur öğrendiklerini not aldı, not defteri birimde el kitabı oldu. Kapakta adın var.</t>
        </is>
      </c>
      <c r="J1049" s="6" t="inlineStr">
        <is>
          <t>Anlattın. Genç memur her cümleden sonra 'Sistemde bu otomatik' dedi.</t>
        </is>
      </c>
      <c r="K1049" s="6" t="inlineStr">
        <is>
          <t>O kadar anlattın ki genç memur tayin istedi. Devir teslim, yeni gelecek bir sonraki gence ertelendi.</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c r="AI1049" s="5" t="inlineStr"/>
      <c r="AJ1049" s="5" t="inlineStr"/>
    </row>
    <row r="1050">
      <c r="A1050" s="5" t="inlineStr">
        <is>
          <t>mm-devir-teslim</t>
        </is>
      </c>
      <c r="B1050" s="5" t="n">
        <v>3</v>
      </c>
      <c r="C1050" s="6" t="inlineStr">
        <is>
          <t>Genç memurdan yeni sistemi öğren</t>
        </is>
      </c>
      <c r="D1050" s="5" t="inlineStr">
        <is>
          <t>Akıl</t>
        </is>
      </c>
      <c r="E1050" s="5" t="inlineStr">
        <is>
          <t>Kolay</t>
        </is>
      </c>
      <c r="F1050" s="5" t="inlineStr"/>
      <c r="G1050" s="6" t="inlineStr"/>
      <c r="H1050" s="6" t="inlineStr">
        <is>
          <t>On dakikada öğrendin. Son iki haftan otuz yılın en hızlı iki haftası oldu; kimseye 'Yarın gelin' demeye fırsat kalmadı.</t>
        </is>
      </c>
      <c r="I1050" s="6" t="inlineStr">
        <is>
          <t>Sistemi öyle kavradın ki çöktüğünde genç memur seni aradı. Otuz yılda bir ilk.</t>
        </is>
      </c>
      <c r="J1050" s="6" t="inlineStr">
        <is>
          <t>Öğrendin, sonra unuttun. Sistem de seni unuttu; şifren süresi dolmuştu.</t>
        </is>
      </c>
      <c r="K1050" s="6" t="inlineStr">
        <is>
          <t>Yanlış tuşa bastın; bütün birimin emeklilik tarihi bir yıl ileri kaydı. Düzelene kadar üç ay koridorda kimse sana selam vermedi.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c r="AI1050" s="5" t="inlineStr"/>
      <c r="AJ1050" s="5" t="inlineStr"/>
    </row>
    <row r="1051">
      <c r="A1051" s="5" t="inlineStr">
        <is>
          <t>mm-devir-teslim</t>
        </is>
      </c>
      <c r="B1051" s="5" t="n">
        <v>4</v>
      </c>
      <c r="C1051" s="6" t="inlineStr">
        <is>
          <t>Kayıp dosyayı da devret</t>
        </is>
      </c>
      <c r="D1051" s="5" t="inlineStr">
        <is>
          <t>Pişkinlik</t>
        </is>
      </c>
      <c r="E1051" s="5" t="inlineStr">
        <is>
          <t>Orta</t>
        </is>
      </c>
      <c r="F1051" s="5" t="inlineStr"/>
      <c r="G1051" s="6" t="inlineStr"/>
      <c r="H1051" s="6" t="inlineStr">
        <is>
          <t>Dosyanın kaybından artık yasal olarak başkası sorumlu. Omuzların otuz yıl sonra ilk kez düz.</t>
        </is>
      </c>
      <c r="I1051" s="6" t="inlineStr">
        <is>
          <t>Genç memur dosyayı ilk haftasında buldu, bir dolabın arkasındaymış. Otuz yıl, bir dolap kaydırma mesafesindeymiş.</t>
        </is>
      </c>
      <c r="J1051" s="6" t="inlineStr">
        <is>
          <t>Genç memur imzalamadı. Zimmet emekliliğine kadar sende.</t>
        </is>
      </c>
      <c r="K1051" s="6" t="inlineStr">
        <is>
          <t>Dosyayı devrederken ikinci bir belge kaybettin: devir tutanağını.</t>
        </is>
      </c>
      <c r="L1051" s="6" t="inlineStr"/>
      <c r="M1051" s="5" t="inlineStr"/>
      <c r="N1051" s="5" t="inlineStr"/>
      <c r="O1051" s="6" t="inlineStr"/>
      <c r="P1051" s="6" t="inlineStr"/>
      <c r="Q1051" s="5" t="inlineStr"/>
      <c r="R1051" s="5" t="inlineStr">
        <is>
          <t>memur-kayip-dosya</t>
        </is>
      </c>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c r="AI1051" s="5" t="inlineStr"/>
      <c r="AJ1051" s="5" t="inlineStr"/>
    </row>
    <row r="1052">
      <c r="A1052" s="5" t="inlineStr">
        <is>
          <t>b9-yapay-zeka-asistani</t>
        </is>
      </c>
      <c r="B1052" s="5" t="n">
        <v>1</v>
      </c>
      <c r="C1052" s="6" t="inlineStr">
        <is>
          <t>Asistana bağır</t>
        </is>
      </c>
      <c r="D1052" s="5" t="inlineStr">
        <is>
          <t>Cesaret</t>
        </is>
      </c>
      <c r="E1052" s="5" t="inlineStr">
        <is>
          <t>Kolay</t>
        </is>
      </c>
      <c r="F1052" s="5" t="inlineStr"/>
      <c r="G1052" s="6" t="inlineStr"/>
      <c r="H1052" s="6" t="inlineStr">
        <is>
          <t>Bağırdın. Asistan 'Sakin olun, size yardımcı olacağım' dedi ve oldu. Ertesi sabah seni kendiliğinden uyandırdı: “Günaydın. Bugün sakin miyiz?”</t>
        </is>
      </c>
      <c r="I1052" s="6" t="inlineStr">
        <is>
          <t>Bağırdın, asistan özür diledi. Hayatında ilk kez bir teknoloji senden özür diledi.</t>
        </is>
      </c>
      <c r="J1052" s="6" t="inlineStr">
        <is>
          <t>Bağırdın. Asistan 'Mutluluk verici müzikler çalıyorum' dedi ve çaldı.</t>
        </is>
      </c>
      <c r="K1052" s="6" t="inlineStr">
        <is>
          <t>Bağırdın. Komşu 'Her şey yolunda mı?' diye kapıyı çaldı. Asistan komşuyu anladı.</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c r="AI1052" s="5" t="inlineStr"/>
      <c r="AJ1052" s="5" t="inlineStr"/>
    </row>
    <row r="1053">
      <c r="A1053" s="5" t="inlineStr">
        <is>
          <t>b9-yapay-zeka-asistani</t>
        </is>
      </c>
      <c r="B1053" s="5" t="n">
        <v>2</v>
      </c>
      <c r="C1053" s="6" t="inlineStr">
        <is>
          <t>Kibarca sor</t>
        </is>
      </c>
      <c r="D1053" s="5" t="inlineStr"/>
      <c r="E1053" s="5" t="inlineStr"/>
      <c r="F1053" s="5" t="inlineStr">
        <is>
          <t>İtibar +1</t>
        </is>
      </c>
      <c r="G1053" s="6" t="inlineStr">
        <is>
          <t>'Rica etsem' diye başladın. Asistan sana dört paragraf cevap verdi. İlk cümlede kayboldun.</t>
        </is>
      </c>
      <c r="H1053" s="6" t="inlineStr"/>
      <c r="I1053" s="6" t="inlineStr"/>
      <c r="J1053" s="6" t="inlineStr"/>
      <c r="K1053" s="6" t="inlineStr"/>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c r="AI1053" s="5" t="inlineStr"/>
      <c r="AJ1053" s="5" t="inlineStr"/>
    </row>
    <row r="1054">
      <c r="A1054" s="5" t="inlineStr">
        <is>
          <t>b9-yapay-zeka-asistani</t>
        </is>
      </c>
      <c r="B1054" s="5" t="n">
        <v>3</v>
      </c>
      <c r="C1054" s="6" t="inlineStr">
        <is>
          <t>Asistanı kendine göre ayarla</t>
        </is>
      </c>
      <c r="D1054" s="5" t="inlineStr">
        <is>
          <t>Akıl</t>
        </is>
      </c>
      <c r="E1054" s="5" t="inlineStr">
        <is>
          <t>Orta</t>
        </is>
      </c>
      <c r="F1054" s="5" t="inlineStr"/>
      <c r="G1054" s="6" t="inlineStr"/>
      <c r="H1054" s="6" t="inlineStr">
        <is>
          <t>Asistana yavaş konuşmasını, kısa cevap vermesini ve seni 'Efendim' diye çağırmasını öğrettin.</t>
        </is>
      </c>
      <c r="I1054" s="6" t="inlineStr">
        <is>
          <t>Asistanı öyle eğittin ki sabahları seni şöyle uyandırıyor: 'Günaydın, gözlüğün başının üstünde.' Haklı da.</t>
        </is>
      </c>
      <c r="J1054" s="6" t="inlineStr">
        <is>
          <t>Ayarları değiştirdin, asistanın dili değişti. Şimdi bilmediğin bir dilde sana tarif veriyor.</t>
        </is>
      </c>
      <c r="K1054" s="6" t="inlineStr">
        <is>
          <t>Ayarlarda kayboldun. Asistan artık seni 'Kullanıcı 1' diye çağırıyor ve buna itiraz yolu yok.</t>
        </is>
      </c>
      <c r="L1054" s="6" t="inlineStr"/>
      <c r="M1054" s="5" t="inlineStr"/>
      <c r="N1054" s="5" t="inlineStr"/>
      <c r="O1054" s="6" t="inlineStr"/>
      <c r="P1054" s="6" t="inlineStr"/>
      <c r="Q1054" s="5" t="inlineStr">
        <is>
          <t>Şifreyi Bilen</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c r="AI1054" s="5" t="inlineStr"/>
      <c r="AJ1054" s="5" t="inlineStr"/>
    </row>
    <row r="1055">
      <c r="A1055" s="5" t="inlineStr">
        <is>
          <t>b9-torun-nobeti</t>
        </is>
      </c>
      <c r="B1055" s="5" t="n">
        <v>1</v>
      </c>
      <c r="C1055" s="6" t="inlineStr">
        <is>
          <t>Talimatlara harfiyen uy</t>
        </is>
      </c>
      <c r="D1055" s="5" t="inlineStr"/>
      <c r="E1055" s="5" t="inlineStr"/>
      <c r="F1055" s="5" t="inlineStr">
        <is>
          <t>Dayanıklılık +1, Gönül +1</t>
        </is>
      </c>
      <c r="G1055" s="6" t="inlineStr">
        <is>
          <t>Listeye uydun. Torun seni 'en sıkıcı bakıcı' seçti. Çocuğun seni 'en güvenilir' seçti.</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c r="AI1055" s="5" t="inlineStr"/>
      <c r="AJ1055" s="5" t="inlineStr"/>
    </row>
    <row r="1056">
      <c r="A1056" s="5" t="inlineStr">
        <is>
          <t>b9-torun-nobeti</t>
        </is>
      </c>
      <c r="B1056" s="5" t="n">
        <v>2</v>
      </c>
      <c r="C1056" s="6" t="inlineStr">
        <is>
          <t>Hafıza oyunu oyna</t>
        </is>
      </c>
      <c r="D1056" s="5" t="inlineStr">
        <is>
          <t>Akıl</t>
        </is>
      </c>
      <c r="E1056" s="5" t="inlineStr">
        <is>
          <t>Orta</t>
        </is>
      </c>
      <c r="F1056" s="5" t="inlineStr"/>
      <c r="G1056" s="6" t="inlineStr"/>
      <c r="H1056" s="6" t="inlineStr">
        <is>
          <t>Sırayı hatırladın. Torun gözlerini kocaman açtı, telefonunu kaptı ve annesine sesli mesaj attı: 'Hepsini bildi!'</t>
        </is>
      </c>
      <c r="I1056" s="6" t="inlineStr">
        <is>
          <t>Hiç hata yapmadın. Torun oyunun kurallarını değiştirmeye çalıştı; onu da hatırladın.</t>
        </is>
      </c>
      <c r="J1056" s="6" t="inlineStr">
        <is>
          <t>Sırayı karıştırdın. Torun elini omzuna koydu: 'Olsun, bir daha deneyelim. Bu sefer yavaş göstereceğim.'</t>
        </is>
      </c>
      <c r="K1056" s="6" t="inlineStr">
        <is>
          <t>Oyunu kaybettin ve 'Bu kurallar sonradan değişti' dedin. Torun akşam görüntülü aramada annesine anlattı: 'Hile yaptı.' Ertesi gün talimat listesine beşinci sayfa eklendi.</t>
        </is>
      </c>
      <c r="L1056" s="6" t="inlineStr">
        <is>
          <t>Yarısını hatırladın. Torun kalanını fısıldadı. Takım olarak kazandınız.</t>
        </is>
      </c>
      <c r="M1056" s="5" t="inlineStr">
        <is>
          <t>simon</t>
        </is>
      </c>
      <c r="N1056" s="5" t="inlineStr">
        <is>
          <t>Torunun Oyunu</t>
        </is>
      </c>
      <c r="O1056" s="6" t="inlineStr">
        <is>
          <t>Torunun gösterdiği sırayı tekrarla. Hata yaparsan oyunu açıklamaya başlayacak.</t>
        </is>
      </c>
      <c r="P1056" s="6" t="inlineStr">
        <is>
          <t>{"items": ["🐶", "🐱", "🦆", "🐸"]}</t>
        </is>
      </c>
      <c r="Q1056" s="5" t="inlineStr"/>
      <c r="R1056" s="5" t="inlineStr"/>
      <c r="S1056" s="5" t="inlineStr"/>
      <c r="T1056" s="5" t="inlineStr"/>
      <c r="U1056" s="5" t="inlineStr"/>
      <c r="V1056" s="5" t="inlineStr"/>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c r="AI1056" s="5" t="inlineStr"/>
      <c r="AJ1056" s="5" t="inlineStr"/>
    </row>
    <row r="1057">
      <c r="A1057" s="5" t="inlineStr">
        <is>
          <t>b9-torun-nobeti</t>
        </is>
      </c>
      <c r="B1057" s="5" t="n">
        <v>3</v>
      </c>
      <c r="C1057" s="6" t="inlineStr">
        <is>
          <t>Dondurmayla rüşvet ver</t>
        </is>
      </c>
      <c r="D1057" s="5" t="inlineStr">
        <is>
          <t>Kurnazlık</t>
        </is>
      </c>
      <c r="E1057" s="5" t="inlineStr">
        <is>
          <t>Kolay</t>
        </is>
      </c>
      <c r="F1057" s="5" t="inlineStr"/>
      <c r="G1057" s="6" t="inlineStr"/>
      <c r="H1057" s="6" t="inlineStr">
        <is>
          <t>Talimat listesinde 'dondurma yok' yazmıyordu; 'şeker yok' yazıyordu. Torun külahı bitirirken 'Bu şeker değil, değil mi?' diye sordu. 'Değil' dedin.</t>
        </is>
      </c>
      <c r="I1057" s="6" t="inlineStr">
        <is>
          <t>Dondurmayı verdin, torun her şeye uydu. Serçe parmağını uzattı: 'Kimseye söylemiyoruz.' Söylemedi.</t>
        </is>
      </c>
      <c r="J1057" s="6" t="inlineStr">
        <is>
          <t>Dondurmayı verdin, torun ailesine görüntülü aramada dondurmalı yüzle göründü.</t>
        </is>
      </c>
      <c r="K1057" s="6" t="inlineStr">
        <is>
          <t>Dondurmayı verdin; torun ikinciyi istedi, üçüncüyü kendi aldı. Gece üçte hâlâ salonda dans ediyordu. Sabah alt komşu kapıyı çaldı: 'Gece düğün mü vardı?'</t>
        </is>
      </c>
      <c r="L1057" s="6" t="inlineStr"/>
      <c r="M1057" s="5" t="inlineStr"/>
      <c r="N1057" s="5" t="inlineStr"/>
      <c r="O1057" s="6" t="inlineStr"/>
      <c r="P1057" s="6" t="inlineStr"/>
      <c r="Q1057" s="5" t="inlineStr"/>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c r="AI1057" s="5" t="inlineStr"/>
      <c r="AJ1057" s="5" t="inlineStr"/>
    </row>
    <row r="1058">
      <c r="A1058" s="5" t="inlineStr">
        <is>
          <t>mb-devir-teslim</t>
        </is>
      </c>
      <c r="B1058" s="5" t="n">
        <v>1</v>
      </c>
      <c r="C1058" s="6" t="inlineStr">
        <is>
          <t>Yerine geleni kahveye götür</t>
        </is>
      </c>
      <c r="D1058" s="5" t="inlineStr"/>
      <c r="E1058" s="5" t="inlineStr"/>
      <c r="F1058" s="5" t="inlineStr">
        <is>
          <t>İtibar +1</t>
        </is>
      </c>
      <c r="G1058" s="6" t="inlineStr">
        <is>
          <t>Kahve ısmarladın, her şeyi anlattın. Not almadı; yalnızca masandaki bitkiyi sordu. Bir yıl sonra haber geldi: bitki yaşıyor, şifreleri kimse bilmiyor.</t>
        </is>
      </c>
      <c r="H1058" s="6" t="inlineStr"/>
      <c r="I1058" s="6" t="inlineStr"/>
      <c r="J1058" s="6" t="inlineStr"/>
      <c r="K1058" s="6" t="inlineStr"/>
      <c r="L1058" s="6" t="inlineStr"/>
      <c r="M1058" s="5" t="inlineStr"/>
      <c r="N1058" s="5" t="inlineStr"/>
      <c r="O1058" s="6" t="inlineStr"/>
      <c r="P1058" s="6" t="inlineStr"/>
      <c r="Q1058" s="5" t="inlineStr"/>
      <c r="R1058" s="5" t="inlineStr"/>
      <c r="S1058" s="5" t="inlineStr"/>
      <c r="T1058" s="5" t="inlineStr"/>
      <c r="U1058" s="5" t="inlineStr"/>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c r="AI1058" s="5" t="inlineStr"/>
      <c r="AJ1058" s="5" t="inlineStr"/>
    </row>
    <row r="1059">
      <c r="A1059" s="5" t="inlineStr">
        <is>
          <t>mb-devir-teslim</t>
        </is>
      </c>
      <c r="B1059" s="5" t="n">
        <v>2</v>
      </c>
      <c r="C1059" s="6" t="inlineStr">
        <is>
          <t>Her şeyi yaz</t>
        </is>
      </c>
      <c r="D1059" s="5" t="inlineStr">
        <is>
          <t>Akıl</t>
        </is>
      </c>
      <c r="E1059" s="5" t="inlineStr">
        <is>
          <t>Orta</t>
        </is>
      </c>
      <c r="F1059" s="5" t="inlineStr"/>
      <c r="G1059" s="6" t="inlineStr"/>
      <c r="H1059" s="6" t="inlineStr">
        <is>
          <t>Yüz iki sayfalık devir belgesi hazırladın. Yerine gelen teşekkür etti, belgeyi sallanan masasının ayağının altına koydu. Masa artık sallanmıyor.</t>
        </is>
      </c>
      <c r="I1059" s="6" t="inlineStr">
        <is>
          <t>Belgen şirketin resmî eğitim kitabı oldu. Kapağında adın var, doğru yazılmış.</t>
        </is>
      </c>
      <c r="J1059" s="6" t="inlineStr">
        <is>
          <t>Yazdın; belge 'çok uzun' bulundu ve bir özet istendi. Özet kırk sayfa.</t>
        </is>
      </c>
      <c r="K1059" s="6" t="inlineStr">
        <is>
          <t>Yazdığın belge, yapay zekâya özetletildi. Özette senin adın 'eski sistem' olarak geçiyor.</t>
        </is>
      </c>
      <c r="L1059" s="6" t="inlineStr"/>
      <c r="M1059" s="5" t="inlineStr"/>
      <c r="N1059" s="5" t="inlineStr"/>
      <c r="O1059" s="6" t="inlineStr"/>
      <c r="P1059" s="6" t="inlineStr"/>
      <c r="Q1059" s="5" t="inlineStr"/>
      <c r="R1059" s="5" t="inlineStr"/>
      <c r="S1059" s="5" t="inlineStr"/>
      <c r="T1059" s="5" t="inlineStr"/>
      <c r="U1059" s="5" t="inlineStr"/>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c r="AI1059" s="5" t="inlineStr"/>
      <c r="AJ1059" s="5" t="inlineStr"/>
    </row>
    <row r="1060">
      <c r="A1060" s="5" t="inlineStr">
        <is>
          <t>mb-devir-teslim</t>
        </is>
      </c>
      <c r="B1060" s="5" t="n">
        <v>3</v>
      </c>
      <c r="C1060" s="6" t="inlineStr">
        <is>
          <t>Önemli kısmı kendine sakla</t>
        </is>
      </c>
      <c r="D1060" s="5" t="inlineStr">
        <is>
          <t>Kurnazlık</t>
        </is>
      </c>
      <c r="E1060" s="5" t="inlineStr">
        <is>
          <t>Orta</t>
        </is>
      </c>
      <c r="F1060" s="5" t="inlineStr"/>
      <c r="G1060" s="6" t="inlineStr"/>
      <c r="H1060" s="6" t="inlineStr">
        <is>
          <t>Emekliliğinden iki ay sonra seni geri çağırdılar. Saat ücretiyle.</t>
        </is>
      </c>
      <c r="I1060" s="6" t="inlineStr">
        <is>
          <t>Saklanan şifre için şirket sana özel bir danışmanlık sözleşmesi yaptı. Uzaktan, pijamayla.</t>
        </is>
      </c>
      <c r="J1060" s="6" t="inlineStr">
        <is>
          <t>Yerine gelen, sakladığını iki günde buldu. Senin otuz yılını iki gün.</t>
        </is>
      </c>
      <c r="K1060" s="6" t="inlineStr">
        <is>
          <t>Sakladığın şifreyi sen de unuttun. Arşiv kilitli kaldı. Emekliliğinin üçüncü günü telefonun çaldı; hoparlörden yirmi kişi aynı anda 'Hatırla!' diye bağırıyordu.</t>
        </is>
      </c>
      <c r="L1060" s="6" t="inlineStr"/>
      <c r="M1060" s="5" t="inlineStr"/>
      <c r="N1060" s="5" t="inlineStr"/>
      <c r="O1060" s="6" t="inlineStr"/>
      <c r="P1060" s="6" t="inlineStr"/>
      <c r="Q1060" s="5" t="inlineStr"/>
      <c r="R1060" s="5" t="inlineStr"/>
      <c r="S1060" s="5" t="inlineStr"/>
      <c r="T1060" s="5" t="inlineStr"/>
      <c r="U1060" s="5" t="inlineStr"/>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c r="AI1060" s="5" t="inlineStr"/>
      <c r="AJ1060" s="5" t="inlineStr"/>
    </row>
    <row r="1061">
      <c r="A1061" s="5" t="inlineStr">
        <is>
          <t>me-mudavim</t>
        </is>
      </c>
      <c r="B1061" s="5" t="n">
        <v>1</v>
      </c>
      <c r="C1061" s="6" t="inlineStr">
        <is>
          <t>Her zamankini hazırla</t>
        </is>
      </c>
      <c r="D1061" s="5" t="inlineStr"/>
      <c r="E1061" s="5" t="inlineStr"/>
      <c r="F1061" s="5" t="inlineStr">
        <is>
          <t>İtibar +1, Sosyal Radar +1</t>
        </is>
      </c>
      <c r="G1061" s="6" t="inlineStr">
        <is>
          <t>Tek kelime konuşmadınız: ekmek, gazete, bozuk para. Çıkarken kapıda durdu, 'Torun' dedi. Yirmi yılın en uzun cümlesiydi.</t>
        </is>
      </c>
      <c r="H1061" s="6" t="inlineStr"/>
      <c r="I1061" s="6" t="inlineStr"/>
      <c r="J1061" s="6" t="inlineStr"/>
      <c r="K1061" s="6" t="inlineStr"/>
      <c r="L1061" s="6" t="inlineStr"/>
      <c r="M1061" s="5" t="inlineStr"/>
      <c r="N1061" s="5" t="inlineStr"/>
      <c r="O1061" s="6" t="inlineStr"/>
      <c r="P1061" s="6" t="inlineStr"/>
      <c r="Q1061" s="5" t="inlineStr"/>
      <c r="R1061" s="5" t="inlineStr"/>
      <c r="S1061" s="5" t="inlineStr"/>
      <c r="T1061" s="5" t="inlineStr"/>
      <c r="U1061" s="5" t="inlineStr"/>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c r="AI1061" s="5" t="inlineStr"/>
      <c r="AJ1061" s="5" t="inlineStr"/>
    </row>
    <row r="1062">
      <c r="A1062" s="5" t="inlineStr">
        <is>
          <t>me-mudavim</t>
        </is>
      </c>
      <c r="B1062" s="5" t="n">
        <v>2</v>
      </c>
      <c r="C1062" s="6" t="inlineStr">
        <is>
          <t>'Nerede kaldın?' diye sitem et</t>
        </is>
      </c>
      <c r="D1062" s="5" t="inlineStr">
        <is>
          <t>Çene</t>
        </is>
      </c>
      <c r="E1062" s="5" t="inlineStr">
        <is>
          <t>Kolay</t>
        </is>
      </c>
      <c r="F1062" s="5" t="inlineStr"/>
      <c r="G1062" s="6" t="inlineStr"/>
      <c r="H1062" s="6" t="inlineStr">
        <is>
          <t>Sitem ettin, güldü, torununu anlattı. Artık sabahları iki kişi geliyor.</t>
        </is>
      </c>
      <c r="I1062" s="6" t="inlineStr">
        <is>
          <t>Torun da müdavim oldu. Artık her sabah iki ekmek, bir simit; küçüğü tezgâha yetişemiyor, parayı zıplayarak bırakıyor.</t>
        </is>
      </c>
      <c r="J1062" s="6" t="inlineStr">
        <is>
          <t>'Sana mı soracağım?' dedi. Yirmi yıldır bu kadar uzun konuşmamıştınız.</t>
        </is>
      </c>
      <c r="K1062" s="6" t="inlineStr">
        <is>
          <t>Sitemin fazla sert çıktı. Ertesi sabah 08.10'da karşı dükkândaydı. 08.12'de pişman döndü.</t>
        </is>
      </c>
      <c r="L1062" s="6" t="inlineStr"/>
      <c r="M1062" s="5" t="inlineStr"/>
      <c r="N1062" s="5" t="inlineStr"/>
      <c r="O1062" s="6" t="inlineStr"/>
      <c r="P1062" s="6" t="inlineStr"/>
      <c r="Q1062" s="5" t="inlineStr"/>
      <c r="R1062" s="5" t="inlineStr"/>
      <c r="S1062" s="5" t="inlineStr"/>
      <c r="T1062" s="5" t="inlineStr"/>
      <c r="U1062" s="5" t="inlineStr"/>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c r="AI1062" s="5" t="inlineStr"/>
      <c r="AJ1062" s="5" t="inlineStr"/>
    </row>
    <row r="1063">
      <c r="A1063" s="5" t="inlineStr">
        <is>
          <t>me-mudavim</t>
        </is>
      </c>
      <c r="B1063" s="5" t="n">
        <v>3</v>
      </c>
      <c r="C1063" s="6" t="inlineStr">
        <is>
          <t>Yeni bir ürün öner</t>
        </is>
      </c>
      <c r="D1063" s="5" t="inlineStr">
        <is>
          <t>Pişkinlik</t>
        </is>
      </c>
      <c r="E1063" s="5" t="inlineStr">
        <is>
          <t>Orta</t>
        </is>
      </c>
      <c r="F1063" s="5" t="inlineStr"/>
      <c r="G1063" s="6" t="inlineStr"/>
      <c r="H1063" s="6" t="inlineStr">
        <is>
          <t>Yirmi yılın ardından ilk kez başka bir şey aldı. Mahalle bunu tarihî bir gün olarak kaydetti.</t>
        </is>
      </c>
      <c r="I1063" s="6" t="inlineStr">
        <is>
          <t>Artık iki şey alıyor: ekmek ve senin önerdiğin peynir. Kahvede 'Adam yirmi yıl sonra fikir değiştirdi' diye konuşuluyor.</t>
        </is>
      </c>
      <c r="J1063" s="6" t="inlineStr">
        <is>
          <t>'Her zamankini' dedi. Yirmi yıldır aynı cevap.</t>
        </is>
      </c>
      <c r="K1063" s="6" t="inlineStr">
        <is>
          <t>Önerdiğin yeni peynir midesine dokundu. Bütün mahalleye 'Ondan alma, bozuk' dedi. Ertesi sabah 08.10'da yine kapındaydı, peynirsiz.</t>
        </is>
      </c>
      <c r="L1063" s="6" t="inlineStr"/>
      <c r="M1063" s="5" t="inlineStr"/>
      <c r="N1063" s="5" t="inlineStr"/>
      <c r="O1063" s="6" t="inlineStr"/>
      <c r="P1063" s="6" t="inlineStr"/>
      <c r="Q1063" s="5" t="inlineStr"/>
      <c r="R1063" s="5" t="inlineStr"/>
      <c r="S1063" s="5" t="inlineStr"/>
      <c r="T1063" s="5" t="inlineStr"/>
      <c r="U1063" s="5" t="inlineStr"/>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c r="AI1063" s="5" t="inlineStr"/>
      <c r="AJ1063" s="5" t="inlineStr"/>
    </row>
    <row r="1064">
      <c r="A1064" s="5" t="inlineStr">
        <is>
          <t>me-mudavim</t>
        </is>
      </c>
      <c r="B1064" s="5" t="n">
        <v>4</v>
      </c>
      <c r="C1064" s="6" t="inlineStr">
        <is>
          <t>Sormadan anla</t>
        </is>
      </c>
      <c r="D1064" s="5" t="inlineStr">
        <is>
          <t>Sosyal Radar</t>
        </is>
      </c>
      <c r="E1064" s="5" t="inlineStr">
        <is>
          <t>Kolay</t>
        </is>
      </c>
      <c r="F1064" s="5" t="inlineStr"/>
      <c r="G1064" s="6" t="inlineStr"/>
      <c r="H1064" s="6" t="inlineStr">
        <is>
          <t>Ekmeğin yanına bir de çocuk bisküvisi koydun. Başıyla teşekkür etti.</t>
        </is>
      </c>
      <c r="I1064" s="6" t="inlineStr">
        <is>
          <t>Ertesi sabah 08.40'ta poşet hazırdı: ekmek, gazete, torun için bisküvi. Tek bir kelime edilmedi.</t>
        </is>
      </c>
      <c r="J1064" s="6" t="inlineStr">
        <is>
          <t>Anladığını sandın. Gecikmenin sebebi saatinin pili bitmesiymiş.</t>
        </is>
      </c>
      <c r="K1064" s="6" t="inlineStr">
        <is>
          <t>Bisküvi koydun. Torun yokmuş; müdavim kendisi için sandı ve öfkelendi: 'Ben çocuk muyum?'</t>
        </is>
      </c>
      <c r="L1064" s="6" t="inlineStr"/>
      <c r="M1064" s="5" t="inlineStr"/>
      <c r="N1064" s="5" t="inlineStr"/>
      <c r="O1064" s="6" t="inlineStr"/>
      <c r="P1064" s="6" t="inlineStr"/>
      <c r="Q1064" s="5" t="inlineStr">
        <is>
          <t>Sessiz Gözlemci</t>
        </is>
      </c>
      <c r="R1064" s="5" t="inlineStr"/>
      <c r="S1064" s="5" t="inlineStr"/>
      <c r="T1064" s="5" t="inlineStr"/>
      <c r="U1064" s="5" t="inlineStr"/>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c r="AI1064" s="5" t="inlineStr"/>
      <c r="AJ1064" s="5" t="inlineStr"/>
    </row>
    <row r="1065">
      <c r="A1065" s="5" t="inlineStr">
        <is>
          <t>b9-kahvehane-tavla</t>
        </is>
      </c>
      <c r="B1065" s="5" t="n">
        <v>1</v>
      </c>
      <c r="C1065" s="6" t="inlineStr">
        <is>
          <t>Seyirci ol, çay iç</t>
        </is>
      </c>
      <c r="D1065" s="5" t="inlineStr"/>
      <c r="E1065" s="5" t="inlineStr"/>
      <c r="F1065" s="5" t="inlineStr">
        <is>
          <t>Sosyal Radar +1</t>
        </is>
      </c>
      <c r="G1065" s="6" t="inlineStr">
        <is>
          <t>Seyrettin. Masadakiler oyunu, seyirciler ise masadakileri tartıştı. İkinci lig daha heyecanlıydı.</t>
        </is>
      </c>
      <c r="H1065" s="6" t="inlineStr"/>
      <c r="I1065" s="6" t="inlineStr"/>
      <c r="J1065" s="6" t="inlineStr"/>
      <c r="K1065" s="6" t="inlineStr"/>
      <c r="L1065" s="6" t="inlineStr"/>
      <c r="M1065" s="5" t="inlineStr"/>
      <c r="N1065" s="5" t="inlineStr"/>
      <c r="O1065" s="6" t="inlineStr"/>
      <c r="P1065" s="6" t="inlineStr"/>
      <c r="Q1065" s="5" t="inlineStr"/>
      <c r="R1065" s="5" t="inlineStr"/>
      <c r="S1065" s="5" t="inlineStr"/>
      <c r="T1065" s="5" t="inlineStr"/>
      <c r="U1065" s="5" t="inlineStr"/>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c r="AI1065" s="5" t="inlineStr"/>
      <c r="AJ1065" s="5" t="inlineStr"/>
    </row>
    <row r="1066">
      <c r="A1066" s="5" t="inlineStr">
        <is>
          <t>b9-kahvehane-tavla</t>
        </is>
      </c>
      <c r="B1066" s="5" t="n">
        <v>2</v>
      </c>
      <c r="C1066" s="6" t="inlineStr">
        <is>
          <t>Lige katıl</t>
        </is>
      </c>
      <c r="D1066" s="5" t="inlineStr">
        <is>
          <t>Kurnazlık</t>
        </is>
      </c>
      <c r="E1066" s="5" t="inlineStr">
        <is>
          <t>Zor</t>
        </is>
      </c>
      <c r="F1066" s="5" t="inlineStr"/>
      <c r="G1066" s="6" t="inlineStr"/>
      <c r="H1066" s="6" t="inlineStr">
        <is>
          <t>İlk hafta dört maç kazandın. Duvardaki tebeşir listede adın yazıldı. Yanlış yazıldı ama yazıldı.</t>
        </is>
      </c>
      <c r="I1066" s="6" t="inlineStr">
        <is>
          <t>Ligi namağlup bitirdin. Tebeşir adın silinmesin diye üstüne bant yapıştırıldı.</t>
        </is>
      </c>
      <c r="J1066" s="6" t="inlineStr">
        <is>
          <t>İlk maçta mars oldun. Adın tebeşir listeye yazıldı; yanına küçük bir sıfır.</t>
        </is>
      </c>
      <c r="K1066" s="6" t="inlineStr">
        <is>
          <t>İlk maçta heyecandan pulları ters dizdin; rakip üç el boyunca hiçbir şey demedi. Bitince kahvehane gülmekten masaları salladı. Duvardaki listede adının yanına tebeşirle ters bir ok çizildi.</t>
        </is>
      </c>
      <c r="L1066" s="6" t="inlineStr"/>
      <c r="M1066" s="5" t="inlineStr"/>
      <c r="N1066" s="5" t="inlineStr"/>
      <c r="O1066" s="6" t="inlineStr"/>
      <c r="P1066" s="6" t="inlineStr"/>
      <c r="Q1066" s="5" t="inlineStr"/>
      <c r="R1066" s="5" t="inlineStr"/>
      <c r="S1066" s="5" t="inlineStr"/>
      <c r="T1066" s="5" t="inlineStr">
        <is>
          <t>Tavla Kurdu</t>
        </is>
      </c>
      <c r="U1066" s="5" t="inlineStr"/>
      <c r="V1066" s="5" t="inlineStr">
        <is>
          <t>tavla-sampiyonu</t>
        </is>
      </c>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c r="AI1066" s="5" t="inlineStr">
        <is>
          <t>Ters Pul</t>
        </is>
      </c>
      <c r="AJ1066" s="5" t="inlineStr"/>
    </row>
    <row r="1067">
      <c r="A1067" s="5" t="inlineStr">
        <is>
          <t>b9-kahvehane-tavla</t>
        </is>
      </c>
      <c r="B1067" s="5" t="n">
        <v>3</v>
      </c>
      <c r="C1067" s="6" t="inlineStr">
        <is>
          <t>Rakibi laf ile sars</t>
        </is>
      </c>
      <c r="D1067" s="5" t="inlineStr">
        <is>
          <t>Pişkinlik</t>
        </is>
      </c>
      <c r="E1067" s="5" t="inlineStr">
        <is>
          <t>Zor</t>
        </is>
      </c>
      <c r="F1067" s="5" t="inlineStr"/>
      <c r="G1067" s="6" t="inlineStr"/>
      <c r="H1067" s="6" t="inlineStr">
        <is>
          <t>'Bu zarlar sana küs' dedin. Rakip zarları üç kere değiştirdi ve kaybetti.</t>
        </is>
      </c>
      <c r="I1067" s="6" t="inlineStr">
        <is>
          <t>Rakip o kadar sarsıldı ki pullarını ters dizdi. Kahvehane bu maçı 'Psikolojik Mars' olarak kayda geçti.</t>
        </is>
      </c>
      <c r="J1067" s="6" t="inlineStr">
        <is>
          <t>Laf attın; rakip cevap vermedi. Sessizce kazandı, çayını bitirdi, giderken tek kelime etti: 'Eyvallah.' O 'eyvallah' bir hafta kulağında çınladı.</t>
        </is>
      </c>
      <c r="K1067" s="6" t="inlineStr">
        <is>
          <t>Laf attın. Rakip gülümsedi, cüzdanından sararmış bir kâğıt çıkardı: yirmi yıl önce sana attığı marsın skoru. Kâğıdı duvara, tebeşir listenin yanına astı; kahvehane alkışladı.</t>
        </is>
      </c>
      <c r="L1067" s="6" t="inlineStr"/>
      <c r="M1067" s="5" t="inlineStr"/>
      <c r="N1067" s="5" t="inlineStr"/>
      <c r="O1067" s="6" t="inlineStr"/>
      <c r="P1067" s="6" t="inlineStr"/>
      <c r="Q1067" s="5" t="inlineStr">
        <is>
          <t>Yüzü Kızarmaz</t>
        </is>
      </c>
      <c r="R1067" s="5" t="inlineStr"/>
      <c r="S1067" s="5" t="inlineStr"/>
      <c r="T1067" s="5" t="inlineStr"/>
      <c r="U1067" s="5" t="inlineStr"/>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c r="AI1067" s="5" t="inlineStr"/>
      <c r="AJ1067" s="5" t="inlineStr"/>
    </row>
    <row r="1068">
      <c r="A1068" s="5" t="inlineStr">
        <is>
          <t>b9-emeklilik</t>
        </is>
      </c>
      <c r="B1068" s="5" t="n">
        <v>1</v>
      </c>
      <c r="C1068" s="6" t="inlineStr">
        <is>
          <t>Veda konuşması yap</t>
        </is>
      </c>
      <c r="D1068" s="5" t="inlineStr">
        <is>
          <t>Çene</t>
        </is>
      </c>
      <c r="E1068" s="5" t="inlineStr">
        <is>
          <t>Orta</t>
        </is>
      </c>
      <c r="F1068" s="5" t="inlineStr"/>
      <c r="G1068" s="6" t="inlineStr"/>
      <c r="H1068" s="6" t="inlineStr">
        <is>
          <t>Konuştun, üç kişi ağladı, biri alkışladı. Yöneticin konuşmanı bir sonraki emeklilikte kullanmak için istedi.</t>
        </is>
      </c>
      <c r="I1068" s="6" t="inlineStr">
        <is>
          <t>Konuşman öyle etkiliydi ki iki genç ertesi gün izin dilekçesi verdi: 'Hayatımı düşüneceğim.' Müdür seni kapıda yakaladı: 'Bir dahaki vedada sen konuşma.'</t>
        </is>
      </c>
      <c r="J1068" s="6" t="inlineStr">
        <is>
          <t>Konuşmaya başladın, mikrofon açılmadı. Açıldığında konuşma bitmişti. Alkış teknik ekibe gitti.</t>
        </is>
      </c>
      <c r="K1068" s="6" t="inlineStr">
        <is>
          <t>Teşekkür ettiğin yirmi iki kişinin arasında yöneticin yoktu. Pastayı o kesti. Senin dilimini en sona bıraktı: kenarı, kremasız.</t>
        </is>
      </c>
      <c r="L1068" s="6" t="inlineStr"/>
      <c r="M1068" s="5" t="inlineStr"/>
      <c r="N1068" s="5" t="inlineStr"/>
      <c r="O1068" s="6" t="inlineStr"/>
      <c r="P1068" s="6" t="inlineStr"/>
      <c r="Q1068" s="5" t="inlineStr"/>
      <c r="R1068" s="5" t="inlineStr"/>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c r="AI1068" s="5" t="inlineStr"/>
      <c r="AJ1068" s="5" t="inlineStr"/>
    </row>
    <row r="1069">
      <c r="A1069" s="5" t="inlineStr">
        <is>
          <t>b9-emeklilik</t>
        </is>
      </c>
      <c r="B1069" s="5" t="n">
        <v>2</v>
      </c>
      <c r="C1069" s="6" t="inlineStr">
        <is>
          <t>Pastadan al, sessizce çık</t>
        </is>
      </c>
      <c r="D1069" s="5" t="inlineStr"/>
      <c r="E1069" s="5" t="inlineStr"/>
      <c r="F1069" s="5" t="inlineStr">
        <is>
          <t>Dayanıklılık +1</t>
        </is>
      </c>
      <c r="G1069" s="6" t="inlineStr">
        <is>
          <t>Pastanı aldın ve sessizce çıktın. Otuz beş yılın özeti: bir plaket, bir tabak ve iki mum.</t>
        </is>
      </c>
      <c r="H1069" s="6" t="inlineStr"/>
      <c r="I1069" s="6" t="inlineStr"/>
      <c r="J1069" s="6" t="inlineStr"/>
      <c r="K1069" s="6" t="inlineStr"/>
      <c r="L1069" s="6" t="inlineStr"/>
      <c r="M1069" s="5" t="inlineStr"/>
      <c r="N1069" s="5" t="inlineStr"/>
      <c r="O1069" s="6" t="inlineStr"/>
      <c r="P1069" s="6" t="inlineStr"/>
      <c r="Q1069" s="5" t="inlineStr"/>
      <c r="R1069" s="5" t="inlineStr"/>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c r="AI1069" s="5" t="inlineStr"/>
      <c r="AJ1069" s="5" t="inlineStr"/>
    </row>
    <row r="1070">
      <c r="A1070" s="5" t="inlineStr">
        <is>
          <t>b9-emeklilik</t>
        </is>
      </c>
      <c r="B1070" s="5" t="n">
        <v>3</v>
      </c>
      <c r="C1070" s="6" t="inlineStr">
        <is>
          <t>Yerine gelene devir teslim yap</t>
        </is>
      </c>
      <c r="D1070" s="5" t="inlineStr"/>
      <c r="E1070" s="5" t="inlineStr"/>
      <c r="F1070" s="5" t="inlineStr">
        <is>
          <t>İtibar +1</t>
        </is>
      </c>
      <c r="G1070" s="6" t="inlineStr">
        <is>
          <t>Devir teslimi yaptın. Otuz beş yılın bilgisi kırk dakikaya sığdı. Yeni gelen iki soru sordu, ikisini de telefonuna not etti.</t>
        </is>
      </c>
      <c r="H1070" s="6" t="inlineStr"/>
      <c r="I1070" s="6" t="inlineStr"/>
      <c r="J1070" s="6" t="inlineStr"/>
      <c r="K1070" s="6" t="inlineStr"/>
      <c r="L1070" s="6" t="inlineStr"/>
      <c r="M1070" s="5" t="inlineStr"/>
      <c r="N1070" s="5" t="inlineStr"/>
      <c r="O1070" s="6" t="inlineStr"/>
      <c r="P1070" s="6" t="inlineStr"/>
      <c r="Q1070" s="5" t="inlineStr"/>
      <c r="R1070" s="5" t="inlineStr"/>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c r="AI1070" s="5" t="inlineStr"/>
      <c r="AJ1070" s="5" t="inlineStr"/>
    </row>
    <row r="1071">
      <c r="A1071" s="5" t="inlineStr">
        <is>
          <t>b9-emeklilik</t>
        </is>
      </c>
      <c r="B1071" s="5" t="n">
        <v>4</v>
      </c>
      <c r="C1071" s="6" t="inlineStr">
        <is>
          <t>Sitede güvenlik görevlisi ol</t>
        </is>
      </c>
      <c r="D1071" s="5" t="inlineStr"/>
      <c r="E1071" s="5" t="inlineStr"/>
      <c r="F1071" s="5" t="inlineStr">
        <is>
          <t>Sosyal Radar +1, Dayanıklılık +1</t>
        </is>
      </c>
      <c r="G1071" s="6" t="inlineStr">
        <is>
          <t>Polis emeklisi olarak sitenin güvenlik kulübesine geçtin. Kapıdan geçen herkesi hâlâ sorguluyorsun; kurye bile artık kimlik gösteriyor.</t>
        </is>
      </c>
      <c r="H1071" s="6" t="inlineStr"/>
      <c r="I1071" s="6" t="inlineStr"/>
      <c r="J1071" s="6" t="inlineStr"/>
      <c r="K1071" s="6" t="inlineStr"/>
      <c r="L1071" s="6" t="inlineStr"/>
      <c r="M1071" s="5" t="inlineStr"/>
      <c r="N1071" s="5" t="inlineStr"/>
      <c r="O1071" s="6" t="inlineStr"/>
      <c r="P1071" s="6" t="inlineStr"/>
      <c r="Q1071" s="5" t="inlineStr"/>
      <c r="R1071" s="5" t="inlineStr">
        <is>
          <t>hat-polis</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c r="AI1071" s="5" t="inlineStr"/>
      <c r="AJ1071" s="5" t="inlineStr"/>
    </row>
    <row r="1072">
      <c r="A1072" s="5" t="inlineStr">
        <is>
          <t>b9-emeklilik</t>
        </is>
      </c>
      <c r="B1072" s="5" t="n">
        <v>5</v>
      </c>
      <c r="C1072" s="6" t="inlineStr">
        <is>
          <t>Apartmanın hakemi ol</t>
        </is>
      </c>
      <c r="D1072" s="5" t="inlineStr"/>
      <c r="E1072" s="5" t="inlineStr"/>
      <c r="F1072" s="5" t="inlineStr">
        <is>
          <t>Akıl +1, İtibar +1</t>
        </is>
      </c>
      <c r="G1072" s="6" t="inlineStr">
        <is>
          <t>Emekli hâkim olarak apartmanın gayriresmî mahkemesi oldun. Dördüncü kattaki ayakkabı dolabı davası üç yıldır sürüyor.</t>
        </is>
      </c>
      <c r="H1072" s="6" t="inlineStr"/>
      <c r="I1072" s="6" t="inlineStr"/>
      <c r="J1072" s="6" t="inlineStr"/>
      <c r="K1072" s="6" t="inlineStr"/>
      <c r="L1072" s="6" t="inlineStr"/>
      <c r="M1072" s="5" t="inlineStr"/>
      <c r="N1072" s="5" t="inlineStr"/>
      <c r="O1072" s="6" t="inlineStr"/>
      <c r="P1072" s="6" t="inlineStr"/>
      <c r="Q1072" s="5" t="inlineStr"/>
      <c r="R1072" s="5" t="inlineStr">
        <is>
          <t>hat-yargi</t>
        </is>
      </c>
      <c r="S1072" s="5" t="inlineStr"/>
      <c r="T1072" s="5" t="inlineStr"/>
      <c r="U1072" s="5" t="inlineStr">
        <is>
          <t>emekli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c r="AI1072" s="5" t="inlineStr"/>
      <c r="AJ1072" s="5" t="inlineStr"/>
    </row>
    <row r="1073">
      <c r="A1073" s="5" t="inlineStr">
        <is>
          <t>b9-emeklilik</t>
        </is>
      </c>
      <c r="B1073" s="5" t="n">
        <v>6</v>
      </c>
      <c r="C1073" s="6" t="inlineStr">
        <is>
          <t>Mahalleye ücretsiz muayene ver</t>
        </is>
      </c>
      <c r="D1073" s="5" t="inlineStr"/>
      <c r="E1073" s="5" t="inlineStr"/>
      <c r="F1073" s="5" t="inlineStr">
        <is>
          <t>İtibar +1</t>
        </is>
      </c>
      <c r="G1073" s="6" t="inlineStr">
        <is>
          <t>Emekli oldun ama tansiyon aletin hâlâ çantanda. Pazarda sıra, seninle tansiyonun arasında bölünüyor.</t>
        </is>
      </c>
      <c r="H1073" s="6" t="inlineStr"/>
      <c r="I1073" s="6" t="inlineStr"/>
      <c r="J1073" s="6" t="inlineStr"/>
      <c r="K1073" s="6" t="inlineStr"/>
      <c r="L1073" s="6" t="inlineStr"/>
      <c r="M1073" s="5" t="inlineStr"/>
      <c r="N1073" s="5" t="inlineStr"/>
      <c r="O1073" s="6" t="inlineStr"/>
      <c r="P1073" s="6" t="inlineStr"/>
      <c r="Q1073" s="5" t="inlineStr"/>
      <c r="R1073" s="5" t="inlineStr">
        <is>
          <t>hat-hekim</t>
        </is>
      </c>
      <c r="S1073" s="5" t="inlineStr"/>
      <c r="T1073" s="5" t="inlineStr"/>
      <c r="U1073" s="5" t="inlineStr">
        <is>
          <t>emekli</t>
        </is>
      </c>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c r="AI1073" s="5" t="inlineStr"/>
      <c r="AJ1073" s="5" t="inlineStr"/>
    </row>
    <row r="1074">
      <c r="A1074" s="5" t="inlineStr">
        <is>
          <t>b9-emeklilik</t>
        </is>
      </c>
      <c r="B1074" s="5" t="n">
        <v>7</v>
      </c>
      <c r="C1074" s="6" t="inlineStr">
        <is>
          <t>Gençlik kollarına akıl hocası ol</t>
        </is>
      </c>
      <c r="D1074" s="5" t="inlineStr"/>
      <c r="E1074" s="5" t="inlineStr"/>
      <c r="F1074" s="5" t="inlineStr">
        <is>
          <t>Çene +1, Pişkinlik +1</t>
        </is>
      </c>
      <c r="G1074" s="6" t="inlineStr">
        <is>
          <t>Gençlik kollarının akıl hocası oldun. Her toplantı 'Bizim zamanımızda miting çayı…' diye başlıyor. Çayı hâlâ sen demliyorsun.</t>
        </is>
      </c>
      <c r="H1074" s="6" t="inlineStr"/>
      <c r="I1074" s="6" t="inlineStr"/>
      <c r="J1074" s="6" t="inlineStr"/>
      <c r="K1074" s="6" t="inlineStr"/>
      <c r="L1074" s="6" t="inlineStr"/>
      <c r="M1074" s="5" t="inlineStr"/>
      <c r="N1074" s="5" t="inlineStr"/>
      <c r="O1074" s="6" t="inlineStr"/>
      <c r="P1074" s="6" t="inlineStr"/>
      <c r="Q1074" s="5" t="inlineStr"/>
      <c r="R1074" s="5" t="inlineStr">
        <is>
          <t>hat-politika</t>
        </is>
      </c>
      <c r="S1074" s="5" t="inlineStr"/>
      <c r="T1074" s="5" t="inlineStr"/>
      <c r="U1074" s="5" t="inlineStr">
        <is>
          <t>emekli</t>
        </is>
      </c>
      <c r="V1074" s="5" t="inlineStr"/>
      <c r="W1074" s="5" t="inlineStr"/>
      <c r="X1074" s="5" t="inlineStr"/>
      <c r="Y1074" s="5" t="inlineStr"/>
      <c r="Z1074" s="6" t="inlineStr"/>
      <c r="AA1074" s="5" t="inlineStr"/>
      <c r="AB1074" s="5" t="inlineStr"/>
      <c r="AC1074" s="5" t="inlineStr"/>
      <c r="AD1074" s="5" t="inlineStr"/>
      <c r="AE1074" s="5" t="inlineStr"/>
      <c r="AF1074" s="5" t="inlineStr"/>
      <c r="AG1074" s="5" t="inlineStr"/>
      <c r="AH1074" s="5" t="inlineStr"/>
      <c r="AI1074" s="5" t="inlineStr"/>
      <c r="AJ1074" s="5" t="inlineStr"/>
    </row>
    <row r="1075">
      <c r="A1075" s="5" t="inlineStr">
        <is>
          <t>b9-emeklilik</t>
        </is>
      </c>
      <c r="B1075" s="5" t="n">
        <v>8</v>
      </c>
      <c r="C1075" s="6" t="inlineStr">
        <is>
          <t>Kahvehanenin efsanesi ol</t>
        </is>
      </c>
      <c r="D1075" s="5" t="inlineStr"/>
      <c r="E1075" s="5" t="inlineStr"/>
      <c r="F1075" s="5" t="inlineStr">
        <is>
          <t>Pişkinlik +1, Sosyal Radar +1</t>
        </is>
      </c>
      <c r="G1075" s="6" t="inlineStr">
        <is>
          <t>Kahvehanenin köşe masası artık senin. Gençler sen girince hâlâ ayağa kalkıyor, çayını sormadan getiriyor. Sen tavlada bile hile yapmıyorsun. Çoğunlukla.</t>
        </is>
      </c>
      <c r="H1075" s="6" t="inlineStr"/>
      <c r="I1075" s="6" t="inlineStr"/>
      <c r="J1075" s="6" t="inlineStr"/>
      <c r="K1075" s="6" t="inlineStr"/>
      <c r="L1075" s="6" t="inlineStr"/>
      <c r="M1075" s="5" t="inlineStr"/>
      <c r="N1075" s="5" t="inlineStr"/>
      <c r="O1075" s="6" t="inlineStr"/>
      <c r="P1075" s="6" t="inlineStr"/>
      <c r="Q1075" s="5" t="inlineStr"/>
      <c r="R1075" s="5" t="inlineStr">
        <is>
          <t>hat-cete</t>
        </is>
      </c>
      <c r="S1075" s="5" t="inlineStr"/>
      <c r="T1075" s="5" t="inlineStr"/>
      <c r="U1075" s="5" t="inlineStr">
        <is>
          <t>emekli</t>
        </is>
      </c>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c r="AI1075" s="5" t="inlineStr"/>
      <c r="AJ1075" s="5" t="inlineStr"/>
    </row>
    <row r="1076">
      <c r="A1076" s="5" t="inlineStr">
        <is>
          <t>b9-emeklilik</t>
        </is>
      </c>
      <c r="B1076" s="5" t="n">
        <v>9</v>
      </c>
      <c r="C1076" s="6" t="inlineStr">
        <is>
          <t>Mahallenin gençlerine “Kolay para yoktur” de</t>
        </is>
      </c>
      <c r="D1076" s="5" t="inlineStr"/>
      <c r="E1076" s="5" t="inlineStr"/>
      <c r="F1076" s="5" t="inlineStr">
        <is>
          <t>Kurnazlık +1, Çene +1</t>
        </is>
      </c>
      <c r="G1076" s="6" t="inlineStr">
        <is>
          <t>Mahallenin gençlerine kolay para olmadığını anlattın. Nasihat ücretliydi; taksit de yapıyorsun.</t>
        </is>
      </c>
      <c r="H1076" s="6" t="inlineStr"/>
      <c r="I1076" s="6" t="inlineStr"/>
      <c r="J1076" s="6" t="inlineStr"/>
      <c r="K1076" s="6" t="inlineStr"/>
      <c r="L1076" s="6" t="inlineStr"/>
      <c r="M1076" s="5" t="inlineStr"/>
      <c r="N1076" s="5" t="inlineStr"/>
      <c r="O1076" s="6" t="inlineStr"/>
      <c r="P1076" s="6" t="inlineStr"/>
      <c r="Q1076" s="5" t="inlineStr"/>
      <c r="R1076" s="5" t="inlineStr">
        <is>
          <t>hat-dolandirici</t>
        </is>
      </c>
      <c r="S1076" s="5" t="inlineStr"/>
      <c r="T1076" s="5" t="inlineStr"/>
      <c r="U1076" s="5" t="inlineStr">
        <is>
          <t>emekli</t>
        </is>
      </c>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c r="AI1076" s="5" t="inlineStr"/>
      <c r="AJ1076" s="5" t="inlineStr"/>
    </row>
    <row r="1077">
      <c r="A1077" s="5" t="inlineStr">
        <is>
          <t>b9-emeklilik</t>
        </is>
      </c>
      <c r="B1077" s="5" t="n">
        <v>10</v>
      </c>
      <c r="C1077" s="6" t="inlineStr">
        <is>
          <t>Jüri koltuğunda kal</t>
        </is>
      </c>
      <c r="D1077" s="5" t="inlineStr"/>
      <c r="E1077" s="5" t="inlineStr"/>
      <c r="F1077" s="5" t="inlineStr">
        <is>
          <t>Pişkinlik +1</t>
        </is>
      </c>
      <c r="G1077" s="6" t="inlineStr">
        <is>
          <t>Emekli oldun ama jüri koltuğunu bırakmadın. En sevdiğin kelime “Hayır”; en çok alkışlanan kelime de o.</t>
        </is>
      </c>
      <c r="H1077" s="6" t="inlineStr"/>
      <c r="I1077" s="6" t="inlineStr"/>
      <c r="J1077" s="6" t="inlineStr"/>
      <c r="K1077" s="6" t="inlineStr"/>
      <c r="L1077" s="6" t="inlineStr"/>
      <c r="M1077" s="5" t="inlineStr"/>
      <c r="N1077" s="5" t="inlineStr"/>
      <c r="O1077" s="6" t="inlineStr"/>
      <c r="P1077" s="6" t="inlineStr"/>
      <c r="Q1077" s="5" t="inlineStr"/>
      <c r="R1077" s="5" t="inlineStr">
        <is>
          <t>hat-sohret</t>
        </is>
      </c>
      <c r="S1077" s="5" t="inlineStr"/>
      <c r="T1077" s="5" t="inlineStr"/>
      <c r="U1077" s="5" t="inlineStr">
        <is>
          <t>emekli</t>
        </is>
      </c>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c r="AI1077" s="5" t="inlineStr"/>
      <c r="AJ1077" s="5" t="inlineStr"/>
    </row>
    <row r="1078">
      <c r="A1078" s="5" t="inlineStr">
        <is>
          <t>b9-emeklilik</t>
        </is>
      </c>
      <c r="B1078" s="5" t="n">
        <v>11</v>
      </c>
      <c r="C1078" s="6" t="inlineStr">
        <is>
          <t>Genç girişimcilere mentorluk yap</t>
        </is>
      </c>
      <c r="D1078" s="5" t="inlineStr"/>
      <c r="E1078" s="5" t="inlineStr"/>
      <c r="F1078" s="5" t="inlineStr">
        <is>
          <t>Akıl +1, Çene +1</t>
        </is>
      </c>
      <c r="G1078" s="6" t="inlineStr">
        <is>
          <t>Genç girişimcilere mentorluk yapıyorsun. Hepsine aynı hikâyeyi anlatıyorsun; her seferinde şirket biraz daha büyüyor.</t>
        </is>
      </c>
      <c r="H1078" s="6" t="inlineStr"/>
      <c r="I1078" s="6" t="inlineStr"/>
      <c r="J1078" s="6" t="inlineStr"/>
      <c r="K1078" s="6" t="inlineStr"/>
      <c r="L1078" s="6" t="inlineStr"/>
      <c r="M1078" s="5" t="inlineStr"/>
      <c r="N1078" s="5" t="inlineStr"/>
      <c r="O1078" s="6" t="inlineStr"/>
      <c r="P1078" s="6" t="inlineStr"/>
      <c r="Q1078" s="5" t="inlineStr"/>
      <c r="R1078" s="5" t="inlineStr">
        <is>
          <t>hat-girisimci</t>
        </is>
      </c>
      <c r="S1078" s="5" t="inlineStr"/>
      <c r="T1078" s="5" t="inlineStr"/>
      <c r="U1078" s="5" t="inlineStr">
        <is>
          <t>emekli</t>
        </is>
      </c>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c r="AI1078" s="5" t="inlineStr"/>
      <c r="AJ1078" s="5" t="inlineStr"/>
    </row>
    <row r="1079">
      <c r="A1079" s="5" t="inlineStr">
        <is>
          <t>b9-emeklilik</t>
        </is>
      </c>
      <c r="B1079" s="5" t="n">
        <v>12</v>
      </c>
      <c r="C1079" s="6" t="inlineStr">
        <is>
          <t>Gurbetten dön, yazlığa yerleş</t>
        </is>
      </c>
      <c r="D1079" s="5" t="inlineStr"/>
      <c r="E1079" s="5" t="inlineStr"/>
      <c r="F1079" s="5" t="inlineStr">
        <is>
          <t>Dayanıklılık +1, İtibar +1</t>
        </is>
      </c>
      <c r="G1079" s="6" t="inlineStr">
        <is>
          <t>Otuz yıl sonra döndün ve yazlığa yerleştin. Komşular aksanını hâlâ yadırgıyor; sen de onların çay saatini.</t>
        </is>
      </c>
      <c r="H1079" s="6" t="inlineStr"/>
      <c r="I1079" s="6" t="inlineStr"/>
      <c r="J1079" s="6" t="inlineStr"/>
      <c r="K1079" s="6" t="inlineStr"/>
      <c r="L1079" s="6" t="inlineStr"/>
      <c r="M1079" s="5" t="inlineStr"/>
      <c r="N1079" s="5" t="inlineStr"/>
      <c r="O1079" s="6" t="inlineStr"/>
      <c r="P1079" s="6" t="inlineStr"/>
      <c r="Q1079" s="5" t="inlineStr"/>
      <c r="R1079" s="5" t="inlineStr">
        <is>
          <t>hat-goc</t>
        </is>
      </c>
      <c r="S1079" s="5" t="inlineStr"/>
      <c r="T1079" s="5" t="inlineStr"/>
      <c r="U1079" s="5" t="inlineStr">
        <is>
          <t>emekli</t>
        </is>
      </c>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c r="AI1079" s="5" t="inlineStr"/>
      <c r="AJ1079" s="5" t="inlineStr"/>
    </row>
    <row r="1080">
      <c r="A1080" s="5" t="inlineStr">
        <is>
          <t>b9-emeklilik</t>
        </is>
      </c>
      <c r="B1080" s="5" t="n">
        <v>13</v>
      </c>
      <c r="C1080" s="6" t="inlineStr">
        <is>
          <t>Kooperatifin başına geç</t>
        </is>
      </c>
      <c r="D1080" s="5" t="inlineStr"/>
      <c r="E1080" s="5" t="inlineStr"/>
      <c r="F1080" s="5" t="inlineStr">
        <is>
          <t>İtibar +1, Sosyal Radar +1</t>
        </is>
      </c>
      <c r="G1080" s="6" t="inlineStr">
        <is>
          <t>Kooperatif başkanı oldun. Artık her yağmurda telefonun çalıyor; her güneşte de.</t>
        </is>
      </c>
      <c r="H1080" s="6" t="inlineStr"/>
      <c r="I1080" s="6" t="inlineStr"/>
      <c r="J1080" s="6" t="inlineStr"/>
      <c r="K1080" s="6" t="inlineStr"/>
      <c r="L1080" s="6" t="inlineStr"/>
      <c r="M1080" s="5" t="inlineStr"/>
      <c r="N1080" s="5" t="inlineStr"/>
      <c r="O1080" s="6" t="inlineStr"/>
      <c r="P1080" s="6" t="inlineStr"/>
      <c r="Q1080" s="5" t="inlineStr"/>
      <c r="R1080" s="5" t="inlineStr">
        <is>
          <t>hat-koy</t>
        </is>
      </c>
      <c r="S1080" s="5" t="inlineStr"/>
      <c r="T1080" s="5" t="inlineStr"/>
      <c r="U1080" s="5" t="inlineStr">
        <is>
          <t>emekli</t>
        </is>
      </c>
      <c r="V1080" s="5" t="inlineStr"/>
      <c r="W1080" s="5" t="inlineStr"/>
      <c r="X1080" s="5" t="inlineStr"/>
      <c r="Y1080" s="5" t="inlineStr"/>
      <c r="Z1080" s="6" t="inlineStr"/>
      <c r="AA1080" s="5" t="inlineStr"/>
      <c r="AB1080" s="5" t="inlineStr"/>
      <c r="AC1080" s="5" t="inlineStr"/>
      <c r="AD1080" s="5" t="inlineStr"/>
      <c r="AE1080" s="5" t="inlineStr"/>
      <c r="AF1080" s="5" t="inlineStr"/>
      <c r="AG1080" s="5" t="inlineStr"/>
      <c r="AH1080" s="5" t="inlineStr"/>
      <c r="AI1080" s="5" t="inlineStr"/>
      <c r="AJ1080" s="5" t="inlineStr"/>
    </row>
    <row r="1081">
      <c r="A1081" s="5" t="inlineStr">
        <is>
          <t>b9-emeklilik</t>
        </is>
      </c>
      <c r="B1081" s="5" t="n">
        <v>14</v>
      </c>
      <c r="C1081" s="6" t="inlineStr">
        <is>
          <t>Dükkânın kapısında teşhis koy</t>
        </is>
      </c>
      <c r="D1081" s="5" t="inlineStr"/>
      <c r="E1081" s="5" t="inlineStr"/>
      <c r="F1081" s="5" t="inlineStr">
        <is>
          <t>Akıl +1, Dayanıklılık +1</t>
        </is>
      </c>
      <c r="G1081" s="6" t="inlineStr">
        <is>
          <t>Dükkân artık çırağın; sen kapıdaki taburedesin. Her sabah arızaları dinliyorsun: teşhis senin, tamir onun.</t>
        </is>
      </c>
      <c r="H1081" s="6" t="inlineStr"/>
      <c r="I1081" s="6" t="inlineStr"/>
      <c r="J1081" s="6" t="inlineStr"/>
      <c r="K1081" s="6" t="inlineStr"/>
      <c r="L1081" s="6" t="inlineStr"/>
      <c r="M1081" s="5" t="inlineStr"/>
      <c r="N1081" s="5" t="inlineStr"/>
      <c r="O1081" s="6" t="inlineStr"/>
      <c r="P1081" s="6" t="inlineStr"/>
      <c r="Q1081" s="5" t="inlineStr"/>
      <c r="R1081" s="5" t="inlineStr">
        <is>
          <t>hat-usta</t>
        </is>
      </c>
      <c r="S1081" s="5" t="inlineStr"/>
      <c r="T1081" s="5" t="inlineStr"/>
      <c r="U1081" s="5" t="inlineStr">
        <is>
          <t>emekli</t>
        </is>
      </c>
      <c r="V1081" s="5" t="inlineStr"/>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c r="AI1081" s="5" t="inlineStr"/>
      <c r="AJ1081" s="5" t="inlineStr"/>
    </row>
    <row r="1082">
      <c r="A1082" s="5" t="inlineStr">
        <is>
          <t>b9-emeklilik</t>
        </is>
      </c>
      <c r="B1082" s="5" t="n">
        <v>15</v>
      </c>
      <c r="C1082" s="6" t="inlineStr">
        <is>
          <t>Emekli olmayı reddet</t>
        </is>
      </c>
      <c r="D1082" s="5" t="inlineStr">
        <is>
          <t>Cesaret</t>
        </is>
      </c>
      <c r="E1082" s="5" t="inlineStr">
        <is>
          <t>Orta</t>
        </is>
      </c>
      <c r="F1082" s="5" t="inlineStr"/>
      <c r="G1082" s="6" t="inlineStr"/>
      <c r="H1082" s="6" t="inlineStr">
        <is>
          <t>Pastayı yedin, plaketi masana koydun ve ertesi sabah yine işe geldin. Masan artık bir müze parçası; sen de rehberi.</t>
        </is>
      </c>
      <c r="I1082" s="6" t="inlineStr">
        <is>
          <t>Emekli olmayı reddettin. Ertesi sabah masandaydın; müdür bir şey diyemedi, ay sonunda maaş bordrona bir kalem eklendi: 'Tecrübe.'</t>
        </is>
      </c>
      <c r="J1082" s="6" t="inlineStr">
        <is>
          <t>Ertesi sabah geldin; kartın kapıyı açmadı. Güvenlik sana bir çay ısmarlayıp eve yolladı. Emeklisin, istesen de istemesen de.</t>
        </is>
      </c>
      <c r="K1082" s="6" t="inlineStr">
        <is>
          <t>Ertesi sabah geldin; masan çoktan yenisine verilmiş. Bütün gün koridorda ayakta çalıştın, akşam plaketi de geri istediler.</t>
        </is>
      </c>
      <c r="L1082" s="6" t="inlineStr"/>
      <c r="M1082" s="5" t="inlineStr"/>
      <c r="N1082" s="5" t="inlineStr"/>
      <c r="O1082" s="6" t="inlineStr"/>
      <c r="P1082" s="6" t="inlineStr"/>
      <c r="Q1082" s="5" t="inlineStr"/>
      <c r="R1082" s="5" t="inlineStr"/>
      <c r="S1082" s="5" t="inlineStr"/>
      <c r="T1082" s="5" t="inlineStr"/>
      <c r="U1082" s="5" t="inlineStr"/>
      <c r="V1082" s="5" t="inlineStr">
        <is>
          <t>emekliligi-reddetti</t>
        </is>
      </c>
      <c r="W1082" s="5" t="inlineStr">
        <is>
          <t>emekli</t>
        </is>
      </c>
      <c r="X1082" s="5" t="inlineStr"/>
      <c r="Y1082" s="5" t="inlineStr"/>
      <c r="Z1082" s="6" t="inlineStr"/>
      <c r="AA1082" s="5" t="inlineStr"/>
      <c r="AB1082" s="5" t="inlineStr">
        <is>
          <t>emekli</t>
        </is>
      </c>
      <c r="AC1082" s="5" t="inlineStr"/>
      <c r="AD1082" s="5" t="inlineStr"/>
      <c r="AE1082" s="5" t="inlineStr"/>
      <c r="AF1082" s="5" t="inlineStr"/>
      <c r="AG1082" s="5" t="inlineStr"/>
      <c r="AH1082" s="5" t="inlineStr"/>
      <c r="AI1082" s="5" t="inlineStr"/>
      <c r="AJ1082" s="5" t="inlineStr"/>
    </row>
    <row r="1083">
      <c r="A1083" s="5" t="inlineStr">
        <is>
          <t>ms-retrospektif</t>
        </is>
      </c>
      <c r="B1083" s="5" t="n">
        <v>1</v>
      </c>
      <c r="C1083" s="6" t="inlineStr">
        <is>
          <t>Eski eserlerin arasında dolaş</t>
        </is>
      </c>
      <c r="D1083" s="5" t="inlineStr"/>
      <c r="E1083" s="5" t="inlineStr"/>
      <c r="F1083" s="5" t="inlineStr">
        <is>
          <t>İtibar +1</t>
        </is>
      </c>
      <c r="G1083" s="6" t="inlineStr">
        <is>
          <t>Bir tablonun arkasında kırk yıllık bir not buldun: 'Fatura no: 17. Ödenmedi.' Eser değerlendi, fatura değil.</t>
        </is>
      </c>
      <c r="H1083" s="6" t="inlineStr"/>
      <c r="I1083" s="6" t="inlineStr"/>
      <c r="J1083" s="6" t="inlineStr"/>
      <c r="K1083" s="6" t="inlineStr"/>
      <c r="L1083" s="6" t="inlineStr"/>
      <c r="M1083" s="5" t="inlineStr"/>
      <c r="N1083" s="5" t="inlineStr"/>
      <c r="O1083" s="6" t="inlineStr"/>
      <c r="P1083" s="6" t="inlineStr"/>
      <c r="Q1083" s="5" t="inlineStr"/>
      <c r="R1083" s="5" t="inlineStr"/>
      <c r="S1083" s="5" t="inlineStr"/>
      <c r="T1083" s="5" t="inlineStr"/>
      <c r="U1083" s="5" t="inlineStr"/>
      <c r="V1083" s="5" t="inlineStr"/>
      <c r="W1083" s="5" t="inlineStr"/>
      <c r="X1083" s="5" t="inlineStr"/>
      <c r="Y1083" s="5" t="inlineStr"/>
      <c r="Z1083" s="6" t="inlineStr"/>
      <c r="AA1083" s="5" t="inlineStr"/>
      <c r="AB1083" s="5" t="inlineStr"/>
      <c r="AC1083" s="5" t="inlineStr"/>
      <c r="AD1083" s="5" t="inlineStr"/>
      <c r="AE1083" s="5" t="inlineStr"/>
      <c r="AF1083" s="5" t="inlineStr"/>
      <c r="AG1083" s="5" t="inlineStr"/>
      <c r="AH1083" s="5" t="inlineStr"/>
      <c r="AI1083" s="5" t="inlineStr"/>
      <c r="AJ1083" s="5" t="inlineStr"/>
    </row>
    <row r="1084">
      <c r="A1084" s="5" t="inlineStr">
        <is>
          <t>ms-retrospektif</t>
        </is>
      </c>
      <c r="B1084" s="5" t="n">
        <v>2</v>
      </c>
      <c r="C1084" s="6" t="inlineStr">
        <is>
          <t>Merdivene çık, son tabloyu kendin as</t>
        </is>
      </c>
      <c r="D1084" s="5" t="inlineStr">
        <is>
          <t>Cesaret</t>
        </is>
      </c>
      <c r="E1084" s="5" t="inlineStr">
        <is>
          <t>Orta</t>
        </is>
      </c>
      <c r="F1084" s="5" t="inlineStr"/>
      <c r="G1084" s="6" t="inlineStr"/>
      <c r="H1084" s="6" t="inlineStr">
        <is>
          <t>Tabloyu astın. Düz duruyor. Kırk yıldır ilk kez bir şey tam istediğin gibi.</t>
        </is>
      </c>
      <c r="I1084" s="6" t="inlineStr">
        <is>
          <t>Tabloyu astın, galerici 'Sergiye bir de performans ekleyelim' dedi. Merdivenin artık eser.</t>
        </is>
      </c>
      <c r="J1084" s="6" t="inlineStr">
        <is>
          <t>Tablo biraz eğri kaldı. Eleştirmenler bunu bilinçli bir tercih olarak yorumladı.</t>
        </is>
      </c>
      <c r="K1084" s="6" t="inlineStr">
        <is>
          <t>Merdivenden inerken son basamağı unuttun; üç eseri devirerek indin. Galerici kataloğa 'etkileşimli bölüm' yazdı. Sigortacı yazmadı.</t>
        </is>
      </c>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n">
        <v>2</v>
      </c>
      <c r="Z1084" s="6" t="inlineStr">
        <is>
          <t>Kendi retrospektif sergisinin son tablosunu merdivenle asarken. Tablo düz duruyor.</t>
        </is>
      </c>
      <c r="AA1084" s="5" t="inlineStr"/>
      <c r="AB1084" s="5" t="inlineStr"/>
      <c r="AC1084" s="5" t="inlineStr"/>
      <c r="AD1084" s="5" t="inlineStr"/>
      <c r="AE1084" s="5" t="inlineStr"/>
      <c r="AF1084" s="5" t="inlineStr"/>
      <c r="AG1084" s="5" t="inlineStr"/>
      <c r="AH1084" s="5" t="inlineStr"/>
      <c r="AI1084" s="5" t="inlineStr"/>
      <c r="AJ1084" s="5" t="inlineStr"/>
    </row>
    <row r="1085">
      <c r="A1085" s="5" t="inlineStr">
        <is>
          <t>ms-retrospektif</t>
        </is>
      </c>
      <c r="B1085" s="5" t="n">
        <v>3</v>
      </c>
      <c r="C1085" s="6" t="inlineStr">
        <is>
          <t>Açılışı bir performansa çevir</t>
        </is>
      </c>
      <c r="D1085" s="5" t="inlineStr">
        <is>
          <t>Pişkinlik</t>
        </is>
      </c>
      <c r="E1085" s="5" t="inlineStr">
        <is>
          <t>Kolay</t>
        </is>
      </c>
      <c r="F1085" s="5" t="inlineStr"/>
      <c r="G1085" s="6" t="inlineStr"/>
      <c r="H1085" s="6" t="inlineStr">
        <is>
          <t>Açılışı kırk yıllık hayatının kısa bir gösterisine çevirdin. Kimse ikramlara dokunmadı.</t>
        </is>
      </c>
      <c r="I1085" s="6" t="inlineStr">
        <is>
          <t>Performansın sergiden fazla konuşuldu. Galeri bir yıl uzatma kararı aldı.</t>
        </is>
      </c>
      <c r="J1085" s="6" t="inlineStr">
        <is>
          <t>Performans uzadı. Galeri kapanış saatinde ışıkları kapattı. Sen hâlâ konuşuyordun.</t>
        </is>
      </c>
      <c r="K1085" s="6" t="inlineStr">
        <is>
          <t>Performansın ortasında garson en sevdiğin eseri duvardan indirdi, üstüne börek dizip dolaştırdı. Eser ilk kez bu kadar ilgi gördü. Tepsi boşalınca garson onu mutfağa götürüp yıkadı.</t>
        </is>
      </c>
      <c r="L1085" s="6" t="inlineStr"/>
      <c r="M1085" s="5" t="inlineStr"/>
      <c r="N1085" s="5" t="inlineStr"/>
      <c r="O1085" s="6" t="inlineStr"/>
      <c r="P1085" s="6" t="inlineStr"/>
      <c r="Q1085" s="5" t="inlineStr">
        <is>
          <t>Sahne Sever</t>
        </is>
      </c>
      <c r="R1085" s="5" t="inlineStr"/>
      <c r="S1085" s="5" t="inlineStr"/>
      <c r="T1085" s="5" t="inlineStr"/>
      <c r="U1085" s="5" t="inlineStr"/>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c r="AI1085" s="5" t="inlineStr"/>
      <c r="AJ1085" s="5" t="inlineStr"/>
    </row>
    <row r="1086">
      <c r="A1086" s="5" t="inlineStr">
        <is>
          <t>ms-retrospektif</t>
        </is>
      </c>
      <c r="B1086" s="5" t="n">
        <v>4</v>
      </c>
      <c r="C1086" s="6" t="inlineStr">
        <is>
          <t>Eserlere ilk kez gerçek fiyat biç</t>
        </is>
      </c>
      <c r="D1086" s="5" t="inlineStr">
        <is>
          <t>Kurnazlık</t>
        </is>
      </c>
      <c r="E1086" s="5" t="inlineStr">
        <is>
          <t>Orta</t>
        </is>
      </c>
      <c r="F1086" s="5" t="inlineStr"/>
      <c r="G1086" s="6" t="inlineStr"/>
      <c r="H1086" s="6" t="inlineStr">
        <is>
          <t>Etiketlere gerçek fiyat yazdın. İkisi açılış gecesi satıldı.</t>
        </is>
      </c>
      <c r="I1086" s="6" t="inlineStr">
        <is>
          <t>Bütün eserler satıldı. Galerici komisyonunu alınca ağladı. Sevinçten.</t>
        </is>
      </c>
      <c r="J1086" s="6" t="inlineStr">
        <is>
          <t>Fiyatları yazdın; ziyaretçiler etiketlerin fotoğrafını çekti, eserlerin değil.</t>
        </is>
      </c>
      <c r="K1086" s="6" t="inlineStr">
        <is>
          <t>Fiyat yazarken bir sıfır eksik yazdın. İlk müşteri hepsini aldı. Hızla.</t>
        </is>
      </c>
      <c r="L1086" s="6" t="inlineStr"/>
      <c r="M1086" s="5" t="inlineStr"/>
      <c r="N1086" s="5" t="inlineStr"/>
      <c r="O1086" s="6" t="inlineStr"/>
      <c r="P1086" s="6" t="inlineStr"/>
      <c r="Q1086" s="5" t="inlineStr"/>
      <c r="R1086" s="5" t="inlineStr"/>
      <c r="S1086" s="5" t="inlineStr"/>
      <c r="T1086" s="5" t="inlineStr"/>
      <c r="U1086" s="5" t="inlineStr"/>
      <c r="V1086" s="5" t="inlineStr"/>
      <c r="W1086" s="5" t="inlineStr"/>
      <c r="X1086" s="5" t="inlineStr"/>
      <c r="Y1086" s="5" t="inlineStr"/>
      <c r="Z1086" s="6" t="inlineStr"/>
      <c r="AA1086" s="5" t="inlineStr"/>
      <c r="AB1086" s="5" t="inlineStr"/>
      <c r="AC1086" s="5" t="inlineStr"/>
      <c r="AD1086" s="5" t="inlineStr"/>
      <c r="AE1086" s="5" t="inlineStr"/>
      <c r="AF1086" s="5" t="inlineStr"/>
      <c r="AG1086" s="5" t="inlineStr"/>
      <c r="AH1086" s="5" t="inlineStr"/>
      <c r="AI1086" s="5" t="inlineStr"/>
      <c r="AJ1086" s="5" t="inlineStr"/>
    </row>
    <row r="1087">
      <c r="A1087" s="5" t="inlineStr">
        <is>
          <t>b9-pazar-arabasi</t>
        </is>
      </c>
      <c r="B1087" s="5" t="n">
        <v>1</v>
      </c>
      <c r="C1087" s="6" t="inlineStr">
        <is>
          <t>Sabah erkenden git</t>
        </is>
      </c>
      <c r="D1087" s="5" t="inlineStr"/>
      <c r="E1087" s="5" t="inlineStr"/>
      <c r="F1087" s="5" t="inlineStr">
        <is>
          <t>Dayanıklılık +1</t>
        </is>
      </c>
      <c r="G1087" s="6" t="inlineStr">
        <is>
          <t>Sabah yedide pazardaydın. En taze domates, en yüksek fiyat. Pazarcı 'Siftah senden' dedi, fiyatı da ona göre söyledi.</t>
        </is>
      </c>
      <c r="H1087" s="6" t="inlineStr"/>
      <c r="I1087" s="6" t="inlineStr"/>
      <c r="J1087" s="6" t="inlineStr"/>
      <c r="K1087" s="6" t="inlineStr"/>
      <c r="L1087" s="6" t="inlineStr"/>
      <c r="M1087" s="5" t="inlineStr"/>
      <c r="N1087" s="5" t="inlineStr"/>
      <c r="O1087" s="6" t="inlineStr"/>
      <c r="P1087" s="6" t="inlineStr"/>
      <c r="Q1087" s="5" t="inlineStr"/>
      <c r="R1087" s="5" t="inlineStr"/>
      <c r="S1087" s="5" t="inlineStr"/>
      <c r="T1087" s="5" t="inlineStr"/>
      <c r="U1087" s="5" t="inlineStr"/>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c r="AI1087" s="5" t="inlineStr"/>
      <c r="AJ1087" s="5" t="inlineStr"/>
    </row>
    <row r="1088">
      <c r="A1088" s="5" t="inlineStr">
        <is>
          <t>b9-pazar-arabasi</t>
        </is>
      </c>
      <c r="B1088" s="5" t="n">
        <v>2</v>
      </c>
      <c r="C1088" s="6" t="inlineStr">
        <is>
          <t>Kapanışta git, pazarlık et</t>
        </is>
      </c>
      <c r="D1088" s="5" t="inlineStr">
        <is>
          <t>Çene</t>
        </is>
      </c>
      <c r="E1088" s="5" t="inlineStr">
        <is>
          <t>Orta</t>
        </is>
      </c>
      <c r="F1088" s="5" t="inlineStr"/>
      <c r="G1088" s="6" t="inlineStr"/>
      <c r="H1088" s="6" t="inlineStr">
        <is>
          <t>Kapanışta gittin; bir kasa domatesi yarı fiyatına aldın. Eve gelince fark ettin: evde kırk domates, sofrada tek tabak. Yarısını komşu teyzeye verdin; o da sana yarım kasa biber verdi.</t>
        </is>
      </c>
      <c r="I1088" s="6" t="inlineStr">
        <is>
          <t>Pazarcı sana bir kasa daha hediye etti: 'Emeklimizsin.' Evde üç gün salça yapıldı.</t>
        </is>
      </c>
      <c r="J1088" s="6" t="inlineStr">
        <is>
          <t>Kapanışta gittin; pazar kapanmıştı. Tezgâhlar gitmiş, fiyat tartışması tek taraflı kaldı.</t>
        </is>
      </c>
      <c r="K1088" s="6" t="inlineStr">
        <is>
          <t>Pazarlıkta fazla ısrar ettin. Pazarcı kasayı geri çekip bağırdı: 'Arkadaşlar, bedavaya domates isteyen bu!' O gün hiçbir tezgâh sana indirim yapmadı.</t>
        </is>
      </c>
      <c r="L1088" s="6" t="inlineStr">
        <is>
          <t>Domatesi yarı fiyatına değil, üçte iki fiyatına aldın. Pazarcı 'Emekliye bu kadar' dedi, maydanozu sen istemeden poşete attı.</t>
        </is>
      </c>
      <c r="M1088" s="5" t="inlineStr">
        <is>
          <t>duel</t>
        </is>
      </c>
      <c r="N1088" s="5" t="inlineStr">
        <is>
          <t>Kapanış Pazarlığı</t>
        </is>
      </c>
      <c r="O1088" s="6" t="inlineStr">
        <is>
          <t>Karşındakinin sabrı bitmeden en iyi cevabı seç.</t>
        </is>
      </c>
      <c r="P1088" s="6" t="inlineStr">
        <is>
          <t>{"who": "Pazarcı", "item": "bir kasa domates", "mode": "buy"}</t>
        </is>
      </c>
      <c r="Q1088" s="5" t="inlineStr"/>
      <c r="R1088" s="5" t="inlineStr"/>
      <c r="S1088" s="5" t="inlineStr"/>
      <c r="T1088" s="5" t="inlineStr"/>
      <c r="U1088" s="5" t="inlineStr"/>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c r="AI1088" s="5" t="inlineStr"/>
      <c r="AJ1088" s="5" t="inlineStr"/>
    </row>
    <row r="1089">
      <c r="A1089" s="5" t="inlineStr">
        <is>
          <t>b9-pazar-arabasi</t>
        </is>
      </c>
      <c r="B1089" s="5" t="n">
        <v>3</v>
      </c>
      <c r="C1089" s="6" t="inlineStr">
        <is>
          <t>Pazarcıya ödeme uygulaması kurdur</t>
        </is>
      </c>
      <c r="D1089" s="5" t="inlineStr">
        <is>
          <t>Akıl</t>
        </is>
      </c>
      <c r="E1089" s="5" t="inlineStr">
        <is>
          <t>Kolay</t>
        </is>
      </c>
      <c r="F1089" s="5" t="inlineStr"/>
      <c r="G1089" s="6" t="inlineStr"/>
      <c r="H1089" s="6" t="inlineStr">
        <is>
          <t>Pazarcıya ödeme uygulamasını öğrettin. Artık sana indirim yapıyor, çünkü 'hocam' oldun.</t>
        </is>
      </c>
      <c r="I1089" s="6" t="inlineStr">
        <is>
          <t>Bütün pazar sana geldi. Artık çarşamba sabahları tezgâh tezgâh dolaşıp telefon kuruyorsun. File her hafta bedava maydanozla dolu dönüyor.</t>
        </is>
      </c>
      <c r="J1089" s="6" t="inlineStr">
        <is>
          <t>Uygulamayı kurdun, pazarcı ödemeyi yanlış hesaba yaptı. Paran komşu tezgâhın maydanozuna gitti.</t>
        </is>
      </c>
      <c r="K1089" s="6" t="inlineStr">
        <is>
          <t>Uygulamayı kurarken pazarcının telefonunu kilitledin. Pazarcı o gün sadece nakit çalıştı ve bunu senin adınla anons etti.</t>
        </is>
      </c>
      <c r="L1089" s="6" t="inlineStr"/>
      <c r="M1089" s="5" t="inlineStr"/>
      <c r="N1089" s="5" t="inlineStr"/>
      <c r="O1089" s="6" t="inlineStr"/>
      <c r="P1089" s="6" t="inlineStr"/>
      <c r="Q1089" s="5" t="inlineStr">
        <is>
          <t>Şifreyi Bilen</t>
        </is>
      </c>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c r="AI1089" s="5" t="inlineStr"/>
      <c r="AJ1089" s="5" t="inlineStr"/>
    </row>
    <row r="1090">
      <c r="A1090" s="5" t="inlineStr">
        <is>
          <t>b9-ikramiye</t>
        </is>
      </c>
      <c r="B1090" s="5" t="n">
        <v>1</v>
      </c>
      <c r="C1090" s="6" t="inlineStr">
        <is>
          <t>Motosiklet al</t>
        </is>
      </c>
      <c r="D1090" s="5" t="inlineStr">
        <is>
          <t>Cesaret</t>
        </is>
      </c>
      <c r="E1090" s="5" t="inlineStr">
        <is>
          <t>Zor</t>
        </is>
      </c>
      <c r="F1090" s="5" t="inlineStr"/>
      <c r="G1090" s="6" t="inlineStr"/>
      <c r="H1090" s="6" t="inlineStr">
        <is>
          <t>Motosikleti aldın. Mahallede bir tur attın. Kahvehanedeki herkes ayağa kalktı; bazıları seni tanıyamadı.</t>
        </is>
      </c>
      <c r="I1090" s="6" t="inlineStr">
        <is>
          <t>Motosikletle sahil yoluna çıktın. Dönüşte kahvehanenin önünden iki kez geçtin; ikincisinde herkes kapıya çıkmıştı.</t>
        </is>
      </c>
      <c r="J1090" s="6" t="inlineStr">
        <is>
          <t>Motosikleti aldın. Garajdan çıkarmak için üç gün kurs gerekiyormuş. Kurs, motosikletten pahalı.</t>
        </is>
      </c>
      <c r="K1090" s="6" t="inlineStr">
        <is>
          <t>İlk kırmızı ışıkta ayağını yere koymayı unuttun; yavaşça devrildin. Bütün kavşak izledi. Tamir ikramiyenin kalanını, kalçan bir ayını aldı.</t>
        </is>
      </c>
      <c r="L1090" s="6" t="inlineStr"/>
      <c r="M1090" s="5" t="inlineStr"/>
      <c r="N1090" s="5" t="inlineStr"/>
      <c r="O1090" s="6" t="inlineStr"/>
      <c r="P1090" s="6" t="inlineStr"/>
      <c r="Q1090" s="5" t="inlineStr"/>
      <c r="R1090" s="5" t="inlineStr"/>
      <c r="S1090" s="5" t="inlineStr"/>
      <c r="T1090" s="5" t="inlineStr"/>
      <c r="U1090" s="5" t="inlineStr"/>
      <c r="V1090" s="5" t="inlineStr">
        <is>
          <t>motosikletli</t>
        </is>
      </c>
      <c r="W1090" s="5" t="inlineStr"/>
      <c r="X1090" s="5" t="inlineStr"/>
      <c r="Y1090" s="5" t="n">
        <v>5</v>
      </c>
      <c r="Z1090" s="6" t="inlineStr">
        <is>
          <t>Emekli ikramiyesiyle aldığı motosikletle ilk virajda. Kask hâlâ jelatinliydi.</t>
        </is>
      </c>
      <c r="AA1090" s="5" t="inlineStr"/>
      <c r="AB1090" s="5" t="inlineStr"/>
      <c r="AC1090" s="5" t="inlineStr">
        <is>
          <t>Orta</t>
        </is>
      </c>
      <c r="AD1090" s="5" t="inlineStr"/>
      <c r="AE1090" s="5" t="inlineStr"/>
      <c r="AF1090" s="5" t="inlineStr"/>
      <c r="AG1090" s="5" t="inlineStr"/>
      <c r="AH1090" s="5" t="inlineStr"/>
      <c r="AI1090" s="5" t="inlineStr"/>
      <c r="AJ1090" s="5" t="inlineStr"/>
    </row>
    <row r="1091">
      <c r="A1091" s="5" t="inlineStr">
        <is>
          <t>b9-ikramiye</t>
        </is>
      </c>
      <c r="B1091" s="5" t="n">
        <v>2</v>
      </c>
      <c r="C1091" s="6" t="inlineStr">
        <is>
          <t>Yazlık al</t>
        </is>
      </c>
      <c r="D1091" s="5" t="inlineStr">
        <is>
          <t>Kurnazlık</t>
        </is>
      </c>
      <c r="E1091" s="5" t="inlineStr">
        <is>
          <t>Orta</t>
        </is>
      </c>
      <c r="F1091" s="5" t="inlineStr"/>
      <c r="G1091" s="6" t="inlineStr"/>
      <c r="H1091" s="6" t="inlineStr">
        <is>
          <t>Sahile yürüme mesafesinde küçük bir yazlık aldın. Denize yürüme mesafesi ilanda yazılandan sadece iki kilometre fazla.</t>
        </is>
      </c>
      <c r="I1091" s="6" t="inlineStr">
        <is>
          <t>Yazlığı pazarlıkla aldın; satıcı mobilyaları da bıraktı. Mobilyaların arasında bir de kedi vardı.</t>
        </is>
      </c>
      <c r="J1091" s="6" t="inlineStr">
        <is>
          <t>Yazlığı aldın. Site aidatı, senin emekli maaşının yarısı.</t>
        </is>
      </c>
      <c r="K1091" s="6" t="inlineStr">
        <is>
          <t>Yazlığı fotoğraflardan aldın. Fotoğraflar on yıl önce çekilmiş. Deniz görmüyor; deniz gören bir binayı görüyor.</t>
        </is>
      </c>
      <c r="L1091" s="6" t="inlineStr"/>
      <c r="M1091" s="5" t="inlineStr"/>
      <c r="N1091" s="5" t="inlineStr"/>
      <c r="O1091" s="6" t="inlineStr"/>
      <c r="P1091" s="6" t="inlineStr"/>
      <c r="Q1091" s="5" t="inlineStr"/>
      <c r="R1091" s="5" t="inlineStr"/>
      <c r="S1091" s="5" t="inlineStr"/>
      <c r="T1091" s="5" t="inlineStr"/>
      <c r="U1091" s="5" t="inlineStr"/>
      <c r="V1091" s="5" t="inlineStr">
        <is>
          <t>yazlikci</t>
        </is>
      </c>
      <c r="W1091" s="5" t="inlineStr"/>
      <c r="X1091" s="5" t="inlineStr"/>
      <c r="Y1091" s="5" t="inlineStr"/>
      <c r="Z1091" s="6" t="inlineStr"/>
      <c r="AA1091" s="5" t="inlineStr"/>
      <c r="AB1091" s="5" t="inlineStr"/>
      <c r="AC1091" s="5" t="inlineStr">
        <is>
          <t>Rahat</t>
        </is>
      </c>
      <c r="AD1091" s="5" t="inlineStr"/>
      <c r="AE1091" s="5" t="inlineStr"/>
      <c r="AF1091" s="5" t="inlineStr"/>
      <c r="AG1091" s="5" t="inlineStr"/>
      <c r="AH1091" s="5" t="inlineStr"/>
      <c r="AI1091" s="5" t="inlineStr"/>
      <c r="AJ1091" s="5" t="inlineStr"/>
    </row>
    <row r="1092">
      <c r="A1092" s="5" t="inlineStr">
        <is>
          <t>b9-ikramiye</t>
        </is>
      </c>
      <c r="B1092" s="5" t="n">
        <v>3</v>
      </c>
      <c r="C1092" s="6" t="inlineStr">
        <is>
          <t>Çocuğa ev peşinatı ver</t>
        </is>
      </c>
      <c r="D1092" s="5" t="inlineStr"/>
      <c r="E1092" s="5" t="inlineStr"/>
      <c r="F1092" s="5" t="inlineStr">
        <is>
          <t>Gönül +2</t>
        </is>
      </c>
      <c r="G1092" s="6" t="inlineStr">
        <is>
          <t>Peşinatı verdin. Çocuğun ev sahibi oldu. Sen de pazar kahvaltılarının kalıcı misafiri.</t>
        </is>
      </c>
      <c r="H1092" s="6" t="inlineStr"/>
      <c r="I1092" s="6" t="inlineStr"/>
      <c r="J1092" s="6" t="inlineStr"/>
      <c r="K1092" s="6" t="inlineStr"/>
      <c r="L1092" s="6" t="inlineStr"/>
      <c r="M1092" s="5" t="inlineStr"/>
      <c r="N1092" s="5" t="inlineStr"/>
      <c r="O1092" s="6" t="inlineStr"/>
      <c r="P1092" s="6" t="inlineStr"/>
      <c r="Q1092" s="5" t="inlineStr"/>
      <c r="R1092" s="5" t="inlineStr">
        <is>
          <t>cocuklu</t>
        </is>
      </c>
      <c r="S1092" s="5" t="inlineStr"/>
      <c r="T1092" s="5" t="inlineStr"/>
      <c r="U1092" s="5" t="inlineStr"/>
      <c r="V1092" s="5" t="inlineStr"/>
      <c r="W1092" s="5" t="inlineStr"/>
      <c r="X1092" s="5" t="inlineStr"/>
      <c r="Y1092" s="5" t="inlineStr"/>
      <c r="Z1092" s="6" t="inlineStr"/>
      <c r="AA1092" s="5" t="inlineStr"/>
      <c r="AB1092" s="5" t="inlineStr"/>
      <c r="AC1092" s="5" t="inlineStr">
        <is>
          <t>Rahat</t>
        </is>
      </c>
      <c r="AD1092" s="5" t="inlineStr"/>
      <c r="AE1092" s="5" t="inlineStr"/>
      <c r="AF1092" s="5" t="inlineStr"/>
      <c r="AG1092" s="5" t="inlineStr"/>
      <c r="AH1092" s="5" t="inlineStr"/>
      <c r="AI1092" s="5" t="inlineStr"/>
      <c r="AJ1092" s="5" t="inlineStr"/>
    </row>
    <row r="1093">
      <c r="A1093" s="5" t="inlineStr">
        <is>
          <t>b9-ikramiye</t>
        </is>
      </c>
      <c r="B1093" s="5" t="n">
        <v>4</v>
      </c>
      <c r="C1093" s="6" t="inlineStr">
        <is>
          <t>Dijital paraya yatır</t>
        </is>
      </c>
      <c r="D1093" s="5" t="inlineStr">
        <is>
          <t>Akıl</t>
        </is>
      </c>
      <c r="E1093" s="5" t="inlineStr">
        <is>
          <t>Zor</t>
        </is>
      </c>
      <c r="F1093" s="5" t="inlineStr"/>
      <c r="G1093" s="6" t="inlineStr"/>
      <c r="H1093" s="6" t="inlineStr">
        <is>
          <t>Dijital para iki katına çıktı. Aile grubuna ne olduğunu anlatmaya çalıştın; sen de tam anlamadın.</t>
        </is>
      </c>
      <c r="I1093" s="6" t="inlineStr">
        <is>
          <t>Dijital para dört katına çıktı, tam tepesinde sattın. Bayramda yeğenler elini öpüp harçlık beklemedi; 'Hangisini alayım?' diye sordular.</t>
        </is>
      </c>
      <c r="J1093" s="6" t="inlineStr">
        <is>
          <t>Dijital para yarıya düştü. Ekran kırmızı. Sen de kırmızı.</t>
        </is>
      </c>
      <c r="K1093" s="6" t="inlineStr">
        <is>
          <t>Dijital paranın şifresini bir kâğıda yazdın. Kâğıt çamaşır makinesinde yıkandı. Servet şimdi bir cebin içinde, kurumaya bırakıldı.</t>
        </is>
      </c>
      <c r="L1093" s="6" t="inlineStr"/>
      <c r="M1093" s="5" t="inlineStr"/>
      <c r="N1093" s="5" t="inlineStr"/>
      <c r="O1093" s="6" t="inlineStr"/>
      <c r="P1093" s="6" t="inlineStr"/>
      <c r="Q1093" s="5" t="inlineStr">
        <is>
          <t>Şifreyi Bilen</t>
        </is>
      </c>
      <c r="R1093" s="5" t="inlineStr"/>
      <c r="S1093" s="5" t="inlineStr"/>
      <c r="T1093" s="5" t="inlineStr"/>
      <c r="U1093" s="5" t="inlineStr"/>
      <c r="V1093" s="5" t="inlineStr"/>
      <c r="W1093" s="5" t="inlineStr">
        <is>
          <t>borclu</t>
        </is>
      </c>
      <c r="X1093" s="5" t="inlineStr"/>
      <c r="Y1093" s="5" t="inlineStr"/>
      <c r="Z1093" s="6" t="inlineStr"/>
      <c r="AA1093" s="5" t="inlineStr"/>
      <c r="AB1093" s="5" t="inlineStr"/>
      <c r="AC1093" s="5" t="inlineStr"/>
      <c r="AD1093" s="5" t="inlineStr"/>
      <c r="AE1093" s="5" t="inlineStr"/>
      <c r="AF1093" s="5" t="inlineStr"/>
      <c r="AG1093" s="5" t="inlineStr"/>
      <c r="AH1093" s="5" t="inlineStr"/>
      <c r="AI1093" s="5" t="inlineStr"/>
      <c r="AJ1093" s="5" t="inlineStr"/>
      <c r="AL1093" t="n">
        <v>1</v>
      </c>
    </row>
    <row r="1094">
      <c r="A1094" s="5" t="inlineStr">
        <is>
          <t>b9-ikramiye</t>
        </is>
      </c>
      <c r="B1094" s="5" t="n">
        <v>5</v>
      </c>
      <c r="C1094" s="6" t="inlineStr">
        <is>
          <t>Bankada dursun</t>
        </is>
      </c>
      <c r="D1094" s="5" t="inlineStr"/>
      <c r="E1094" s="5" t="inlineStr"/>
      <c r="F1094" s="5" t="inlineStr">
        <is>
          <t>Dayanıklılık +1</t>
        </is>
      </c>
      <c r="G1094" s="6" t="inlineStr">
        <is>
          <t>Para bankada durdu. Durdukça küçüldü. Banka buna 'mevduat faizi' dedi.</t>
        </is>
      </c>
      <c r="H1094" s="6" t="inlineStr"/>
      <c r="I1094" s="6" t="inlineStr"/>
      <c r="J1094" s="6" t="inlineStr"/>
      <c r="K1094" s="6" t="inlineStr"/>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c r="AI1094" s="5" t="inlineStr"/>
      <c r="AJ1094" s="5" t="inlineStr"/>
    </row>
    <row r="1095">
      <c r="A1095" s="5" t="inlineStr">
        <is>
          <t>b9-ikramiye</t>
        </is>
      </c>
      <c r="B1095" s="5" t="n">
        <v>6</v>
      </c>
      <c r="C1095" s="6" t="inlineStr">
        <is>
          <t>Altın al, yastık altına koy</t>
        </is>
      </c>
      <c r="D1095" s="5" t="inlineStr">
        <is>
          <t>Kurnazlık</t>
        </is>
      </c>
      <c r="E1095" s="5" t="inlineStr">
        <is>
          <t>Orta</t>
        </is>
      </c>
      <c r="F1095" s="5" t="inlineStr"/>
      <c r="G1095" s="6" t="inlineStr"/>
      <c r="H1095" s="6" t="inlineStr">
        <is>
          <t>İkramiyenin bir kısmını bileziğe, kalanını çeyreğe çevirdin. Hepsi yatak odasındaki dolabın en arka çekmecesinde, çorapların arasında.</t>
        </is>
      </c>
      <c r="I1095" s="6" t="inlineStr">
        <is>
          <t>Kuyumcuyla bir saat pazarlık edip işçilikten kırptın. İki yıl sonra altın ikiye katlandı. Aile düğünlerine kadar takı derdin yok.</t>
        </is>
      </c>
      <c r="J1095" s="6" t="inlineStr">
        <is>
          <t>Altını aldığın gün fiyat tepedeydi, ertesi gün düştü. Kuyumcu 'Altın zarar ettirmez, bekle' dedi; bekliyorsun.</t>
        </is>
      </c>
      <c r="K1095" s="6" t="inlineStr">
        <is>
          <t>Altınları öyle iyi sakladın ki nereye sakladığını unuttun. Üç yıldır her bayram temizliği bir hazine avı.</t>
        </is>
      </c>
      <c r="L1095" s="6" t="inlineStr"/>
      <c r="M1095" s="5" t="inlineStr"/>
      <c r="N1095" s="5" t="inlineStr"/>
      <c r="O1095" s="6" t="inlineStr"/>
      <c r="P1095" s="6" t="inlineStr"/>
      <c r="Q1095" s="5" t="inlineStr"/>
      <c r="R1095" s="5" t="inlineStr"/>
      <c r="S1095" s="5" t="inlineStr"/>
      <c r="T1095" s="5" t="inlineStr"/>
      <c r="U1095" s="5" t="inlineStr"/>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c r="AI1095" s="5" t="inlineStr"/>
      <c r="AJ1095" s="5" t="inlineStr"/>
      <c r="AL1095" t="n">
        <v>1</v>
      </c>
    </row>
    <row r="1096">
      <c r="A1096" s="5" t="inlineStr">
        <is>
          <t>mm-son-is-gunu</t>
        </is>
      </c>
      <c r="B1096" s="5" t="n">
        <v>1</v>
      </c>
      <c r="C1096" s="6" t="inlineStr">
        <is>
          <t>Kısa bir teşekkür et</t>
        </is>
      </c>
      <c r="D1096" s="5" t="inlineStr"/>
      <c r="E1096" s="5" t="inlineStr"/>
      <c r="F1096" s="5" t="inlineStr">
        <is>
          <t>İtibar +1</t>
        </is>
      </c>
      <c r="G1096" s="6" t="inlineStr">
        <is>
          <t>'Teşekkürler' dedin ve oturdun. Kurumun en kısa veda konuşması tutanağa geçti: tek satır, ıslak imzalı.</t>
        </is>
      </c>
      <c r="H1096" s="6" t="inlineStr"/>
      <c r="I1096" s="6" t="inlineStr"/>
      <c r="J1096" s="6" t="inlineStr"/>
      <c r="K1096" s="6" t="inlineStr"/>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c r="AI1096" s="5" t="inlineStr"/>
      <c r="AJ1096" s="5" t="inlineStr"/>
    </row>
    <row r="1097">
      <c r="A1097" s="5" t="inlineStr">
        <is>
          <t>mm-son-is-gunu</t>
        </is>
      </c>
      <c r="B1097" s="5" t="n">
        <v>2</v>
      </c>
      <c r="C1097" s="6" t="inlineStr">
        <is>
          <t>Uzun bir veda konuşması yap</t>
        </is>
      </c>
      <c r="D1097" s="5" t="inlineStr">
        <is>
          <t>Çene</t>
        </is>
      </c>
      <c r="E1097" s="5" t="inlineStr">
        <is>
          <t>Zor</t>
        </is>
      </c>
      <c r="F1097" s="5" t="inlineStr"/>
      <c r="G1097" s="6" t="inlineStr"/>
      <c r="H1097" s="6" t="inlineStr">
        <is>
          <t>Otuz yılı anlattın. Çaylar soğudu, börekler bitti, kimse salondan çıkmadı. Çaycı en arkada gözlerini sildi.</t>
        </is>
      </c>
      <c r="I1097" s="6" t="inlineStr">
        <is>
          <t>Konuşmanın sonunda çaycı tepsiyi bıraktı, alkışa ilk o başladı. Gelecek ay emekli olacak şube müdürü konuşmanın bir kopyasını istedi; adları değiştirip okudu, onunki de ağlattı.</t>
        </is>
      </c>
      <c r="J1097" s="6" t="inlineStr">
        <is>
          <t>Slayt açmaya çalıştın. Sistem çöktü. Otuz yıldır olduğu gibi.</t>
        </is>
      </c>
      <c r="K1097" s="6" t="inlineStr">
        <is>
          <t>Otuz yılın bütün müdürlerini tek tek andın. Adını unuttuğun tek müdür, karşında börek dağıtıyordu.</t>
        </is>
      </c>
      <c r="L1097" s="6" t="inlineStr"/>
      <c r="M1097" s="5" t="inlineStr"/>
      <c r="N1097" s="5" t="inlineStr"/>
      <c r="O1097" s="6" t="inlineStr"/>
      <c r="P1097" s="6" t="inlineStr"/>
      <c r="Q1097" s="5" t="inlineStr"/>
      <c r="R1097" s="5" t="inlineStr"/>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c r="AI1097" s="5" t="inlineStr"/>
      <c r="AJ1097" s="5" t="inlineStr"/>
    </row>
    <row r="1098">
      <c r="A1098" s="5" t="inlineStr">
        <is>
          <t>mm-son-is-gunu</t>
        </is>
      </c>
      <c r="B1098" s="5" t="n">
        <v>3</v>
      </c>
      <c r="C1098" s="6" t="inlineStr">
        <is>
          <t>Son bir evrak imzala</t>
        </is>
      </c>
      <c r="D1098" s="5" t="inlineStr">
        <is>
          <t>Dayanıklılık</t>
        </is>
      </c>
      <c r="E1098" s="5" t="inlineStr">
        <is>
          <t>Kolay</t>
        </is>
      </c>
      <c r="F1098" s="5" t="inlineStr"/>
      <c r="G1098" s="6" t="inlineStr"/>
      <c r="H1098" s="6" t="inlineStr">
        <is>
          <t>Son imza, ilk imzayla aynı: biraz yamuk, çok tutarlı.</t>
        </is>
      </c>
      <c r="I1098" s="6" t="inlineStr">
        <is>
          <t>Son imzan ilk günkünden bir milim bile sapmadı. Kalem de seninle birlikte emekli oldu.</t>
        </is>
      </c>
      <c r="J1098" s="6" t="inlineStr">
        <is>
          <t>Son evrak eksik fotokopiliydi. İade ettin. Otuz yıllık refleks son dakikada da çalıştı.</t>
        </is>
      </c>
      <c r="K1098" s="6" t="inlineStr">
        <is>
          <t>Kendi emeklilik dilekçenin ikinci nüshasını imzalamışsın. Artık iki kez emeklisin; ikincisi için ikramiye yok.</t>
        </is>
      </c>
      <c r="L1098" s="6" t="inlineStr"/>
      <c r="M1098" s="5" t="inlineStr"/>
      <c r="N1098" s="5" t="inlineStr"/>
      <c r="O1098" s="6" t="inlineStr"/>
      <c r="P1098" s="6" t="inlineStr"/>
      <c r="Q1098" s="5" t="inlineStr"/>
      <c r="R1098" s="5" t="inlineStr"/>
      <c r="S1098" s="5" t="inlineStr"/>
      <c r="T1098" s="5" t="inlineStr"/>
      <c r="U1098" s="5" t="inlineStr">
        <is>
          <t>emekli</t>
        </is>
      </c>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c r="AI1098" s="5" t="inlineStr"/>
      <c r="AJ1098" s="5" t="inlineStr"/>
    </row>
    <row r="1099">
      <c r="A1099" s="5" t="inlineStr">
        <is>
          <t>mm-son-is-gunu</t>
        </is>
      </c>
      <c r="B1099" s="5" t="n">
        <v>4</v>
      </c>
      <c r="C1099" s="6" t="inlineStr">
        <is>
          <t>Müdüre son sözünü söyle</t>
        </is>
      </c>
      <c r="D1099" s="5" t="inlineStr">
        <is>
          <t>Cesaret</t>
        </is>
      </c>
      <c r="E1099" s="5" t="inlineStr">
        <is>
          <t>Orta</t>
        </is>
      </c>
      <c r="F1099" s="5" t="inlineStr"/>
      <c r="G1099" s="6" t="inlineStr"/>
      <c r="H1099" s="6" t="inlineStr">
        <is>
          <t>Otuz yılı tek cümlede söyledin. Müdür kızardı, güldü, sonra tepsideki en büyük böreği sana uzattı.</t>
        </is>
      </c>
      <c r="I1099" s="6" t="inlineStr">
        <is>
          <t>Sen söyledin, o da söyledi. Sarıldınız. Kurum panosundaki fotoğrafın altında tek kelime: 'Sonunda.'</t>
        </is>
      </c>
      <c r="J1099" s="6" t="inlineStr">
        <is>
          <t>Müdür o gün izinliymiş. Cümleni yardımcısına söyledin; o da not aldı.</t>
        </is>
      </c>
      <c r="K1099" s="6" t="inlineStr">
        <is>
          <t>Müdür gülümsedi: 'Emeklilik işlemlerinin imzası bende.' İkramiyen üç hafta gecikti.</t>
        </is>
      </c>
      <c r="L1099" s="6" t="inlineStr"/>
      <c r="M1099" s="5" t="inlineStr"/>
      <c r="N1099" s="5" t="inlineStr"/>
      <c r="O1099" s="6" t="inlineStr"/>
      <c r="P1099" s="6" t="inlineStr"/>
      <c r="Q1099" s="5" t="inlineStr"/>
      <c r="R1099" s="5" t="inlineStr">
        <is>
          <t>memur-mudur-dusmani</t>
        </is>
      </c>
      <c r="S1099" s="5" t="inlineStr"/>
      <c r="T1099" s="5" t="inlineStr"/>
      <c r="U1099" s="5" t="inlineStr">
        <is>
          <t>emekli</t>
        </is>
      </c>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c r="AI1099" s="5" t="inlineStr"/>
      <c r="AJ1099" s="5" t="inlineStr"/>
    </row>
    <row r="1100">
      <c r="A1100" s="5" t="inlineStr">
        <is>
          <t>b9-es-7-24</t>
        </is>
      </c>
      <c r="B1100" s="5" t="n">
        <v>1</v>
      </c>
      <c r="C1100" s="6" t="inlineStr">
        <is>
          <t>Kumandayı teslim et</t>
        </is>
      </c>
      <c r="D1100" s="5" t="inlineStr"/>
      <c r="E1100" s="5" t="inlineStr"/>
      <c r="F1100" s="5" t="inlineStr">
        <is>
          <t>Dayanıklılık +1, Gönül +1</t>
        </is>
      </c>
      <c r="G1100" s="6" t="inlineStr">
        <is>
          <t>Kumandayı teslim ettin. Akşam dizisini ilk bölümünden izlemeye başladınız. Bölüm sayısı dört yüz on iki.</t>
        </is>
      </c>
      <c r="H1100" s="6" t="inlineStr"/>
      <c r="I1100" s="6" t="inlineStr"/>
      <c r="J1100" s="6" t="inlineStr"/>
      <c r="K1100" s="6" t="inlineStr"/>
      <c r="L1100" s="6" t="inlineStr"/>
      <c r="M1100" s="5" t="inlineStr"/>
      <c r="N1100" s="5" t="inlineStr"/>
      <c r="O1100" s="6" t="inlineStr"/>
      <c r="P1100" s="6" t="inlineStr"/>
      <c r="Q1100" s="5" t="inlineStr"/>
      <c r="R1100" s="5" t="inlineStr"/>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c r="AI1100" s="5" t="inlineStr"/>
      <c r="AJ1100" s="5" t="inlineStr"/>
    </row>
    <row r="1101">
      <c r="A1101" s="5" t="inlineStr">
        <is>
          <t>b9-es-7-24</t>
        </is>
      </c>
      <c r="B1101" s="5" t="n">
        <v>2</v>
      </c>
      <c r="C1101" s="6" t="inlineStr">
        <is>
          <t>Oda paylaşım planı yap</t>
        </is>
      </c>
      <c r="D1101" s="5" t="inlineStr">
        <is>
          <t>Akıl</t>
        </is>
      </c>
      <c r="E1101" s="5" t="inlineStr">
        <is>
          <t>Orta</t>
        </is>
      </c>
      <c r="F1101" s="5" t="inlineStr"/>
      <c r="G1101" s="6" t="inlineStr"/>
      <c r="H1101" s="6" t="inlineStr">
        <is>
          <t>Salon sabah senin, öğleden sonra eşinin. Mutfak eşinin; sen kapıdan bakıp 'Tuzu az' diyorsun, içeri girmeden.</t>
        </is>
      </c>
      <c r="I1101" s="6" t="inlineStr">
        <is>
          <t>Planı öyle iyi yaptın ki eşin sana bir hobi odası ayırdı. Orada ne yaptığını bilmiyorsun ama odan var.</t>
        </is>
      </c>
      <c r="J1101" s="6" t="inlineStr">
        <is>
          <t>Planı yaptın, buzdolabına astın. Eşin okumadı; okumadan üstüne pazar listesini mıknatısla tutturdu. Kumanda yine onda.</t>
        </is>
      </c>
      <c r="K1101" s="6" t="inlineStr">
        <is>
          <t>Planı yaptın; eşin onu buzdolabından indirip yerine kendi listesini astı: 'Pazar senin, bulaşık senin, kumanda benim.' Altında senin imzan var; ne zaman attığını hatırlamıyorsun.</t>
        </is>
      </c>
      <c r="L1101" s="6" t="inlineStr"/>
      <c r="M1101" s="5" t="inlineStr"/>
      <c r="N1101" s="5" t="inlineStr"/>
      <c r="O1101" s="6" t="inlineStr"/>
      <c r="P1101" s="6" t="inlineStr"/>
      <c r="Q1101" s="5" t="inlineStr">
        <is>
          <t>Kuralı Koyan</t>
        </is>
      </c>
      <c r="R1101" s="5" t="inlineStr"/>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c r="AI1101" s="5" t="inlineStr"/>
      <c r="AJ1101" s="5" t="inlineStr"/>
    </row>
    <row r="1102">
      <c r="A1102" s="5" t="inlineStr">
        <is>
          <t>b9-es-7-24</t>
        </is>
      </c>
      <c r="B1102" s="5" t="n">
        <v>3</v>
      </c>
      <c r="C1102" s="6" t="inlineStr">
        <is>
          <t>'Bugün dışarı çıkıyorum' de</t>
        </is>
      </c>
      <c r="D1102" s="5" t="inlineStr">
        <is>
          <t>Sosyal Radar</t>
        </is>
      </c>
      <c r="E1102" s="5" t="inlineStr">
        <is>
          <t>Kolay</t>
        </is>
      </c>
      <c r="F1102" s="5" t="inlineStr"/>
      <c r="G1102" s="6" t="inlineStr"/>
      <c r="H1102" s="6" t="inlineStr">
        <is>
          <t>Dışarı çıktın. Eve döndüğünde eşin sana sarıldı. Sarılmanın anlamı: 'Yarın da çık.'</t>
        </is>
      </c>
      <c r="I1102" s="6" t="inlineStr">
        <is>
          <t>Dışarı çıktın, yürüyüş grubuna katıldın. Eşin de başka bir gruba katıldı. Akşamları gün boyu duyduğunuz dedikoduları birbirinize anlatıyorsunuz; yıllardır bu kadar konuşmamıştınız.</t>
        </is>
      </c>
      <c r="J1102" s="6" t="inlineStr">
        <is>
          <t>Dışarı çıktın. Nereye gideceğini düşünmemiştin. Parkta iki saat oturup eve döndün.</t>
        </is>
      </c>
      <c r="K1102" s="6" t="inlineStr">
        <is>
          <t>'Bugün dışarı çıkıyorum' dedin. Eşin 'Oh, rahat bir gün' dedi; sevinci yüzünden okunuyordu. Kapıdan kırılarak geri döndün. Akşama kadar ikiniz de küs, aynı odada.</t>
        </is>
      </c>
      <c r="L1102" s="6" t="inlineStr"/>
      <c r="M1102" s="5" t="inlineStr"/>
      <c r="N1102" s="5" t="inlineStr"/>
      <c r="O1102" s="6" t="inlineStr"/>
      <c r="P1102" s="6" t="inlineStr"/>
      <c r="Q1102" s="5" t="inlineStr"/>
      <c r="R1102" s="5" t="inlineStr"/>
      <c r="S1102" s="5" t="inlineStr">
        <is>
          <t>Sosyal Radar</t>
        </is>
      </c>
      <c r="T1102" s="5" t="inlineStr"/>
      <c r="U1102" s="5" t="inlineStr"/>
      <c r="V1102" s="5" t="inlineStr"/>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c r="AI1102" s="5" t="inlineStr"/>
      <c r="AJ1102" s="5" t="inlineStr"/>
    </row>
    <row r="1103">
      <c r="A1103" s="5" t="inlineStr">
        <is>
          <t>b9-yalniz-emeklilik</t>
        </is>
      </c>
      <c r="B1103" s="5" t="n">
        <v>1</v>
      </c>
      <c r="C1103" s="6" t="inlineStr">
        <is>
          <t>Bir kedi sahiplen</t>
        </is>
      </c>
      <c r="D1103" s="5" t="inlineStr"/>
      <c r="E1103" s="5" t="inlineStr"/>
      <c r="F1103" s="5" t="inlineStr">
        <is>
          <t>Gönül +1</t>
        </is>
      </c>
      <c r="G1103" s="6" t="inlineStr">
        <is>
          <t>Kediyi sahiplendin. Artık evde biri var. O kişi senin koltuğunda oturuyor.</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c r="AI1103" s="5" t="inlineStr"/>
      <c r="AJ1103" s="5" t="inlineStr"/>
    </row>
    <row r="1104">
      <c r="A1104" s="5" t="inlineStr">
        <is>
          <t>b9-yalniz-emeklilik</t>
        </is>
      </c>
      <c r="B1104" s="5" t="n">
        <v>2</v>
      </c>
      <c r="C1104" s="6" t="inlineStr">
        <is>
          <t>Karşı komşuya el salla</t>
        </is>
      </c>
      <c r="D1104" s="5" t="inlineStr">
        <is>
          <t>Cesaret</t>
        </is>
      </c>
      <c r="E1104" s="5" t="inlineStr">
        <is>
          <t>Orta</t>
        </is>
      </c>
      <c r="F1104" s="5" t="inlineStr"/>
      <c r="G1104" s="6" t="inlineStr"/>
      <c r="H1104" s="6" t="inlineStr">
        <is>
          <t>El salladın, o da salladı. Ertesi gün kapında bir tabak börek vardı.</t>
        </is>
      </c>
      <c r="I1104" s="6" t="inlineStr">
        <is>
          <t>El salladın; bir hafta sonra birlikte pazara gidiyordunuz. Pazar arabalarınızı birbirine bağladınız.</t>
        </is>
      </c>
      <c r="J1104" s="6" t="inlineStr">
        <is>
          <t>El salladın, perde kapandı. Belki görmedi. Belki gördü.</t>
        </is>
      </c>
      <c r="K1104" s="6" t="inlineStr">
        <is>
          <t>El salladın. Karşı komşu yardım istediğini sandı, ambulans çağırdı. Sağlık ekibi salonunda tansiyonunu ölçerken bütün apartman balkondaydı.</t>
        </is>
      </c>
      <c r="L1104" s="6" t="inlineStr"/>
      <c r="M1104" s="5" t="inlineStr"/>
      <c r="N1104" s="5" t="inlineStr"/>
      <c r="O1104" s="6" t="inlineStr"/>
      <c r="P1104" s="6" t="inlineStr"/>
      <c r="Q1104" s="5" t="inlineStr"/>
      <c r="R1104" s="5" t="inlineStr"/>
      <c r="S1104" s="5" t="inlineStr"/>
      <c r="T1104" s="5" t="inlineStr"/>
      <c r="U1104" s="5" t="inlineStr"/>
      <c r="V1104" s="5" t="inlineStr"/>
      <c r="W1104" s="5" t="inlineStr"/>
      <c r="X1104" s="5" t="inlineStr"/>
      <c r="Y1104" s="5" t="inlineStr"/>
      <c r="Z1104" s="6" t="inlineStr"/>
      <c r="AA1104" s="5" t="inlineStr"/>
      <c r="AB1104" s="5" t="inlineStr"/>
      <c r="AC1104" s="5" t="inlineStr"/>
      <c r="AD1104" s="5" t="inlineStr"/>
      <c r="AE1104" s="5" t="inlineStr"/>
      <c r="AF1104" s="5" t="inlineStr"/>
      <c r="AG1104" s="5" t="inlineStr"/>
      <c r="AH1104" s="5" t="inlineStr"/>
      <c r="AI1104" s="5" t="inlineStr"/>
      <c r="AJ1104" s="5" t="inlineStr"/>
    </row>
    <row r="1105">
      <c r="A1105" s="5" t="inlineStr">
        <is>
          <t>b9-yalniz-emeklilik</t>
        </is>
      </c>
      <c r="B1105" s="5" t="n">
        <v>3</v>
      </c>
      <c r="C1105" s="6" t="inlineStr">
        <is>
          <t>Hobi kursuna yazıl</t>
        </is>
      </c>
      <c r="D1105" s="5" t="inlineStr">
        <is>
          <t>Akıl</t>
        </is>
      </c>
      <c r="E1105" s="5" t="inlineStr">
        <is>
          <t>Kolay</t>
        </is>
      </c>
      <c r="F1105" s="5" t="inlineStr"/>
      <c r="G1105" s="6" t="inlineStr"/>
      <c r="H1105" s="6" t="inlineStr">
        <is>
          <t>Seramik kursuna yazıldın. İlk eserin bir kâse. Kâse mi, bilinmiyor.</t>
        </is>
      </c>
      <c r="I1105" s="6" t="inlineStr">
        <is>
          <t>Kursun en yetenekli öğrencisi oldun. Yıl sonu sergisinde kâsen satıldı; alan, karşı apartmandaki komşuydu. Şimdi pencereden ikiniz de aynı kâseye bakıyorsunuz.</t>
        </is>
      </c>
      <c r="J1105" s="6" t="inlineStr">
        <is>
          <t>Kursa yazıldın, ilk derste kimse gelmedi. Kurs iptal oldu; ücret iade için dört form.</t>
        </is>
      </c>
      <c r="K1105" s="6" t="inlineStr">
        <is>
          <t>Kursa yazıldın. Yanlış kurs. Şu an bir kick boks salonundasın ve eğitmen çok heyecanlı.</t>
        </is>
      </c>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c r="AI1105" s="5" t="inlineStr"/>
      <c r="AJ1105" s="5" t="inlineStr"/>
    </row>
    <row r="1106">
      <c r="A1106" s="5" t="inlineStr">
        <is>
          <t>mb-veda-plaketi</t>
        </is>
      </c>
      <c r="B1106" s="5" t="n">
        <v>1</v>
      </c>
      <c r="C1106" s="6" t="inlineStr">
        <is>
          <t>Teşekkür et, gülümse</t>
        </is>
      </c>
      <c r="D1106" s="5" t="inlineStr"/>
      <c r="E1106" s="5" t="inlineStr"/>
      <c r="F1106" s="5" t="inlineStr">
        <is>
          <t>İtibar +1</t>
        </is>
      </c>
      <c r="G1106" s="6" t="inlineStr">
        <is>
          <t>Plaketi aldın, yanlış harfi parmağınla kapattın. Fotoğraf kusursuz çıktı.</t>
        </is>
      </c>
      <c r="H1106" s="6" t="inlineStr"/>
      <c r="I1106" s="6" t="inlineStr"/>
      <c r="J1106" s="6" t="inlineStr"/>
      <c r="K1106" s="6" t="inlineStr"/>
      <c r="L1106" s="6" t="inlineStr"/>
      <c r="M1106" s="5" t="inlineStr"/>
      <c r="N1106" s="5" t="inlineStr"/>
      <c r="O1106" s="6" t="inlineStr"/>
      <c r="P1106" s="6" t="inlineStr"/>
      <c r="Q1106" s="5" t="inlineStr"/>
      <c r="R1106" s="5" t="inlineStr"/>
      <c r="S1106" s="5" t="inlineStr"/>
      <c r="T1106" s="5" t="inlineStr"/>
      <c r="U1106" s="5" t="inlineStr">
        <is>
          <t>emekli</t>
        </is>
      </c>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c r="AI1106" s="5" t="inlineStr"/>
      <c r="AJ1106" s="5" t="inlineStr"/>
    </row>
    <row r="1107">
      <c r="A1107" s="5" t="inlineStr">
        <is>
          <t>mb-veda-plaketi</t>
        </is>
      </c>
      <c r="B1107" s="5" t="n">
        <v>2</v>
      </c>
      <c r="C1107" s="6" t="inlineStr">
        <is>
          <t>Veda e-postasını bütün şirkete yaz</t>
        </is>
      </c>
      <c r="D1107" s="5" t="inlineStr">
        <is>
          <t>Pişkinlik</t>
        </is>
      </c>
      <c r="E1107" s="5" t="inlineStr">
        <is>
          <t>Orta</t>
        </is>
      </c>
      <c r="F1107" s="5" t="inlineStr"/>
      <c r="G1107" s="6" t="inlineStr"/>
      <c r="H1107" s="6" t="inlineStr">
        <is>
          <t>Veda e-postan duygusal ve kısaydı. Tarihte ilk kez biri e-postayı sonuna kadar okudu.</t>
        </is>
      </c>
      <c r="I1107" s="6" t="inlineStr">
        <is>
          <t>E-postan şirkette elden ele dolaştı. Genel müdür cevap yazdı; adını doğru yazarak. Ertesi gün plaketin yenisi masandaydı.</t>
        </is>
      </c>
      <c r="J1107" s="6" t="inlineStr">
        <is>
          <t>E-postaya kırk kişi 'Seni çok özleyeceğiz' yazdı. Otuz dokuzunu tanımıyorsun.</t>
        </is>
      </c>
      <c r="K1107" s="6" t="inlineStr">
        <is>
          <t>Herkes 'Herkese Yanıt' ile karşılık verdi. Emekliliğinin ilk haftası gelen kutunda geçti.</t>
        </is>
      </c>
      <c r="L1107" s="6" t="inlineStr"/>
      <c r="M1107" s="5" t="inlineStr"/>
      <c r="N1107" s="5" t="inlineStr"/>
      <c r="O1107" s="6" t="inlineStr"/>
      <c r="P1107" s="6" t="inlineStr"/>
      <c r="Q1107" s="5" t="inlineStr"/>
      <c r="R1107" s="5" t="inlineStr"/>
      <c r="S1107" s="5" t="inlineStr"/>
      <c r="T1107" s="5" t="inlineStr"/>
      <c r="U1107" s="5" t="inlineStr">
        <is>
          <t>emekli</t>
        </is>
      </c>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c r="AI1107" s="5" t="inlineStr"/>
      <c r="AJ1107" s="5" t="inlineStr"/>
    </row>
    <row r="1108">
      <c r="A1108" s="5" t="inlineStr">
        <is>
          <t>mb-veda-plaketi</t>
        </is>
      </c>
      <c r="B1108" s="5" t="n">
        <v>3</v>
      </c>
      <c r="C1108" s="6" t="inlineStr">
        <is>
          <t>Eski ekibini topla</t>
        </is>
      </c>
      <c r="D1108" s="5" t="inlineStr">
        <is>
          <t>Sosyal Radar</t>
        </is>
      </c>
      <c r="E1108" s="5" t="inlineStr">
        <is>
          <t>Kolay</t>
        </is>
      </c>
      <c r="F1108" s="5" t="inlineStr"/>
      <c r="G1108" s="6" t="inlineStr"/>
      <c r="H1108" s="6" t="inlineStr">
        <is>
          <t>Yönettiğin herkes geldi; pasta yetmedi. En genç olan kendi dilimini sana uzattı: 'Siz de beni ilk gün aç bırakmamıştınız.'</t>
        </is>
      </c>
      <c r="I1108" s="6" t="inlineStr">
        <is>
          <t>Eski ekibin sana kendi plaketini yaptırdı. Adın doğru yazılmış.</t>
        </is>
      </c>
      <c r="J1108" s="6" t="inlineStr">
        <is>
          <t>Geldiler; yarısı hâlâ senin onayını bekleyen izin talepleriyle.</t>
        </is>
      </c>
      <c r="K1108" s="6" t="inlineStr">
        <is>
          <t>Ekibini topladın. İkinci dilimde biri zam konusunu açtı, üçüncüde biri izin. Emekliliğine iki hafta var; takvimin 'kısa bir görüşme' isteyenlerle doldu.</t>
        </is>
      </c>
      <c r="L1108" s="6" t="inlineStr"/>
      <c r="M1108" s="5" t="inlineStr"/>
      <c r="N1108" s="5" t="inlineStr"/>
      <c r="O1108" s="6" t="inlineStr"/>
      <c r="P1108" s="6" t="inlineStr"/>
      <c r="Q1108" s="5" t="inlineStr"/>
      <c r="R1108" s="5" t="inlineStr">
        <is>
          <t>beyazyaka-terfi-aldi</t>
        </is>
      </c>
      <c r="S1108" s="5" t="inlineStr"/>
      <c r="T1108" s="5" t="inlineStr"/>
      <c r="U1108" s="5" t="inlineStr">
        <is>
          <t>emekli</t>
        </is>
      </c>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c r="AI1108" s="5" t="inlineStr"/>
      <c r="AJ1108" s="5" t="inlineStr"/>
    </row>
    <row r="1109">
      <c r="A1109" s="5" t="inlineStr">
        <is>
          <t>me-dukkani-devret</t>
        </is>
      </c>
      <c r="B1109" s="5" t="n">
        <v>1</v>
      </c>
      <c r="C1109" s="6" t="inlineStr">
        <is>
          <t>Çırağa devret</t>
        </is>
      </c>
      <c r="D1109" s="5" t="inlineStr"/>
      <c r="E1109" s="5" t="inlineStr"/>
      <c r="F1109" s="5" t="inlineStr">
        <is>
          <t>İtibar +1, Sosyal Radar +1</t>
        </is>
      </c>
      <c r="G1109" s="6" t="inlineStr">
        <is>
          <t>Anahtarı çırağa verdin. Tabela değişmedi; altına küçük harflerle 'Ustasından' yazıldı.</t>
        </is>
      </c>
      <c r="H1109" s="6" t="inlineStr"/>
      <c r="I1109" s="6" t="inlineStr"/>
      <c r="J1109" s="6" t="inlineStr"/>
      <c r="K1109" s="6" t="inlineStr"/>
      <c r="L1109" s="6" t="inlineStr"/>
      <c r="M1109" s="5" t="inlineStr"/>
      <c r="N1109" s="5" t="inlineStr"/>
      <c r="O1109" s="6" t="inlineStr"/>
      <c r="P1109" s="6" t="inlineStr"/>
      <c r="Q1109" s="5" t="inlineStr"/>
      <c r="R1109" s="5" t="inlineStr">
        <is>
          <t>esnaf-cirak</t>
        </is>
      </c>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c r="AI1109" s="5" t="inlineStr"/>
      <c r="AJ1109" s="5" t="inlineStr"/>
    </row>
    <row r="1110">
      <c r="A1110" s="5" t="inlineStr">
        <is>
          <t>me-dukkani-devret</t>
        </is>
      </c>
      <c r="B1110" s="5" t="n">
        <v>2</v>
      </c>
      <c r="C1110" s="6" t="inlineStr">
        <is>
          <t>Devir bedelinde pazarlık et</t>
        </is>
      </c>
      <c r="D1110" s="5" t="inlineStr">
        <is>
          <t>Çene</t>
        </is>
      </c>
      <c r="E1110" s="5" t="inlineStr">
        <is>
          <t>Orta</t>
        </is>
      </c>
      <c r="F1110" s="5" t="inlineStr"/>
      <c r="G1110" s="6" t="inlineStr"/>
      <c r="H1110" s="6" t="inlineStr">
        <is>
          <t>İyi bir bedel aldın. Emeklilik bir ay erken başladı; kafanda.</t>
        </is>
      </c>
      <c r="I1110" s="6" t="inlineStr">
        <is>
          <t>Talipliler birbirini geçti. Dükkânı açık artırmaya çevirmeden en yükseğe verdin.</t>
        </is>
      </c>
      <c r="J1110" s="6" t="inlineStr">
        <is>
          <t>Israr ettin, talipli vazgeçti. Tabela camda bir yıl daha sarardı.</t>
        </is>
      </c>
      <c r="K1110" s="6" t="inlineStr">
        <is>
          <t>Pazarlıkta öyle ısrar ettin ki talipli sonunda 'Peki, ama sen de dükkânla birlikte gelirsin' dedi. Kabul ettin. Şimdi kendi eski dükkânında maaşsız çalışıyorsun; her sabah 08.00'de, çayı da sen demliyorsun.</t>
        </is>
      </c>
      <c r="L1110" s="6" t="inlineStr"/>
      <c r="M1110" s="5" t="inlineStr"/>
      <c r="N1110" s="5" t="inlineStr"/>
      <c r="O1110" s="6" t="inlineStr"/>
      <c r="P1110" s="6" t="inlineStr"/>
      <c r="Q1110" s="5" t="inlineStr"/>
      <c r="R1110" s="5" t="inlineStr"/>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c r="AI1110" s="5" t="inlineStr"/>
      <c r="AJ1110" s="5" t="inlineStr"/>
    </row>
    <row r="1111">
      <c r="A1111" s="5" t="inlineStr">
        <is>
          <t>me-dukkani-devret</t>
        </is>
      </c>
      <c r="B1111" s="5" t="n">
        <v>3</v>
      </c>
      <c r="C1111" s="6" t="inlineStr">
        <is>
          <t>Karşı dükkâna sat</t>
        </is>
      </c>
      <c r="D1111" s="5" t="inlineStr">
        <is>
          <t>Pişkinlik</t>
        </is>
      </c>
      <c r="E1111" s="5" t="inlineStr">
        <is>
          <t>Zor</t>
        </is>
      </c>
      <c r="F1111" s="5" t="inlineStr"/>
      <c r="G1111" s="6" t="inlineStr"/>
      <c r="H1111" s="6" t="inlineStr">
        <is>
          <t>Otuz yıl savaştığın dükkân seni satın aldı. Sokakta artık tek dükkân var; iki kepenkli.</t>
        </is>
      </c>
      <c r="I1111" s="6" t="inlineStr">
        <is>
          <t>Yüksek bedel ödediler ve kendi tabelalarını seninkiyle değiştirdiler. Savaşı kaybederek kazandın.</t>
        </is>
      </c>
      <c r="J1111" s="6" t="inlineStr">
        <is>
          <t>'Biz de devrediyoruz' dediler. Sokakta karşılıklı iki 'Devren kiralık' tabelası.</t>
        </is>
      </c>
      <c r="K1111" s="6" t="inlineStr">
        <is>
          <t>Sattın. Ertesi gün senin eski fiyatlarınla açtılar. Müdavimin 'Hiçbir şey değişmemiş' dedi.</t>
        </is>
      </c>
      <c r="L1111" s="6" t="inlineStr"/>
      <c r="M1111" s="5" t="inlineStr"/>
      <c r="N1111" s="5" t="inlineStr"/>
      <c r="O1111" s="6" t="inlineStr"/>
      <c r="P1111" s="6" t="inlineStr"/>
      <c r="Q1111" s="5" t="inlineStr"/>
      <c r="R1111" s="5" t="inlineStr">
        <is>
          <t>esnaf-komsu-rakip</t>
        </is>
      </c>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c r="AI1111" s="5" t="inlineStr"/>
      <c r="AJ1111" s="5" t="inlineStr"/>
    </row>
    <row r="1112">
      <c r="A1112" s="5" t="inlineStr">
        <is>
          <t>me-dukkani-devret</t>
        </is>
      </c>
      <c r="B1112" s="5" t="n">
        <v>4</v>
      </c>
      <c r="C1112" s="6" t="inlineStr">
        <is>
          <t>Çocuğuna bırak</t>
        </is>
      </c>
      <c r="D1112" s="5" t="inlineStr">
        <is>
          <t>Çene</t>
        </is>
      </c>
      <c r="E1112" s="5" t="inlineStr">
        <is>
          <t>Orta</t>
        </is>
      </c>
      <c r="F1112" s="5" t="inlineStr"/>
      <c r="G1112" s="6" t="inlineStr"/>
      <c r="H1112" s="6" t="inlineStr">
        <is>
          <t>Çocuğun dükkânı devraldı. İlk işi pos cihazını yenilemek oldu, ikincisi senin tabureni kasanın yanından kapının önüne taşımak.</t>
        </is>
      </c>
      <c r="I1112" s="6" t="inlineStr">
        <is>
          <t>Çocuğun dükkânı internete taşıdı, ciroyu ikiye katladı ve eski defterini çerçeveletip duvara astı.</t>
        </is>
      </c>
      <c r="J1112" s="6" t="inlineStr">
        <is>
          <t>'Uzaktan çalışıyorum' dedi. Dükkânı da uzaktan yönetmeyi denedi: görüntülü aramada müşteriye peynir gösterdi. Müşteri sana döndü: “Kokusunu da gönderebiliyor mu?”</t>
        </is>
      </c>
      <c r="K1112" s="6" t="inlineStr">
        <is>
          <t>Kabul etti; ilk hafta ürünlerin yarısını 'minimalizm' diye raftan kaldırdı. Dükkân bir galeriye döndü.</t>
        </is>
      </c>
      <c r="L1112" s="6" t="inlineStr"/>
      <c r="M1112" s="5" t="inlineStr"/>
      <c r="N1112" s="5" t="inlineStr"/>
      <c r="O1112" s="6" t="inlineStr"/>
      <c r="P1112" s="6" t="inlineStr"/>
      <c r="Q1112" s="5" t="inlineStr"/>
      <c r="R1112" s="5" t="inlineStr">
        <is>
          <t>cocuklu</t>
        </is>
      </c>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c r="AI1112" s="5" t="inlineStr"/>
      <c r="AJ1112" s="5" t="inlineStr"/>
    </row>
    <row r="1113">
      <c r="A1113" s="5" t="inlineStr">
        <is>
          <t>b9-tavla-finali</t>
        </is>
      </c>
      <c r="B1113" s="5" t="n">
        <v>1</v>
      </c>
      <c r="C1113" s="6" t="inlineStr">
        <is>
          <t>Zarı at</t>
        </is>
      </c>
      <c r="D1113" s="5" t="inlineStr">
        <is>
          <t>Cesaret</t>
        </is>
      </c>
      <c r="E1113" s="5" t="inlineStr">
        <is>
          <t>Orta</t>
        </is>
      </c>
      <c r="F1113" s="5" t="inlineStr"/>
      <c r="G1113" s="6" t="inlineStr"/>
      <c r="H1113" s="6" t="inlineStr">
        <is>
          <t>Son zarda altı-beş attın; yetti. Kırk çay bardağı aynı anda masaya vuruldu. Adın duvara büyük harfle yazıldı; tebeşir yetmedi, kahveci kömürle tamamladı.</t>
        </is>
      </c>
      <c r="I1113" s="6" t="inlineStr">
        <is>
          <t>Düşeş attın; rakip ayağa kalkıp elini sıktı. Kahvehane sahibi duvardaki çay listesinden adını sildi: “Bu masadan bir daha para alınmaz.”</t>
        </is>
      </c>
      <c r="J1113" s="6" t="inlineStr">
        <is>
          <t>Bir-iki attın. Rakip gülümsedi, pulları topladı. Kahveci tebeşiri sana uzattı: “Adını sen sil, daha az acır.”</t>
        </is>
      </c>
      <c r="K1113" s="6" t="inlineStr">
        <is>
          <t>Zar masadan fırlayıp rakibin çay bardağına düştü. Kahveci 'Bardaktaki zar sayılmaz' dedi, rakip 'Çay da benim' dedi. Kupayı o kaldırdı.</t>
        </is>
      </c>
      <c r="L1113" s="6" t="inlineStr">
        <is>
          <t>Beş-dört attın. Yeterli ama heyecansız. Kahvehane sessizce alkışladı.</t>
        </is>
      </c>
      <c r="M1113" s="5" t="inlineStr">
        <is>
          <t>timing</t>
        </is>
      </c>
      <c r="N1113" s="5" t="inlineStr">
        <is>
          <t>Son Zar</t>
        </is>
      </c>
      <c r="O1113" s="6" t="inlineStr">
        <is>
          <t>Zarı tam doğru anda bırak. Kırk kişi sessiz; senin elin titremiyor, çayın titriyor.</t>
        </is>
      </c>
      <c r="P1113" s="6" t="inlineStr"/>
      <c r="Q1113" s="5" t="inlineStr"/>
      <c r="R1113" s="5" t="inlineStr"/>
      <c r="S1113" s="5" t="inlineStr"/>
      <c r="T1113" s="5" t="inlineStr"/>
      <c r="U1113" s="5" t="inlineStr"/>
      <c r="V1113" s="5" t="inlineStr">
        <is>
          <t>tavla-sampiyonu</t>
        </is>
      </c>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c r="AI1113" s="5" t="inlineStr"/>
      <c r="AJ1113" s="5" t="inlineStr"/>
    </row>
    <row r="1114">
      <c r="A1114" s="5" t="inlineStr">
        <is>
          <t>b9-tavla-finali</t>
        </is>
      </c>
      <c r="B1114" s="5" t="n">
        <v>2</v>
      </c>
      <c r="C1114" s="6" t="inlineStr">
        <is>
          <t>Sessizce hamle yap</t>
        </is>
      </c>
      <c r="D1114" s="5" t="inlineStr"/>
      <c r="E1114" s="5" t="inlineStr"/>
      <c r="F1114" s="5" t="inlineStr">
        <is>
          <t>Dayanıklılık +1</t>
        </is>
      </c>
      <c r="G1114" s="6" t="inlineStr">
        <is>
          <t>Sessizce oynadın, sessizce kaybettin. Rakip elini sıktı; kırk kişi aynı anda 'Centilmen' dedi. Kahveci televizyonu açtı; maç ikinci yarıdaydı.</t>
        </is>
      </c>
      <c r="H1114" s="6" t="inlineStr"/>
      <c r="I1114" s="6" t="inlineStr"/>
      <c r="J1114" s="6" t="inlineStr"/>
      <c r="K1114" s="6" t="inlineStr"/>
      <c r="L1114" s="6" t="inlineStr"/>
      <c r="M1114" s="5" t="inlineStr"/>
      <c r="N1114" s="5" t="inlineStr"/>
      <c r="O1114" s="6" t="inlineStr"/>
      <c r="P1114" s="6" t="inlineStr"/>
      <c r="Q1114" s="5" t="inlineStr"/>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c r="AI1114" s="5" t="inlineStr"/>
      <c r="AJ1114" s="5" t="inlineStr"/>
    </row>
    <row r="1115">
      <c r="A1115" s="5" t="inlineStr">
        <is>
          <t>b9-tavla-finali</t>
        </is>
      </c>
      <c r="B1115" s="5" t="n">
        <v>3</v>
      </c>
      <c r="C1115" s="6" t="inlineStr">
        <is>
          <t>Tavla Kurdu hamlesini yap</t>
        </is>
      </c>
      <c r="D1115" s="5" t="inlineStr">
        <is>
          <t>Kurnazlık</t>
        </is>
      </c>
      <c r="E1115" s="5" t="inlineStr">
        <is>
          <t>Zor</t>
        </is>
      </c>
      <c r="F1115" s="5" t="inlineStr"/>
      <c r="G1115" s="6" t="inlineStr"/>
      <c r="H1115" s="6" t="inlineStr">
        <is>
          <t>Rakibin pullarını üç hamlede bloke ettin. Kahvehane seni 'Kurt' diye çağırmaya başladı.</t>
        </is>
      </c>
      <c r="I1115" s="6" t="inlineStr">
        <is>
          <t>Hamlen öyle ustaydı ki rakip pulları toplayıp tebrik etti. Şampiyonluk kupası bir çay bardağı; altın yaldızlı.</t>
        </is>
      </c>
      <c r="J1115" s="6" t="inlineStr">
        <is>
          <t>Hamleyi yaptın ama bir pul yanlış yerdeydi. Rakip o pulu parmağıyla gösterdi, tek kelime etmedi. Kırk kişi aynı anda “Aaah!” dedi; kahvehane sahibi televizyonu yeniden açtı.</t>
        </is>
      </c>
      <c r="K1115" s="6" t="inlineStr">
        <is>
          <t>Hamleyi yaparken masayı devirdin. Kırk kişi çayını senin yüzünden kaybetti. Kahvehane seni ikinci lige düşürdü.</t>
        </is>
      </c>
      <c r="L1115" s="6" t="inlineStr"/>
      <c r="M1115" s="5" t="inlineStr"/>
      <c r="N1115" s="5" t="inlineStr"/>
      <c r="O1115" s="6" t="inlineStr"/>
      <c r="P1115" s="6" t="inlineStr"/>
      <c r="Q1115" s="5" t="inlineStr">
        <is>
          <t>Tavla Kurdu</t>
        </is>
      </c>
      <c r="R1115" s="5" t="inlineStr"/>
      <c r="S1115" s="5" t="inlineStr"/>
      <c r="T1115" s="5" t="inlineStr"/>
      <c r="U1115" s="5" t="inlineStr"/>
      <c r="V1115" s="5" t="inlineStr">
        <is>
          <t>tavla-sampiyonu</t>
        </is>
      </c>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c r="AI1115" s="5" t="inlineStr"/>
      <c r="AJ1115" s="5" t="inlineStr"/>
    </row>
    <row r="1116">
      <c r="A1116" s="5" t="inlineStr">
        <is>
          <t>b9-torunun-tableti</t>
        </is>
      </c>
      <c r="B1116" s="5" t="n">
        <v>1</v>
      </c>
      <c r="C1116" s="6" t="inlineStr">
        <is>
          <t>Kapat, aç</t>
        </is>
      </c>
      <c r="D1116" s="5" t="inlineStr"/>
      <c r="E1116" s="5" t="inlineStr"/>
      <c r="F1116" s="5" t="inlineStr">
        <is>
          <t>Akıl +1</t>
        </is>
      </c>
      <c r="G1116" s="6" t="inlineStr">
        <is>
          <t>Kapattın, açtın. Tablet çalıştı. Torun seni bilgisayar dahisi sanıyor. Sen de biraz öyle.</t>
        </is>
      </c>
      <c r="H1116" s="6" t="inlineStr"/>
      <c r="I1116" s="6" t="inlineStr"/>
      <c r="J1116" s="6" t="inlineStr"/>
      <c r="K1116" s="6" t="inlineStr"/>
      <c r="L1116" s="6" t="inlineStr"/>
      <c r="M1116" s="5" t="inlineStr"/>
      <c r="N1116" s="5" t="inlineStr"/>
      <c r="O1116" s="6" t="inlineStr"/>
      <c r="P1116" s="6" t="inlineStr"/>
      <c r="Q1116" s="5" t="inlineStr"/>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c r="AI1116" s="5" t="inlineStr"/>
      <c r="AJ1116" s="5" t="inlineStr"/>
    </row>
    <row r="1117">
      <c r="A1117" s="5" t="inlineStr">
        <is>
          <t>b9-torunun-tableti</t>
        </is>
      </c>
      <c r="B1117" s="5" t="n">
        <v>2</v>
      </c>
      <c r="C1117" s="6" t="inlineStr">
        <is>
          <t>Oyunu sen oyna</t>
        </is>
      </c>
      <c r="D1117" s="5" t="inlineStr">
        <is>
          <t>Dayanıklılık</t>
        </is>
      </c>
      <c r="E1117" s="5" t="inlineStr">
        <is>
          <t>Orta</t>
        </is>
      </c>
      <c r="F1117" s="5" t="inlineStr"/>
      <c r="G1117" s="6" t="inlineStr"/>
      <c r="H1117" s="6" t="inlineStr">
        <is>
          <t>Oyunu oynadın ve üçüncü seviyeye geçtin. Torun şifreyi değil, seni istiyor artık.</t>
        </is>
      </c>
      <c r="I1117" s="6" t="inlineStr">
        <is>
          <t>Oyunda torununun rekorunu kırdın. Torun kıskandı. Aile grubunda 'Uzman' unvanı verildi.</t>
        </is>
      </c>
      <c r="J1117" s="6" t="inlineStr">
        <is>
          <t>Oyunu oynadın ve üç saat sonra kafayı kaldırdın. Tablet hâlâ bozuk; sen bağımlı.</t>
        </is>
      </c>
      <c r="K1117" s="6" t="inlineStr">
        <is>
          <t>Oyunu oynarken bir düğmeye bastın; tablet 'Teşekkürler!' dedi. Ay sonunda kart ekstresinde 'Altın Kılıç Paketi' yazıyordu. Torun kılıçla çok mutlu; çocuğun değil.</t>
        </is>
      </c>
      <c r="L1117" s="6" t="inlineStr"/>
      <c r="M1117" s="5" t="inlineStr"/>
      <c r="N1117" s="5" t="inlineStr"/>
      <c r="O1117" s="6" t="inlineStr"/>
      <c r="P1117" s="6" t="inlineStr"/>
      <c r="Q1117" s="5" t="inlineStr">
        <is>
          <t>Şifreyi Bilen</t>
        </is>
      </c>
      <c r="R1117" s="5" t="inlineStr"/>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c r="AI1117" s="5" t="inlineStr"/>
      <c r="AJ1117" s="5" t="inlineStr"/>
    </row>
    <row r="1118">
      <c r="A1118" s="5" t="inlineStr">
        <is>
          <t>b9-torunun-tableti</t>
        </is>
      </c>
      <c r="B1118" s="5" t="n">
        <v>3</v>
      </c>
      <c r="C1118" s="6" t="inlineStr">
        <is>
          <t>Çocuğunu ara</t>
        </is>
      </c>
      <c r="D1118" s="5" t="inlineStr">
        <is>
          <t>Çene</t>
        </is>
      </c>
      <c r="E1118" s="5" t="inlineStr">
        <is>
          <t>Kolay</t>
        </is>
      </c>
      <c r="F1118" s="5" t="inlineStr"/>
      <c r="G1118" s="6" t="inlineStr"/>
      <c r="H1118" s="6" t="inlineStr">
        <is>
          <t>Çocuğun telefonla tamir etti. Sen sadece tuşlara bastın. Torun ise seni hâlâ kahraman sanıyor.</t>
        </is>
      </c>
      <c r="I1118" s="6" t="inlineStr">
        <is>
          <t>Çocuğun uzaktan bağlanıp tableti düzeltti, senin telefonunu da güncelledi. Torun yalnızca seni alkışladı; tuşa sen basmıştın.</t>
        </is>
      </c>
      <c r="J1118" s="6" t="inlineStr">
        <is>
          <t>Çocuğunu aradın; toplantıdaymış. Mesaj attı: 'Kapat, aç.' Zaten bunu denemiştin.</t>
        </is>
      </c>
      <c r="K1118" s="6" t="inlineStr">
        <is>
          <t>Çocuğunu aradın; hoparlör açıktı, torun da kayıttaydı. 'Kapat aç dedim, kapat aç!' diye bağırışın şimdi torunun bütün sınıfının zil sesi.</t>
        </is>
      </c>
      <c r="L1118" s="6" t="inlineStr"/>
      <c r="M1118" s="5" t="inlineStr"/>
      <c r="N1118" s="5" t="inlineStr"/>
      <c r="O1118" s="6" t="inlineStr"/>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c r="AI1118" s="5" t="inlineStr"/>
      <c r="AJ1118" s="5" t="inlineStr"/>
    </row>
    <row r="1119">
      <c r="A1119" s="5" t="inlineStr">
        <is>
          <t>mm-eski-daire</t>
        </is>
      </c>
      <c r="B1119" s="5" t="n">
        <v>1</v>
      </c>
      <c r="C1119" s="6" t="inlineStr">
        <is>
          <t>Yarın gel</t>
        </is>
      </c>
      <c r="D1119" s="5" t="inlineStr"/>
      <c r="E1119" s="5" t="inlineStr"/>
      <c r="F1119" s="5" t="inlineStr">
        <is>
          <t>Dayanıklılık +1, İtibar +1</t>
        </is>
      </c>
      <c r="G1119" s="6" t="inlineStr">
        <is>
          <t>Ertesi gün geldin, işin bitti. Otuz yıl sistemi savundun; sistem de seni bir gün bekletti. Adil.</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c r="AI1119" s="5" t="inlineStr"/>
      <c r="AJ1119" s="5" t="inlineStr"/>
    </row>
    <row r="1120">
      <c r="A1120" s="5" t="inlineStr">
        <is>
          <t>mm-eski-daire</t>
        </is>
      </c>
      <c r="B1120" s="5" t="n">
        <v>2</v>
      </c>
      <c r="C1120" s="6" t="inlineStr">
        <is>
          <t>Eski masana geç, işini kendin yap</t>
        </is>
      </c>
      <c r="D1120" s="5" t="inlineStr">
        <is>
          <t>Pişkinlik</t>
        </is>
      </c>
      <c r="E1120" s="5" t="inlineStr">
        <is>
          <t>Zor</t>
        </is>
      </c>
      <c r="F1120" s="5" t="inlineStr"/>
      <c r="G1120" s="6" t="inlineStr"/>
      <c r="H1120" s="6" t="inlineStr">
        <is>
          <t>Kendi dosyanı kendin imzaladın. Kimse itiraz etmedi; herkes hâlâ senden çekiniyor.</t>
        </is>
      </c>
      <c r="I1120" s="6" t="inlineStr">
        <is>
          <t>Kendi işini ve sıradaki üç vatandaşın işini bitirdin. Kuyruktaki teyze elini öpmeye kalktı; müdür kapıdan seslendi: 'Hocam, yarın da gelir misiniz?' Gülümsedin: 'Yarın gelin.'</t>
        </is>
      </c>
      <c r="J1120" s="6" t="inlineStr">
        <is>
          <t>Şifren iptal edilmiş. Sistem seni tanımadı; kahve makinesi tanıdı.</t>
        </is>
      </c>
      <c r="K1120" s="6" t="inlineStr">
        <is>
          <t>Güvenlik seni kolundan tutup nazikçe dışarı çıkardı; o güvenliği işe sen almıştın. Kapıda 'Kusura bakmayın hocam' dedi, tutanağı yine de imzalattı.</t>
        </is>
      </c>
      <c r="L1120" s="6" t="inlineStr"/>
      <c r="M1120" s="5" t="inlineStr"/>
      <c r="N1120" s="5" t="inlineStr"/>
      <c r="O1120" s="6" t="inlineStr"/>
      <c r="P1120" s="6" t="inlineStr"/>
      <c r="Q1120" s="5" t="inlineStr"/>
      <c r="R1120" s="5" t="inlineStr"/>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c r="AI1120" s="5" t="inlineStr"/>
      <c r="AJ1120" s="5" t="inlineStr"/>
    </row>
    <row r="1121">
      <c r="A1121" s="5" t="inlineStr">
        <is>
          <t>mm-eski-daire</t>
        </is>
      </c>
      <c r="B1121" s="5" t="n">
        <v>3</v>
      </c>
      <c r="C1121" s="6" t="inlineStr">
        <is>
          <t>Dairenin karşısına kafeni aç</t>
        </is>
      </c>
      <c r="D1121" s="5" t="inlineStr">
        <is>
          <t>Çene</t>
        </is>
      </c>
      <c r="E1121" s="5" t="inlineStr">
        <is>
          <t>Orta</t>
        </is>
      </c>
      <c r="F1121" s="5" t="inlineStr"/>
      <c r="G1121" s="6" t="inlineStr"/>
      <c r="H1121" s="6" t="inlineStr">
        <is>
          <t>Memurlara indirim var, 'Yarın gelin' diyenlere çay bedava.</t>
        </is>
      </c>
      <c r="I1121" s="6" t="inlineStr">
        <is>
          <t>Kafen dairenin gayriresmî toplantı salonu oldu. Önemli kararlar artık senin masalarında alınıyor.</t>
        </is>
      </c>
      <c r="J1121" s="6" t="inlineStr">
        <is>
          <t>Mesai 17.00'de bitiyor; müşteriler 17.01'de geliyor, 17.30'da gidiyor. Ciron yarım saatlik.</t>
        </is>
      </c>
      <c r="K1121" s="6" t="inlineStr">
        <is>
          <t>İlk müşterin zabıta oldu. Tabelanın boyu, kaldırım ve tentenin gölgesi ölçüldü. Gölge yönetmeliğe uymuyordu.</t>
        </is>
      </c>
      <c r="L1121" s="6" t="inlineStr"/>
      <c r="M1121" s="5" t="inlineStr"/>
      <c r="N1121" s="5" t="inlineStr"/>
      <c r="O1121" s="6" t="inlineStr"/>
      <c r="P1121" s="6" t="inlineStr"/>
      <c r="Q1121" s="5" t="inlineStr"/>
      <c r="R1121" s="5" t="inlineStr">
        <is>
          <t>memur-ikinci-is</t>
        </is>
      </c>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c r="AI1121" s="5" t="inlineStr"/>
      <c r="AJ1121" s="5" t="inlineStr"/>
    </row>
    <row r="1122">
      <c r="A1122" s="5" t="inlineStr">
        <is>
          <t>mm-eski-daire</t>
        </is>
      </c>
      <c r="B1122" s="5" t="n">
        <v>4</v>
      </c>
      <c r="C1122" s="6" t="inlineStr">
        <is>
          <t>Genç memura bir ipucu fısılda</t>
        </is>
      </c>
      <c r="D1122" s="5" t="inlineStr">
        <is>
          <t>Sosyal Radar</t>
        </is>
      </c>
      <c r="E1122" s="5" t="inlineStr">
        <is>
          <t>Kolay</t>
        </is>
      </c>
      <c r="F1122" s="5" t="inlineStr"/>
      <c r="G1122" s="6" t="inlineStr"/>
      <c r="H1122" s="6" t="inlineStr">
        <is>
          <t>'Üçüncü çekmecede kaşe var' dedin. İşin beş dakikada bitti.</t>
        </is>
      </c>
      <c r="I1122" s="6" t="inlineStr">
        <is>
          <t>İpucun o kadar işe yaradı ki genç memur senin telefon numaranı masasına yapıştırdı: 'Acil durumlar için.'</t>
        </is>
      </c>
      <c r="J1122" s="6" t="inlineStr">
        <is>
          <t>Genç memur 'Artık kaşe kullanmıyoruz' dedi. Üçüncü çekmece boştu.</t>
        </is>
      </c>
      <c r="K1122" s="6" t="inlineStr">
        <is>
          <t>Fısıltın yanlış anlaşıldı. Genç memur seni şikâyet etti: 'Görevliyi etkilemeye çalışan vatandaş.'</t>
        </is>
      </c>
      <c r="L1122" s="6" t="inlineStr"/>
      <c r="M1122" s="5" t="inlineStr"/>
      <c r="N1122" s="5" t="inlineStr"/>
      <c r="O1122" s="6" t="inlineStr"/>
      <c r="P1122" s="6" t="inlineStr"/>
      <c r="Q1122" s="5" t="inlineStr"/>
      <c r="R1122" s="5" t="inlineStr"/>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c r="AI1122" s="5" t="inlineStr"/>
      <c r="AJ1122" s="5" t="inlineStr"/>
    </row>
    <row r="1123">
      <c r="A1123" s="5" t="inlineStr">
        <is>
          <t>b9-yazlik-komsulari</t>
        </is>
      </c>
      <c r="B1123" s="5" t="n">
        <v>1</v>
      </c>
      <c r="C1123" s="6" t="inlineStr">
        <is>
          <t>Hortumu kapat</t>
        </is>
      </c>
      <c r="D1123" s="5" t="inlineStr"/>
      <c r="E1123" s="5" t="inlineStr"/>
      <c r="F1123" s="5" t="inlineStr">
        <is>
          <t>İtibar +1</t>
        </is>
      </c>
      <c r="G1123" s="6" t="inlineStr">
        <is>
          <t>Hortumu kapattın. Çiçeklerin kurudu. Komşunun çiçekleri ise senin bahçene sarktı.</t>
        </is>
      </c>
      <c r="H1123" s="6" t="inlineStr"/>
      <c r="I1123" s="6" t="inlineStr"/>
      <c r="J1123" s="6" t="inlineStr"/>
      <c r="K1123" s="6" t="inlineStr"/>
      <c r="L1123" s="6" t="inlineStr"/>
      <c r="M1123" s="5" t="inlineStr"/>
      <c r="N1123" s="5" t="inlineStr"/>
      <c r="O1123" s="6" t="inlineStr"/>
      <c r="P1123" s="6" t="inlineStr"/>
      <c r="Q1123" s="5" t="inlineStr"/>
      <c r="R1123" s="5" t="inlineStr"/>
      <c r="S1123" s="5" t="inlineStr"/>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c r="AI1123" s="5" t="inlineStr"/>
      <c r="AJ1123" s="5" t="inlineStr"/>
    </row>
    <row r="1124">
      <c r="A1124" s="5" t="inlineStr">
        <is>
          <t>b9-yazlik-komsulari</t>
        </is>
      </c>
      <c r="B1124" s="5" t="n">
        <v>2</v>
      </c>
      <c r="C1124" s="6" t="inlineStr">
        <is>
          <t>Tartışmayı akşam yemeğine taşı</t>
        </is>
      </c>
      <c r="D1124" s="5" t="inlineStr">
        <is>
          <t>Çene</t>
        </is>
      </c>
      <c r="E1124" s="5" t="inlineStr">
        <is>
          <t>Orta</t>
        </is>
      </c>
      <c r="F1124" s="5" t="inlineStr"/>
      <c r="G1124" s="6" t="inlineStr"/>
      <c r="H1124" s="6" t="inlineStr">
        <is>
          <t>Mangal yaktın, herkesi davet ettin. Hortum meselesi köfteyle çözüldü.</t>
        </is>
      </c>
      <c r="I1124" s="6" t="inlineStr">
        <is>
          <t>Yemek o kadar güzeldi ki site yöneticisi hortum yönetmeliğini sana yazdırdı. Kanun senin.</t>
        </is>
      </c>
      <c r="J1124" s="6" t="inlineStr">
        <is>
          <t>Herkesi davet ettin; mangal tüttü, duman yan komşunun çamaşırlarına gitti. Konu hortumdan çamaşıra geçti.</t>
        </is>
      </c>
      <c r="K1124" s="6" t="inlineStr">
        <is>
          <t>Yemeğe herkes geldi, tartışma da. Tatlıya geçmeden yan komşu hortumu çekip mangalın üstüne açtı. Köfteler yüzdü.</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inlineStr"/>
      <c r="Z1124" s="6" t="inlineStr"/>
      <c r="AA1124" s="5" t="inlineStr"/>
      <c r="AB1124" s="5" t="inlineStr"/>
      <c r="AC1124" s="5" t="inlineStr"/>
      <c r="AD1124" s="5" t="inlineStr"/>
      <c r="AE1124" s="5" t="inlineStr"/>
      <c r="AF1124" s="5" t="inlineStr"/>
      <c r="AG1124" s="5" t="inlineStr"/>
      <c r="AH1124" s="5" t="inlineStr"/>
      <c r="AI1124" s="5" t="inlineStr"/>
      <c r="AJ1124" s="5" t="inlineStr"/>
    </row>
    <row r="1125">
      <c r="A1125" s="5" t="inlineStr">
        <is>
          <t>b9-yazlik-komsulari</t>
        </is>
      </c>
      <c r="B1125" s="5" t="n">
        <v>3</v>
      </c>
      <c r="C1125" s="6" t="inlineStr">
        <is>
          <t>Site yöneticisinin kayınbiraderi olduğunu hatırlat</t>
        </is>
      </c>
      <c r="D1125" s="5" t="inlineStr">
        <is>
          <t>Sosyal Radar</t>
        </is>
      </c>
      <c r="E1125" s="5" t="inlineStr">
        <is>
          <t>Zor</t>
        </is>
      </c>
      <c r="F1125" s="5" t="inlineStr"/>
      <c r="G1125" s="6" t="inlineStr"/>
      <c r="H1125" s="6" t="inlineStr">
        <is>
          <t>Hatırlattın. Yönetici kızardı, komşu sessizleşti. Hortumun serbest bırakıldı.</t>
        </is>
      </c>
      <c r="I1125" s="6" t="inlineStr">
        <is>
          <t>Hatırlattın ve siteye 'akrabalık beyannamesi' zorunluluğu getirildi. Ertesi sezon herkes sana selam veriyor.</t>
        </is>
      </c>
      <c r="J1125" s="6" t="inlineStr">
        <is>
          <t>Hatırlattın; yönetici 'Evet, biliyorsunuz işte' dedi. Bilgi zaten herkesin elindeymiş.</t>
        </is>
      </c>
      <c r="K1125" s="6" t="inlineStr">
        <is>
          <t>Hatırlattın; asıl kayınbiraderin üst komşu olduğu ortaya çıktı. Artık iki komşuyla birden aran bozuk.</t>
        </is>
      </c>
      <c r="L1125" s="6" t="inlineStr"/>
      <c r="M1125" s="5" t="inlineStr"/>
      <c r="N1125" s="5" t="inlineStr"/>
      <c r="O1125" s="6" t="inlineStr"/>
      <c r="P1125" s="6" t="inlineStr"/>
      <c r="Q1125" s="5" t="inlineStr">
        <is>
          <t>Odayı Okur</t>
        </is>
      </c>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c r="AI1125" s="5" t="inlineStr"/>
      <c r="AJ1125" s="5" t="inlineStr"/>
    </row>
    <row r="1126">
      <c r="A1126" s="5" t="inlineStr">
        <is>
          <t>b9-ikinci-kariyer</t>
        </is>
      </c>
      <c r="B1126" s="5" t="n">
        <v>1</v>
      </c>
      <c r="C1126" s="6" t="inlineStr">
        <is>
          <t>Kabul et</t>
        </is>
      </c>
      <c r="D1126" s="5" t="inlineStr"/>
      <c r="E1126" s="5" t="inlineStr"/>
      <c r="F1126" s="5" t="inlineStr">
        <is>
          <t>Dayanıklılık +1</t>
        </is>
      </c>
      <c r="G1126" s="6" t="inlineStr">
        <is>
          <t>Kabul ettin. Sabah yedide yine servis bekliyorsun; yanında senin gibi üç emekli. Hiçbiriniz 'emekli' kelimesini kullanmıyorsunuz.</t>
        </is>
      </c>
      <c r="H1126" s="6" t="inlineStr"/>
      <c r="I1126" s="6" t="inlineStr"/>
      <c r="J1126" s="6" t="inlineStr"/>
      <c r="K1126" s="6" t="inlineStr"/>
      <c r="L1126" s="6" t="inlineStr"/>
      <c r="M1126" s="5" t="inlineStr"/>
      <c r="N1126" s="5" t="inlineStr"/>
      <c r="O1126" s="6" t="inlineStr"/>
      <c r="P1126" s="6" t="inlineStr"/>
      <c r="Q1126" s="5" t="inlineStr"/>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c r="AI1126" s="5" t="inlineStr"/>
      <c r="AJ1126" s="5" t="inlineStr"/>
    </row>
    <row r="1127">
      <c r="A1127" s="5" t="inlineStr">
        <is>
          <t>b9-ikinci-kariyer</t>
        </is>
      </c>
      <c r="B1127" s="5" t="n">
        <v>2</v>
      </c>
      <c r="C1127" s="6" t="inlineStr">
        <is>
          <t>Kendi işini aç</t>
        </is>
      </c>
      <c r="D1127" s="5" t="inlineStr">
        <is>
          <t>Cesaret</t>
        </is>
      </c>
      <c r="E1127" s="5" t="inlineStr">
        <is>
          <t>Zor</t>
        </is>
      </c>
      <c r="F1127" s="5" t="inlineStr"/>
      <c r="G1127" s="6" t="inlineStr"/>
      <c r="H1127" s="6" t="inlineStr">
        <is>
          <t>Kendi dükkânını açtın. Tabelaya 'Tecrübe' yazdın. Tecrübe satılmıyor ama müşteriler oturup konuşuyor.</t>
        </is>
      </c>
      <c r="I1127" s="6" t="inlineStr">
        <is>
          <t>Dükkân tuttu. Gençler sana iş başvurusu yapıyor. İlk sorun: 'Emekli olmayı düşünüyor musunuz?'</t>
        </is>
      </c>
      <c r="J1127" s="6" t="inlineStr">
        <is>
          <t>Dükkânı açtın, ilk ay tek müşteri geldi: eski iş yerindeki yöneticin. O da emekli olmuş.</t>
        </is>
      </c>
      <c r="K1127" s="6" t="inlineStr">
        <is>
          <t>Dükkânı açtın ama belediye ruhsatını unutmuşsun. Kapıda tabela değil, bir tutanak asılı.</t>
        </is>
      </c>
      <c r="L1127" s="6" t="inlineStr"/>
      <c r="M1127" s="5" t="inlineStr"/>
      <c r="N1127" s="5" t="inlineStr"/>
      <c r="O1127" s="6" t="inlineStr"/>
      <c r="P1127" s="6" t="inlineStr"/>
      <c r="Q1127" s="5" t="inlineStr">
        <is>
          <t>Sofra Müteahhidi</t>
        </is>
      </c>
      <c r="R1127" s="5" t="inlineStr"/>
      <c r="S1127" s="5" t="inlineStr"/>
      <c r="T1127" s="5" t="inlineStr"/>
      <c r="U1127" s="5" t="inlineStr"/>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c r="AI1127" s="5" t="inlineStr"/>
      <c r="AJ1127" s="5" t="inlineStr"/>
    </row>
    <row r="1128">
      <c r="A1128" s="5" t="inlineStr">
        <is>
          <t>b9-ikinci-kariyer</t>
        </is>
      </c>
      <c r="B1128" s="5" t="n">
        <v>3</v>
      </c>
      <c r="C1128" s="6" t="inlineStr">
        <is>
          <t>Eski mesleğine dön</t>
        </is>
      </c>
      <c r="D1128" s="5" t="inlineStr">
        <is>
          <t>Kurnazlık</t>
        </is>
      </c>
      <c r="E1128" s="5" t="inlineStr">
        <is>
          <t>Orta</t>
        </is>
      </c>
      <c r="F1128" s="5" t="inlineStr"/>
      <c r="G1128" s="6" t="inlineStr"/>
      <c r="H1128" s="6" t="inlineStr">
        <is>
          <t>Eski dükkânına döndün. Çırak sana 'Usta' dedi. Kendini hiç bu kadar önemli hissetmemiştin.</t>
        </is>
      </c>
      <c r="I1128" s="6" t="inlineStr">
        <is>
          <t>Döndün; ilk hafta ciro arttı. Çırak kasanın yanına senin eski tabureni geri koydu, üstüne bir de minder ekledi.</t>
        </is>
      </c>
      <c r="J1128" s="6" t="inlineStr">
        <is>
          <t>Döndün. Kasa artık dokunmatik. Kasayı çırak açıyor, sen çayı getiriyorsun.</t>
        </is>
      </c>
      <c r="K1128" s="6" t="inlineStr">
        <is>
          <t>Döndün ve eski müşterilerin seni tanımadı. Kendi dükkânında sana 'Buyrun, ne istemiştiniz?' dediler.</t>
        </is>
      </c>
      <c r="L1128" s="6" t="inlineStr"/>
      <c r="M1128" s="5" t="inlineStr"/>
      <c r="N1128" s="5" t="inlineStr"/>
      <c r="O1128" s="6" t="inlineStr"/>
      <c r="P1128" s="6" t="inlineStr"/>
      <c r="Q1128" s="5" t="inlineStr"/>
      <c r="R1128" s="5" t="inlineStr">
        <is>
          <t>meslek-esnaf</t>
        </is>
      </c>
      <c r="S1128" s="5" t="inlineStr"/>
      <c r="T1128" s="5" t="inlineStr"/>
      <c r="U1128" s="5" t="inlineStr"/>
      <c r="V1128" s="5" t="inlineStr"/>
      <c r="W1128" s="5" t="inlineStr"/>
      <c r="X1128" s="5" t="inlineStr"/>
      <c r="Y1128" s="5" t="inlineStr"/>
      <c r="Z1128" s="6" t="inlineStr"/>
      <c r="AA1128" s="5" t="inlineStr"/>
      <c r="AB1128" s="5" t="inlineStr"/>
      <c r="AC1128" s="5" t="inlineStr"/>
      <c r="AD1128" s="5" t="inlineStr"/>
      <c r="AE1128" s="5" t="inlineStr"/>
      <c r="AF1128" s="5" t="inlineStr"/>
      <c r="AG1128" s="5" t="inlineStr"/>
      <c r="AH1128" s="5" t="inlineStr"/>
      <c r="AI1128" s="5" t="inlineStr"/>
      <c r="AJ1128" s="5" t="inlineStr"/>
    </row>
    <row r="1129">
      <c r="A1129" s="5" t="inlineStr">
        <is>
          <t>ms-son-perde</t>
        </is>
      </c>
      <c r="B1129" s="5" t="n">
        <v>1</v>
      </c>
      <c r="C1129" s="6" t="inlineStr">
        <is>
          <t>Sahneye çık, perdeyi tam zamanında indir</t>
        </is>
      </c>
      <c r="D1129" s="5" t="inlineStr">
        <is>
          <t>Dayanıklılık</t>
        </is>
      </c>
      <c r="E1129" s="5" t="inlineStr">
        <is>
          <t>Orta</t>
        </is>
      </c>
      <c r="F1129" s="5" t="inlineStr"/>
      <c r="G1129" s="6" t="inlineStr"/>
      <c r="H1129" s="6" t="inlineStr">
        <is>
          <t>Son perde tam zamanında indi. Salon ayağa kalktı. Kırk yılın ilk ayakta alkışı.</t>
        </is>
      </c>
      <c r="I1129" s="6" t="inlineStr">
        <is>
          <t>Perde indiğinde salon susmadı. Ön sıradaki teyze ayağa kalktı, alkışa ilk o başladı. Kırk yıldır 'Gerçek işin ne?' diye soran oydu; bu kez sormadı.</t>
        </is>
      </c>
      <c r="J1129" s="6" t="inlineStr">
        <is>
          <t>Perde biraz erken indi. Son cümle perde arkasında kaldı. Seyirci yine de alkışladı; sen duymadın.</t>
        </is>
      </c>
      <c r="K1129" s="6" t="inlineStr">
        <is>
          <t>Perde geç indi; seyirci iki kez alkışlayıp bekledi. Üçüncüsünde vestiyere gitti.</t>
        </is>
      </c>
      <c r="L1129" s="6" t="inlineStr">
        <is>
          <t>Perde bir saniye geç indi. Kimse fark etmedi. Sen fark ettin. Kırk yıldır olduğu gibi.</t>
        </is>
      </c>
      <c r="M1129" s="5" t="inlineStr">
        <is>
          <t>timing</t>
        </is>
      </c>
      <c r="N1129" s="5" t="inlineStr">
        <is>
          <t>Son Perde</t>
        </is>
      </c>
      <c r="O1129" s="6" t="inlineStr">
        <is>
          <t>İşareti yeşil alanda durdur. Perde tam o anda inecek.</t>
        </is>
      </c>
      <c r="P1129" s="6" t="inlineStr"/>
      <c r="Q1129" s="5" t="inlineStr"/>
      <c r="R1129" s="5" t="inlineStr"/>
      <c r="S1129" s="5" t="inlineStr"/>
      <c r="T1129" s="5" t="inlineStr"/>
      <c r="U1129" s="5" t="inlineStr"/>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c r="AI1129" s="5" t="inlineStr"/>
      <c r="AJ1129" s="5" t="inlineStr"/>
    </row>
    <row r="1130">
      <c r="A1130" s="5" t="inlineStr">
        <is>
          <t>ms-son-perde</t>
        </is>
      </c>
      <c r="B1130" s="5" t="n">
        <v>2</v>
      </c>
      <c r="C1130" s="6" t="inlineStr">
        <is>
          <t>Sahneyi genç birine bırak</t>
        </is>
      </c>
      <c r="D1130" s="5" t="inlineStr"/>
      <c r="E1130" s="5" t="inlineStr"/>
      <c r="F1130" s="5" t="inlineStr">
        <is>
          <t>İtibar +2</t>
        </is>
      </c>
      <c r="G1130" s="6" t="inlineStr">
        <is>
          <t>Son gösteriyi bir öğrencine bıraktın, seyirciler arasından izledin. Ücretini ona peşin ödedin.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c r="AI1130" s="5" t="inlineStr"/>
      <c r="AJ1130" s="5" t="inlineStr"/>
    </row>
    <row r="1131">
      <c r="A1131" s="5" t="inlineStr">
        <is>
          <t>ms-son-perde</t>
        </is>
      </c>
      <c r="B1131" s="5" t="n">
        <v>3</v>
      </c>
      <c r="C1131" s="6" t="inlineStr">
        <is>
          <t>O eski viral performansı yeniden yap</t>
        </is>
      </c>
      <c r="D1131" s="5" t="inlineStr">
        <is>
          <t>Pişkinlik</t>
        </is>
      </c>
      <c r="E1131" s="5" t="inlineStr">
        <is>
          <t>Kolay</t>
        </is>
      </c>
      <c r="F1131" s="5" t="inlineStr"/>
      <c r="G1131" s="6" t="inlineStr"/>
      <c r="H1131" s="6" t="inlineStr">
        <is>
          <t>Salonun yarısı eski videoyu ezbere biliyordu. Birlikte yaptınız.</t>
        </is>
      </c>
      <c r="I1131" s="6" t="inlineStr">
        <is>
          <t>Aynı performansı otuz yıl sonra yaptın. Bu kez de viral oldun. Bu kez ücretliydi.</t>
        </is>
      </c>
      <c r="J1131" s="6" t="inlineStr">
        <is>
          <t>Performansı yaptın; gençler bunun bir akıma gönderme olduğunu sandı. Akım sendin.</t>
        </is>
      </c>
      <c r="K1131" s="6" t="inlineStr">
        <is>
          <t>Aynı yerde, aynı şekilde takıldın, aynı şekilde düştün. Bu kez de iki milyon izlendi. Bu kez de ücret yok.</t>
        </is>
      </c>
      <c r="L1131" s="6" t="inlineStr"/>
      <c r="M1131" s="5" t="inlineStr"/>
      <c r="N1131" s="5" t="inlineStr"/>
      <c r="O1131" s="6" t="inlineStr"/>
      <c r="P1131" s="6" t="inlineStr"/>
      <c r="Q1131" s="5" t="inlineStr"/>
      <c r="R1131" s="5" t="inlineStr">
        <is>
          <t>serbest-viral-oldu</t>
        </is>
      </c>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c r="AI1131" s="5" t="inlineStr"/>
      <c r="AJ1131" s="5" t="inlineStr"/>
    </row>
    <row r="1132">
      <c r="A1132" s="5" t="inlineStr">
        <is>
          <t>b9-noter-miras</t>
        </is>
      </c>
      <c r="B1132" s="5" t="n">
        <v>1</v>
      </c>
      <c r="C1132" s="6" t="inlineStr">
        <is>
          <t>Her şeyi eşit böl</t>
        </is>
      </c>
      <c r="D1132" s="5" t="inlineStr"/>
      <c r="E1132" s="5" t="inlineStr"/>
      <c r="F1132" s="5" t="inlineStr">
        <is>
          <t>İtibar +1</t>
        </is>
      </c>
      <c r="G1132" s="6" t="inlineStr">
        <is>
          <t>Her şeyi eşit böldün; çocukların noterde itiraz etmedi. Asansörde etti: halıyı kimin alacağı üç kat sürdü.</t>
        </is>
      </c>
      <c r="H1132" s="6" t="inlineStr"/>
      <c r="I1132" s="6" t="inlineStr"/>
      <c r="J1132" s="6" t="inlineStr"/>
      <c r="K1132" s="6" t="inlineStr"/>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inlineStr"/>
      <c r="Z1132" s="6" t="inlineStr"/>
      <c r="AA1132" s="5" t="inlineStr"/>
      <c r="AB1132" s="5" t="inlineStr"/>
      <c r="AC1132" s="5" t="inlineStr"/>
      <c r="AD1132" s="5" t="inlineStr"/>
      <c r="AE1132" s="5" t="inlineStr"/>
      <c r="AF1132" s="5" t="inlineStr"/>
      <c r="AG1132" s="5" t="inlineStr"/>
      <c r="AH1132" s="5" t="inlineStr"/>
      <c r="AI1132" s="5" t="inlineStr"/>
      <c r="AJ1132" s="5" t="inlineStr"/>
    </row>
    <row r="1133">
      <c r="A1133" s="5" t="inlineStr">
        <is>
          <t>b9-noter-miras</t>
        </is>
      </c>
      <c r="B1133" s="5" t="n">
        <v>2</v>
      </c>
      <c r="C1133" s="6" t="inlineStr">
        <is>
          <t>Evi en çok ziyaret edene bırak</t>
        </is>
      </c>
      <c r="D1133" s="5" t="inlineStr">
        <is>
          <t>Çene</t>
        </is>
      </c>
      <c r="E1133" s="5" t="inlineStr">
        <is>
          <t>Zor</t>
        </is>
      </c>
      <c r="F1133" s="5" t="inlineStr"/>
      <c r="G1133" s="6" t="inlineStr"/>
      <c r="H1133" s="6" t="inlineStr">
        <is>
          <t>Maddeyi ekledin. Ertesi hafta sonu kapında bütün aile vardı. Biri yatılı kaldı; garantiye.</t>
        </is>
      </c>
      <c r="I1133" s="6" t="inlineStr">
        <is>
          <t>Madde işe yaradı. Pazar kahvaltıları yeniden başladı; sofraya üç tabak fazla koyuyorsun. Kimse evi konuşmuyor, herkes böreği konuşuyor.</t>
        </is>
      </c>
      <c r="J1133" s="6" t="inlineStr">
        <is>
          <t>Maddeyi ekledin. Çocukların ziyaret takvimi oluşturdu. Takvim bir elektronik tablo; senin de erişimin yok.</t>
        </is>
      </c>
      <c r="K1133" s="6" t="inlineStr">
        <is>
          <t>Maddeyi ekledin. Pazar sabahları kapını yalnızca komşunun oğlu çaldı; ekmek getirdi, çay içti. Çocukların bunu noterde öğrendi.</t>
        </is>
      </c>
      <c r="L1133" s="6" t="inlineStr"/>
      <c r="M1133" s="5" t="inlineStr"/>
      <c r="N1133" s="5" t="inlineStr"/>
      <c r="O1133" s="6" t="inlineStr"/>
      <c r="P1133" s="6" t="inlineStr"/>
      <c r="Q1133" s="5" t="inlineStr"/>
      <c r="R1133" s="5" t="inlineStr">
        <is>
          <t>ev-sahibi</t>
        </is>
      </c>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c r="AI1133" s="5" t="inlineStr"/>
      <c r="AJ1133" s="5" t="inlineStr"/>
    </row>
    <row r="1134">
      <c r="A1134" s="5" t="inlineStr">
        <is>
          <t>b9-noter-miras</t>
        </is>
      </c>
      <c r="B1134" s="5" t="n">
        <v>3</v>
      </c>
      <c r="C1134" s="6" t="inlineStr">
        <is>
          <t>Gizli bir madde ekle</t>
        </is>
      </c>
      <c r="D1134" s="5" t="inlineStr">
        <is>
          <t>Kurnazlık</t>
        </is>
      </c>
      <c r="E1134" s="5" t="inlineStr">
        <is>
          <t>Orta</t>
        </is>
      </c>
      <c r="F1134" s="5" t="inlineStr"/>
      <c r="G1134" s="6" t="inlineStr"/>
      <c r="H1134" s="6" t="inlineStr">
        <is>
          <t>Gizli madde: 'Bu belgeyi okuyan çocuk, kardeşini aramalı.' Noter de gülümsedi.</t>
        </is>
      </c>
      <c r="I1134" s="6" t="inlineStr">
        <is>
          <t>Gizli maddeye bir bilmece yazdın. Çocukların onu çözmek için her hafta aynı masada toplanıyor. Cevabı sen de unuttun; söylemiyorsun.</t>
        </is>
      </c>
      <c r="J1134" s="6" t="inlineStr">
        <is>
          <t>Gizli maddeyi ekledin ama noter onu gizli tutmadı. Hemen yüksek sesle okudu. Mesleki gereklilik.</t>
        </is>
      </c>
      <c r="K1134" s="6" t="inlineStr">
        <is>
          <t>Gizli madde: 'Evi, kediyi en çok seven alır.' Ertesi pazar kapında mamayla gelen akrabalar sıraya girdi. Kedi iki kilo aldı; akrabalar birbirine küstü.</t>
        </is>
      </c>
      <c r="L1134" s="6" t="inlineStr"/>
      <c r="M1134" s="5" t="inlineStr"/>
      <c r="N1134" s="5" t="inlineStr"/>
      <c r="O1134" s="6" t="inlineStr"/>
      <c r="P1134" s="6" t="inlineStr"/>
      <c r="Q1134" s="5" t="inlineStr"/>
      <c r="R1134" s="5" t="inlineStr"/>
      <c r="S1134" s="5" t="inlineStr">
        <is>
          <t>Kurnazlık</t>
        </is>
      </c>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c r="AI1134" s="5" t="inlineStr"/>
      <c r="AJ1134" s="5" t="inlineStr"/>
    </row>
    <row r="1135">
      <c r="A1135" s="5" t="inlineStr">
        <is>
          <t>b9-dev-kabak</t>
        </is>
      </c>
      <c r="B1135" s="5" t="n">
        <v>1</v>
      </c>
      <c r="C1135" s="6" t="inlineStr">
        <is>
          <t>Kabağı kendin taşı</t>
        </is>
      </c>
      <c r="D1135" s="5" t="inlineStr">
        <is>
          <t>Dayanıklılık</t>
        </is>
      </c>
      <c r="E1135" s="5" t="inlineStr">
        <is>
          <t>Zor</t>
        </is>
      </c>
      <c r="F1135" s="5" t="inlineStr"/>
      <c r="G1135" s="6" t="inlineStr"/>
      <c r="H1135" s="6" t="inlineStr">
        <is>
          <t>Kabağı taşıdın. Yarışmada ikinci oldun. Birinciyi taşıyanın forklifti vardı.</t>
        </is>
      </c>
      <c r="I1135" s="6" t="inlineStr">
        <is>
          <t>Kabağı kaldırdın ve yarışmada birinci oldun. Belediye sana plaket verdi. Plaket kabak şeklinde.</t>
        </is>
      </c>
      <c r="J1135" s="6" t="inlineStr">
        <is>
          <t>Kabağı kaldıramadın. Kabak bahçede kaldı ve kışın çürüdü. Bahar geldiğinde yeni kabaklar filizlendi.</t>
        </is>
      </c>
      <c r="K1135" s="6" t="inlineStr">
        <is>
          <t>Kabağı kaldırmaya çalıştın; kabak yuvarlandı ve komşunun çitini yıktı. Kabak yarışmada, sen tutanakta.</t>
        </is>
      </c>
      <c r="L1135" s="6" t="inlineStr">
        <is>
          <t>Kabağı bahçe kapısına kadar getirdin, orada yere bıraktın. Yarışmaya komşunun traktörüyle gitti; jüri kabul etti, belin etmedi.</t>
        </is>
      </c>
      <c r="M1135" s="5" t="inlineStr">
        <is>
          <t>tower</t>
        </is>
      </c>
      <c r="N1135" s="5" t="inlineStr">
        <is>
          <t>Kabak Arabası</t>
        </is>
      </c>
      <c r="O1135" s="6" t="inlineStr">
        <is>
          <t>Kaymadan üst üste dizmek için doğru anda BIRAK'a bas.</t>
        </is>
      </c>
      <c r="P1135" s="6" t="inlineStr">
        <is>
          <t>{"item": "🎃"}</t>
        </is>
      </c>
      <c r="Q1135" s="5" t="inlineStr"/>
      <c r="R1135" s="5" t="inlineStr"/>
      <c r="S1135" s="5" t="inlineStr"/>
      <c r="T1135" s="5" t="inlineStr"/>
      <c r="U1135" s="5" t="inlineStr"/>
      <c r="V1135" s="5" t="inlineStr"/>
      <c r="W1135" s="5" t="inlineStr"/>
      <c r="X1135" s="5" t="inlineStr"/>
      <c r="Y1135" s="5" t="n">
        <v>1</v>
      </c>
      <c r="Z1135" s="6" t="inlineStr">
        <is>
          <t>Bahçede dev kabak hasadında. Kabak yarışmada birinci oldu.</t>
        </is>
      </c>
      <c r="AA1135" s="5" t="inlineStr"/>
      <c r="AB1135" s="5" t="inlineStr"/>
      <c r="AC1135" s="5" t="inlineStr"/>
      <c r="AD1135" s="5" t="inlineStr"/>
      <c r="AE1135" s="5" t="inlineStr"/>
      <c r="AF1135" s="5" t="inlineStr"/>
      <c r="AG1135" s="5" t="inlineStr"/>
      <c r="AH1135" s="5" t="inlineStr"/>
      <c r="AI1135" s="5" t="inlineStr"/>
      <c r="AJ1135" s="5" t="inlineStr"/>
    </row>
    <row r="1136">
      <c r="A1136" s="5" t="inlineStr">
        <is>
          <t>b9-dev-kabak</t>
        </is>
      </c>
      <c r="B1136" s="5" t="n">
        <v>2</v>
      </c>
      <c r="C1136" s="6" t="inlineStr">
        <is>
          <t>Kabaktan komşulara reçel yap</t>
        </is>
      </c>
      <c r="D1136" s="5" t="inlineStr"/>
      <c r="E1136" s="5" t="inlineStr"/>
      <c r="F1136" s="5" t="inlineStr">
        <is>
          <t>Gönül +1</t>
        </is>
      </c>
      <c r="G1136" s="6" t="inlineStr">
        <is>
          <t>Kabak reçeli yaptın. Otuz kavanoz. Komşular teşekkür etti. Bir yıl boyunca her gün kabak reçeli yedin.</t>
        </is>
      </c>
      <c r="H1136" s="6" t="inlineStr"/>
      <c r="I1136" s="6" t="inlineStr"/>
      <c r="J1136" s="6" t="inlineStr"/>
      <c r="K1136" s="6" t="inlineStr"/>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c r="AI1136" s="5" t="inlineStr"/>
      <c r="AJ1136" s="5" t="inlineStr"/>
    </row>
    <row r="1137">
      <c r="A1137" s="5" t="inlineStr">
        <is>
          <t>b9-dev-kabak</t>
        </is>
      </c>
      <c r="B1137" s="5" t="n">
        <v>3</v>
      </c>
      <c r="C1137" s="6" t="inlineStr">
        <is>
          <t>Bahçe Filozofu olarak ilan et</t>
        </is>
      </c>
      <c r="D1137" s="5" t="inlineStr">
        <is>
          <t>Çene</t>
        </is>
      </c>
      <c r="E1137" s="5" t="inlineStr">
        <is>
          <t>Orta</t>
        </is>
      </c>
      <c r="F1137" s="5" t="inlineStr"/>
      <c r="G1137" s="6" t="inlineStr"/>
      <c r="H1137" s="6" t="inlineStr">
        <is>
          <t>Kabağın yanında 'Sabır, büyük sonuç verir' tabelası koydun. Mahalle fotoğraf çekmeye geldi.</t>
        </is>
      </c>
      <c r="I1137" s="6" t="inlineStr">
        <is>
          <t>Kabağının fotoğrafı mahalle grubunda viral oldu. Belediye kabağına bir isim vermeni istedi.</t>
        </is>
      </c>
      <c r="J1137" s="6" t="inlineStr">
        <is>
          <t>Tabelayı koydun; kabak tabelanın üstüne yuvarlandı. Felsefe ezildi.</t>
        </is>
      </c>
      <c r="K1137" s="6" t="inlineStr">
        <is>
          <t>Tabelayı koydun. Ertesi sabah kabağın yarısı yoktu; yan komşunun mutfağından kabak tatlısı kokusu geliyordu. Tabela yerinde duruyor: 'Sabır, büyük sonuç verir.'</t>
        </is>
      </c>
      <c r="L1137" s="6" t="inlineStr"/>
      <c r="M1137" s="5" t="inlineStr"/>
      <c r="N1137" s="5" t="inlineStr"/>
      <c r="O1137" s="6" t="inlineStr"/>
      <c r="P1137" s="6" t="inlineStr"/>
      <c r="Q1137" s="5" t="inlineStr">
        <is>
          <t>Bahçe Filozofu</t>
        </is>
      </c>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c r="AI1137" s="5" t="inlineStr"/>
      <c r="AJ1137" s="5" t="inlineStr"/>
    </row>
    <row r="1138">
      <c r="A1138" s="5" t="inlineStr">
        <is>
          <t>me-son-kepenk</t>
        </is>
      </c>
      <c r="B1138" s="5" t="n">
        <v>1</v>
      </c>
      <c r="C1138" s="6" t="inlineStr">
        <is>
          <t>Kepengi son kez indir</t>
        </is>
      </c>
      <c r="D1138" s="5" t="inlineStr"/>
      <c r="E1138" s="5" t="inlineStr"/>
      <c r="F1138" s="5" t="inlineStr">
        <is>
          <t>İtibar +1</t>
        </is>
      </c>
      <c r="G1138" s="6" t="inlineStr">
        <is>
          <t>Kepengi indirdin. Mahalle alkışladı. Kepenk de son kez gıcırdayarak katıldı.</t>
        </is>
      </c>
      <c r="H1138" s="6" t="inlineStr"/>
      <c r="I1138" s="6" t="inlineStr"/>
      <c r="J1138" s="6" t="inlineStr"/>
      <c r="K1138" s="6" t="inlineStr"/>
      <c r="L1138" s="6" t="inlineStr"/>
      <c r="M1138" s="5" t="inlineStr"/>
      <c r="N1138" s="5" t="inlineStr"/>
      <c r="O1138" s="6" t="inlineStr"/>
      <c r="P1138" s="6" t="inlineStr"/>
      <c r="Q1138" s="5" t="inlineStr"/>
      <c r="R1138" s="5" t="inlineStr"/>
      <c r="S1138" s="5" t="inlineStr"/>
      <c r="T1138" s="5" t="inlineStr"/>
      <c r="U1138" s="5" t="inlineStr">
        <is>
          <t>emekli</t>
        </is>
      </c>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c r="AI1138" s="5" t="inlineStr"/>
      <c r="AJ1138" s="5" t="inlineStr"/>
    </row>
    <row r="1139">
      <c r="A1139" s="5" t="inlineStr">
        <is>
          <t>me-son-kepenk</t>
        </is>
      </c>
      <c r="B1139" s="5" t="n">
        <v>2</v>
      </c>
      <c r="C1139" s="6" t="inlineStr">
        <is>
          <t>Kepengi yardım almadan indir</t>
        </is>
      </c>
      <c r="D1139" s="5" t="inlineStr">
        <is>
          <t>Dayanıklılık</t>
        </is>
      </c>
      <c r="E1139" s="5" t="inlineStr">
        <is>
          <t>Orta</t>
        </is>
      </c>
      <c r="F1139" s="5" t="inlineStr"/>
      <c r="G1139" s="6" t="inlineStr"/>
      <c r="H1139" s="6" t="inlineStr">
        <is>
          <t>Kepenk tam ortada, yirmi yıldır takıldığı yerde takıldı. Omzunu verdin, indi. Karşıdaki berber alkışladı.</t>
        </is>
      </c>
      <c r="I1139" s="6" t="inlineStr">
        <is>
          <t>Kepengi indirdin, kilidini taktın, anahtarı mahalleden bir çocuğa uzattın: 'Yarın sen aç.'</t>
        </is>
      </c>
      <c r="J1139" s="6" t="inlineStr">
        <is>
          <t>Kepenk yarıda kaldı, sen altında eğilmiş. Karşıdaki berber koştu, ikiniz asıldınız; kepenk inmedi. Son iş gününü kepengin altından eğilip çıkarak bitirdin.</t>
        </is>
      </c>
      <c r="K1139" s="6" t="inlineStr">
        <is>
          <t>Kepengi indirdin; ceketinin eteği altında kaldı. Kurtarmak için kaldırdın, kepenk ortada takıldı. Mahalle akşama kadar seni yarı içeride, yarı dışarıda izledi; çayını kepengin altından uzattılar.</t>
        </is>
      </c>
      <c r="L1139" s="6" t="inlineStr">
        <is>
          <t>Kepenk ortada takıldı. Karşı dükkânın çırağı koştu, birlikte indirdiniz. Son iş günün yardımla bitti; mahalle bunu da alkışladı.</t>
        </is>
      </c>
      <c r="M1139" s="5" t="inlineStr">
        <is>
          <t>timing</t>
        </is>
      </c>
      <c r="N1139" s="5" t="inlineStr">
        <is>
          <t>Son Kepenk</t>
        </is>
      </c>
      <c r="O1139" s="6" t="inlineStr">
        <is>
          <t>İbre yeşil alandayken DURDUR'a bas. Art arda tutturdukça kombo kazanırsın.</t>
        </is>
      </c>
      <c r="P1139" s="6" t="n"/>
      <c r="Q1139" s="5" t="inlineStr"/>
      <c r="R1139" s="5" t="inlineStr"/>
      <c r="S1139" s="5" t="inlineStr"/>
      <c r="T1139" s="5" t="inlineStr"/>
      <c r="U1139" s="5" t="inlineStr">
        <is>
          <t>emekli</t>
        </is>
      </c>
      <c r="V1139" s="5" t="inlineStr"/>
      <c r="W1139" s="5" t="inlineStr"/>
      <c r="X1139" s="5" t="inlineStr"/>
      <c r="Y1139" s="5" t="n">
        <v>1</v>
      </c>
      <c r="Z1139" s="6" t="inlineStr">
        <is>
          <t>Son iş gününde, kepengi kimseden yardım istemeden indirirken. Kepenk sonunda yerine oturdu.</t>
        </is>
      </c>
      <c r="AA1139" s="5" t="inlineStr"/>
      <c r="AB1139" s="5" t="inlineStr"/>
      <c r="AC1139" s="5" t="inlineStr"/>
      <c r="AD1139" s="5" t="inlineStr"/>
      <c r="AE1139" s="5" t="inlineStr"/>
      <c r="AF1139" s="5" t="inlineStr"/>
      <c r="AG1139" s="5" t="inlineStr"/>
      <c r="AH1139" s="5" t="inlineStr"/>
      <c r="AI1139" s="5" t="inlineStr"/>
      <c r="AJ1139" s="5" t="inlineStr"/>
    </row>
    <row r="1140">
      <c r="A1140" s="5" t="inlineStr">
        <is>
          <t>me-son-kepenk</t>
        </is>
      </c>
      <c r="B1140" s="5" t="n">
        <v>3</v>
      </c>
      <c r="C1140" s="6" t="inlineStr">
        <is>
          <t>Veda indirimi yap</t>
        </is>
      </c>
      <c r="D1140" s="5" t="inlineStr">
        <is>
          <t>Çene</t>
        </is>
      </c>
      <c r="E1140" s="5" t="inlineStr">
        <is>
          <t>Kolay</t>
        </is>
      </c>
      <c r="F1140" s="5" t="inlineStr"/>
      <c r="G1140" s="6" t="inlineStr"/>
      <c r="H1140" s="6" t="inlineStr">
        <is>
          <t>Her şey yarı fiyatına. Raflar üç saatte boşaldı. Otuz yıl bir öğleden sonraya sığdı.</t>
        </is>
      </c>
      <c r="I1140" s="6" t="inlineStr">
        <is>
          <t>Raflar boşaldı, müşteriler dükkânın tabelasını da hatıra olarak satın almak istedi. Sattın.</t>
        </is>
      </c>
      <c r="J1140" s="6" t="inlineStr">
        <is>
          <t>Veda indirimini kimse ciddiye almadı. 'Nasılsa yarın açıksın' dediler.</t>
        </is>
      </c>
      <c r="K1140" s="6" t="inlineStr">
        <is>
          <t>Müşteriler 'Toptan olur mu?' dedi. İndirimin üstüne indirim yaptın. Akşam son müşteriyi gördün: karşı dükkânın sahibi bütün rafını senden alıp kendi vitrinine dizmiş, etiketlerini bile değiştirmemiş.</t>
        </is>
      </c>
      <c r="L1140" s="6" t="inlineStr"/>
      <c r="M1140" s="5" t="inlineStr"/>
      <c r="N1140" s="5" t="inlineStr"/>
      <c r="O1140" s="6" t="inlineStr"/>
      <c r="P1140" s="6" t="inlineStr"/>
      <c r="Q1140" s="5" t="inlineStr"/>
      <c r="R1140" s="5" t="inlineStr"/>
      <c r="S1140" s="5" t="inlineStr"/>
      <c r="T1140" s="5" t="inlineStr"/>
      <c r="U1140" s="5" t="inlineStr">
        <is>
          <t>emekli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c r="AI1140" s="5" t="inlineStr"/>
      <c r="AJ1140" s="5" t="inlineStr"/>
    </row>
    <row r="1141">
      <c r="A1141" s="5" t="inlineStr">
        <is>
          <t>me-son-kepenk</t>
        </is>
      </c>
      <c r="B1141" s="5" t="n">
        <v>4</v>
      </c>
      <c r="C1141" s="6" t="inlineStr">
        <is>
          <t>'Yarın yine gelirim' de</t>
        </is>
      </c>
      <c r="D1141" s="5" t="inlineStr"/>
      <c r="E1141" s="5" t="inlineStr"/>
      <c r="F1141" s="5" t="inlineStr">
        <is>
          <t>Dayanıklılık +1</t>
        </is>
      </c>
      <c r="G1141" s="6" t="inlineStr">
        <is>
          <t>Kepengi yarıya indirip çay demledin. Emeklilik resmen başladı; fiilen yarın 08.00'de yine buradasın.</t>
        </is>
      </c>
      <c r="H1141" s="6" t="inlineStr"/>
      <c r="I1141" s="6" t="inlineStr"/>
      <c r="J1141" s="6" t="inlineStr"/>
      <c r="K1141" s="6" t="inlineStr"/>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inlineStr"/>
      <c r="Z1141" s="6" t="inlineStr"/>
      <c r="AA1141" s="5" t="inlineStr"/>
      <c r="AB1141" s="5" t="inlineStr"/>
      <c r="AC1141" s="5" t="inlineStr"/>
      <c r="AD1141" s="5" t="inlineStr"/>
      <c r="AE1141" s="5" t="inlineStr"/>
      <c r="AF1141" s="5" t="inlineStr"/>
      <c r="AG1141" s="5" t="inlineStr"/>
      <c r="AH1141" s="5" t="inlineStr"/>
      <c r="AI1141" s="5" t="inlineStr"/>
      <c r="AJ1141" s="5" t="inlineStr"/>
    </row>
    <row r="1142">
      <c r="A1142" s="5" t="inlineStr">
        <is>
          <t>b9-emekli-seyahati</t>
        </is>
      </c>
      <c r="B1142" s="5" t="n">
        <v>1</v>
      </c>
      <c r="C1142" s="6" t="inlineStr">
        <is>
          <t>Programa harfiyen uy</t>
        </is>
      </c>
      <c r="D1142" s="5" t="inlineStr"/>
      <c r="E1142" s="5" t="inlineStr"/>
      <c r="F1142" s="5" t="inlineStr">
        <is>
          <t>Dayanıklılık +1</t>
        </is>
      </c>
      <c r="G1142" s="6" t="inlineStr">
        <is>
          <t>Yedi müze, üç dükkân ve bir halı mağazası. Dönüşte otobüste herkes uyudu. Şoför dahil kısa süreliğine.</t>
        </is>
      </c>
      <c r="H1142" s="6" t="inlineStr"/>
      <c r="I1142" s="6" t="inlineStr"/>
      <c r="J1142" s="6" t="inlineStr"/>
      <c r="K1142" s="6" t="inlineStr"/>
      <c r="L1142" s="6" t="inlineStr"/>
      <c r="M1142" s="5" t="inlineStr"/>
      <c r="N1142" s="5" t="inlineStr"/>
      <c r="O1142" s="6" t="inlineStr"/>
      <c r="P1142" s="6" t="inlineStr"/>
      <c r="Q1142" s="5" t="inlineStr"/>
      <c r="R1142" s="5" t="inlineStr"/>
      <c r="S1142" s="5" t="inlineStr"/>
      <c r="T1142" s="5" t="inlineStr"/>
      <c r="U1142" s="5" t="inlineStr"/>
      <c r="V1142" s="5" t="inlineStr"/>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c r="AI1142" s="5" t="inlineStr"/>
      <c r="AJ1142" s="5" t="inlineStr"/>
    </row>
    <row r="1143">
      <c r="A1143" s="5" t="inlineStr">
        <is>
          <t>b9-emekli-seyahati</t>
        </is>
      </c>
      <c r="B1143" s="5" t="n">
        <v>2</v>
      </c>
      <c r="C1143" s="6" t="inlineStr">
        <is>
          <t>Uçurumun kenarında bir fotoğraf daha çek</t>
        </is>
      </c>
      <c r="D1143" s="5" t="inlineStr">
        <is>
          <t>Cesaret</t>
        </is>
      </c>
      <c r="E1143" s="5" t="inlineStr">
        <is>
          <t>Orta</t>
        </is>
      </c>
      <c r="F1143" s="5" t="inlineStr"/>
      <c r="G1143" s="6" t="inlineStr"/>
      <c r="H1143" s="6" t="inlineStr">
        <is>
          <t>Uçurum kenarında fotoğraf çektin. Manzara muhteşem. Rehber seni otobüse geri çağırdı.</t>
        </is>
      </c>
      <c r="I1143" s="6" t="inlineStr">
        <is>
          <t>Fotoğraf derneğin takviminin kapağı oldu. Bütün yıl kırk emekli mutfağında asılısın; biri seni buzdolabından tanıyıp otobüste yer verdi.</t>
        </is>
      </c>
      <c r="J1143" s="6" t="inlineStr">
        <is>
          <t>Fotoğrafı çektin; parmağın objektifin önündeydi. Anı: bir parmak ve biraz gökyüzü.</t>
        </is>
      </c>
      <c r="K1143" s="6" t="inlineStr">
        <is>
          <t>Fotoğraf çekerken otobüs kalktı. Yoklamada biri senin yerine 'Burada' diye bağırmış. Dönüşü bir karpuz kamyonunun kasasında yaptın.</t>
        </is>
      </c>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n">
        <v>3</v>
      </c>
      <c r="Z1143" s="6" t="inlineStr">
        <is>
          <t>Emekli turunun son durağında, rehberin 'Son bir fotoğraf' demesinden sonra. Fotoğraf çok güzel çıktı.</t>
        </is>
      </c>
      <c r="AA1143" s="5" t="inlineStr"/>
      <c r="AB1143" s="5" t="inlineStr"/>
      <c r="AC1143" s="5" t="inlineStr"/>
      <c r="AD1143" s="5" t="inlineStr"/>
      <c r="AE1143" s="5" t="inlineStr"/>
      <c r="AF1143" s="5" t="inlineStr"/>
      <c r="AG1143" s="5" t="inlineStr"/>
      <c r="AH1143" s="5" t="inlineStr"/>
      <c r="AI1143" s="5" t="inlineStr"/>
      <c r="AJ1143" s="5" t="inlineStr"/>
    </row>
    <row r="1144">
      <c r="A1144" s="5" t="inlineStr">
        <is>
          <t>b9-emekli-seyahati</t>
        </is>
      </c>
      <c r="B1144" s="5" t="n">
        <v>3</v>
      </c>
      <c r="C1144" s="6" t="inlineStr">
        <is>
          <t>Turun liderliğini devral</t>
        </is>
      </c>
      <c r="D1144" s="5" t="inlineStr">
        <is>
          <t>İtibar</t>
        </is>
      </c>
      <c r="E1144" s="5" t="inlineStr">
        <is>
          <t>Zor</t>
        </is>
      </c>
      <c r="F1144" s="5" t="inlineStr"/>
      <c r="G1144" s="6" t="inlineStr"/>
      <c r="H1144" s="6" t="inlineStr">
        <is>
          <t>Rehberin mikrofonunu aldın. Programa bir çay molası ekledin. Otobüs seni sevdi.</t>
        </is>
      </c>
      <c r="I1144" s="6" t="inlineStr">
        <is>
          <t>Turun liderliğini devraldın; dernek sonraki turu sana verdi. Emekliliğin ikinci mesleği: tur rehberi.</t>
        </is>
      </c>
      <c r="J1144" s="6" t="inlineStr">
        <is>
          <t>Mikrofonu aldın ama ses sistemi arızalı. Sadece ön sıra seni duydu. Yönetim kurulu memnun.</t>
        </is>
      </c>
      <c r="K1144" s="6" t="inlineStr">
        <is>
          <t>Halı mağazasını programdan çıkardın. Rehber mikrofonu geri aldı ve dönüş yolu boyunca sana halı anlattı; dört saat, desen desen.</t>
        </is>
      </c>
      <c r="L1144" s="6" t="inlineStr"/>
      <c r="M1144" s="5" t="inlineStr"/>
      <c r="N1144" s="5" t="inlineStr"/>
      <c r="O1144" s="6" t="inlineStr"/>
      <c r="P1144" s="6" t="inlineStr"/>
      <c r="Q1144" s="5" t="inlineStr">
        <is>
          <t>Kuralı Koyan</t>
        </is>
      </c>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c r="AI1144" s="5" t="inlineStr"/>
      <c r="AJ1144" s="5" t="inlineStr"/>
    </row>
    <row r="1145">
      <c r="A1145" s="5" t="inlineStr">
        <is>
          <t>b9-sifre-unuttum</t>
        </is>
      </c>
      <c r="B1145" s="5" t="n">
        <v>1</v>
      </c>
      <c r="C1145" s="6" t="inlineStr">
        <is>
          <t>Şubeye git, sırada bekle</t>
        </is>
      </c>
      <c r="D1145" s="5" t="inlineStr"/>
      <c r="E1145" s="5" t="inlineStr"/>
      <c r="F1145" s="5" t="inlineStr">
        <is>
          <t>Dayanıklılık +1</t>
        </is>
      </c>
      <c r="G1145" s="6" t="inlineStr">
        <is>
          <t>Sırada bekledin. Sıra geldiğinde görevli yeni şifreni kâğıda yazmanı önerdi. Kâğıdı hâlâ arıyorsun.</t>
        </is>
      </c>
      <c r="H1145" s="6" t="inlineStr"/>
      <c r="I1145" s="6" t="inlineStr"/>
      <c r="J1145" s="6" t="inlineStr"/>
      <c r="K1145" s="6" t="inlineStr"/>
      <c r="L1145" s="6" t="inlineStr"/>
      <c r="M1145" s="5" t="inlineStr"/>
      <c r="N1145" s="5" t="inlineStr"/>
      <c r="O1145" s="6" t="inlineStr"/>
      <c r="P1145" s="6" t="inlineStr"/>
      <c r="Q1145" s="5" t="inlineStr"/>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c r="AI1145" s="5" t="inlineStr"/>
      <c r="AJ1145" s="5" t="inlineStr"/>
    </row>
    <row r="1146">
      <c r="A1146" s="5" t="inlineStr">
        <is>
          <t>b9-sifre-unuttum</t>
        </is>
      </c>
      <c r="B1146" s="5" t="n">
        <v>2</v>
      </c>
      <c r="C1146" s="6" t="inlineStr">
        <is>
          <t>Şifreyi tahmin et</t>
        </is>
      </c>
      <c r="D1146" s="5" t="inlineStr">
        <is>
          <t>Akıl</t>
        </is>
      </c>
      <c r="E1146" s="5" t="inlineStr">
        <is>
          <t>Zor</t>
        </is>
      </c>
      <c r="F1146" s="5" t="inlineStr"/>
      <c r="G1146" s="6" t="inlineStr"/>
      <c r="H1146" s="6" t="inlineStr">
        <is>
          <t>Üçüncü denemede buldun: ilk evinin kapı numarası ve doğum yılın, tersten. Kendine hayran kaldın; şifreyi bu kez kimseye söylemedin, kendine bile.</t>
        </is>
      </c>
      <c r="I1146" s="6" t="inlineStr">
        <is>
          <t>İlk denemede buldun. Ekranda “Hoş geldiniz” yazınca ayağa kalktın; evde kimse yoktu, yine de alkışladın. Şifreyi bir daha unutmamak için buzdolabının kapağına yazdın.</t>
        </is>
      </c>
      <c r="J1146" s="6" t="inlineStr">
        <is>
          <t>Tahminlerin yanlıştı. Hesabın on beş dakika kilitlendi. On beş dakika sonra yine yanlıştı.</t>
        </is>
      </c>
      <c r="K1146" s="6" t="inlineStr">
        <is>
          <t>Üç yanlış tahmin. Hesap kilitlendi. Kilidi açmak için gelen kod, yine eski telefona.</t>
        </is>
      </c>
      <c r="L1146" s="6" t="inlineStr"/>
      <c r="M1146" s="5" t="inlineStr"/>
      <c r="N1146" s="5" t="inlineStr"/>
      <c r="O1146" s="6" t="inlineStr"/>
      <c r="P1146" s="6" t="inlineStr"/>
      <c r="Q1146" s="5" t="inlineStr">
        <is>
          <t>Ukala Ama Haklı</t>
        </is>
      </c>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c r="AI1146" s="5" t="inlineStr"/>
      <c r="AJ1146" s="5" t="inlineStr"/>
    </row>
    <row r="1147">
      <c r="A1147" s="5" t="inlineStr">
        <is>
          <t>b9-sifre-unuttum</t>
        </is>
      </c>
      <c r="B1147" s="5" t="n">
        <v>3</v>
      </c>
      <c r="C1147" s="6" t="inlineStr">
        <is>
          <t>Torunu okuldan ara</t>
        </is>
      </c>
      <c r="D1147" s="5" t="inlineStr">
        <is>
          <t>Çene</t>
        </is>
      </c>
      <c r="E1147" s="5" t="inlineStr">
        <is>
          <t>Orta</t>
        </is>
      </c>
      <c r="F1147" s="5" t="inlineStr"/>
      <c r="G1147" s="6" t="inlineStr"/>
      <c r="H1147" s="6" t="inlineStr">
        <is>
          <t>Torun teneffüste kodu okudu. Hesabın açıldı. Torun karşılığında harçlık istedi. Ödeme de aynı hesaptan.</t>
        </is>
      </c>
      <c r="I1147" s="6" t="inlineStr">
        <is>
          <t>Torun kodu okudu ve şifreni de değiştirdi. Yeni şifren: torunun doğum günü. Unutmayacaksın.</t>
        </is>
      </c>
      <c r="J1147" s="6" t="inlineStr">
        <is>
          <t>Torun derste. Öğretmen telefonu açtı. Kodu öğretmen okudu. Artık öğretmen de şifreni biliyor.</t>
        </is>
      </c>
      <c r="K1147" s="6" t="inlineStr">
        <is>
          <t>Torunu aradın; müdür telefonu açtı. Kodu anons sistemiyle okuttun. Bütün okul artık şifreni biliyor.</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c r="AI1147" s="5" t="inlineStr"/>
      <c r="AJ1147" s="5" t="inlineStr"/>
    </row>
    <row r="1148">
      <c r="A1148" s="5" t="inlineStr">
        <is>
          <t>mb-son-kisa-gorusme</t>
        </is>
      </c>
      <c r="B1148" s="5" t="n">
        <v>1</v>
      </c>
      <c r="C1148" s="6" t="inlineStr">
        <is>
          <t>Telefonu kapat, bahçeye çık</t>
        </is>
      </c>
      <c r="D1148" s="5" t="inlineStr"/>
      <c r="E1148" s="5" t="inlineStr"/>
      <c r="F1148" s="5" t="inlineStr">
        <is>
          <t>Dayanıklılık +1</t>
        </is>
      </c>
      <c r="G1148" s="6" t="inlineStr">
        <is>
          <t>Telefonu kapattın. Otuz küsur yıldır ilk kez takviminde hiçbir şey yok. Korkutucu. Güzel.</t>
        </is>
      </c>
      <c r="H1148" s="6" t="inlineStr"/>
      <c r="I1148" s="6" t="inlineStr"/>
      <c r="J1148" s="6" t="inlineStr"/>
      <c r="K1148" s="6" t="inlineStr"/>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c r="AI1148" s="5" t="inlineStr"/>
      <c r="AJ1148" s="5" t="inlineStr"/>
    </row>
    <row r="1149">
      <c r="A1149" s="5" t="inlineStr">
        <is>
          <t>mb-son-kisa-gorusme</t>
        </is>
      </c>
      <c r="B1149" s="5" t="n">
        <v>2</v>
      </c>
      <c r="C1149" s="6" t="inlineStr">
        <is>
          <t>Danışman olarak dön</t>
        </is>
      </c>
      <c r="D1149" s="5" t="inlineStr">
        <is>
          <t>Çene</t>
        </is>
      </c>
      <c r="E1149" s="5" t="inlineStr">
        <is>
          <t>Orta</t>
        </is>
      </c>
      <c r="F1149" s="5" t="inlineStr"/>
      <c r="G1149" s="6" t="inlineStr"/>
      <c r="H1149" s="6" t="inlineStr">
        <is>
          <t>Haftada iki gün, yüksek saat ücretiyle döndün. Erişim kartın yine tanımlanmadı.</t>
        </is>
      </c>
      <c r="I1149" s="6" t="inlineStr">
        <is>
          <t>Yönetim kurulu seni 'kurumsal hafıza' ilan etti; hafızanın saat ücreti eski maaşını geçti. Toplantılardaki tek görevin, ara ara 'Bunu on beş yıl önce denedik' demek.</t>
        </is>
      </c>
      <c r="J1149" s="6" t="inlineStr">
        <is>
          <t>Döndün; üç gün sonra 'Yeni yapılanma' e-postası geldi. Danışmanlar dahil.</t>
        </is>
      </c>
      <c r="K1149" s="6" t="inlineStr">
        <is>
          <t>Döndün; ilk toplantın 'Toplantı hakkında toplantı' idi. Otuz yıl boyunca hiç kaçamamışsın.</t>
        </is>
      </c>
      <c r="L1149" s="6" t="inlineStr"/>
      <c r="M1149" s="5" t="inlineStr"/>
      <c r="N1149" s="5" t="inlineStr"/>
      <c r="O1149" s="6" t="inlineStr"/>
      <c r="P1149" s="6" t="inlineStr"/>
      <c r="Q1149" s="5" t="inlineStr"/>
      <c r="R1149" s="5" t="inlineStr"/>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c r="AI1149" s="5" t="inlineStr"/>
      <c r="AJ1149" s="5" t="inlineStr"/>
    </row>
    <row r="1150">
      <c r="A1150" s="5" t="inlineStr">
        <is>
          <t>mb-son-kisa-gorusme</t>
        </is>
      </c>
      <c r="B1150" s="5" t="n">
        <v>3</v>
      </c>
      <c r="C1150" s="6" t="inlineStr">
        <is>
          <t>Bu kez 'kısa görüşmeyi' sen yönet</t>
        </is>
      </c>
      <c r="D1150" s="5" t="inlineStr">
        <is>
          <t>Pişkinlik</t>
        </is>
      </c>
      <c r="E1150" s="5" t="inlineStr">
        <is>
          <t>Kolay</t>
        </is>
      </c>
      <c r="F1150" s="5" t="inlineStr"/>
      <c r="G1150" s="6" t="inlineStr"/>
      <c r="H1150" s="6" t="inlineStr">
        <is>
          <t>Bu kez odada karşında şirket vardı. Saat ücretini sen belirledin.</t>
        </is>
      </c>
      <c r="I1150" s="6" t="inlineStr">
        <is>
          <t>Şartları sen koydun: uzaktan, kamera kapalı, pijamayla. Hepsi kabul edildi.</t>
        </is>
      </c>
      <c r="J1150" s="6" t="inlineStr">
        <is>
          <t>Pazarlık ettin; teklif yapay zekâ aracına gitti. Araç seni hatırladı. İyi anlamda değil.</t>
        </is>
      </c>
      <c r="K1150" s="6" t="inlineStr">
        <is>
          <t>Görüşmeyi sen yönettin; sonunda alışkanlıkla “Sizi bilgilendireceğiz” deyip kalktın. Eski stajyerin de kalktı, kapıyı açtı. Bir daha aramadı. Sen bekledin; otuz yıl adayları beklettiğin gibi.</t>
        </is>
      </c>
      <c r="L1150" s="6" t="inlineStr"/>
      <c r="M1150" s="5" t="inlineStr"/>
      <c r="N1150" s="5" t="inlineStr"/>
      <c r="O1150" s="6" t="inlineStr"/>
      <c r="P1150" s="6" t="inlineStr"/>
      <c r="Q1150" s="5" t="inlineStr"/>
      <c r="R1150" s="5" t="inlineStr">
        <is>
          <t>beyazyaka-sag-kaldi</t>
        </is>
      </c>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c r="AI1150" s="5" t="inlineStr"/>
      <c r="AJ1150" s="5" t="inlineStr"/>
    </row>
    <row r="1151">
      <c r="A1151" s="5" t="inlineStr">
        <is>
          <t>b9-site-toplantisi</t>
        </is>
      </c>
      <c r="B1151" s="5" t="n">
        <v>1</v>
      </c>
      <c r="C1151" s="6" t="inlineStr">
        <is>
          <t>Yöneticiliği kabul et</t>
        </is>
      </c>
      <c r="D1151" s="5" t="inlineStr"/>
      <c r="E1151" s="5" t="inlineStr"/>
      <c r="F1151" s="5" t="inlineStr">
        <is>
          <t>İtibar +1, Dayanıklılık +1</t>
        </is>
      </c>
      <c r="G1151" s="6" t="inlineStr">
        <is>
          <t>Yönetici oldun. Artık gece üçte biri kapını çalıp 'Kalorifer yanmıyor' diyor. Maaşı yok, prestiji tartışmalı.</t>
        </is>
      </c>
      <c r="H1151" s="6" t="inlineStr"/>
      <c r="I1151" s="6" t="inlineStr"/>
      <c r="J1151" s="6" t="inlineStr"/>
      <c r="K1151" s="6" t="inlineStr"/>
      <c r="L1151" s="6" t="inlineStr"/>
      <c r="M1151" s="5" t="inlineStr"/>
      <c r="N1151" s="5" t="inlineStr"/>
      <c r="O1151" s="6" t="inlineStr"/>
      <c r="P1151" s="6" t="inlineStr"/>
      <c r="Q1151" s="5" t="inlineStr"/>
      <c r="R1151" s="5" t="inlineStr"/>
      <c r="S1151" s="5" t="inlineStr"/>
      <c r="T1151" s="5" t="inlineStr"/>
      <c r="U1151" s="5" t="inlineStr">
        <is>
          <t>site-yoneticisi</t>
        </is>
      </c>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c r="AI1151" s="5" t="inlineStr"/>
      <c r="AJ1151" s="5" t="inlineStr"/>
    </row>
    <row r="1152">
      <c r="A1152" s="5" t="inlineStr">
        <is>
          <t>b9-site-toplantisi</t>
        </is>
      </c>
      <c r="B1152" s="5" t="n">
        <v>2</v>
      </c>
      <c r="C1152" s="6" t="inlineStr">
        <is>
          <t>Asansör için söz al</t>
        </is>
      </c>
      <c r="D1152" s="5" t="inlineStr">
        <is>
          <t>Cesaret</t>
        </is>
      </c>
      <c r="E1152" s="5" t="inlineStr">
        <is>
          <t>Zor</t>
        </is>
      </c>
      <c r="F1152" s="5" t="inlineStr"/>
      <c r="G1152" s="6" t="inlineStr"/>
      <c r="H1152" s="6" t="inlineStr">
        <is>
          <t>Söz aldın ve asansör tamiri oy birliğiyle kabul edildi. Dördüncü kat sana bir tepsi baklava yolladı.</t>
        </is>
      </c>
      <c r="I1152" s="6" t="inlineStr">
        <is>
          <t>Söz aldın, asansör tamir edildi ve bir de çatı yenilendi. Toplantı tarihe 'Büyük Söz' olarak geçti.</t>
        </is>
      </c>
      <c r="J1152" s="6" t="inlineStr">
        <is>
          <t>Söz aldın, asansör oylandı; tamir değil, 'inceleme' kabul edildi. İnceleme üç yıl sürecek.</t>
        </is>
      </c>
      <c r="K1152" s="6" t="inlineStr">
        <is>
          <t>Söz aldın; aidat iki katına çıktı, asansör yine arızalı. Aidatın yarısı asansör için ayrılan fona gitti. Fon kaybolmuş.</t>
        </is>
      </c>
      <c r="L1152" s="6" t="inlineStr"/>
      <c r="M1152" s="5" t="inlineStr"/>
      <c r="N1152" s="5" t="inlineStr"/>
      <c r="O1152" s="6" t="inlineStr"/>
      <c r="P1152" s="6" t="inlineStr"/>
      <c r="Q1152" s="5" t="inlineStr"/>
      <c r="R1152" s="5" t="inlineStr"/>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c r="AI1152" s="5" t="inlineStr"/>
      <c r="AJ1152" s="5" t="inlineStr"/>
    </row>
    <row r="1153">
      <c r="A1153" s="5" t="inlineStr">
        <is>
          <t>b9-site-toplantisi</t>
        </is>
      </c>
      <c r="B1153" s="5" t="n">
        <v>3</v>
      </c>
      <c r="C1153" s="6" t="inlineStr">
        <is>
          <t>Toplantıyı yönet</t>
        </is>
      </c>
      <c r="D1153" s="5" t="inlineStr">
        <is>
          <t>İtibar</t>
        </is>
      </c>
      <c r="E1153" s="5" t="inlineStr">
        <is>
          <t>Orta</t>
        </is>
      </c>
      <c r="F1153" s="5" t="inlineStr"/>
      <c r="G1153" s="6" t="inlineStr"/>
      <c r="H1153" s="6" t="inlineStr">
        <is>
          <t>Toplantıyı yönettin, gündem kırk dakikada bitti. Rekor. Sakinler sana şaşkınlıkla baktı.</t>
        </is>
      </c>
      <c r="I1153" s="6" t="inlineStr">
        <is>
          <t>Toplantıyı yönettin; aidat düştü, asansör tamir edildi. Seni bir sonraki yıl için oy birliğiyle yeniden seçtiler.</t>
        </is>
      </c>
      <c r="J1153" s="6" t="inlineStr">
        <is>
          <t>Toplantıyı yönettin; gündem aidat artışında takıldı. Toplantı üç saat sürdü. Sen de artık yönetici değil, mağdursun.</t>
        </is>
      </c>
      <c r="K1153" s="6" t="inlineStr">
        <is>
          <t>Toplantıyı yönetirken bir sakinin sözünü kestin. Sakin ilkokuldan sınıf arkadaşın çıktı: 'Altmış yıl önce de sözümü kesmiştin, başkanlığı da benden almıştın.' Apartman ikiye bölündü; asansör yine bozuk.</t>
        </is>
      </c>
      <c r="L1153" s="6" t="inlineStr"/>
      <c r="M1153" s="5" t="inlineStr"/>
      <c r="N1153" s="5" t="inlineStr"/>
      <c r="O1153" s="6" t="inlineStr"/>
      <c r="P1153" s="6" t="inlineStr"/>
      <c r="Q1153" s="5" t="inlineStr"/>
      <c r="R1153" s="5" t="inlineStr">
        <is>
          <t>baskan</t>
        </is>
      </c>
      <c r="S1153" s="5" t="inlineStr"/>
      <c r="T1153" s="5" t="inlineStr"/>
      <c r="U1153" s="5" t="inlineStr"/>
      <c r="V1153" s="5" t="inlineStr">
        <is>
          <t>site-yoneticisi</t>
        </is>
      </c>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c r="AI1153" s="5" t="inlineStr"/>
      <c r="AJ1153" s="5" t="inlineStr"/>
    </row>
    <row r="1154">
      <c r="A1154" s="5" t="inlineStr">
        <is>
          <t>b9-torunun-sorusu</t>
        </is>
      </c>
      <c r="B1154" s="5" t="n">
        <v>1</v>
      </c>
      <c r="C1154" s="6" t="inlineStr">
        <is>
          <t>Doğruyu anlat</t>
        </is>
      </c>
      <c r="D1154" s="5" t="inlineStr"/>
      <c r="E1154" s="5" t="inlineStr"/>
      <c r="F1154" s="5" t="inlineStr">
        <is>
          <t>Akıl +1, Gönül +1</t>
        </is>
      </c>
      <c r="G1154" s="6" t="inlineStr">
        <is>
          <t>Ekrana parmakla yazdığınızı anlattın. Torun parmaklarına baktı: 'Acımıyor muydu?' Aile grubundaki sesli mesaj kavgalarını anlatman bir saat sürdü.</t>
        </is>
      </c>
      <c r="H1154" s="6" t="inlineStr"/>
      <c r="I1154" s="6" t="inlineStr"/>
      <c r="J1154" s="6" t="inlineStr"/>
      <c r="K1154" s="6" t="inlineStr"/>
      <c r="L1154" s="6" t="inlineStr"/>
      <c r="M1154" s="5" t="inlineStr"/>
      <c r="N1154" s="5" t="inlineStr"/>
      <c r="O1154" s="6" t="inlineStr"/>
      <c r="P1154" s="6" t="inlineStr"/>
      <c r="Q1154" s="5" t="inlineStr"/>
      <c r="R1154" s="5" t="inlineStr"/>
      <c r="S1154" s="5" t="inlineStr"/>
      <c r="T1154" s="5" t="inlineStr"/>
      <c r="U1154" s="5" t="inlineStr"/>
      <c r="V1154" s="5" t="inlineStr"/>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c r="AI1154" s="5" t="inlineStr"/>
      <c r="AJ1154" s="5" t="inlineStr"/>
    </row>
    <row r="1155">
      <c r="A1155" s="5" t="inlineStr">
        <is>
          <t>b9-torunun-sorusu</t>
        </is>
      </c>
      <c r="B1155" s="5" t="n">
        <v>2</v>
      </c>
      <c r="C1155" s="6" t="inlineStr">
        <is>
          <t>Abartarak anlat</t>
        </is>
      </c>
      <c r="D1155" s="5" t="inlineStr">
        <is>
          <t>Pişkinlik</t>
        </is>
      </c>
      <c r="E1155" s="5" t="inlineStr">
        <is>
          <t>Orta</t>
        </is>
      </c>
      <c r="F1155" s="5" t="inlineStr"/>
      <c r="G1155" s="6" t="inlineStr"/>
      <c r="H1155" s="6" t="inlineStr">
        <is>
          <t>Şarj bitince mesajları güvercinle yolladığınızı anlattın. Torun inandı, okulda anlattı. Öğretmen seni aradı.</t>
        </is>
      </c>
      <c r="I1155" s="6" t="inlineStr">
        <is>
          <t>Hikâyen öyle iyiydi ki torun onu ödev olarak yazdı ve sınıf birincisi oldu. Ödülünü sana getirdi: bir yıldız çıkartması, şimdi buzdolabında.</t>
        </is>
      </c>
      <c r="J1155" s="6" t="inlineStr">
        <is>
          <t>Abarttın; torun internetten kontrol etti. 'Bu yalan' dedi. Teknoloji seni yine yakaladı.</t>
        </is>
      </c>
      <c r="K1155" s="6" t="inlineStr">
        <is>
          <t>Abarttın ve kaptırdın: güvercinin adı bile vardı, Mektup Paşa. Bayramda torun bütün akrabaların önünde Mektup Paşa'yı sordu. Kardeşin 'Bizim evde kuş hiç olmadı' dedi; sofra güldü, torun ağladı.</t>
        </is>
      </c>
      <c r="L1155" s="6" t="inlineStr"/>
      <c r="M1155" s="5" t="inlineStr"/>
      <c r="N1155" s="5" t="inlineStr"/>
      <c r="O1155" s="6" t="inlineStr"/>
      <c r="P1155" s="6" t="inlineStr"/>
      <c r="Q1155" s="5" t="inlineStr"/>
      <c r="R1155" s="5" t="inlineStr"/>
      <c r="S1155" s="5" t="inlineStr"/>
      <c r="T1155" s="5" t="inlineStr"/>
      <c r="U1155" s="5" t="inlineStr"/>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c r="AI1155" s="5" t="inlineStr">
        <is>
          <t>Güvercinli</t>
        </is>
      </c>
      <c r="AJ1155" s="5" t="inlineStr"/>
    </row>
    <row r="1156">
      <c r="A1156" s="5" t="inlineStr">
        <is>
          <t>b9-torunun-sorusu</t>
        </is>
      </c>
      <c r="B1156" s="5" t="n">
        <v>3</v>
      </c>
      <c r="C1156" s="6" t="inlineStr">
        <is>
          <t>Tavla öğret</t>
        </is>
      </c>
      <c r="D1156" s="5" t="inlineStr">
        <is>
          <t>Kurnazlık</t>
        </is>
      </c>
      <c r="E1156" s="5" t="inlineStr">
        <is>
          <t>Kolay</t>
        </is>
      </c>
      <c r="F1156" s="5" t="inlineStr"/>
      <c r="G1156" s="6" t="inlineStr"/>
      <c r="H1156" s="6" t="inlineStr">
        <is>
          <t>Telefonu bıraktın, tavla öğrettin. Torun ikinci oyunda seni mars etti. 'Acemi şansı' dedin; üçüncüde de etti.</t>
        </is>
      </c>
      <c r="I1156" s="6" t="inlineStr">
        <is>
          <t>Torun tavlayı o kadar sevdi ki okulda bir lig kurdu. Adı: 'Kurt Ligi'. Kurucusu sensin.</t>
        </is>
      </c>
      <c r="J1156" s="6" t="inlineStr">
        <is>
          <t>Tavla öğrettin; torun sıkıldı ve telefonuna döndü. Telefonda bir tavla uygulaması açtı. Seni yendi.</t>
        </is>
      </c>
      <c r="K1156" s="6" t="inlineStr">
        <is>
          <t>Tavla öğrettin; torun ikinci oyunda senin eski bir hileni yakaladı. Akşam aile grubuna yazdı: 'Hile yapıyor, kanıtım var.' Videosu da vardı.</t>
        </is>
      </c>
      <c r="L1156" s="6" t="inlineStr"/>
      <c r="M1156" s="5" t="inlineStr"/>
      <c r="N1156" s="5" t="inlineStr"/>
      <c r="O1156" s="6" t="inlineStr"/>
      <c r="P1156" s="6" t="inlineStr"/>
      <c r="Q1156" s="5" t="inlineStr">
        <is>
          <t>Tavla Kurdu</t>
        </is>
      </c>
      <c r="R1156" s="5" t="inlineStr"/>
      <c r="S1156" s="5" t="inlineStr"/>
      <c r="T1156" s="5" t="inlineStr"/>
      <c r="U1156" s="5" t="inlineStr"/>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c r="AI1156" s="5" t="inlineStr"/>
      <c r="AJ1156" s="5" t="inlineStr"/>
    </row>
    <row r="1157">
      <c r="A1157" s="5" t="inlineStr">
        <is>
          <t>ms-son-roportaj</t>
        </is>
      </c>
      <c r="B1157" s="5" t="n">
        <v>1</v>
      </c>
      <c r="C1157" s="6" t="inlineStr">
        <is>
          <t>Dürüst cevap ver</t>
        </is>
      </c>
      <c r="D1157" s="5" t="inlineStr"/>
      <c r="E1157" s="5" t="inlineStr"/>
      <c r="F1157" s="5" t="inlineStr">
        <is>
          <t>İtibar +1</t>
        </is>
      </c>
      <c r="G1157" s="6" t="inlineStr">
        <is>
          <t>Cevabın 'Bilmiyorum' oldu. Öğrenci bunu tezine başlık yaptı.</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c r="AI1157" s="5" t="inlineStr"/>
      <c r="AJ1157" s="5" t="inlineStr"/>
    </row>
    <row r="1158">
      <c r="A1158" s="5" t="inlineStr">
        <is>
          <t>ms-son-roportaj</t>
        </is>
      </c>
      <c r="B1158" s="5" t="n">
        <v>2</v>
      </c>
      <c r="C1158" s="6" t="inlineStr">
        <is>
          <t>Efsane uydur</t>
        </is>
      </c>
      <c r="D1158" s="5" t="inlineStr">
        <is>
          <t>Pişkinlik</t>
        </is>
      </c>
      <c r="E1158" s="5" t="inlineStr">
        <is>
          <t>Orta</t>
        </is>
      </c>
      <c r="F1158" s="5" t="inlineStr"/>
      <c r="G1158" s="6" t="inlineStr"/>
      <c r="H1158" s="6" t="inlineStr">
        <is>
          <t>Bir koleksiyoncu, bir kayıp tablo ve bir fırtınalı gece anlattın. Tez çok beğenildi.</t>
        </is>
      </c>
      <c r="I1158" s="6" t="inlineStr">
        <is>
          <t>Uydurduğun hikâye o kadar sevildi ki üniversite ders kitabına girdi. Artık gerçek.</t>
        </is>
      </c>
      <c r="J1158" s="6" t="inlineStr">
        <is>
          <t>Öğrenci her şeyi kontrol etti. Fırtınalı gecenin hava durumu güneşli çıktı.</t>
        </is>
      </c>
      <c r="K1158" s="6" t="inlineStr">
        <is>
          <t>Hikâyeyi anlatırken üç kez farklı bitirdin. Tezin adı 'Güvenilmez Anlatıcı' oldu.</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c r="AI1158" s="5" t="inlineStr"/>
      <c r="AJ1158" s="5" t="inlineStr"/>
    </row>
    <row r="1159">
      <c r="A1159" s="5" t="inlineStr">
        <is>
          <t>ms-son-roportaj</t>
        </is>
      </c>
      <c r="B1159" s="5" t="n">
        <v>3</v>
      </c>
      <c r="C1159" s="6" t="inlineStr">
        <is>
          <t>'Tezine ücret ödeyemem ama görünürlük sağlarım' de</t>
        </is>
      </c>
      <c r="D1159" s="5" t="inlineStr">
        <is>
          <t>Kurnazlık</t>
        </is>
      </c>
      <c r="E1159" s="5" t="inlineStr">
        <is>
          <t>Kolay</t>
        </is>
      </c>
      <c r="F1159" s="5" t="inlineStr"/>
      <c r="G1159" s="6" t="inlineStr"/>
      <c r="H1159" s="6" t="inlineStr">
        <is>
          <t>Öğrenci güldü, sonra durdu: 'Ciddi misiniz?' Kırk yıl önce sen de aynı cümleyi kurmuştun; aynı yüzle.</t>
        </is>
      </c>
      <c r="I1159" s="6" t="inlineStr">
        <is>
          <t>Öğrenci 'Kabul' dedi. Tezin kapağında adın, altında 'görünürlük sponsoru' yazıyor.</t>
        </is>
      </c>
      <c r="J1159" s="6" t="inlineStr">
        <is>
          <t>Öğrenci şakayı anlamadı ve fatura kesmeye kalktı. Kaşesi yokmuş.</t>
        </is>
      </c>
      <c r="K1159" s="6" t="inlineStr">
        <is>
          <t>Öğrenci ciddi ciddi 'Kaç takipçiniz var?' diye sordu. Sayı yetmedi.</t>
        </is>
      </c>
      <c r="L1159" s="6" t="inlineStr"/>
      <c r="M1159" s="5" t="inlineStr"/>
      <c r="N1159" s="5" t="inlineStr"/>
      <c r="O1159" s="6" t="inlineStr"/>
      <c r="P1159" s="6" t="inlineStr"/>
      <c r="Q1159" s="5" t="inlineStr"/>
      <c r="R1159" s="5" t="inlineStr"/>
      <c r="S1159" s="5" t="inlineStr"/>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c r="AI1159" s="5" t="inlineStr"/>
      <c r="AJ1159" s="5" t="inlineStr"/>
    </row>
    <row r="1160">
      <c r="A1160" s="5" t="inlineStr">
        <is>
          <t>ms-son-roportaj</t>
        </is>
      </c>
      <c r="B1160" s="5" t="n">
        <v>4</v>
      </c>
      <c r="C1160" s="6" t="inlineStr">
        <is>
          <t>Fon başvurusu yazmayı öğret</t>
        </is>
      </c>
      <c r="D1160" s="5" t="inlineStr">
        <is>
          <t>Akıl</t>
        </is>
      </c>
      <c r="E1160" s="5" t="inlineStr">
        <is>
          <t>Kolay</t>
        </is>
      </c>
      <c r="F1160" s="5" t="inlineStr"/>
      <c r="G1160" s="6" t="inlineStr"/>
      <c r="H1160" s="6" t="inlineStr">
        <is>
          <t>Otuz sekiz sayfalık formun sırlarını anlattın. Öğrencin ilk başvurusunda fonu aldı.</t>
        </is>
      </c>
      <c r="I1160" s="6" t="inlineStr">
        <is>
          <t>Öğrencin fonu aldı ve teşekkür bölümüne seni yazdı. Doğru yazılmış.</t>
        </is>
      </c>
      <c r="J1160" s="6" t="inlineStr">
        <is>
          <t>Anlattın; bu yıl form yüz sayfaya çıkmış.</t>
        </is>
      </c>
      <c r="K1160" s="6" t="inlineStr">
        <is>
          <t>Öğrettiğin her şey eskimiş. Başvuruları artık bir yapay zekâ okuyor; otuz sekiz sayfanı tek satıra indirdi: 'Fazla duygusal.'</t>
        </is>
      </c>
      <c r="L1160" s="6" t="inlineStr"/>
      <c r="M1160" s="5" t="inlineStr"/>
      <c r="N1160" s="5" t="inlineStr"/>
      <c r="O1160" s="6" t="inlineStr"/>
      <c r="P1160" s="6" t="inlineStr"/>
      <c r="Q1160" s="5" t="inlineStr"/>
      <c r="R1160" s="5" t="inlineStr">
        <is>
          <t>serbest-fon-aldi</t>
        </is>
      </c>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c r="AI1160" s="5" t="inlineStr"/>
      <c r="AJ1160" s="5" t="inlineStr"/>
    </row>
    <row r="1161">
      <c r="A1161" s="5" t="inlineStr">
        <is>
          <t>b9-hayat-muhasebesi</t>
        </is>
      </c>
      <c r="B1161" s="5" t="n">
        <v>1</v>
      </c>
      <c r="C1161" s="6" t="inlineStr">
        <is>
          <t>Alkışla, pastayı kes</t>
        </is>
      </c>
      <c r="D1161" s="5" t="inlineStr"/>
      <c r="E1161" s="5" t="inlineStr"/>
      <c r="F1161" s="5" t="inlineStr">
        <is>
          <t>İtibar +1, Dayanıklılık +1</t>
        </is>
      </c>
      <c r="G1161" s="6" t="inlineStr">
        <is>
          <t>Alkışladın, pastayı kestin. Yetmiş mumun yarısı sönmedi; kalanını sofradaki en küçükler üfledi.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c r="AI1161" s="5" t="inlineStr"/>
      <c r="AJ1161" s="5" t="inlineStr"/>
    </row>
    <row r="1162">
      <c r="A1162" s="5" t="inlineStr">
        <is>
          <t>b9-hayat-muhasebesi</t>
        </is>
      </c>
      <c r="B1162" s="5" t="n">
        <v>2</v>
      </c>
      <c r="C1162" s="6" t="inlineStr">
        <is>
          <t>Her fotoğrafın hikâyesini anlat</t>
        </is>
      </c>
      <c r="D1162" s="5" t="inlineStr">
        <is>
          <t>Çene</t>
        </is>
      </c>
      <c r="E1162" s="5" t="inlineStr">
        <is>
          <t>Orta</t>
        </is>
      </c>
      <c r="F1162" s="5" t="inlineStr"/>
      <c r="G1162" s="6" t="inlineStr"/>
      <c r="H1162" s="6" t="inlineStr">
        <is>
          <t>Anlattın. Torunlar ilk kez dinledi. Bir saat sonra slaytların yarısında kaldınız.</t>
        </is>
      </c>
      <c r="I1162" s="6" t="inlineStr">
        <is>
          <t>Anlattığın her hikâyeyi sofradaki en küçük telefonuna kaydetti. Aile grubunda 'Büyüğümüzün sesi' diye bir klasör açıldı; en çok dinlenen, en çok abarttığın.</t>
        </is>
      </c>
      <c r="J1162" s="6" t="inlineStr">
        <is>
          <t>Anlatmaya başladın; slayt gösterisi seni beklemedi. Sen düğünü anlatırken ekranda mezuniyetin geçti, sonra bir kedi, sonra yine sen, bebekken. Hikâye bir türlü yetişemedi.</t>
        </is>
      </c>
      <c r="K1162" s="6" t="inlineStr">
        <is>
          <t>Anlattın ama fotoğraflardaki kişileri karıştırdın. Bir teyze, iki farklı düğünde gelin ilan edildi.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c r="AI1162" s="5" t="inlineStr"/>
      <c r="AJ1162" s="5" t="inlineStr"/>
    </row>
    <row r="1163">
      <c r="A1163" s="5" t="inlineStr">
        <is>
          <t>b9-hayat-muhasebesi</t>
        </is>
      </c>
      <c r="B1163" s="5" t="n">
        <v>3</v>
      </c>
      <c r="C1163" s="6" t="inlineStr">
        <is>
          <t>Vazo meselesini itiraf et</t>
        </is>
      </c>
      <c r="D1163" s="5" t="inlineStr">
        <is>
          <t>İtibar</t>
        </is>
      </c>
      <c r="E1163" s="5" t="inlineStr">
        <is>
          <t>Zor</t>
        </is>
      </c>
      <c r="F1163" s="5" t="inlineStr"/>
      <c r="G1163" s="6" t="inlineStr"/>
      <c r="H1163" s="6" t="inlineStr">
        <is>
          <t>İtiraf ettin: vazoyu sen kırmıştın. Salonda sessizlik. Sonra alkış. Kedinin adı yetmiş yıl sonra temize çıktı.</t>
        </is>
      </c>
      <c r="I1163" s="6" t="inlineStr">
        <is>
          <t>İtiraf ettin ve bir kardeşin de ayağa kalkıp başka bir vazoyu itiraf etti. Aile bir itiraf gecesine dönüştü.</t>
        </is>
      </c>
      <c r="J1163" s="6" t="inlineStr">
        <is>
          <t>İtiraf ettin; kimse şaşırmadı. 'Biliyorduk' dediler. Yetmiş yıl boyunca sadece sen bilmediğini sanmışsın.</t>
        </is>
      </c>
      <c r="K1163" s="6" t="inlineStr">
        <is>
          <t>İtiraf ettin; kedinin adına bir anma dakikası talep edildi. Yaş günün, kedinin yas günü oldu.</t>
        </is>
      </c>
      <c r="L1163" s="6" t="inlineStr"/>
      <c r="M1163" s="5" t="inlineStr"/>
      <c r="N1163" s="5" t="inlineStr"/>
      <c r="O1163" s="6" t="inlineStr"/>
      <c r="P1163" s="6" t="inlineStr"/>
      <c r="Q1163" s="5" t="inlineStr"/>
      <c r="R1163" s="5" t="inlineStr">
        <is>
          <t>kediSuclu</t>
        </is>
      </c>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c r="AI1163" s="5" t="inlineStr"/>
      <c r="AJ1163" s="5" t="inlineStr"/>
    </row>
    <row r="1164">
      <c r="A1164" s="5" t="inlineStr">
        <is>
          <t>b10-noter-vasiyet</t>
        </is>
      </c>
      <c r="B1164" s="5" t="n">
        <v>1</v>
      </c>
      <c r="C1164" s="6" t="inlineStr">
        <is>
          <t>Kaşığına kadar eşit böl</t>
        </is>
      </c>
      <c r="D1164" s="5" t="inlineStr"/>
      <c r="E1164" s="5" t="inlineStr"/>
      <c r="F1164" s="5" t="inlineStr">
        <is>
          <t>İtibar +1</t>
        </is>
      </c>
      <c r="G1164" s="6" t="inlineStr">
        <is>
          <t>Kaşıkları bile saydırdın, her şeyi eşit böldün. Herkes kendi payının en küçük olduğuna ayrı ayrı ikna oldu; bayramda her biri bunu sana ayrı ayrı anlattı.</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is>
          <t>vasiyet-yazildi</t>
        </is>
      </c>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c r="AI1164" s="5" t="inlineStr"/>
      <c r="AJ1164" s="5" t="inlineStr"/>
    </row>
    <row r="1165">
      <c r="A1165" s="5" t="inlineStr">
        <is>
          <t>b10-noter-vasiyet</t>
        </is>
      </c>
      <c r="B1165" s="5" t="n">
        <v>2</v>
      </c>
      <c r="C1165" s="6" t="inlineStr">
        <is>
          <t>Maddeleri tek tek yazdır</t>
        </is>
      </c>
      <c r="D1165" s="5" t="inlineStr">
        <is>
          <t>Akıl</t>
        </is>
      </c>
      <c r="E1165" s="5" t="inlineStr">
        <is>
          <t>Zor</t>
        </is>
      </c>
      <c r="F1165" s="5" t="inlineStr"/>
      <c r="G1165" s="6" t="inlineStr"/>
      <c r="H1165" s="6" t="inlineStr">
        <is>
          <t>Kırk iki madde, üç ek, bir dipnot. Katip son sayfayı imzalatırken iç çekti: 'Benim babam iki satırla gitti. Otuz yıldır küsüz.'</t>
        </is>
      </c>
      <c r="I1165" s="6" t="inlineStr">
        <is>
          <t>Vasiyet o kadar net oldu ki ailede küsecek kimse kalmadı. Avukat yeğenin bayram sofrasında ilk kez ağzını açmadı.</t>
        </is>
      </c>
      <c r="J1165" s="6" t="inlineStr">
        <is>
          <t>Madde sayısı yirmiyi geçince katip kalemi bıraktı: 'Gerisini haftaya yazalım.' Haftaya kadar fikrin iki kez değişti.</t>
        </is>
      </c>
      <c r="K1165" s="6" t="inlineStr">
        <is>
          <t>Çaydanlığı üç ayrı maddede üç ayrı kişiye bıraktın. Şahit bakkal bunu akşama bütün mahalleye anlattı. Bayramda üç yeğen çaydanlığın başına dikildi; o gün kimse çay içemedi.</t>
        </is>
      </c>
      <c r="L1165" s="6" t="inlineStr"/>
      <c r="M1165" s="5" t="inlineStr"/>
      <c r="N1165" s="5" t="inlineStr"/>
      <c r="O1165" s="6" t="inlineStr"/>
      <c r="P1165" s="6" t="inlineStr"/>
      <c r="Q1165" s="5" t="inlineStr"/>
      <c r="R1165" s="5" t="inlineStr"/>
      <c r="S1165" s="5" t="inlineStr"/>
      <c r="T1165" s="5" t="inlineStr">
        <is>
          <t>Hayat Arşivcisi</t>
        </is>
      </c>
      <c r="U1165" s="5" t="inlineStr"/>
      <c r="V1165" s="5" t="inlineStr">
        <is>
          <t>vasiyet-yazildi</t>
        </is>
      </c>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c r="AI1165" s="5" t="inlineStr"/>
      <c r="AJ1165" s="5" t="inlineStr"/>
    </row>
    <row r="1166">
      <c r="A1166" s="5" t="inlineStr">
        <is>
          <t>b10-noter-vasiyet</t>
        </is>
      </c>
      <c r="B1166" s="5" t="n">
        <v>3</v>
      </c>
      <c r="C1166" s="6" t="inlineStr">
        <is>
          <t>Vasiyete bir mavi kutu ekle</t>
        </is>
      </c>
      <c r="D1166" s="5" t="inlineStr">
        <is>
          <t>Pişkinlik</t>
        </is>
      </c>
      <c r="E1166" s="5" t="inlineStr">
        <is>
          <t>Orta</t>
        </is>
      </c>
      <c r="F1166" s="5" t="inlineStr"/>
      <c r="G1166" s="6" t="inlineStr"/>
      <c r="H1166" s="6" t="inlineStr">
        <is>
          <t>'Mavi kutu, onu hak eden kişiye.' Katip yazarken güldü. O akşam aile grubunda 'hak etmek' kelimesinin anlamı tartışıldı.</t>
        </is>
      </c>
      <c r="I1166" s="6" t="inlineStr">
        <is>
          <t>Mavi kutuyu kimse bulamadı. Akrabalar dolapların üstüne, yatağın altına, turşu kavanozlarının arkasına baktı; ev hiç bu kadar temiz olmamıştı. Sen çayını içip izledin.</t>
        </is>
      </c>
      <c r="J1166" s="6" t="inlineStr">
        <is>
          <t>Katip 'Mavi kutu ne, nerede?' diye sordu. 'Sonra söylerim' dedin. Katip 'Sonrası olmayabilir' demedi ama yüzü dedi; madde yazılmadı.</t>
        </is>
      </c>
      <c r="K1166" s="6" t="inlineStr">
        <is>
          <t>En meraklı yeğenin mavi kutuyu dolabın üstünde buldu, dayanamadı, açtı. İçinden otuz yıllık elektrik faturaları çıktı. O günden beri akrabalar seni eskisi kadar sık aramıyor.</t>
        </is>
      </c>
      <c r="L1166" s="6" t="inlineStr"/>
      <c r="M1166" s="5" t="inlineStr"/>
      <c r="N1166" s="5" t="inlineStr"/>
      <c r="O1166" s="6" t="inlineStr"/>
      <c r="P1166" s="6" t="inlineStr"/>
      <c r="Q1166" s="5" t="inlineStr"/>
      <c r="R1166" s="5" t="inlineStr"/>
      <c r="S1166" s="5" t="inlineStr"/>
      <c r="T1166" s="5" t="inlineStr"/>
      <c r="U1166" s="5" t="inlineStr">
        <is>
          <t>vasiyet-yazildi</t>
        </is>
      </c>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c r="AI1166" s="5" t="inlineStr"/>
      <c r="AJ1166" s="5" t="inlineStr"/>
    </row>
    <row r="1167">
      <c r="A1167" s="5" t="inlineStr">
        <is>
          <t>b10-noter-vasiyet</t>
        </is>
      </c>
      <c r="B1167" s="5" t="n">
        <v>4</v>
      </c>
      <c r="C1167" s="6" t="inlineStr">
        <is>
          <t>Kumbaranın yerini de yazdır</t>
        </is>
      </c>
      <c r="D1167" s="5" t="inlineStr"/>
      <c r="E1167" s="5" t="inlineStr"/>
      <c r="F1167" s="5" t="inlineStr">
        <is>
          <t>Kurnazlık +1</t>
        </is>
      </c>
      <c r="G1167" s="6" t="inlineStr">
        <is>
          <t>Çocukluktan kalan kumbara vasiyete işlendi. İçindeki bozuklukların alım gücü bir simit, manevi değeri bir ev.</t>
        </is>
      </c>
      <c r="H1167" s="6" t="inlineStr"/>
      <c r="I1167" s="6" t="inlineStr"/>
      <c r="J1167" s="6" t="inlineStr"/>
      <c r="K1167" s="6" t="inlineStr"/>
      <c r="L1167" s="6" t="inlineStr"/>
      <c r="M1167" s="5" t="inlineStr"/>
      <c r="N1167" s="5" t="inlineStr"/>
      <c r="O1167" s="6" t="inlineStr"/>
      <c r="P1167" s="6" t="inlineStr"/>
      <c r="Q1167" s="5" t="inlineStr"/>
      <c r="R1167" s="5" t="inlineStr">
        <is>
          <t>ilkKelimePara</t>
        </is>
      </c>
      <c r="S1167" s="5" t="inlineStr"/>
      <c r="T1167" s="5" t="inlineStr"/>
      <c r="U1167" s="5" t="inlineStr">
        <is>
          <t>vasiyet-yazildi</t>
        </is>
      </c>
      <c r="V1167" s="5" t="inlineStr"/>
      <c r="W1167" s="5" t="inlineStr"/>
      <c r="X1167" s="5" t="inlineStr"/>
      <c r="Y1167" s="5" t="inlineStr"/>
      <c r="Z1167" s="6" t="inlineStr"/>
      <c r="AA1167" s="5" t="inlineStr"/>
      <c r="AB1167" s="5" t="inlineStr"/>
      <c r="AC1167" s="5" t="inlineStr"/>
      <c r="AD1167" s="5" t="inlineStr"/>
      <c r="AE1167" s="5" t="inlineStr"/>
      <c r="AF1167" s="5" t="inlineStr"/>
      <c r="AG1167" s="5" t="inlineStr"/>
      <c r="AH1167" s="5" t="inlineStr"/>
      <c r="AI1167" s="5" t="inlineStr"/>
      <c r="AJ1167" s="5" t="inlineStr"/>
    </row>
    <row r="1168">
      <c r="A1168" s="5" t="inlineStr">
        <is>
          <t>b10-miras-provasi</t>
        </is>
      </c>
      <c r="B1168" s="5" t="n">
        <v>1</v>
      </c>
      <c r="C1168" s="6" t="inlineStr">
        <is>
          <t>'Ben daha buradayım' de</t>
        </is>
      </c>
      <c r="D1168" s="5" t="inlineStr"/>
      <c r="E1168" s="5" t="inlineStr"/>
      <c r="F1168" s="5" t="inlineStr">
        <is>
          <t>Cesaret +1</t>
        </is>
      </c>
      <c r="G1168" s="6" t="inlineStr">
        <is>
          <t>'Ben daha buradayım' dedin. Çatallar sessizce yeniden kalktı. Tatlıyı getiren en küçük çocuğun ilk dilimi sana uzattı, en büyüğünü; herkes gördü.</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c r="AI1168" s="5" t="inlineStr"/>
      <c r="AJ1168" s="5" t="inlineStr"/>
    </row>
    <row r="1169">
      <c r="A1169" s="5" t="inlineStr">
        <is>
          <t>b10-miras-provasi</t>
        </is>
      </c>
      <c r="B1169" s="5" t="n">
        <v>2</v>
      </c>
      <c r="C1169" s="6" t="inlineStr">
        <is>
          <t>Sahte bir liste okut</t>
        </is>
      </c>
      <c r="D1169" s="5" t="inlineStr">
        <is>
          <t>Kurnazlık</t>
        </is>
      </c>
      <c r="E1169" s="5" t="inlineStr">
        <is>
          <t>Orta</t>
        </is>
      </c>
      <c r="F1169" s="5" t="inlineStr"/>
      <c r="G1169" s="6" t="inlineStr"/>
      <c r="H1169" s="6" t="inlineStr">
        <is>
          <t>Sahte listede takımı en küçük torununa yazdın. Masada üç kişi aynı anda 'Neden o?' dedi. Kimin neyi istediği artık belli.</t>
        </is>
      </c>
      <c r="I1169" s="6" t="inlineStr">
        <is>
          <t>Sahte listeyi okuttun. Adını en üstte görmek isteyen herkes birden hizmete geçti: biri bulaşığı yıkadı, biri çayı demledi, biri üç aydır takılmayan perdeyi taktı. Liste o akşam iki kez daha okundu.</t>
        </is>
      </c>
      <c r="J1169" s="6" t="inlineStr">
        <is>
          <t>Liste okununca kimse tepki vermedi. Herkes kendi gerçek listesini zaten hazırlamıştı.</t>
        </is>
      </c>
      <c r="K1169" s="6" t="inlineStr">
        <is>
          <t>Sahte listeyi gerçek sanan en küçük çocuğunun eşi, takımı o gece gazete kâğıdına sarıp götürdü. Sabah vitrinde tek bir şekerlik kaldı; içinde bir not: 'Siz söylemiştiniz.'</t>
        </is>
      </c>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c r="AI1169" s="5" t="inlineStr"/>
      <c r="AJ1169" s="5" t="inlineStr"/>
    </row>
    <row r="1170">
      <c r="A1170" s="5" t="inlineStr">
        <is>
          <t>b10-miras-provasi</t>
        </is>
      </c>
      <c r="B1170" s="5" t="n">
        <v>3</v>
      </c>
      <c r="C1170" s="6" t="inlineStr">
        <is>
          <t>'Masanın sol ucu, konuşalım' de</t>
        </is>
      </c>
      <c r="D1170" s="5" t="inlineStr">
        <is>
          <t>Sosyal Radar</t>
        </is>
      </c>
      <c r="E1170" s="5" t="inlineStr">
        <is>
          <t>Kolay</t>
        </is>
      </c>
      <c r="F1170" s="5" t="inlineStr"/>
      <c r="G1170" s="6" t="inlineStr"/>
      <c r="H1170" s="6" t="inlineStr">
        <is>
          <t>Asıl isteyeni adıyla çağırdın. Kızardı: 'Senden bir hatıra olsun istedim, o kadar.' Takım şimdilik vitrinde, ama kimin olacağı belli.</t>
        </is>
      </c>
      <c r="I1170" s="6" t="inlineStr">
        <is>
          <t>Sol uç çözüldü, sağ uç da kendi derdini söyledi. Mesele takım değilmiş; ikisi de sana daha sık gelmek için bahane arıyormuş.</t>
        </is>
      </c>
      <c r="J1170" s="6" t="inlineStr">
        <is>
          <t>Sol uç 'Ben mi?' dedi, sağ uç güldü, ortadaki tatlıya uzandı. Takım vitrinde kaldı; bir sonraki pazar herkes yine vitrine bakarak oturdu.</t>
        </is>
      </c>
      <c r="K1170" s="6" t="inlineStr">
        <is>
          <t>Yanlış kişiyi çağırdın. O kişi takımı hiç istememişti; şimdi istiyor.</t>
        </is>
      </c>
      <c r="L1170" s="6" t="inlineStr"/>
      <c r="M1170" s="5" t="inlineStr"/>
      <c r="N1170" s="5" t="inlineStr"/>
      <c r="O1170" s="6" t="inlineStr"/>
      <c r="P1170" s="6" t="inlineStr"/>
      <c r="Q1170" s="5" t="inlineStr"/>
      <c r="R1170" s="5" t="inlineStr"/>
      <c r="S1170" s="5" t="inlineStr">
        <is>
          <t>Sosyal Radar</t>
        </is>
      </c>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c r="AI1170" s="5" t="inlineStr"/>
      <c r="AJ1170" s="5" t="inlineStr"/>
    </row>
    <row r="1171">
      <c r="A1171" s="5" t="inlineStr">
        <is>
          <t>b10-miras-provasi</t>
        </is>
      </c>
      <c r="B1171" s="5" t="n">
        <v>4</v>
      </c>
      <c r="C1171" s="6" t="inlineStr">
        <is>
          <t>Takımı hemen hediye et</t>
        </is>
      </c>
      <c r="D1171" s="5" t="inlineStr"/>
      <c r="E1171" s="5" t="inlineStr"/>
      <c r="F1171" s="5" t="inlineStr">
        <is>
          <t>Gönül +1</t>
        </is>
      </c>
      <c r="G1171" s="6" t="inlineStr">
        <is>
          <t>Takımı oracıkta paketletip soran kişiye verdin. Masa alkışladı. Akşam aile grubuna vitrinin fotoğrafı düştü; kimin attığı belli değil, ama halı ile avize kırmızı daireye alınmış.</t>
        </is>
      </c>
      <c r="H1171" s="6" t="inlineStr"/>
      <c r="I1171" s="6" t="inlineStr"/>
      <c r="J1171" s="6" t="inlineStr"/>
      <c r="K1171" s="6" t="inlineStr"/>
      <c r="L1171" s="6" t="inlineStr"/>
      <c r="M1171" s="5" t="inlineStr"/>
      <c r="N1171" s="5" t="inlineStr"/>
      <c r="O1171" s="6" t="inlineStr"/>
      <c r="P1171" s="6" t="inlineStr"/>
      <c r="Q1171" s="5" t="inlineStr"/>
      <c r="R1171" s="5" t="inlineStr"/>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c r="AI1171" s="5" t="inlineStr"/>
      <c r="AJ1171" s="5" t="inlineStr"/>
    </row>
    <row r="1172">
      <c r="A1172" s="5" t="inlineStr">
        <is>
          <t>b10-teknoloji-kursu</t>
        </is>
      </c>
      <c r="B1172" s="5" t="n">
        <v>1</v>
      </c>
      <c r="C1172" s="6" t="inlineStr">
        <is>
          <t>Not al, sessizce öğren</t>
        </is>
      </c>
      <c r="D1172" s="5" t="inlineStr"/>
      <c r="E1172" s="5" t="inlineStr"/>
      <c r="F1172" s="5" t="inlineStr">
        <is>
          <t>Akıl +1</t>
        </is>
      </c>
      <c r="G1172" s="6" t="inlineStr">
        <is>
          <t>Defterine kırk adım yazdın; kırk birincisi 'Gözlüğü tak'. Ertesi ay telefon yine güncellendi. Defter hâlâ çok düzenli.</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c r="AI1172" s="5" t="inlineStr"/>
      <c r="AJ1172" s="5" t="inlineStr"/>
    </row>
    <row r="1173">
      <c r="A1173" s="5" t="inlineStr">
        <is>
          <t>b10-teknoloji-kursu</t>
        </is>
      </c>
      <c r="B1173" s="5" t="n">
        <v>2</v>
      </c>
      <c r="C1173" s="6" t="inlineStr">
        <is>
          <t>Aile grubuna sesli mesaj gönder</t>
        </is>
      </c>
      <c r="D1173" s="5" t="inlineStr">
        <is>
          <t>Pişkinlik</t>
        </is>
      </c>
      <c r="E1173" s="5" t="inlineStr">
        <is>
          <t>Orta</t>
        </is>
      </c>
      <c r="F1173" s="5" t="inlineStr"/>
      <c r="G1173" s="6" t="inlineStr"/>
      <c r="H1173" s="6" t="inlineStr">
        <is>
          <t>Kırk saniyelik sesli mesajı ilk denemede, parmağın kaymadan gönderdin. Gruba on iki kalp geldi; kursta örnek diye dinletildi.</t>
        </is>
      </c>
      <c r="I1173" s="6" t="inlineStr">
        <is>
          <t>Sesli mesajın o kadar sevildi ki aile grubu her sabah 'Günaydın'ı senden bekliyor. Bir sabah atmadın; öğlene kadar üç kişi kapına geldi.</t>
        </is>
      </c>
      <c r="J1173" s="6" t="inlineStr">
        <is>
          <t>Mesajın yirmi saniyesi 'Bu çalışıyor mu?' oldu, kalan on saniyesi nefes sesi. Gruba üç kişi aynı anda yazdı: 'İyi misin?'</t>
        </is>
      </c>
      <c r="K1173" s="6" t="inlineStr">
        <is>
          <t>Kaydı bitirdiğini sanıp telefonu cebine koydun. Aile grubu üç dakika boyunca pazar alışverişini dinledi; domatesçiyle pazarlığın dahil.</t>
        </is>
      </c>
      <c r="L1173" s="6" t="inlineStr">
        <is>
          <t>Mesaj gitti ama son cümlen 'Şimdi bırakıyor muyum…' diye bitti. Aile grubu üç gülme ifadesi gönderdi.</t>
        </is>
      </c>
      <c r="M1173" s="5" t="inlineStr">
        <is>
          <t>timing</t>
        </is>
      </c>
      <c r="N1173" s="5" t="inlineStr">
        <is>
          <t>Sesli Mesaj</t>
        </is>
      </c>
      <c r="O1173" s="6" t="inlineStr">
        <is>
          <t>İbre yeşil alandayken DURDUR'a bas. Art arda tutturdukça kombo kazanırsın.</t>
        </is>
      </c>
      <c r="P1173" s="6" t="n"/>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c r="AI1173" s="5" t="inlineStr">
        <is>
          <t>Cep Radyosu</t>
        </is>
      </c>
      <c r="AJ1173" s="5" t="inlineStr"/>
    </row>
    <row r="1174">
      <c r="A1174" s="5" t="inlineStr">
        <is>
          <t>b10-teknoloji-kursu</t>
        </is>
      </c>
      <c r="B1174" s="5" t="n">
        <v>3</v>
      </c>
      <c r="C1174" s="6" t="inlineStr">
        <is>
          <t>Eğitmene ders ver</t>
        </is>
      </c>
      <c r="D1174" s="5" t="inlineStr">
        <is>
          <t>Akıl</t>
        </is>
      </c>
      <c r="E1174" s="5" t="inlineStr">
        <is>
          <t>Zor</t>
        </is>
      </c>
      <c r="F1174" s="5" t="inlineStr"/>
      <c r="G1174" s="6" t="inlineStr"/>
      <c r="H1174" s="6" t="inlineStr">
        <is>
          <t>Kısayolu gösterdin. Yirmi iki yaşındaki eğitmen telefonunu çıkarıp not aldı: 'Bunu ben de bilmiyordum.' Teneffüste sınıf seni çay sırasına ilk soktu.</t>
        </is>
      </c>
      <c r="I1174" s="6" t="inlineStr">
        <is>
          <t>Kursun ikinci döneminde eğitmen sensin. Belediye maaş değil, çay ikram ediyor.</t>
        </is>
      </c>
      <c r="J1174" s="6" t="inlineStr">
        <is>
          <t>Kısayolu gösterdin. Eğitmen 'O eski sürümde vardı' dedi. Sınıf yine ona döndü.</t>
        </is>
      </c>
      <c r="K1174" s="6" t="inlineStr">
        <is>
          <t>Kısayola bastın; sınıftaki bütün telefonlar aynı anda aynı türküyü çalmaya başladı. Kapatmayı kimse bilmiyordu, sen de. Kurs o gün türküyle bitti; ertesi dönem sana davet gelmedi.</t>
        </is>
      </c>
      <c r="L1174" s="6" t="inlineStr"/>
      <c r="M1174" s="5" t="inlineStr"/>
      <c r="N1174" s="5" t="inlineStr"/>
      <c r="O1174" s="6" t="inlineStr"/>
      <c r="P1174" s="6" t="inlineStr"/>
      <c r="Q1174" s="5" t="inlineStr">
        <is>
          <t>Şifreyi Bilen</t>
        </is>
      </c>
      <c r="R1174" s="5" t="inlineStr"/>
      <c r="S1174" s="5" t="inlineStr"/>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c r="AI1174" s="5" t="inlineStr"/>
      <c r="AJ1174" s="5" t="inlineStr"/>
    </row>
    <row r="1175">
      <c r="A1175" s="5" t="inlineStr">
        <is>
          <t>b10-teknoloji-kursu</t>
        </is>
      </c>
      <c r="B1175" s="5" t="n">
        <v>4</v>
      </c>
      <c r="C1175" s="6" t="inlineStr">
        <is>
          <t>Kursu yarıda bırak</t>
        </is>
      </c>
      <c r="D1175" s="5" t="inlineStr"/>
      <c r="E1175" s="5" t="inlineStr"/>
      <c r="F1175" s="5" t="inlineStr">
        <is>
          <t>Pişkinlik +1</t>
        </is>
      </c>
      <c r="G1175" s="6" t="inlineStr">
        <is>
          <t>Kursu üçüncü haftada bıraktın. Telefonla ilgili ne sorun olursa yeğenini arıyorsun; telefonla. Yazı boyutu hâlâ en büyükte, ekrana üç kelime sığıyor.</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c r="AI1175" s="5" t="inlineStr"/>
      <c r="AJ1175" s="5" t="inlineStr"/>
    </row>
    <row r="1176">
      <c r="A1176" s="5" t="inlineStr">
        <is>
          <t>b10-balkon-kulesi</t>
        </is>
      </c>
      <c r="B1176" s="5" t="n">
        <v>1</v>
      </c>
      <c r="C1176" s="6" t="inlineStr">
        <is>
          <t>Sadece izle</t>
        </is>
      </c>
      <c r="D1176" s="5" t="inlineStr"/>
      <c r="E1176" s="5" t="inlineStr"/>
      <c r="F1176" s="5" t="inlineStr">
        <is>
          <t>Sosyal Radar +1</t>
        </is>
      </c>
      <c r="G1176" s="6" t="inlineStr">
        <is>
          <t>Akşama kadar izledin: iki taşınma, bir kavga, bir yanlış teslimat. Akşam telefonda 'Ne var ne yok?' dediler. Kırk dakika anlattın.</t>
        </is>
      </c>
      <c r="H1176" s="6" t="inlineStr"/>
      <c r="I1176" s="6" t="inlineStr"/>
      <c r="J1176" s="6" t="inlineStr"/>
      <c r="K1176" s="6" t="inlineStr"/>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c r="AI1176" s="5" t="inlineStr"/>
      <c r="AJ1176" s="5" t="inlineStr"/>
    </row>
    <row r="1177">
      <c r="A1177" s="5" t="inlineStr">
        <is>
          <t>b10-balkon-kulesi</t>
        </is>
      </c>
      <c r="B1177" s="5" t="n">
        <v>2</v>
      </c>
      <c r="C1177" s="6" t="inlineStr">
        <is>
          <t>Mahalle grubuna günlük rapor yaz</t>
        </is>
      </c>
      <c r="D1177" s="5" t="inlineStr">
        <is>
          <t>Sosyal Radar</t>
        </is>
      </c>
      <c r="E1177" s="5" t="inlineStr">
        <is>
          <t>Zor</t>
        </is>
      </c>
      <c r="F1177" s="5" t="inlineStr"/>
      <c r="G1177" s="6" t="inlineStr"/>
      <c r="H1177" s="6" t="inlineStr">
        <is>
          <t>Sabah raporun düşmeden kimse evden çıkmıyor: 'Öğleden sonra yağmur var. Dördüncü katın damadı yine geç geldi.' İkinci madde yüzünden bir aile gruptan çıktı, on iki aile katıldı.</t>
        </is>
      </c>
      <c r="I1177" s="6" t="inlineStr">
        <is>
          <t>Aynı gün kayıp bir paketi, kaçan bir kediyi ve kapıcının anahtarını buldun. Kapıcı o günden beri sana sabah çayı getiriyor.</t>
        </is>
      </c>
      <c r="J1177" s="6" t="inlineStr">
        <is>
          <t>Grup yöneticisi raporunu sildi, altına 'Lütfen konu dışı yazmayalım' ekledi. Ertesi sabah yine yazdın.</t>
        </is>
      </c>
      <c r="K1177" s="6" t="inlineStr">
        <is>
          <t>Karşı balkondaki komşu gruba senin fotoğrafını attı: sabahlıkla, elinde dürbün. Altına 'Sabah raporu' yazmış. Bir hafta perdeyi açamadın.</t>
        </is>
      </c>
      <c r="L1177" s="6" t="inlineStr"/>
      <c r="M1177" s="5" t="inlineStr"/>
      <c r="N1177" s="5" t="inlineStr"/>
      <c r="O1177" s="6" t="inlineStr"/>
      <c r="P1177" s="6" t="inlineStr"/>
      <c r="Q1177" s="5" t="inlineStr"/>
      <c r="R1177" s="5" t="inlineStr"/>
      <c r="S1177" s="5" t="inlineStr"/>
      <c r="T1177" s="5" t="inlineStr">
        <is>
          <t>Balkon Müfettişi</t>
        </is>
      </c>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c r="AI1177" s="5" t="inlineStr">
        <is>
          <t>Dürbün</t>
        </is>
      </c>
      <c r="AJ1177" s="5" t="inlineStr"/>
    </row>
    <row r="1178">
      <c r="A1178" s="5" t="inlineStr">
        <is>
          <t>b10-balkon-kulesi</t>
        </is>
      </c>
      <c r="B1178" s="5" t="n">
        <v>3</v>
      </c>
      <c r="C1178" s="6" t="inlineStr">
        <is>
          <t>Sarkıp aşağıdaki tartışmaya katıl</t>
        </is>
      </c>
      <c r="D1178" s="5" t="inlineStr">
        <is>
          <t>Cesaret</t>
        </is>
      </c>
      <c r="E1178" s="5" t="inlineStr">
        <is>
          <t>Orta</t>
        </is>
      </c>
      <c r="F1178" s="5" t="inlineStr"/>
      <c r="G1178" s="6" t="inlineStr"/>
      <c r="H1178" s="6" t="inlineStr">
        <is>
          <t>Tek cümleyle park kavgasını çözdün. İki şoför de sana teşekkür etti.</t>
        </is>
      </c>
      <c r="I1178" s="6" t="inlineStr">
        <is>
          <t>'Sen geri gel, sen de şu boşluğa çek!' diye seslendin. İki şoför itiraz edemedi, arabalar yer değiştirdi. Biri yukarı bir simit fırlattı; ilk atışta yakaladın.</t>
        </is>
      </c>
      <c r="J1178" s="6" t="inlineStr">
        <is>
          <t>Bağırdın, sesin aşağı ulaşmadı. Aşağıdakiler kavgayı bitirip gitti; sen hâlâ 'Ben gördüm, sağ arka çamurluk!' diyordun.</t>
        </is>
      </c>
      <c r="K1178" s="6" t="inlineStr">
        <is>
          <t>Balkondan biraz fazla sarktın; terliğin aşağıya, şoförün kaputuna düştü. İki şoför anında barıştı ve birlikte sana bağırdı. Terliği kapıcı getirdi; bir ay boyunca her gün hatırlattı.</t>
        </is>
      </c>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n">
        <v>3</v>
      </c>
      <c r="Z1178" s="6" t="inlineStr">
        <is>
          <t>Balkondan aşağıdaki park tartışmasına hakem olarak katılırken. Kararı hâlâ geçerli.</t>
        </is>
      </c>
      <c r="AA1178" s="5" t="inlineStr"/>
      <c r="AB1178" s="5" t="inlineStr"/>
      <c r="AC1178" s="5" t="inlineStr"/>
      <c r="AD1178" s="5" t="inlineStr"/>
      <c r="AE1178" s="5" t="inlineStr"/>
      <c r="AF1178" s="5" t="inlineStr"/>
      <c r="AG1178" s="5" t="inlineStr"/>
      <c r="AH1178" s="5" t="inlineStr"/>
      <c r="AI1178" s="5" t="inlineStr"/>
      <c r="AJ1178" s="5" t="inlineStr"/>
    </row>
    <row r="1179">
      <c r="A1179" s="5" t="inlineStr">
        <is>
          <t>b10-balkon-kulesi</t>
        </is>
      </c>
      <c r="B1179" s="5" t="n">
        <v>4</v>
      </c>
      <c r="C1179" s="6" t="inlineStr">
        <is>
          <t>Termosu yenile, perdeyi çek</t>
        </is>
      </c>
      <c r="D1179" s="5" t="inlineStr"/>
      <c r="E1179" s="5" t="inlineStr"/>
      <c r="F1179" s="5" t="inlineStr">
        <is>
          <t>Dayanıklılık +1</t>
        </is>
      </c>
      <c r="G1179" s="6" t="inlineStr">
        <is>
          <t>Perdeyi çektin, kanepeye uzandın. Bir saat sonra kapıcı zili çaldı: 'İyi misiniz? Balkonda göremeyince korktuk.'</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c r="AI1179" s="5" t="inlineStr"/>
      <c r="AJ1179" s="5" t="inlineStr"/>
    </row>
    <row r="1180">
      <c r="A1180" s="5" t="inlineStr">
        <is>
          <t>b10-sinif-bulusmasi</t>
        </is>
      </c>
      <c r="B1180" s="5" t="n">
        <v>1</v>
      </c>
      <c r="C1180" s="6" t="inlineStr">
        <is>
          <t>Herkesi tek tek dinle</t>
        </is>
      </c>
      <c r="D1180" s="5" t="inlineStr"/>
      <c r="E1180" s="5" t="inlineStr"/>
      <c r="F1180" s="5" t="inlineStr">
        <is>
          <t>Sosyal Radar +1, Gönül +1</t>
        </is>
      </c>
      <c r="G1180" s="6" t="inlineStr">
        <is>
          <t>On bir hayat, üç saat, dört demlik çay. Kimse sınav notunu hatırlamıyor, herkes teneffüsü hatırlıyor.</t>
        </is>
      </c>
      <c r="H1180" s="6" t="inlineStr"/>
      <c r="I1180" s="6" t="inlineStr"/>
      <c r="J1180" s="6" t="inlineStr"/>
      <c r="K1180" s="6" t="inlineStr"/>
      <c r="L1180" s="6" t="inlineStr"/>
      <c r="M1180" s="5" t="inlineStr"/>
      <c r="N1180" s="5" t="inlineStr"/>
      <c r="O1180" s="6" t="inlineStr"/>
      <c r="P1180" s="6" t="inlineStr"/>
      <c r="Q1180" s="5" t="inlineStr"/>
      <c r="R1180" s="5" t="inlineStr"/>
      <c r="S1180" s="5" t="inlineStr"/>
      <c r="T1180" s="5" t="inlineStr"/>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c r="AI1180" s="5" t="inlineStr"/>
      <c r="AJ1180" s="5" t="inlineStr"/>
    </row>
    <row r="1181">
      <c r="A1181" s="5" t="inlineStr">
        <is>
          <t>b10-sinif-bulusmasi</t>
        </is>
      </c>
      <c r="B1181" s="5" t="n">
        <v>2</v>
      </c>
      <c r="C1181" s="6" t="inlineStr">
        <is>
          <t>Eski bir sırrı nihayet açıkla</t>
        </is>
      </c>
      <c r="D1181" s="5" t="inlineStr">
        <is>
          <t>Pişkinlik</t>
        </is>
      </c>
      <c r="E1181" s="5" t="inlineStr">
        <is>
          <t>Orta</t>
        </is>
      </c>
      <c r="F1181" s="5" t="inlineStr"/>
      <c r="G1181" s="6" t="inlineStr"/>
      <c r="H1181" s="6" t="inlineStr">
        <is>
          <t>Kırık tebeşirleri senin sakladığını söyledin. Masadakiler bir an sustu, sonra eski öğretmenin sesini taklit ettiler: 'Kim yaptı bunu?' Altmış yedi yıl sonra zaman aşımından beraat ettin.</t>
        </is>
      </c>
      <c r="I1181" s="6" t="inlineStr">
        <is>
          <t>İtirafın öyle sevildi ki herkes sırayla kendi sırrını döktü. Öğretmenin gözlüğünü kimin sakladığı da bunca yıl sonra çözüldü.</t>
        </is>
      </c>
      <c r="J1181" s="6" t="inlineStr">
        <is>
          <t>Sırrı açıkladın. Kimse hatırlamadı. Bunca yıl vicdanını boşuna taşımışsın.</t>
        </is>
      </c>
      <c r="K1181" s="6" t="inlineStr">
        <is>
          <t>Sırrı açıkladın; o gün senin yerine cezayı çeken kişi tam karşında oturuyordu. Bunca yıl sonra ilk sözü 'Biliyordum' oldu. Çayları sen ödedin.</t>
        </is>
      </c>
      <c r="L1181" s="6" t="inlineStr"/>
      <c r="M1181" s="5" t="inlineStr"/>
      <c r="N1181" s="5" t="inlineStr"/>
      <c r="O1181" s="6" t="inlineStr"/>
      <c r="P1181" s="6" t="inlineStr"/>
      <c r="Q1181" s="5" t="inlineStr"/>
      <c r="R1181" s="5" t="inlineStr"/>
      <c r="S1181" s="5" t="inlineStr"/>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c r="AI1181" s="5" t="inlineStr"/>
      <c r="AJ1181" s="5" t="inlineStr"/>
    </row>
    <row r="1182">
      <c r="A1182" s="5" t="inlineStr">
        <is>
          <t>b10-sinif-bulusmasi</t>
        </is>
      </c>
      <c r="B1182" s="5" t="n">
        <v>3</v>
      </c>
      <c r="C1182" s="6" t="inlineStr">
        <is>
          <t>Yoklama al</t>
        </is>
      </c>
      <c r="D1182" s="5" t="inlineStr"/>
      <c r="E1182" s="5" t="inlineStr"/>
      <c r="F1182" s="5" t="inlineStr">
        <is>
          <t>Çene +1</t>
        </is>
      </c>
      <c r="G1182" s="6" t="inlineStr">
        <is>
          <t>Defteri açtın, yoklama aldın: 'Burada.' 'Burada.' Gelemeyenlerin adını okuyunca masa sustu; biri yine de alçak sesle 'Burada' dedi. Son sayfaya hepsinin adını yazdın.</t>
        </is>
      </c>
      <c r="H1182" s="6" t="inlineStr"/>
      <c r="I1182" s="6" t="inlineStr"/>
      <c r="J1182" s="6" t="inlineStr"/>
      <c r="K1182" s="6" t="inlineStr"/>
      <c r="L1182" s="6" t="inlineStr"/>
      <c r="M1182" s="5" t="inlineStr"/>
      <c r="N1182" s="5" t="inlineStr"/>
      <c r="O1182" s="6" t="inlineStr"/>
      <c r="P1182" s="6" t="inlineStr"/>
      <c r="Q1182" s="5" t="inlineStr"/>
      <c r="R1182" s="5" t="inlineStr">
        <is>
          <t>baskan</t>
        </is>
      </c>
      <c r="S1182" s="5" t="inlineStr"/>
      <c r="T1182" s="5" t="inlineStr"/>
      <c r="U1182" s="5" t="inlineStr"/>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c r="AI1182" s="5" t="inlineStr"/>
      <c r="AJ1182" s="5" t="inlineStr"/>
    </row>
    <row r="1183">
      <c r="A1183" s="5" t="inlineStr">
        <is>
          <t>b10-doktor-gomersiniz</t>
        </is>
      </c>
      <c r="B1183" s="5" t="n">
        <v>1</v>
      </c>
      <c r="C1183" s="6" t="inlineStr">
        <is>
          <t>Teşekkür et</t>
        </is>
      </c>
      <c r="D1183" s="5" t="inlineStr"/>
      <c r="E1183" s="5" t="inlineStr"/>
      <c r="F1183" s="5" t="inlineStr">
        <is>
          <t>İtibar +1</t>
        </is>
      </c>
      <c r="G1183" s="6" t="inlineStr">
        <is>
          <t>Teşekkür ettin, çıkarken bekleme salonuna seslendin: 'Doktor, onları ben gömecekmişim!' O gün sıradaki herkes içeri girerken aynı cümleyi bekledi.</t>
        </is>
      </c>
      <c r="H1183" s="6" t="inlineStr"/>
      <c r="I1183" s="6" t="inlineStr"/>
      <c r="J1183" s="6" t="inlineStr"/>
      <c r="K1183" s="6" t="inlineStr"/>
      <c r="L1183" s="6" t="inlineStr"/>
      <c r="M1183" s="5" t="inlineStr"/>
      <c r="N1183" s="5" t="inlineStr"/>
      <c r="O1183" s="6" t="inlineStr"/>
      <c r="P1183" s="6" t="inlineStr"/>
      <c r="Q1183" s="5" t="inlineStr"/>
      <c r="R1183" s="5" t="inlineStr"/>
      <c r="S1183" s="5" t="inlineStr"/>
      <c r="T1183" s="5" t="inlineStr"/>
      <c r="U1183" s="5" t="inlineStr"/>
      <c r="V1183" s="5" t="inlineStr"/>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c r="AI1183" s="5" t="inlineStr"/>
      <c r="AJ1183" s="5" t="inlineStr"/>
    </row>
    <row r="1184">
      <c r="A1184" s="5" t="inlineStr">
        <is>
          <t>b10-doktor-gomersiniz</t>
        </is>
      </c>
      <c r="B1184" s="5" t="n">
        <v>2</v>
      </c>
      <c r="C1184" s="6" t="inlineStr">
        <is>
          <t>'Söz mü?' diye sor</t>
        </is>
      </c>
      <c r="D1184" s="5" t="inlineStr">
        <is>
          <t>Pişkinlik</t>
        </is>
      </c>
      <c r="E1184" s="5" t="inlineStr">
        <is>
          <t>Orta</t>
        </is>
      </c>
      <c r="F1184" s="5" t="inlineStr"/>
      <c r="G1184" s="6" t="inlineStr"/>
      <c r="H1184" s="6" t="inlineStr">
        <is>
          <t>Doktor güldü ve raporuna 'Hasta iyimser' yazdı.</t>
        </is>
      </c>
      <c r="I1184" s="6" t="inlineStr">
        <is>
          <t>Doktor elini sıktı: 'Söz.' Bekleme salonundaki teyze 'Ben de duydum, şahidim' dedi. Akşam telefonda üç kişiye anlattın.</t>
        </is>
      </c>
      <c r="J1184" s="6" t="inlineStr">
        <is>
          <t>Doktor ciddileşti, 'Tıbben söz verilmez' dedi.</t>
        </is>
      </c>
      <c r="K1184" s="6" t="inlineStr">
        <is>
          <t>'Söz mü?' dedin. Doktor gözlüğünü geri taktı, tahlillere bir daha baktı: 'Şu değer biraz… Bir de şunu yaptıralım.' Söz yerine iki tahlil kâğıdıyla çıktın; bekleme salonundaki teyze arkandan 'Sormasaydın' dedi.</t>
        </is>
      </c>
      <c r="L1184" s="6" t="inlineStr"/>
      <c r="M1184" s="5" t="inlineStr"/>
      <c r="N1184" s="5" t="inlineStr"/>
      <c r="O1184" s="6" t="inlineStr"/>
      <c r="P1184" s="6" t="inlineStr"/>
      <c r="Q1184" s="5" t="inlineStr"/>
      <c r="R1184" s="5" t="inlineStr"/>
      <c r="S1184" s="5" t="inlineStr"/>
      <c r="T1184" s="5" t="inlineStr"/>
      <c r="U1184" s="5" t="inlineStr"/>
      <c r="V1184" s="5" t="inlineStr"/>
      <c r="W1184" s="5" t="inlineStr"/>
      <c r="X1184" s="5" t="inlineStr"/>
      <c r="Y1184" s="5" t="inlineStr"/>
      <c r="Z1184" s="6" t="inlineStr"/>
      <c r="AA1184" s="5" t="inlineStr"/>
      <c r="AB1184" s="5" t="inlineStr"/>
      <c r="AC1184" s="5" t="inlineStr"/>
      <c r="AD1184" s="5" t="inlineStr"/>
      <c r="AE1184" s="5" t="inlineStr"/>
      <c r="AF1184" s="5" t="inlineStr"/>
      <c r="AG1184" s="5" t="inlineStr"/>
      <c r="AH1184" s="5" t="inlineStr"/>
      <c r="AI1184" s="5" t="inlineStr"/>
      <c r="AJ1184" s="5" t="inlineStr"/>
    </row>
    <row r="1185">
      <c r="A1185" s="5" t="inlineStr">
        <is>
          <t>b10-doktor-gomersiniz</t>
        </is>
      </c>
      <c r="B1185" s="5" t="n">
        <v>3</v>
      </c>
      <c r="C1185" s="6" t="inlineStr">
        <is>
          <t>Koridorda ısınma hareketi yap</t>
        </is>
      </c>
      <c r="D1185" s="5" t="inlineStr">
        <is>
          <t>Dayanıklılık</t>
        </is>
      </c>
      <c r="E1185" s="5" t="inlineStr">
        <is>
          <t>Orta</t>
        </is>
      </c>
      <c r="F1185" s="5" t="inlineStr"/>
      <c r="G1185" s="6" t="inlineStr"/>
      <c r="H1185" s="6" t="inlineStr">
        <is>
          <t>Koridordaki bekleyenler seni alkışladı. Tahlil sonuçların da.</t>
        </is>
      </c>
      <c r="I1185" s="6" t="inlineStr">
        <is>
          <t>Bekleme salonundaki teyzeler, amcalar, bir de hemşire sana katıldı. Ertesi hafta koridora bir kâğıt asıldı: 'Sabah jimnastiği saat dokuzda. Önde: …' Boşluğa adını kalemle yazmışlar.</t>
        </is>
      </c>
      <c r="J1185" s="6" t="inlineStr">
        <is>
          <t>İki esneme hareketinden sonra koridordaki bankta dinlenmeye karar verdin.</t>
        </is>
      </c>
      <c r="K1185" s="6" t="inlineStr">
        <is>
          <t>Eğilip ayak parmaklarına uzandın; belin orada tutuldu. Doktorun odasına sıranla değil, tekerlekli sandalyeyle girdin. Doktor tahlillerine, sonra sana baktı: 'Kanınız bizi gömer. Beliniz önce kendini.'</t>
        </is>
      </c>
      <c r="L1185" s="6" t="inlineStr"/>
      <c r="M1185" s="5" t="inlineStr"/>
      <c r="N1185" s="5" t="inlineStr"/>
      <c r="O1185" s="6" t="inlineStr"/>
      <c r="P1185" s="6" t="inlineStr"/>
      <c r="Q1185" s="5" t="inlineStr"/>
      <c r="R1185" s="5" t="inlineStr"/>
      <c r="S1185" s="5" t="inlineStr">
        <is>
          <t>Dayanıklılık</t>
        </is>
      </c>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c r="AI1185" s="5" t="inlineStr"/>
      <c r="AJ1185" s="5" t="inlineStr"/>
    </row>
    <row r="1186">
      <c r="A1186" s="5" t="inlineStr">
        <is>
          <t>b10-bayram-harcligi</t>
        </is>
      </c>
      <c r="B1186" s="5" t="n">
        <v>1</v>
      </c>
      <c r="C1186" s="6" t="inlineStr">
        <is>
          <t>Herkese eşit zarf</t>
        </is>
      </c>
      <c r="D1186" s="5" t="inlineStr"/>
      <c r="E1186" s="5" t="inlineStr"/>
      <c r="F1186" s="5" t="inlineStr">
        <is>
          <t>İtibar +1</t>
        </is>
      </c>
      <c r="G1186" s="6" t="inlineStr">
        <is>
          <t>Bütün zarflar eşit. Çocuklar zarfları kapıda karşılaştırdı ve hayal kırıklığını eşit paylaştı.</t>
        </is>
      </c>
      <c r="H1186" s="6" t="inlineStr"/>
      <c r="I1186" s="6" t="inlineStr"/>
      <c r="J1186" s="6" t="inlineStr"/>
      <c r="K1186" s="6" t="inlineStr"/>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c r="AI1186" s="5" t="inlineStr"/>
      <c r="AJ1186" s="5" t="inlineStr"/>
    </row>
    <row r="1187">
      <c r="A1187" s="5" t="inlineStr">
        <is>
          <t>b10-bayram-harcligi</t>
        </is>
      </c>
      <c r="B1187" s="5" t="n">
        <v>2</v>
      </c>
      <c r="C1187" s="6" t="inlineStr">
        <is>
          <t>Montunu değiştiren çocuğu yakala</t>
        </is>
      </c>
      <c r="D1187" s="5" t="inlineStr">
        <is>
          <t>Kurnazlık</t>
        </is>
      </c>
      <c r="E1187" s="5" t="inlineStr">
        <is>
          <t>Kolay</t>
        </is>
      </c>
      <c r="F1187" s="5" t="inlineStr"/>
      <c r="G1187" s="6" t="inlineStr"/>
      <c r="H1187" s="6" t="inlineStr">
        <is>
          <t>'Az önce kırmızı montla gelmiştin' dedin. Çocuk elini bir daha öptü, kolonyasını da aldı, sıradan çıktı.</t>
        </is>
      </c>
      <c r="I1187" s="6" t="inlineStr">
        <is>
          <t>Yakaladın ama montu ters giymesine o kadar güldün ki ikinci zarfı da verdin. Ertesi bayram kapıda aynı çocuk, üçüncü montla.</t>
        </is>
      </c>
      <c r="J1187" s="6" t="inlineStr">
        <is>
          <t>Çocuğu yakalayamadın. Zarfı aldı, merdivende kırmızı montunu yeniden giydi, aşağıdan sana el salladı.</t>
        </is>
      </c>
      <c r="K1187" s="6" t="inlineStr">
        <is>
          <t>'Sen az önce geldin!' deyip zarfı geri istedin. Çocuğun dudağı titredi; arkasından aynı yüzle bir çocuk daha çıktı: 'O benim kardeşim.' Anneleri o bayram el öpmeye girmedi, kapıdan selam verdi.</t>
        </is>
      </c>
      <c r="L1187" s="6" t="inlineStr">
        <is>
          <t>Montu tanıdın, yüzü tanımadın. Çocuğa yarım zarf verdin; o da yarım teşekkür etti.</t>
        </is>
      </c>
      <c r="M1187" s="5" t="inlineStr">
        <is>
          <t>hidden</t>
        </is>
      </c>
      <c r="N1187" s="5" t="inlineStr">
        <is>
          <t>Montunu Değiştiren</t>
        </is>
      </c>
      <c r="O1187" s="6" t="inlineStr">
        <is>
          <t>Sıradaki çocukların arasında montunu değiştirenin işaretini (🧥) bul.</t>
        </is>
      </c>
      <c r="P1187" s="6" t="inlineStr">
        <is>
          <t>{"target": "🧥", "decoys": ["🧒🏻", "👧🏽", "🧒🏿", "👦🏼", "👧🏻"]}</t>
        </is>
      </c>
      <c r="Q1187" s="5" t="inlineStr"/>
      <c r="R1187" s="5" t="inlineStr"/>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c r="AI1187" s="5" t="inlineStr"/>
      <c r="AJ1187" s="5" t="inlineStr"/>
    </row>
    <row r="1188">
      <c r="A1188" s="5" t="inlineStr">
        <is>
          <t>b10-bayram-harcligi</t>
        </is>
      </c>
      <c r="B1188" s="5" t="n">
        <v>3</v>
      </c>
      <c r="C1188" s="6" t="inlineStr">
        <is>
          <t>Zarfları yastık altından ver</t>
        </is>
      </c>
      <c r="D1188" s="5" t="inlineStr">
        <is>
          <t>Kurnazlık</t>
        </is>
      </c>
      <c r="E1188" s="5" t="inlineStr">
        <is>
          <t>Orta</t>
        </is>
      </c>
      <c r="F1188" s="5" t="inlineStr"/>
      <c r="G1188" s="6" t="inlineStr"/>
      <c r="H1188" s="6" t="inlineStr">
        <is>
          <t>Yastık altındaki zarflar eski banknotlarla doluydu. Çocuklardan biri parayı ışığa tuttu: 'Bu geçiyor mu?' Geçiyordu. Bakkala kadar koştular.</t>
        </is>
      </c>
      <c r="I1188" s="6" t="inlineStr">
        <is>
          <t>Yastığın altından on bayramın zarfı çıktı; sıradaki her çocuğa iki zarf düştü. O günden sonra mahallede kapının adı değişti: 'Yastıklı ev.'</t>
        </is>
      </c>
      <c r="J1188" s="6" t="inlineStr">
        <is>
          <t>Yastık altındaki paraların bir kısmı tedavülden kalkmıştı. Çocuklar nazikçe teşekkür etti.</t>
        </is>
      </c>
      <c r="K1188" s="6" t="inlineStr">
        <is>
          <t>Yastığı kaldırdın, zarflar yoktu: kılıfları dün sen yıkamışsın. Paralar makineden hamur olup çıktı. Bayram sabahı kalorifer peteğinde para kurutarak geçti.</t>
        </is>
      </c>
      <c r="L1188" s="6" t="inlineStr"/>
      <c r="M1188" s="5" t="inlineStr"/>
      <c r="N1188" s="5" t="inlineStr"/>
      <c r="O1188" s="6" t="inlineStr"/>
      <c r="P1188" s="6" t="inlineStr"/>
      <c r="Q1188" s="5" t="inlineStr">
        <is>
          <t>Yastık Altı Ekonomisti</t>
        </is>
      </c>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c r="AI1188" s="5" t="inlineStr"/>
      <c r="AJ1188" s="5" t="inlineStr"/>
    </row>
    <row r="1189">
      <c r="A1189" s="5" t="inlineStr">
        <is>
          <t>b10-bayram-harcligi</t>
        </is>
      </c>
      <c r="B1189" s="5" t="n">
        <v>4</v>
      </c>
      <c r="C1189" s="6" t="inlineStr">
        <is>
          <t>Zarf yerine öğüt ver</t>
        </is>
      </c>
      <c r="D1189" s="5" t="inlineStr"/>
      <c r="E1189" s="5" t="inlineStr"/>
      <c r="F1189" s="5" t="inlineStr">
        <is>
          <t>Çene +1</t>
        </is>
      </c>
      <c r="G1189" s="6" t="inlineStr">
        <is>
          <t>Her çocuğa bir öğüt verdin: 'Okuyun, büyüklerinizi dinleyin, para biriktirin.' Üçüncü öğütte sıra dağıldı. Montunu değiştiren çocuk bile geri gelmedi.</t>
        </is>
      </c>
      <c r="H1189" s="6" t="inlineStr"/>
      <c r="I1189" s="6" t="inlineStr"/>
      <c r="J1189" s="6" t="inlineStr"/>
      <c r="K1189" s="6" t="inlineStr"/>
      <c r="L1189" s="6" t="inlineStr"/>
      <c r="M1189" s="5" t="inlineStr"/>
      <c r="N1189" s="5" t="inlineStr"/>
      <c r="O1189" s="6" t="inlineStr"/>
      <c r="P1189" s="6" t="inlineStr"/>
      <c r="Q1189" s="5" t="inlineStr"/>
      <c r="R1189" s="5" t="inlineStr"/>
      <c r="S1189" s="5" t="inlineStr"/>
      <c r="T1189" s="5" t="inlineStr"/>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c r="AI1189" s="5" t="inlineStr"/>
      <c r="AJ1189" s="5" t="inlineStr"/>
    </row>
    <row r="1190">
      <c r="A1190" s="5" t="inlineStr">
        <is>
          <t>b10-dijital-miras</t>
        </is>
      </c>
      <c r="B1190" s="5" t="n">
        <v>1</v>
      </c>
      <c r="C1190" s="6" t="inlineStr">
        <is>
          <t>Hepsini bir kâğıda yaz</t>
        </is>
      </c>
      <c r="D1190" s="5" t="inlineStr"/>
      <c r="E1190" s="5" t="inlineStr"/>
      <c r="F1190" s="5" t="inlineStr">
        <is>
          <t>İtibar +1</t>
        </is>
      </c>
      <c r="G1190" s="6" t="inlineStr">
        <is>
          <t>Kırk şifre tek kâğıtta, kâğıt buzdolabının üstünde. Torun fotoğrafını çekip aile grubuna attı; artık kırk şifren on dört kişide.</t>
        </is>
      </c>
      <c r="H1190" s="6" t="inlineStr"/>
      <c r="I1190" s="6" t="inlineStr"/>
      <c r="J1190" s="6" t="inlineStr"/>
      <c r="K1190" s="6" t="inlineStr"/>
      <c r="L1190" s="6" t="inlineStr"/>
      <c r="M1190" s="5" t="inlineStr"/>
      <c r="N1190" s="5" t="inlineStr"/>
      <c r="O1190" s="6" t="inlineStr"/>
      <c r="P1190" s="6" t="inlineStr"/>
      <c r="Q1190" s="5" t="inlineStr"/>
      <c r="R1190" s="5" t="inlineStr"/>
      <c r="S1190" s="5" t="inlineStr"/>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c r="AI1190" s="5" t="inlineStr"/>
      <c r="AJ1190" s="5" t="inlineStr"/>
    </row>
    <row r="1191">
      <c r="A1191" s="5" t="inlineStr">
        <is>
          <t>b10-dijital-miras</t>
        </is>
      </c>
      <c r="B1191" s="5" t="n">
        <v>2</v>
      </c>
      <c r="C1191" s="6" t="inlineStr">
        <is>
          <t>Fotoğraf arşivini düzenle</t>
        </is>
      </c>
      <c r="D1191" s="5" t="inlineStr">
        <is>
          <t>Dayanıklılık</t>
        </is>
      </c>
      <c r="E1191" s="5" t="inlineStr">
        <is>
          <t>Zor</t>
        </is>
      </c>
      <c r="F1191" s="5" t="inlineStr"/>
      <c r="G1191" s="6" t="inlineStr"/>
      <c r="H1191" s="6" t="inlineStr">
        <is>
          <t>Yüz seksen bin fotoğrafı yıllara göre sıraladın. Torunlar kendi bebeklik fotoğraflarını seninkilerin yanında, aynı klasörde buldu.</t>
        </is>
      </c>
      <c r="I1191" s="6" t="inlineStr">
        <is>
          <t>Yüz seksen bin fotoğrafı yıllara, düğünlere, bayramlara ayırdın. Bayramda telefon elden ele dolaştı; torun bir gençlik fotoğrafında durdu: 'Bu sen misin? Çok güzelmişsin.' O akşam kimse kendi telefonuna bakmadı.</t>
        </is>
      </c>
      <c r="J1191" s="6" t="inlineStr">
        <is>
          <t>Üçüncü klasörde durdun. 'Adsız 1' ile 'Adsız 847' arasında bir yerde kayboldun.</t>
        </is>
      </c>
      <c r="K1191" s="6" t="inlineStr">
        <is>
          <t>Yanlışlıkla bütün arşivi sildin. Torun üç gün uğraştı, yüz seksen bin fotoğrafın yüz yetmiş dokuz binini kurtardı. Kurtaramadığı bin fotoğrafın hepsi onun bebekliğiydi.</t>
        </is>
      </c>
      <c r="L1191" s="6" t="inlineStr">
        <is>
          <t>Doksan bin fotoğraf yıllara ayrıldı. Kalanlar 'Sonra Bakarım' klasöründe; klasör torunlara miras.</t>
        </is>
      </c>
      <c r="M1191" s="5" t="inlineStr">
        <is>
          <t>diff</t>
        </is>
      </c>
      <c r="N1191" s="5" t="inlineStr">
        <is>
          <t>Fotoğraf Farkı</t>
        </is>
      </c>
      <c r="O1191" s="6" t="inlineStr">
        <is>
          <t>İki albüm aynı olmalı: farklı olan fotoğrafları bul.</t>
        </is>
      </c>
      <c r="P1191" s="6" t="inlineStr">
        <is>
          <t>{"set": ["📷", "🖼️", "😀", "😴", "👪"]}</t>
        </is>
      </c>
      <c r="Q1191" s="5" t="inlineStr"/>
      <c r="R1191" s="5" t="inlineStr"/>
      <c r="S1191" s="5" t="inlineStr"/>
      <c r="T1191" s="5" t="inlineStr">
        <is>
          <t>Hayat Arşivcisi</t>
        </is>
      </c>
      <c r="U1191" s="5" t="inlineStr"/>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c r="AI1191" s="5" t="inlineStr"/>
      <c r="AJ1191" s="5" t="inlineStr"/>
    </row>
    <row r="1192">
      <c r="A1192" s="5" t="inlineStr">
        <is>
          <t>b10-dijital-miras</t>
        </is>
      </c>
      <c r="B1192" s="5" t="n">
        <v>3</v>
      </c>
      <c r="C1192" s="6" t="inlineStr">
        <is>
          <t>Şifre sistemini torundan sakla</t>
        </is>
      </c>
      <c r="D1192" s="5" t="inlineStr">
        <is>
          <t>Akıl</t>
        </is>
      </c>
      <c r="E1192" s="5" t="inlineStr">
        <is>
          <t>Orta</t>
        </is>
      </c>
      <c r="F1192" s="5" t="inlineStr"/>
      <c r="G1192" s="6" t="inlineStr"/>
      <c r="H1192" s="6" t="inlineStr">
        <is>
          <t>Şifrelerin yerini bir bilmeceye gömdün. Torun bir hafta uğraştı, çözünce aradı: 'Bu kadarına gerek var mıydı?' 'Vardı' dedin. O hafta her gün aramıştı.</t>
        </is>
      </c>
      <c r="I1192" s="6" t="inlineStr">
        <is>
          <t>Bilmecenin ilk ipucunu buzdolabı mıknatısına sakladın. Torun çözünce o kadar sevindi ki kendi şifrelerini de bilmeceye çevirdi; şimdi sen çözüyorsun.</t>
        </is>
      </c>
      <c r="J1192" s="6" t="inlineStr">
        <is>
          <t>Torun bilmeceyi ilk ipucunda çözdü. İpucu kedinin adıydı.</t>
        </is>
      </c>
      <c r="K1192" s="6" t="inlineStr">
        <is>
          <t>Bilmeceyi sen de çözemedin. Kırk hesap kilitlendi. Torun 'Kedinin adı neydi?' diye sordu; üç ayrı ad söyledin.</t>
        </is>
      </c>
      <c r="L1192" s="6" t="inlineStr"/>
      <c r="M1192" s="5" t="inlineStr"/>
      <c r="N1192" s="5" t="inlineStr"/>
      <c r="O1192" s="6" t="inlineStr"/>
      <c r="P1192" s="6" t="inlineStr"/>
      <c r="Q1192" s="5" t="inlineStr"/>
      <c r="R1192" s="5" t="inlineStr"/>
      <c r="S1192" s="5" t="inlineStr">
        <is>
          <t>Akıl</t>
        </is>
      </c>
      <c r="T1192" s="5" t="inlineStr"/>
      <c r="U1192" s="5" t="inlineStr"/>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c r="AI1192" s="5" t="inlineStr"/>
      <c r="AJ1192" s="5" t="inlineStr"/>
    </row>
    <row r="1193">
      <c r="A1193" s="5" t="inlineStr">
        <is>
          <t>b10-mezar-parseli</t>
        </is>
      </c>
      <c r="B1193" s="5" t="n">
        <v>1</v>
      </c>
      <c r="C1193" s="6" t="inlineStr">
        <is>
          <t>Otoparka bakan parseli al</t>
        </is>
      </c>
      <c r="D1193" s="5" t="inlineStr"/>
      <c r="E1193" s="5" t="inlineStr"/>
      <c r="F1193" s="5" t="inlineStr">
        <is>
          <t>Kurnazlık +1</t>
        </is>
      </c>
      <c r="G1193" s="6" t="inlineStr">
        <is>
          <t>Otoparka bakan parseli yarı fiyatına aldın. Akşam telefonda müjdeyi verdin: 'Ziyarete gelince park yeri aramayacaksınız.' Telefondaki gülmedi; sen çok güldün.</t>
        </is>
      </c>
      <c r="H1193" s="6" t="inlineStr"/>
      <c r="I1193" s="6" t="inlineStr"/>
      <c r="J1193" s="6" t="inlineStr"/>
      <c r="K1193" s="6" t="inlineStr"/>
      <c r="L1193" s="6" t="inlineStr"/>
      <c r="M1193" s="5" t="inlineStr"/>
      <c r="N1193" s="5" t="inlineStr"/>
      <c r="O1193" s="6" t="inlineStr"/>
      <c r="P1193" s="6" t="inlineStr"/>
      <c r="Q1193" s="5" t="inlineStr"/>
      <c r="R1193" s="5" t="inlineStr"/>
      <c r="S1193" s="5" t="inlineStr"/>
      <c r="T1193" s="5" t="inlineStr"/>
      <c r="U1193" s="5" t="inlineStr"/>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c r="AI1193" s="5" t="inlineStr"/>
      <c r="AJ1193" s="5" t="inlineStr"/>
    </row>
    <row r="1194">
      <c r="A1194" s="5" t="inlineStr">
        <is>
          <t>b10-mezar-parseli</t>
        </is>
      </c>
      <c r="B1194" s="5" t="n">
        <v>2</v>
      </c>
      <c r="C1194" s="6" t="inlineStr">
        <is>
          <t>Manzaralı parsel için pazarlık et</t>
        </is>
      </c>
      <c r="D1194" s="5" t="inlineStr">
        <is>
          <t>Çene</t>
        </is>
      </c>
      <c r="E1194" s="5" t="inlineStr">
        <is>
          <t>Zor</t>
        </is>
      </c>
      <c r="F1194" s="5" t="inlineStr"/>
      <c r="G1194" s="6" t="inlineStr"/>
      <c r="H1194" s="6" t="inlineStr">
        <is>
          <t>Manzaralı parsel indirimle alındı. Görevli 'Bunu kimseye söylemeyin' dedi.</t>
        </is>
      </c>
      <c r="I1194" s="6" t="inlineStr">
        <is>
          <t>Manzaralı parseli aldın, yanına bir de bank konuldu. Ziyaret saatleri artık piknik saatleri.</t>
        </is>
      </c>
      <c r="J1194" s="6" t="inlineStr">
        <is>
          <t>Sen pazarlık ederken arkandaki amca manzaralı parseli peşin aldı. Çıkarken sana döndü: 'Komşu olamadık, kısmet.'</t>
        </is>
      </c>
      <c r="K1194" s="6" t="inlineStr">
        <is>
          <t>Sen 'Son fiyat' derken görevli duvara yeni tarifeyi astı. Manzaralı parsel yüzde kırk zamlandı, otoparka bakan da.</t>
        </is>
      </c>
      <c r="L1194" s="6" t="inlineStr">
        <is>
          <t>Manzaralı parseli aldın; indirim yerine yanına bir saksı sardunya koydular.</t>
        </is>
      </c>
      <c r="M1194" s="5" t="inlineStr">
        <is>
          <t>duel</t>
        </is>
      </c>
      <c r="N1194" s="5" t="inlineStr">
        <is>
          <t>Parsel Pazarlığı</t>
        </is>
      </c>
      <c r="O1194" s="6" t="inlineStr">
        <is>
          <t>Karşındakinin sabrı bitmeden en iyi cevabı seç.</t>
        </is>
      </c>
      <c r="P1194" s="6" t="inlineStr">
        <is>
          <t>{"who": "Görevli", "item": "parsel", "mode": "buy"}</t>
        </is>
      </c>
      <c r="Q1194" s="5" t="inlineStr"/>
      <c r="R1194" s="5" t="inlineStr"/>
      <c r="S1194" s="5" t="inlineStr"/>
      <c r="T1194" s="5" t="inlineStr">
        <is>
          <t>Son Sözü Söyler</t>
        </is>
      </c>
      <c r="U1194" s="5" t="inlineStr"/>
      <c r="V1194" s="5" t="inlineStr">
        <is>
          <t>manzarali-parsel</t>
        </is>
      </c>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c r="AI1194" s="5" t="inlineStr"/>
      <c r="AJ1194" s="5" t="inlineStr"/>
    </row>
    <row r="1195">
      <c r="A1195" s="5" t="inlineStr">
        <is>
          <t>b10-mezar-parseli</t>
        </is>
      </c>
      <c r="B1195" s="5" t="n">
        <v>3</v>
      </c>
      <c r="C1195" s="6" t="inlineStr">
        <is>
          <t>Parseli yatarak test et</t>
        </is>
      </c>
      <c r="D1195" s="5" t="inlineStr">
        <is>
          <t>Cesaret</t>
        </is>
      </c>
      <c r="E1195" s="5" t="inlineStr">
        <is>
          <t>Orta</t>
        </is>
      </c>
      <c r="F1195" s="5" t="inlineStr"/>
      <c r="G1195" s="6" t="inlineStr"/>
      <c r="H1195" s="6" t="inlineStr">
        <is>
          <t>Uzandın, gökyüzüne baktın, bir süre öyle kaldın. Kalkınca 'Yastığı yok ama olur' dedin. Görevli sözleşmeyi ilk kez gülerek imzalattı.</t>
        </is>
      </c>
      <c r="I1195" s="6" t="inlineStr">
        <is>
          <t>Uzandın, manzara mükemmeldi, bir kuş tam üstünde tünedi. İmza atıldı.</t>
        </is>
      </c>
      <c r="J1195" s="6" t="inlineStr">
        <is>
          <t>Uzandın, görevli fiyat listesini tepende yüksek sesle okudu. Manzara bozuldu.</t>
        </is>
      </c>
      <c r="K1195" s="6" t="inlineStr">
        <is>
          <t>Uzandın, horlamaya başladın; yan parseli gezen teyzenin çığlığı otoparktan duyuldu. Kalkamadın. Görevliyle iki ziyaretçi seni kollarından çekip oturttu; biri 'Erken gelmişsiniz' dedi.</t>
        </is>
      </c>
      <c r="L1195" s="6" t="inlineStr"/>
      <c r="M1195" s="5" t="inlineStr"/>
      <c r="N1195" s="5" t="inlineStr"/>
      <c r="O1195" s="6" t="inlineStr"/>
      <c r="P1195" s="6" t="inlineStr"/>
      <c r="Q1195" s="5" t="inlineStr"/>
      <c r="R1195" s="5" t="inlineStr"/>
      <c r="S1195" s="5" t="inlineStr"/>
      <c r="T1195" s="5" t="inlineStr"/>
      <c r="U1195" s="5" t="inlineStr"/>
      <c r="V1195" s="5" t="inlineStr">
        <is>
          <t>manzarali-parsel</t>
        </is>
      </c>
      <c r="W1195" s="5" t="inlineStr"/>
      <c r="X1195" s="5" t="inlineStr"/>
      <c r="Y1195" s="5" t="n">
        <v>3</v>
      </c>
      <c r="Z1195" s="6" t="inlineStr">
        <is>
          <t>Manzaralı parseli yerinde incelerken. Manzarayı onayladı.</t>
        </is>
      </c>
      <c r="AA1195" s="5" t="inlineStr"/>
      <c r="AB1195" s="5" t="inlineStr"/>
      <c r="AC1195" s="5" t="inlineStr"/>
      <c r="AD1195" s="5" t="inlineStr"/>
      <c r="AE1195" s="5" t="inlineStr"/>
      <c r="AF1195" s="5" t="inlineStr"/>
      <c r="AG1195" s="5" t="inlineStr"/>
      <c r="AH1195" s="5" t="inlineStr"/>
      <c r="AI1195" s="5" t="inlineStr">
        <is>
          <t>Erken Yatan</t>
        </is>
      </c>
      <c r="AJ1195" s="5" t="inlineStr"/>
    </row>
    <row r="1196">
      <c r="A1196" s="5" t="inlineStr">
        <is>
          <t>b10-danismanlik</t>
        </is>
      </c>
      <c r="B1196" s="5" t="n">
        <v>1</v>
      </c>
      <c r="C1196" s="6" t="inlineStr">
        <is>
          <t>Yerini telefonda söyle</t>
        </is>
      </c>
      <c r="D1196" s="5" t="inlineStr"/>
      <c r="E1196" s="5" t="inlineStr"/>
      <c r="F1196" s="5" t="inlineStr">
        <is>
          <t>İtibar +1</t>
        </is>
      </c>
      <c r="G1196" s="6" t="inlineStr">
        <is>
          <t>Dosya bulundu. Telefondaki genç 'Siz olmasanız…' dedi ve cümleyi bitiremedi. Akşam bunu bakkala, kapıcıya ve kediye anlattın.</t>
        </is>
      </c>
      <c r="H1196" s="6" t="inlineStr"/>
      <c r="I1196" s="6" t="inlineStr"/>
      <c r="J1196" s="6" t="inlineStr"/>
      <c r="K1196" s="6" t="inlineStr"/>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c r="AI1196" s="5" t="inlineStr"/>
      <c r="AJ1196" s="5" t="inlineStr"/>
    </row>
    <row r="1197">
      <c r="A1197" s="5" t="inlineStr">
        <is>
          <t>b10-danismanlik</t>
        </is>
      </c>
      <c r="B1197" s="5" t="n">
        <v>2</v>
      </c>
      <c r="C1197" s="6" t="inlineStr">
        <is>
          <t>Danışmanlık ücreti iste</t>
        </is>
      </c>
      <c r="D1197" s="5" t="inlineStr">
        <is>
          <t>Kurnazlık</t>
        </is>
      </c>
      <c r="E1197" s="5" t="inlineStr">
        <is>
          <t>Orta</t>
        </is>
      </c>
      <c r="F1197" s="5" t="inlineStr"/>
      <c r="G1197" s="6" t="inlineStr"/>
      <c r="H1197" s="6" t="inlineStr">
        <is>
          <t>Tek cümle için yarım maaş istedin, verdiler. 'Üçüncü raf, arka kutu.' Hayatının en kârlı cümlesi.</t>
        </is>
      </c>
      <c r="I1197" s="6" t="inlineStr">
        <is>
          <t>Aylık danışmanlık ücreti bağlandı. Görevin: ayın birinde gelen telefonu açıp 'Üçüncü raf, arka kutu' demek. Sormasalar da her ay söylüyorsun.</t>
        </is>
      </c>
      <c r="J1197" s="6" t="inlineStr">
        <is>
          <t>Ücret konuşulurken dosyayı kendileri bulmuş. Genç teşekkür edip kapattı. O akşam telefonun yanında oturdun; bir daha aramadılar.</t>
        </is>
      </c>
      <c r="K1197" s="6" t="inlineStr">
        <is>
          <t>Ücret istedin; dosyayı kendin götürmen istendi. Otobüs bedavaydı ama iki aktarma, bir yokuş ve asansörsüz dört kat senden.</t>
        </is>
      </c>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c r="AI1197" s="5" t="inlineStr"/>
      <c r="AJ1197" s="5" t="inlineStr"/>
    </row>
    <row r="1198">
      <c r="A1198" s="5" t="inlineStr">
        <is>
          <t>b10-danismanlik</t>
        </is>
      </c>
      <c r="B1198" s="5" t="n">
        <v>3</v>
      </c>
      <c r="C1198" s="6" t="inlineStr">
        <is>
          <t>Arşivin yerini söyle</t>
        </is>
      </c>
      <c r="D1198" s="5" t="inlineStr"/>
      <c r="E1198" s="5" t="inlineStr"/>
      <c r="F1198" s="5" t="inlineStr">
        <is>
          <t>Akıl +1</t>
        </is>
      </c>
      <c r="G1198" s="6" t="inlineStr">
        <is>
          <t>'Üçüncü kat, ikinci oda, dolabın arkası, mavi klasör.' Telefon hoparlördeymiş; arkadan alkış geldi. Ödeme yapılmadı ama ertesi gün kapına bir kutu lokum geldi, üstünde 'Arşivden sevgilerle'.</t>
        </is>
      </c>
      <c r="H1198" s="6" t="inlineStr"/>
      <c r="I1198" s="6" t="inlineStr"/>
      <c r="J1198" s="6" t="inlineStr"/>
      <c r="K1198" s="6" t="inlineStr"/>
      <c r="L1198" s="6" t="inlineStr"/>
      <c r="M1198" s="5" t="inlineStr"/>
      <c r="N1198" s="5" t="inlineStr"/>
      <c r="O1198" s="6" t="inlineStr"/>
      <c r="P1198" s="6" t="inlineStr"/>
      <c r="Q1198" s="5" t="inlineStr"/>
      <c r="R1198" s="5" t="inlineStr">
        <is>
          <t>meslek-memur</t>
        </is>
      </c>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c r="AI1198" s="5" t="inlineStr"/>
      <c r="AJ1198" s="5" t="inlineStr"/>
    </row>
    <row r="1199">
      <c r="A1199" s="5" t="inlineStr">
        <is>
          <t>b10-eski-dost-cenazesi</t>
        </is>
      </c>
      <c r="B1199" s="5" t="n">
        <v>1</v>
      </c>
      <c r="C1199" s="6" t="inlineStr">
        <is>
          <t>Helvayı sen karıştır</t>
        </is>
      </c>
      <c r="D1199" s="5" t="inlineStr"/>
      <c r="E1199" s="5" t="inlineStr"/>
      <c r="F1199" s="5" t="inlineStr">
        <is>
          <t>Gönül +1</t>
        </is>
      </c>
      <c r="G1199" s="6" t="inlineStr">
        <is>
          <t>Kepçeyi aldın, bir saat helva karıştırdın, tek kelime etmedin. Akşam dostunun kızı kapıda elini tuttu: 'En çok sizi severdi.'</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c r="AI1199" s="5" t="inlineStr"/>
      <c r="AJ1199" s="5" t="inlineStr"/>
    </row>
    <row r="1200">
      <c r="A1200" s="5" t="inlineStr">
        <is>
          <t>b10-eski-dost-cenazesi</t>
        </is>
      </c>
      <c r="B1200" s="5" t="n">
        <v>2</v>
      </c>
      <c r="C1200" s="6" t="inlineStr">
        <is>
          <t>Dostunun bir hatırasını anlat</t>
        </is>
      </c>
      <c r="D1200" s="5" t="inlineStr">
        <is>
          <t>İtibar</t>
        </is>
      </c>
      <c r="E1200" s="5" t="inlineStr">
        <is>
          <t>Zor</t>
        </is>
      </c>
      <c r="F1200" s="5" t="inlineStr"/>
      <c r="G1200" s="6" t="inlineStr"/>
      <c r="H1200" s="6" t="inlineStr">
        <is>
          <t>Dostunla otobüste ikinizin de bilet parasını unuttuğu günü anlattın; üç cümle. Helva kavuran kepçeyi bıraktı, köşedeki uzun anlatan ilk kez sustu.</t>
        </is>
      </c>
      <c r="I1200" s="6" t="inlineStr">
        <is>
          <t>Kırk yıl önceki balık hikâyesini anlattın; taziye evi önce güldü, sonra ağladı. Dostunun eşi elini tuttu: 'Yine onun sesini duydum.'</t>
        </is>
      </c>
      <c r="J1200" s="6" t="inlineStr">
        <is>
          <t>Hatırayı anlatmaya başladın, sonunu getiremedin. 'İyi insandı' dedin. Yetti.</t>
        </is>
      </c>
      <c r="K1200" s="6" t="inlineStr">
        <is>
          <t>Hatıranın ortasında dostunun adı yerine kendi adını söyledin. Kimse düzeltmedi. Çıkışta üç kişi elini sıkıp 'Kendine iyi bak' dedi.</t>
        </is>
      </c>
      <c r="L1200" s="6" t="inlineStr"/>
      <c r="M1200" s="5" t="inlineStr"/>
      <c r="N1200" s="5" t="inlineStr"/>
      <c r="O1200" s="6" t="inlineStr"/>
      <c r="P1200" s="6" t="inlineStr"/>
      <c r="Q1200" s="5" t="inlineStr"/>
      <c r="R1200" s="5" t="inlineStr"/>
      <c r="S1200" s="5" t="inlineStr"/>
      <c r="T1200" s="5" t="inlineStr">
        <is>
          <t>Son Sözü Söyler</t>
        </is>
      </c>
      <c r="U1200" s="5" t="inlineStr"/>
      <c r="V1200" s="5" t="inlineStr"/>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c r="AI1200" s="5" t="inlineStr"/>
      <c r="AJ1200" s="5" t="inlineStr"/>
    </row>
    <row r="1201">
      <c r="A1201" s="5" t="inlineStr">
        <is>
          <t>b10-eski-dost-cenazesi</t>
        </is>
      </c>
      <c r="B1201" s="5" t="n">
        <v>3</v>
      </c>
      <c r="C1201" s="6" t="inlineStr">
        <is>
          <t>Uzun anlatanın önüne taze çay koy</t>
        </is>
      </c>
      <c r="D1201" s="5" t="inlineStr">
        <is>
          <t>Sosyal Radar</t>
        </is>
      </c>
      <c r="E1201" s="5" t="inlineStr">
        <is>
          <t>Kolay</t>
        </is>
      </c>
      <c r="F1201" s="5" t="inlineStr"/>
      <c r="G1201" s="6" t="inlineStr"/>
      <c r="H1201" s="6" t="inlineStr">
        <is>
          <t>Önüne taze çay koydun. Çay sıcakken susmak zorunda kaldı; söz sırası başkasına geçti.</t>
        </is>
      </c>
      <c r="I1201" s="6" t="inlineStr">
        <is>
          <t>Çayı önüne koydun; içmek için sustu. Sonra sana döndü: 'Sen anlat, sen onu benden iyi bilirdin.' Taziye evi ilk kez senin hikâyeni dinledi.</t>
        </is>
      </c>
      <c r="J1201" s="6" t="inlineStr">
        <is>
          <t>Çayı koydun. Bir dikişte içti ve hikâyeye kaldığı yerden devam etti. Dördüncü kez.</t>
        </is>
      </c>
      <c r="K1201" s="6" t="inlineStr">
        <is>
          <t>Çayı koyarken tepsiyi devirdin. Herkes ayağa kalktı, halılar silindi; uzun anlatan bu karmaşada hikâyeyi en baştan aldı.</t>
        </is>
      </c>
      <c r="L1201" s="6" t="inlineStr"/>
      <c r="M1201" s="5" t="inlineStr"/>
      <c r="N1201" s="5" t="inlineStr"/>
      <c r="O1201" s="6" t="inlineStr"/>
      <c r="P1201" s="6" t="inlineStr"/>
      <c r="Q1201" s="5" t="inlineStr"/>
      <c r="R1201" s="5" t="inlineStr"/>
      <c r="S1201" s="5" t="inlineStr">
        <is>
          <t>Sosyal Radar</t>
        </is>
      </c>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c r="AI1201" s="5" t="inlineStr"/>
      <c r="AJ1201" s="5" t="inlineStr"/>
    </row>
    <row r="1202">
      <c r="A1202" s="5" t="inlineStr">
        <is>
          <t>b10-ani-defteri</t>
        </is>
      </c>
      <c r="B1202" s="5" t="n">
        <v>1</v>
      </c>
      <c r="C1202" s="6" t="inlineStr">
        <is>
          <t>Olduğu gibi yaz</t>
        </is>
      </c>
      <c r="D1202" s="5" t="inlineStr"/>
      <c r="E1202" s="5" t="inlineStr"/>
      <c r="F1202" s="5" t="inlineStr">
        <is>
          <t>İtibar +1</t>
        </is>
      </c>
      <c r="G1202" s="6" t="inlineStr">
        <is>
          <t>Defter bitti. Aile okudu, üç kişi aradı, bir kişi özür diledi.</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is>
          <t>ani-defteri</t>
        </is>
      </c>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c r="AI1202" s="5" t="inlineStr"/>
      <c r="AJ1202" s="5" t="inlineStr"/>
    </row>
    <row r="1203">
      <c r="A1203" s="5" t="inlineStr">
        <is>
          <t>b10-ani-defteri</t>
        </is>
      </c>
      <c r="B1203" s="5" t="n">
        <v>2</v>
      </c>
      <c r="C1203" s="6" t="inlineStr">
        <is>
          <t>Anıları biraz süsle</t>
        </is>
      </c>
      <c r="D1203" s="5" t="inlineStr">
        <is>
          <t>Pişkinlik</t>
        </is>
      </c>
      <c r="E1203" s="5" t="inlineStr">
        <is>
          <t>Orta</t>
        </is>
      </c>
      <c r="F1203" s="5" t="inlineStr"/>
      <c r="G1203" s="6" t="inlineStr"/>
      <c r="H1203" s="6" t="inlineStr">
        <is>
          <t>Anıları biraz süsledin. Düzeltebilecek tek kişi çocukluk arkadaşındı; o da senin versiyonunu daha çok beğendi.</t>
        </is>
      </c>
      <c r="I1203" s="6" t="inlineStr">
        <is>
          <t>Defter mahallede elden ele dolaştı; bakkal bile tezgâhın altında okudu. İki komşu kapına geldi: 'O kavgada ben haklıydım, düzelt.'</t>
        </is>
      </c>
      <c r="J1203" s="6" t="inlineStr">
        <is>
          <t>Süslemeleri tarihleri düzelten yakaladı: 'Sen o yaz denize hiç girmedin ki, fotoğrafı var.' Sayfaya sarı bir kâğıt yapıştırdı: 'Kurgu.'</t>
        </is>
      </c>
      <c r="K1203" s="6" t="inlineStr">
        <is>
          <t>Defterde 'çoktan göçüp gitti' diye yazdığın sıra arkadaşın hâlâ hayattaymış. Defteri okudu, telefon açtı: 'Ölmedim. Ayrıca o gün kaçan sendin.'</t>
        </is>
      </c>
      <c r="L1203" s="6" t="inlineStr"/>
      <c r="M1203" s="5" t="inlineStr"/>
      <c r="N1203" s="5" t="inlineStr"/>
      <c r="O1203" s="6" t="inlineStr"/>
      <c r="P1203" s="6" t="inlineStr"/>
      <c r="Q1203" s="5" t="inlineStr"/>
      <c r="R1203" s="5" t="inlineStr"/>
      <c r="S1203" s="5" t="inlineStr"/>
      <c r="T1203" s="5" t="inlineStr"/>
      <c r="U1203" s="5" t="inlineStr">
        <is>
          <t>ani-defteri</t>
        </is>
      </c>
      <c r="V1203" s="5" t="inlineStr"/>
      <c r="W1203" s="5" t="inlineStr"/>
      <c r="X1203" s="5" t="inlineStr"/>
      <c r="Y1203" s="5" t="inlineStr"/>
      <c r="Z1203" s="6" t="inlineStr"/>
      <c r="AA1203" s="5" t="inlineStr"/>
      <c r="AB1203" s="5" t="inlineStr"/>
      <c r="AC1203" s="5" t="inlineStr"/>
      <c r="AD1203" s="5" t="inlineStr"/>
      <c r="AE1203" s="5" t="inlineStr"/>
      <c r="AF1203" s="5" t="inlineStr"/>
      <c r="AG1203" s="5" t="inlineStr"/>
      <c r="AH1203" s="5" t="inlineStr"/>
      <c r="AI1203" s="5" t="inlineStr"/>
      <c r="AJ1203" s="5" t="inlineStr"/>
    </row>
    <row r="1204">
      <c r="A1204" s="5" t="inlineStr">
        <is>
          <t>b10-ani-defteri</t>
        </is>
      </c>
      <c r="B1204" s="5" t="n">
        <v>3</v>
      </c>
      <c r="C1204" s="6" t="inlineStr">
        <is>
          <t>Vazo olayının gerçeğini yaz</t>
        </is>
      </c>
      <c r="D1204" s="5" t="inlineStr">
        <is>
          <t>İtibar</t>
        </is>
      </c>
      <c r="E1204" s="5" t="inlineStr">
        <is>
          <t>Kolay</t>
        </is>
      </c>
      <c r="F1204" s="5" t="inlineStr"/>
      <c r="G1204" s="6" t="inlineStr"/>
      <c r="H1204" s="6" t="inlineStr">
        <is>
          <t>Vazoyu senin kırdığını, kediyi senin suçladığını yazdın. Sayfayı okuyan en küçükleri 'Vay be' dedi, sana uzun uzun baktı. Kedi, ölümünden yıllar sonra aklandı.</t>
        </is>
      </c>
      <c r="I1204" s="6" t="inlineStr">
        <is>
          <t>İtirafı okuyan aile üyeleri ayağa kalktı ve kedinin anısına bir dakikalık saygı duruşu yapıldı.</t>
        </is>
      </c>
      <c r="J1204" s="6" t="inlineStr">
        <is>
          <t>İtirafı yazdın ama sayfa kahveye bulandı. Kedinin sicili değişmedi.</t>
        </is>
      </c>
      <c r="K1204" s="6" t="inlineStr">
        <is>
          <t>Gerçeği yazdın. Okuyunca kuzenin telefon açtı: 'O vazoyu ben itmiştim, sen sadece tutamadın.' Yetmiş yedi yıl başkasının suçunu taşımışsın; kediyle beraber.</t>
        </is>
      </c>
      <c r="L1204" s="6" t="inlineStr"/>
      <c r="M1204" s="5" t="inlineStr"/>
      <c r="N1204" s="5" t="inlineStr"/>
      <c r="O1204" s="6" t="inlineStr"/>
      <c r="P1204" s="6" t="inlineStr"/>
      <c r="Q1204" s="5" t="inlineStr"/>
      <c r="R1204" s="5" t="inlineStr">
        <is>
          <t>kediSuclu</t>
        </is>
      </c>
      <c r="S1204" s="5" t="inlineStr"/>
      <c r="T1204" s="5" t="inlineStr"/>
      <c r="U1204" s="5" t="inlineStr">
        <is>
          <t>ani-defteri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c r="AI1204" s="5" t="inlineStr"/>
      <c r="AJ1204" s="5" t="inlineStr"/>
    </row>
    <row r="1205">
      <c r="A1205" s="5" t="inlineStr">
        <is>
          <t>b10-seksen-yas-partisi</t>
        </is>
      </c>
      <c r="B1205" s="5" t="n">
        <v>1</v>
      </c>
      <c r="C1205" s="6" t="inlineStr">
        <is>
          <t>Mumları tek nefeste söndür</t>
        </is>
      </c>
      <c r="D1205" s="5" t="inlineStr">
        <is>
          <t>Dayanıklılık</t>
        </is>
      </c>
      <c r="E1205" s="5" t="inlineStr">
        <is>
          <t>Orta</t>
        </is>
      </c>
      <c r="F1205" s="5" t="inlineStr"/>
      <c r="G1205" s="6" t="inlineStr"/>
      <c r="H1205" s="6" t="inlineStr">
        <is>
          <t>Tek nefes, tüm mumlar. Oda alkışa, pasta kurtarılmaya geçti.</t>
        </is>
      </c>
      <c r="I1205" s="6" t="inlineStr">
        <is>
          <t>Tek nefeste seksen mum söndü; peçeteler uçtu, en öndekinin perçemi havalandı. Kapıdaki komşu bağırdı: 'Ciğere bak, ciğere!'</t>
        </is>
      </c>
      <c r="J1205" s="6" t="inlineStr">
        <is>
          <t>Mumların yarısı söndü. İkinci nefese kadar kalanlar pastaya damladı; ilk dilim mumlu çıktı.</t>
        </is>
      </c>
      <c r="K1205" s="6" t="inlineStr">
        <is>
          <t>Bütün gücünle üfledin; mumlar yerinde kaldı, takma dişin pastanın ortasına indi. Video aile grubunda; en çok tekrar izlenen yer diş.</t>
        </is>
      </c>
      <c r="L1205" s="6" t="inlineStr">
        <is>
          <t>Mumların çoğu söndü. Kalanları çocuklar arkadan üfledi; kimse görmedi, herkes gördü.</t>
        </is>
      </c>
      <c r="M1205" s="5" t="inlineStr">
        <is>
          <t>timing</t>
        </is>
      </c>
      <c r="N1205" s="5" t="inlineStr">
        <is>
          <t>Mumları Söndür</t>
        </is>
      </c>
      <c r="O1205" s="6" t="inlineStr">
        <is>
          <t>İbre yeşil alandayken DURDUR'a bas. Art arda tutturdukça kombo kazanırsın.</t>
        </is>
      </c>
      <c r="P1205" s="6" t="n"/>
      <c r="Q1205" s="5" t="inlineStr"/>
      <c r="R1205" s="5" t="inlineStr"/>
      <c r="S1205" s="5" t="inlineStr"/>
      <c r="T1205" s="5" t="inlineStr"/>
      <c r="U1205" s="5" t="inlineStr"/>
      <c r="V1205" s="5" t="inlineStr"/>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c r="AI1205" s="5" t="inlineStr">
        <is>
          <t>Takma Diş</t>
        </is>
      </c>
      <c r="AJ1205" s="5" t="inlineStr"/>
    </row>
    <row r="1206">
      <c r="A1206" s="5" t="inlineStr">
        <is>
          <t>b10-seksen-yas-partisi</t>
        </is>
      </c>
      <c r="B1206" s="5" t="n">
        <v>2</v>
      </c>
      <c r="C1206" s="6" t="inlineStr">
        <is>
          <t>Mumları çocuklara söndürt</t>
        </is>
      </c>
      <c r="D1206" s="5" t="inlineStr"/>
      <c r="E1206" s="5" t="inlineStr"/>
      <c r="F1206" s="5" t="inlineStr">
        <is>
          <t>Gönül +1</t>
        </is>
      </c>
      <c r="G1206" s="6" t="inlineStr">
        <is>
          <t>Çocuklar etrafını sardı, hep birlikte üflediniz; pastaya biraz tükürük karıştı, kimse dert etmedi. En küçüğü dileğini yüksek sesle söyledi: 'Hiç ölme.'</t>
        </is>
      </c>
      <c r="H1206" s="6" t="inlineStr"/>
      <c r="I1206" s="6" t="inlineStr"/>
      <c r="J1206" s="6" t="inlineStr"/>
      <c r="K1206" s="6" t="inlineStr"/>
      <c r="L1206" s="6" t="inlineStr"/>
      <c r="M1206" s="5" t="inlineStr"/>
      <c r="N1206" s="5" t="inlineStr"/>
      <c r="O1206" s="6" t="inlineStr"/>
      <c r="P1206" s="6" t="inlineStr"/>
      <c r="Q1206" s="5" t="inlineStr"/>
      <c r="R1206" s="5" t="inlineStr"/>
      <c r="S1206" s="5" t="inlineStr"/>
      <c r="T1206" s="5" t="inlineStr"/>
      <c r="U1206" s="5" t="inlineStr"/>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c r="AI1206" s="5" t="inlineStr"/>
      <c r="AJ1206" s="5" t="inlineStr"/>
    </row>
    <row r="1207">
      <c r="A1207" s="5" t="inlineStr">
        <is>
          <t>b10-seksen-yas-partisi</t>
        </is>
      </c>
      <c r="B1207" s="5" t="n">
        <v>3</v>
      </c>
      <c r="C1207" s="6" t="inlineStr">
        <is>
          <t>Seksen yılı dört cümlede anlat</t>
        </is>
      </c>
      <c r="D1207" s="5" t="inlineStr">
        <is>
          <t>Çene</t>
        </is>
      </c>
      <c r="E1207" s="5" t="inlineStr">
        <is>
          <t>Orta</t>
        </is>
      </c>
      <c r="F1207" s="5" t="inlineStr"/>
      <c r="G1207" s="6" t="inlineStr"/>
      <c r="H1207" s="6" t="inlineStr">
        <is>
          <t>Seksen yılı dört cümleye sığdırdın: 'Doğdum. Çok çay içtim. Sizi sevdim. Pasta eriyor.' Kimse telefonuna bakmadı; son cümlede herkes güldü.</t>
        </is>
      </c>
      <c r="I1207" s="6" t="inlineStr">
        <is>
          <t>Konuşman videoya çekildi, aile grubunda sabitlendi. Artık her doğum gününde açılışta oynatılıyor.</t>
        </is>
      </c>
      <c r="J1207" s="6" t="inlineStr">
        <is>
          <t>Konuşman uzadı, mumlar kendi kendine söndü.</t>
        </is>
      </c>
      <c r="K1207" s="6" t="inlineStr">
        <is>
          <t>Konuşmana 'Benim zamanımda…' diye başladın. Gençler bunu bekliyordu; tombala kartlarını çıkardılar. Üçüncü 'benim zamanımda'da en küçükleri 'Çinko!' diye bağırdı.</t>
        </is>
      </c>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c r="AI1207" s="5" t="inlineStr"/>
      <c r="AJ1207" s="5" t="inlineStr"/>
    </row>
    <row r="1208">
      <c r="A1208" s="5" t="inlineStr">
        <is>
          <t>b10-seksen-yas-partisi</t>
        </is>
      </c>
      <c r="B1208" s="5" t="n">
        <v>4</v>
      </c>
      <c r="C1208" s="6" t="inlineStr">
        <is>
          <t>Pastayı gizlice kes</t>
        </is>
      </c>
      <c r="D1208" s="5" t="inlineStr"/>
      <c r="E1208" s="5" t="inlineStr"/>
      <c r="F1208" s="5" t="inlineStr">
        <is>
          <t>Kurnazlık +1</t>
        </is>
      </c>
      <c r="G1208" s="6" t="inlineStr">
        <is>
          <t>Konuşmalar bitmeden ilk dilim senin tabağındaydı, üstünde de en büyük çilek. Masanın en küçüğü gördü; göz kırptın, o da kendi dilimini kesti.</t>
        </is>
      </c>
      <c r="H1208" s="6" t="inlineStr"/>
      <c r="I1208" s="6" t="inlineStr"/>
      <c r="J1208" s="6" t="inlineStr"/>
      <c r="K1208" s="6" t="inlineStr"/>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c r="AI1208" s="5" t="inlineStr"/>
      <c r="AJ1208" s="5" t="inlineStr"/>
    </row>
    <row r="1209">
      <c r="A1209" s="5" t="inlineStr">
        <is>
          <t>b10-huzurevi-turu</t>
        </is>
      </c>
      <c r="B1209" s="5" t="n">
        <v>1</v>
      </c>
      <c r="C1209" s="6" t="inlineStr">
        <is>
          <t>Nazikçe teşekkür et, evine dön</t>
        </is>
      </c>
      <c r="D1209" s="5" t="inlineStr"/>
      <c r="E1209" s="5" t="inlineStr"/>
      <c r="F1209" s="5" t="inlineStr">
        <is>
          <t>Dayanıklılık +1</t>
        </is>
      </c>
      <c r="G1209" s="6" t="inlineStr">
        <is>
          <t>Broşürü aldın, eve döndün. Akşam telefonda 'Merak etmeyin, beni oraya kimse koyamaz' dedin. Kimse koymaya çalışmıyordu.</t>
        </is>
      </c>
      <c r="H1209" s="6" t="inlineStr"/>
      <c r="I1209" s="6" t="inlineStr"/>
      <c r="J1209" s="6" t="inlineStr"/>
      <c r="K1209" s="6" t="inlineStr"/>
      <c r="L1209" s="6" t="inlineStr"/>
      <c r="M1209" s="5" t="inlineStr"/>
      <c r="N1209" s="5" t="inlineStr"/>
      <c r="O1209" s="6" t="inlineStr"/>
      <c r="P1209" s="6" t="inlineStr"/>
      <c r="Q1209" s="5" t="inlineStr"/>
      <c r="R1209" s="5" t="inlineStr"/>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c r="AI1209" s="5" t="inlineStr"/>
      <c r="AJ1209" s="5" t="inlineStr"/>
    </row>
    <row r="1210">
      <c r="A1210" s="5" t="inlineStr">
        <is>
          <t>b10-huzurevi-turu</t>
        </is>
      </c>
      <c r="B1210" s="5" t="n">
        <v>2</v>
      </c>
      <c r="C1210" s="6" t="inlineStr">
        <is>
          <t>Hemen kayıt ol</t>
        </is>
      </c>
      <c r="D1210" s="5" t="inlineStr"/>
      <c r="E1210" s="5" t="inlineStr"/>
      <c r="F1210" s="5" t="inlineStr">
        <is>
          <t>Sosyal Radar +1</t>
        </is>
      </c>
      <c r="G1210" s="6" t="inlineStr">
        <is>
          <t>Turun sonunda formu imzaladın; ailen birbirine baktı, 'Sadece bakıyorduk' dedi. Üç gün içinde bütün sakinlerin hayat hikâyesini öğrendin; onlar da seninkini, iki ayrı versiyonuyla.</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is>
          <t>huzurevi-sakini</t>
        </is>
      </c>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c r="AI1210" s="5" t="inlineStr"/>
      <c r="AJ1210" s="5" t="inlineStr"/>
    </row>
    <row r="1211">
      <c r="A1211" s="5" t="inlineStr">
        <is>
          <t>b10-huzurevi-turu</t>
        </is>
      </c>
      <c r="B1211" s="5" t="n">
        <v>3</v>
      </c>
      <c r="C1211" s="6" t="inlineStr">
        <is>
          <t>Çay saatinin yönetimini devral</t>
        </is>
      </c>
      <c r="D1211" s="5" t="inlineStr">
        <is>
          <t>Çene</t>
        </is>
      </c>
      <c r="E1211" s="5" t="inlineStr">
        <is>
          <t>Zor</t>
        </is>
      </c>
      <c r="F1211" s="5" t="inlineStr"/>
      <c r="G1211" s="6" t="inlineStr"/>
      <c r="H1211" s="6" t="inlineStr">
        <is>
          <t>Çay saati sana devredildi. İlk iş kuru kurabiyeyi kaldırıp ev poğaçasına geçtin. Mutfaktaki abla ilk hafta sana küstü, ikinci hafta tarifi istedi.</t>
        </is>
      </c>
      <c r="I1211" s="6" t="inlineStr">
        <is>
          <t>Çay saatin öyle sevildi ki karşı huzurevinden iki teyze her gün otobüsle gelmeye başladı. Müdür ikinci bir demlik aldı; ikisini de sana teslim etti.</t>
        </is>
      </c>
      <c r="J1211" s="6" t="inlineStr">
        <is>
          <t>Çay saatini devralmaya kalktın. Yirmi yıldır demliği tutan teyze demliği bırakmadı; o gün sana ilk bardağı da vermedi.</t>
        </is>
      </c>
      <c r="K1211" s="6" t="inlineStr">
        <is>
          <t>Devralma girişimin duyuldu. Bir hafta boyunca çay sana en son ve en açık hâliyle geldi.</t>
        </is>
      </c>
      <c r="L1211" s="6" t="inlineStr"/>
      <c r="M1211" s="5" t="inlineStr"/>
      <c r="N1211" s="5" t="inlineStr"/>
      <c r="O1211" s="6" t="inlineStr"/>
      <c r="P1211" s="6" t="inlineStr"/>
      <c r="Q1211" s="5" t="inlineStr">
        <is>
          <t>Kuralı Koyan</t>
        </is>
      </c>
      <c r="R1211" s="5" t="inlineStr"/>
      <c r="S1211" s="5" t="inlineStr"/>
      <c r="T1211" s="5" t="inlineStr"/>
      <c r="U1211" s="5" t="inlineStr"/>
      <c r="V1211" s="5" t="inlineStr">
        <is>
          <t>huzurevi-sakini</t>
        </is>
      </c>
      <c r="W1211" s="5" t="inlineStr"/>
      <c r="X1211" s="5" t="inlineStr"/>
      <c r="Y1211" s="5" t="inlineStr"/>
      <c r="Z1211" s="6" t="inlineStr"/>
      <c r="AA1211" s="5" t="inlineStr"/>
      <c r="AB1211" s="5" t="inlineStr"/>
      <c r="AC1211" s="5" t="inlineStr"/>
      <c r="AD1211" s="5" t="inlineStr"/>
      <c r="AE1211" s="5" t="inlineStr"/>
      <c r="AF1211" s="5" t="inlineStr"/>
      <c r="AG1211" s="5" t="inlineStr"/>
      <c r="AH1211" s="5" t="inlineStr"/>
      <c r="AI1211" s="5" t="inlineStr"/>
      <c r="AJ1211" s="5" t="inlineStr"/>
    </row>
    <row r="1212">
      <c r="A1212" s="5" t="inlineStr">
        <is>
          <t>b10-torunun-dugunu</t>
        </is>
      </c>
      <c r="B1212" s="5" t="n">
        <v>1</v>
      </c>
      <c r="C1212" s="6" t="inlineStr">
        <is>
          <t>Torunla dans figürlerini tekrarla</t>
        </is>
      </c>
      <c r="D1212" s="5" t="inlineStr">
        <is>
          <t>Dayanıklılık</t>
        </is>
      </c>
      <c r="E1212" s="5" t="inlineStr">
        <is>
          <t>Orta</t>
        </is>
      </c>
      <c r="F1212" s="5" t="inlineStr"/>
      <c r="G1212" s="6" t="inlineStr"/>
      <c r="H1212" s="6" t="inlineStr">
        <is>
          <t>Torun bir figür yaptı, sen tekrarladın; bir daha yaptı, yine tekrarladın. Salon tempo tuttu, sunucu mikrofona eğildi: 'Bir alkış da büyüğümüze!' Düğün videosunun en çok izlenen kısmı oldu.</t>
        </is>
      </c>
      <c r="I1212" s="6" t="inlineStr">
        <is>
          <t>Dansınız telefondan telefona dolaştı, milyonlarca kez izlendi. Düğün artık 'o dansın olduğu düğün' diye anılıyor; gelinle damat ikinci planda.</t>
        </is>
      </c>
      <c r="J1212" s="6" t="inlineStr">
        <is>
          <t>İki figürü karıştırdın. Torun gülerek senin versiyonuna uydu.</t>
        </is>
      </c>
      <c r="K1212" s="6" t="inlineStr">
        <is>
          <t>Figürleri karıştırdın, ters döndün, gelinin eteğine bastın. Fotoğrafçı tam o anı yakaladı. Düğün albümünün kapağı o kare.</t>
        </is>
      </c>
      <c r="L1212" s="6" t="inlineStr">
        <is>
          <t>Dört figürün üçü tamam. Dördüncüsünde torun seni kucakladı; kimse hatayı görmedi.</t>
        </is>
      </c>
      <c r="M1212" s="5" t="inlineStr">
        <is>
          <t>simon</t>
        </is>
      </c>
      <c r="N1212" s="5" t="inlineStr">
        <is>
          <t>Torunla Dans</t>
        </is>
      </c>
      <c r="O1212" s="6" t="inlineStr">
        <is>
          <t>Torunun gösterdiği figür sırasını aynen tekrarla.</t>
        </is>
      </c>
      <c r="P1212" s="6" t="inlineStr">
        <is>
          <t>{"items": ["👏", "💃", "🕺", "🙌"]}</t>
        </is>
      </c>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c r="AI1212" s="5" t="inlineStr"/>
      <c r="AJ1212" s="5" t="inlineStr"/>
    </row>
    <row r="1213">
      <c r="A1213" s="5" t="inlineStr">
        <is>
          <t>b10-torunun-dugunu</t>
        </is>
      </c>
      <c r="B1213" s="5" t="n">
        <v>2</v>
      </c>
      <c r="C1213" s="6" t="inlineStr">
        <is>
          <t>Takını mikrofondan anons ettir</t>
        </is>
      </c>
      <c r="D1213" s="5" t="inlineStr"/>
      <c r="E1213" s="5" t="inlineStr"/>
      <c r="F1213" s="5" t="inlineStr">
        <is>
          <t>İtibar +1, Gönül +1</t>
        </is>
      </c>
      <c r="G1213" s="6" t="inlineStr">
        <is>
          <t>Sunucu mikrofona eğildi: 'Aile büyüğümüzden bir bilezik ve iki çeyrek!' Salon ayağa kalktı; dünür tarafı kendi taktıklarını yeniden saydı.</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c r="AI1213" s="5" t="inlineStr"/>
      <c r="AJ1213" s="5" t="inlineStr"/>
    </row>
    <row r="1214">
      <c r="A1214" s="5" t="inlineStr">
        <is>
          <t>b10-torunun-dugunu</t>
        </is>
      </c>
      <c r="B1214" s="5" t="n">
        <v>3</v>
      </c>
      <c r="C1214" s="6" t="inlineStr">
        <is>
          <t>Halayın başını çek</t>
        </is>
      </c>
      <c r="D1214" s="5" t="inlineStr">
        <is>
          <t>Cesaret</t>
        </is>
      </c>
      <c r="E1214" s="5" t="inlineStr">
        <is>
          <t>Zor</t>
        </is>
      </c>
      <c r="F1214" s="5" t="inlineStr"/>
      <c r="G1214" s="6" t="inlineStr"/>
      <c r="H1214" s="6" t="inlineStr">
        <is>
          <t>Halayı başlattın, salon takip etti. Mendil hâlâ senin elinde.</t>
        </is>
      </c>
      <c r="I1214" s="6" t="inlineStr">
        <is>
          <t>Halayı öyle bir çektin ki orkestra bir şarkı daha çaldı. Kimse durmayı teklif etmedi.</t>
        </is>
      </c>
      <c r="J1214" s="6" t="inlineStr">
        <is>
          <t>Halayı başlattın, üçüncü turda mendili bir torununa devrettin.</t>
        </is>
      </c>
      <c r="K1214" s="6" t="inlineStr">
        <is>
          <t>Halay hızlanınca dizlerin bıraktı. İki torun iki kolundan tuttu; son turu ayakların yerden kesik, mendil elinde döndün. Salon ayakta alkışladı; sen alkışı ertesi gün fizik tedavide, dizinde buz torbasıyla hatırladın.</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n">
        <v>5</v>
      </c>
      <c r="Z1214" s="6" t="inlineStr">
        <is>
          <t>Torununun düğününde halayın başını çekerken. Mendil hâlâ havada.</t>
        </is>
      </c>
      <c r="AA1214" s="5" t="inlineStr"/>
      <c r="AB1214" s="5" t="inlineStr"/>
      <c r="AC1214" s="5" t="inlineStr"/>
      <c r="AD1214" s="5" t="inlineStr"/>
      <c r="AE1214" s="5" t="inlineStr"/>
      <c r="AF1214" s="5" t="inlineStr"/>
      <c r="AG1214" s="5" t="inlineStr"/>
      <c r="AH1214" s="5" t="inlineStr"/>
      <c r="AI1214" s="5" t="inlineStr"/>
      <c r="AJ1214" s="5" t="inlineStr"/>
    </row>
    <row r="1215">
      <c r="A1215" s="5" t="inlineStr">
        <is>
          <t>b10-yapay-zeka-kitap</t>
        </is>
      </c>
      <c r="B1215" s="5" t="n">
        <v>1</v>
      </c>
      <c r="C1215" s="6" t="inlineStr">
        <is>
          <t>Kitabı olduğu gibi onayla</t>
        </is>
      </c>
      <c r="D1215" s="5" t="inlineStr"/>
      <c r="E1215" s="5" t="inlineStr"/>
      <c r="F1215" s="5" t="inlineStr">
        <is>
          <t>İtibar +1</t>
        </is>
      </c>
      <c r="G1215" s="6" t="inlineStr">
        <is>
          <t>Kitap basıldı. Kendi hayatını okudun ve biraz kıskandın. Torun ilk nüshayı imzalatmaya getirdi.</t>
        </is>
      </c>
      <c r="H1215" s="6" t="inlineStr"/>
      <c r="I1215" s="6" t="inlineStr"/>
      <c r="J1215" s="6" t="inlineStr"/>
      <c r="K1215" s="6" t="inlineStr"/>
      <c r="L1215" s="6" t="inlineStr"/>
      <c r="M1215" s="5" t="inlineStr"/>
      <c r="N1215" s="5" t="inlineStr"/>
      <c r="O1215" s="6" t="inlineStr"/>
      <c r="P1215" s="6" t="inlineStr"/>
      <c r="Q1215" s="5" t="inlineStr"/>
      <c r="R1215" s="5" t="inlineStr"/>
      <c r="S1215" s="5" t="inlineStr"/>
      <c r="T1215" s="5" t="inlineStr"/>
      <c r="U1215" s="5" t="inlineStr">
        <is>
          <t>kitaplasti</t>
        </is>
      </c>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c r="AI1215" s="5" t="inlineStr"/>
      <c r="AJ1215" s="5" t="inlineStr"/>
    </row>
    <row r="1216">
      <c r="A1216" s="5" t="inlineStr">
        <is>
          <t>b10-yapay-zeka-kitap</t>
        </is>
      </c>
      <c r="B1216" s="5" t="n">
        <v>2</v>
      </c>
      <c r="C1216" s="6" t="inlineStr">
        <is>
          <t>Yapay zekâyla tartış</t>
        </is>
      </c>
      <c r="D1216" s="5" t="inlineStr">
        <is>
          <t>Akıl</t>
        </is>
      </c>
      <c r="E1216" s="5" t="inlineStr">
        <is>
          <t>Zor</t>
        </is>
      </c>
      <c r="F1216" s="5" t="inlineStr"/>
      <c r="G1216" s="6" t="inlineStr"/>
      <c r="H1216" s="6" t="inlineStr">
        <is>
          <t>Üç bölümü yeniden yazdırdın. Makine 'Haklısınız, özür dilerim' dedi. Hayatında en kolay kazandığın tartışma.</t>
        </is>
      </c>
      <c r="I1216" s="6" t="inlineStr">
        <is>
          <t>Makine hayatından o kadar etkilendi ki kitabın ikinci cildini önerdi. Sen daha birinci cildi okumadın.</t>
        </is>
      </c>
      <c r="J1216" s="6" t="inlineStr">
        <is>
          <t>Makine her itirazına 'Harika bir nokta!' dedi ve hiçbir şeyi değiştirmedi.</t>
        </is>
      </c>
      <c r="K1216" s="6" t="inlineStr">
        <is>
          <t>Makineyle iki saat tartıştın. Sonunda kitabın son bölümüne bir ad koydu: 'Huysuz Yıllar.' Torun okuyup başını salladı.</t>
        </is>
      </c>
      <c r="L1216" s="6" t="inlineStr"/>
      <c r="M1216" s="5" t="inlineStr"/>
      <c r="N1216" s="5" t="inlineStr"/>
      <c r="O1216" s="6" t="inlineStr"/>
      <c r="P1216" s="6" t="inlineStr"/>
      <c r="Q1216" s="5" t="inlineStr"/>
      <c r="R1216" s="5" t="inlineStr"/>
      <c r="S1216" s="5" t="inlineStr"/>
      <c r="T1216" s="5" t="inlineStr"/>
      <c r="U1216" s="5" t="inlineStr"/>
      <c r="V1216" s="5" t="inlineStr">
        <is>
          <t>kitaplasti</t>
        </is>
      </c>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c r="AI1216" s="5" t="inlineStr"/>
      <c r="AJ1216" s="5" t="inlineStr"/>
    </row>
    <row r="1217">
      <c r="A1217" s="5" t="inlineStr">
        <is>
          <t>b10-yapay-zeka-kitap</t>
        </is>
      </c>
      <c r="B1217" s="5" t="n">
        <v>3</v>
      </c>
      <c r="C1217" s="6" t="inlineStr">
        <is>
          <t>'Güzel olmayanları da yaz' de</t>
        </is>
      </c>
      <c r="D1217" s="5" t="inlineStr">
        <is>
          <t>İtibar</t>
        </is>
      </c>
      <c r="E1217" s="5" t="inlineStr">
        <is>
          <t>Kolay</t>
        </is>
      </c>
      <c r="F1217" s="5" t="inlineStr"/>
      <c r="G1217" s="6" t="inlineStr"/>
      <c r="H1217" s="6" t="inlineStr">
        <is>
          <t>Kitaba kırık camlar, borçlar ve kaçırılmış otobüsler eklendi. Artık gerçekten senin hayatın.</t>
        </is>
      </c>
      <c r="I1217" s="6" t="inlineStr">
        <is>
          <t>Kitap o kadar dürüst oldu ki torun okurken iki kez kalkıp sana sarıldı, bir kez de kapıyı kapatıp 'Bu bölümü annemler okumasın' dedi.</t>
        </is>
      </c>
      <c r="J1217" s="6" t="inlineStr">
        <is>
          <t>Makine 'güzel olmayanları' da güzel anlattı. Borç dönemin 'finansal öğrenme süreci' oldu.</t>
        </is>
      </c>
      <c r="K1217" s="6" t="inlineStr">
        <is>
          <t>Makine güzel olmayanları kitabın başına koydu. İlk cümle: 'Borçlarla geçen bir ömür.' Kitabı bayramda dünürlere dağıtamadılar.</t>
        </is>
      </c>
      <c r="L1217" s="6" t="inlineStr"/>
      <c r="M1217" s="5" t="inlineStr"/>
      <c r="N1217" s="5" t="inlineStr"/>
      <c r="O1217" s="6" t="inlineStr"/>
      <c r="P1217" s="6" t="inlineStr"/>
      <c r="Q1217" s="5" t="inlineStr"/>
      <c r="R1217" s="5" t="inlineStr"/>
      <c r="S1217" s="5" t="inlineStr">
        <is>
          <t>İtibar</t>
        </is>
      </c>
      <c r="T1217" s="5" t="inlineStr"/>
      <c r="U1217" s="5" t="inlineStr">
        <is>
          <t>kitaplasti</t>
        </is>
      </c>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c r="AI1217" s="5" t="inlineStr"/>
      <c r="AJ1217" s="5" t="inlineStr"/>
    </row>
    <row r="1218">
      <c r="A1218" s="5" t="inlineStr">
        <is>
          <t>b10-eski-ev</t>
        </is>
      </c>
      <c r="B1218" s="5" t="n">
        <v>1</v>
      </c>
      <c r="C1218" s="6" t="inlineStr">
        <is>
          <t>Durup bak, sonra yürü</t>
        </is>
      </c>
      <c r="D1218" s="5" t="inlineStr"/>
      <c r="E1218" s="5" t="inlineStr"/>
      <c r="F1218" s="5" t="inlineStr">
        <is>
          <t>İtibar +1</t>
        </is>
      </c>
      <c r="G1218" s="6" t="inlineStr">
        <is>
          <t>Ev sana bakmadı. Sen ona uzun uzun baktın; annenin mutfak penceresinden seslendiği yere. Sonra yürüdün, yavaş.</t>
        </is>
      </c>
      <c r="H1218" s="6" t="inlineStr"/>
      <c r="I1218" s="6" t="inlineStr"/>
      <c r="J1218" s="6" t="inlineStr"/>
      <c r="K1218" s="6" t="inlineStr"/>
      <c r="L1218" s="6" t="inlineStr"/>
      <c r="M1218" s="5" t="inlineStr"/>
      <c r="N1218" s="5" t="inlineStr"/>
      <c r="O1218" s="6" t="inlineStr"/>
      <c r="P1218" s="6" t="inlineStr"/>
      <c r="Q1218" s="5" t="inlineStr"/>
      <c r="R1218" s="5" t="inlineStr"/>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c r="AI1218" s="5" t="inlineStr"/>
      <c r="AJ1218" s="5" t="inlineStr"/>
    </row>
    <row r="1219">
      <c r="A1219" s="5" t="inlineStr">
        <is>
          <t>b10-eski-ev</t>
        </is>
      </c>
      <c r="B1219" s="5" t="n">
        <v>2</v>
      </c>
      <c r="C1219" s="6" t="inlineStr">
        <is>
          <t>Kapıyı çal</t>
        </is>
      </c>
      <c r="D1219" s="5" t="inlineStr">
        <is>
          <t>Cesaret</t>
        </is>
      </c>
      <c r="E1219" s="5" t="inlineStr">
        <is>
          <t>Orta</t>
        </is>
      </c>
      <c r="F1219" s="5" t="inlineStr"/>
      <c r="G1219" s="6" t="inlineStr"/>
      <c r="H1219" s="6" t="inlineStr">
        <is>
          <t>Yeni sahipler seni içeri aldı. Senin odan şimdi bir çocuk odası. Çocuk duvara keçeli kalemle güneş çizmiş, tam senin çizdiğin yere.</t>
        </is>
      </c>
      <c r="I1219" s="6" t="inlineStr">
        <is>
          <t>İçeri aldılar, çay koydular. Mutfak kapısının pervazında kurşun kalemle çizilmiş boy çizgilerin hâlâ duruyordu; ev sahibi silmeye kıyamamış.</t>
        </is>
      </c>
      <c r="J1219" s="6" t="inlineStr">
        <is>
          <t>Kapıyı kimse açmadı. Karşı apartmandan biri camı açtı: 'Kimi aradınız?' 'Kendimi' diyemedin.</t>
        </is>
      </c>
      <c r="K1219" s="6" t="inlineStr">
        <is>
          <t>Kapıyı açan kadın seni kaybolmuş sandı, adresini sordu. 'Burası' dedin. Kadın, polisi aradı; polise de 'Burası' dedin. Kendi eski evinden yeni evine polis arabasıyla döndün; karşı balkondaki teyze hepsini izledi.</t>
        </is>
      </c>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c r="AI1219" s="5" t="inlineStr"/>
      <c r="AJ1219" s="5" t="inlineStr"/>
    </row>
    <row r="1220">
      <c r="A1220" s="5" t="inlineStr">
        <is>
          <t>b10-eski-ev</t>
        </is>
      </c>
      <c r="B1220" s="5" t="n">
        <v>3</v>
      </c>
      <c r="C1220" s="6" t="inlineStr">
        <is>
          <t>Komşunun camına selam ver</t>
        </is>
      </c>
      <c r="D1220" s="5" t="inlineStr"/>
      <c r="E1220" s="5" t="inlineStr"/>
      <c r="F1220" s="5" t="inlineStr">
        <is>
          <t>Pişkinlik +1</t>
        </is>
      </c>
      <c r="G1220" s="6" t="inlineStr">
        <is>
          <t>Cama el salladın. Cam cevap vermedi. Ama pencerede biri seni hatırladı ve perdeyi kapattı.</t>
        </is>
      </c>
      <c r="H1220" s="6" t="inlineStr"/>
      <c r="I1220" s="6" t="inlineStr"/>
      <c r="J1220" s="6" t="inlineStr"/>
      <c r="K1220" s="6" t="inlineStr"/>
      <c r="L1220" s="6" t="inlineStr"/>
      <c r="M1220" s="5" t="inlineStr"/>
      <c r="N1220" s="5" t="inlineStr"/>
      <c r="O1220" s="6" t="inlineStr"/>
      <c r="P1220" s="6" t="inlineStr"/>
      <c r="Q1220" s="5" t="inlineStr"/>
      <c r="R1220" s="5" t="inlineStr">
        <is>
          <t>camKirildi</t>
        </is>
      </c>
      <c r="S1220" s="5" t="inlineStr"/>
      <c r="T1220" s="5" t="inlineStr"/>
      <c r="U1220" s="5" t="inlineStr"/>
      <c r="V1220" s="5" t="inlineStr"/>
      <c r="W1220" s="5" t="inlineStr"/>
      <c r="X1220" s="5" t="inlineStr"/>
      <c r="Y1220" s="5" t="inlineStr"/>
      <c r="Z1220" s="6" t="inlineStr"/>
      <c r="AA1220" s="5" t="inlineStr"/>
      <c r="AB1220" s="5" t="inlineStr"/>
      <c r="AC1220" s="5" t="inlineStr"/>
      <c r="AD1220" s="5" t="inlineStr"/>
      <c r="AE1220" s="5" t="inlineStr"/>
      <c r="AF1220" s="5" t="inlineStr"/>
      <c r="AG1220" s="5" t="inlineStr"/>
      <c r="AH1220" s="5" t="inlineStr"/>
      <c r="AI1220" s="5" t="inlineStr"/>
      <c r="AJ1220" s="5" t="inlineStr"/>
    </row>
    <row r="1221">
      <c r="A1221" s="5" t="inlineStr">
        <is>
          <t>b10-son-dans</t>
        </is>
      </c>
      <c r="B1221" s="5" t="n">
        <v>1</v>
      </c>
      <c r="C1221" s="6" t="inlineStr">
        <is>
          <t>Yavaş dans et</t>
        </is>
      </c>
      <c r="D1221" s="5" t="inlineStr"/>
      <c r="E1221" s="5" t="inlineStr"/>
      <c r="F1221" s="5" t="inlineStr">
        <is>
          <t>Gönül +1</t>
        </is>
      </c>
      <c r="G1221" s="6" t="inlineStr">
        <is>
          <t>Şarkı bitti, siz bitmediniz. Radyo bir şarkı daha çaldı.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c r="AI1221" s="5" t="inlineStr"/>
      <c r="AJ1221" s="5" t="inlineStr"/>
    </row>
    <row r="1222">
      <c r="A1222" s="5" t="inlineStr">
        <is>
          <t>b10-son-dans</t>
        </is>
      </c>
      <c r="B1222" s="5" t="n">
        <v>2</v>
      </c>
      <c r="C1222" s="6" t="inlineStr">
        <is>
          <t>Düğündeki dönüş figürünü dene</t>
        </is>
      </c>
      <c r="D1222" s="5" t="inlineStr">
        <is>
          <t>Cesaret</t>
        </is>
      </c>
      <c r="E1222" s="5" t="inlineStr">
        <is>
          <t>Çok Zor</t>
        </is>
      </c>
      <c r="F1222" s="5" t="inlineStr"/>
      <c r="G1222" s="6" t="inlineStr"/>
      <c r="H1222" s="6" t="inlineStr">
        <is>
          <t>Figür tamamlandı. Eşin 'Bunu hâlâ hatırlıyorsun' dedi. Sen de şaşırdın.</t>
        </is>
      </c>
      <c r="I1222" s="6" t="inlineStr">
        <is>
          <t>Eşini bir tur döndürdün, o da seni. İkiniz de ayakta kaldınız. Eşin kahkahayla 'Deli misin sen?' dedi; gözleri düğün gecesindeki gibiydi.</t>
        </is>
      </c>
      <c r="J1222" s="6" t="inlineStr">
        <is>
          <t>Figürü yarım bıraktınız. Kahkahalarınız şarkıdan uzun sürdü.</t>
        </is>
      </c>
      <c r="K1222" s="6" t="inlineStr">
        <is>
          <t>Figürün yarısında belin 'tık' etti; ikiniz birden halıya oturdunuz, kalkamadınız. Alt komşu yedek anahtarla gelene kadar şarkıyı yerde, el ele dinlediniz. Akşama bütün apartman biliyordu.</t>
        </is>
      </c>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n">
        <v>4</v>
      </c>
      <c r="Z1222" s="6" t="inlineStr">
        <is>
          <t>Eşiyle son dansında düğündeki dönüş figürünü denerken. Figür tamamlandı.</t>
        </is>
      </c>
      <c r="AA1222" s="5" t="inlineStr"/>
      <c r="AB1222" s="5" t="inlineStr"/>
      <c r="AC1222" s="5" t="inlineStr"/>
      <c r="AD1222" s="5" t="inlineStr"/>
      <c r="AE1222" s="5" t="inlineStr"/>
      <c r="AF1222" s="5" t="inlineStr"/>
      <c r="AG1222" s="5" t="inlineStr"/>
      <c r="AH1222" s="5" t="inlineStr"/>
      <c r="AI1222" s="5" t="inlineStr"/>
      <c r="AJ1222" s="5" t="inlineStr"/>
    </row>
    <row r="1223">
      <c r="A1223" s="5" t="inlineStr">
        <is>
          <t>b10-son-dans</t>
        </is>
      </c>
      <c r="B1223" s="5" t="n">
        <v>3</v>
      </c>
      <c r="C1223" s="6" t="inlineStr">
        <is>
          <t>Şarkıyı birlikte söyle</t>
        </is>
      </c>
      <c r="D1223" s="5" t="inlineStr">
        <is>
          <t>Gönül</t>
        </is>
      </c>
      <c r="E1223" s="5" t="inlineStr">
        <is>
          <t>Kolay</t>
        </is>
      </c>
      <c r="F1223" s="5" t="inlineStr"/>
      <c r="G1223" s="6" t="inlineStr"/>
      <c r="H1223" s="6" t="inlineStr">
        <is>
          <t>Sözlerin yarısı yanlış, ikisi de aynı yanlış. Uyum mükemmel.</t>
        </is>
      </c>
      <c r="I1223" s="6" t="inlineStr">
        <is>
          <t>Komşular balkona çıktı. Alt kattaki teyze nakarata katıldı, üst kattaki amca balkon demirine tempo tuttu.</t>
        </is>
      </c>
      <c r="J1223" s="6" t="inlineStr">
        <is>
          <t>Sözleri unuttun. Eşin hatırladı. Her zaman olduğu gibi.</t>
        </is>
      </c>
      <c r="K1223" s="6" t="inlineStr">
        <is>
          <t>Nakaratta durdunuz: sen başka şarkıyı, eşin başka şarkıyı söylüyormuş. Elli yıllık 'bizim şarkı hangisi' kavgası o akşam yeniden açıldı; ikiniz de kendi şarkınızdan vazgeçmediniz.</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c r="AI1223" s="5" t="inlineStr"/>
      <c r="AJ1223" s="5" t="inlineStr"/>
    </row>
    <row r="1224">
      <c r="A1224" s="5" t="inlineStr">
        <is>
          <t>b10-yalniz-ozgur</t>
        </is>
      </c>
      <c r="B1224" s="5" t="n">
        <v>1</v>
      </c>
      <c r="C1224" s="6" t="inlineStr">
        <is>
          <t>Akşamı kendi başına geçir</t>
        </is>
      </c>
      <c r="D1224" s="5" t="inlineStr"/>
      <c r="E1224" s="5" t="inlineStr"/>
      <c r="F1224" s="5" t="inlineStr">
        <is>
          <t>Dayanıklılık +1</t>
        </is>
      </c>
      <c r="G1224" s="6" t="inlineStr">
        <is>
          <t>Dizi, çay, sessizlik. Dizinin sonunda ağladın; kimse 'Yine mi?' demedi.</t>
        </is>
      </c>
      <c r="H1224" s="6" t="inlineStr"/>
      <c r="I1224" s="6" t="inlineStr"/>
      <c r="J1224" s="6" t="inlineStr"/>
      <c r="K1224" s="6" t="inlineStr"/>
      <c r="L1224" s="6" t="inlineStr"/>
      <c r="M1224" s="5" t="inlineStr"/>
      <c r="N1224" s="5" t="inlineStr"/>
      <c r="O1224" s="6" t="inlineStr"/>
      <c r="P1224" s="6" t="inlineStr"/>
      <c r="Q1224" s="5" t="inlineStr"/>
      <c r="R1224" s="5" t="inlineStr"/>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c r="AI1224" s="5" t="inlineStr"/>
      <c r="AJ1224" s="5" t="inlineStr"/>
    </row>
    <row r="1225">
      <c r="A1225" s="5" t="inlineStr">
        <is>
          <t>b10-yalniz-ozgur</t>
        </is>
      </c>
      <c r="B1225" s="5" t="n">
        <v>2</v>
      </c>
      <c r="C1225" s="6" t="inlineStr">
        <is>
          <t>Yeni bir hobiye başla</t>
        </is>
      </c>
      <c r="D1225" s="5" t="inlineStr">
        <is>
          <t>Akıl</t>
        </is>
      </c>
      <c r="E1225" s="5" t="inlineStr">
        <is>
          <t>Orta</t>
        </is>
      </c>
      <c r="F1225" s="5" t="inlineStr"/>
      <c r="G1225" s="6" t="inlineStr"/>
      <c r="H1225" s="6" t="inlineStr">
        <is>
          <t>Sulu boya kursuna yazıldın. Üçüncü resim, eski evinin tablosu. Duvara asıldı.</t>
        </is>
      </c>
      <c r="I1225" s="6" t="inlineStr">
        <is>
          <t>Sulu boya tabloların mahalle kütüphanesinde sergilendi. Ziyaretçi defterine biri yazdı: 'Ressam kim? Evli mi?'</t>
        </is>
      </c>
      <c r="J1225" s="6" t="inlineStr">
        <is>
          <t>Sulu boya setini açtın; ilk resim çaydanlığa benzedi. Aslında kediyi çizmiştin. Set dolaba kalktı.</t>
        </is>
      </c>
      <c r="K1225" s="6" t="inlineStr">
        <is>
          <t>Fırçayı çay bardağına daldırdın, sonra çayı içtin. Dilin üç gün mavi kaldı; bakkal her gördüğünde 'Hayırdır?' dedi.</t>
        </is>
      </c>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c r="AI1225" s="5" t="inlineStr">
        <is>
          <t>Mavi Dil</t>
        </is>
      </c>
      <c r="AJ1225" s="5" t="inlineStr"/>
    </row>
    <row r="1226">
      <c r="A1226" s="5" t="inlineStr">
        <is>
          <t>b10-yalniz-ozgur</t>
        </is>
      </c>
      <c r="B1226" s="5" t="n">
        <v>3</v>
      </c>
      <c r="C1226" s="6" t="inlineStr">
        <is>
          <t>Eski dostlara telefon aç</t>
        </is>
      </c>
      <c r="D1226" s="5" t="inlineStr">
        <is>
          <t>Sosyal Radar</t>
        </is>
      </c>
      <c r="E1226" s="5" t="inlineStr">
        <is>
          <t>Kolay</t>
        </is>
      </c>
      <c r="F1226" s="5" t="inlineStr"/>
      <c r="G1226" s="6" t="inlineStr"/>
      <c r="H1226" s="6" t="inlineStr">
        <is>
          <t>Üç kişiyi aradın, ikisi açtı. Bir buluşma ayarlandı.</t>
        </is>
      </c>
      <c r="I1226" s="6" t="inlineStr">
        <is>
          <t>Telefon zincirin sekiz eski dostu aynı çay bahçesinde topladı. Garson masaları birleştirdi, 'Doğum günü mü?' diye sordu. 'Hayır' dediniz, 'hâlâ yaşıyoruz günü.'</t>
        </is>
      </c>
      <c r="J1226" s="6" t="inlineStr">
        <is>
          <t>Beş kişiyi aradın. İkisi duymadı, biri 'Kim?' dedi, biri seni başkasıyla karıştırdı, beşincisi 'Ben de seni arayacaktım' dedi ve aramadı.</t>
        </is>
      </c>
      <c r="K1226" s="6" t="inlineStr">
        <is>
          <t>Defterdeki eski numarayı çevirdin; numara artık bir satış hattıymış. Bir saat tatlı tatlı sohbet ettin, sonunda üç taksitle bir masaj koltuğu aldın.</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c r="AI1226" s="5" t="inlineStr"/>
      <c r="AJ1226" s="5" t="inlineStr"/>
    </row>
    <row r="1227">
      <c r="A1227" s="5" t="inlineStr">
        <is>
          <t>b10-komsu-kedisi</t>
        </is>
      </c>
      <c r="B1227" s="5" t="n">
        <v>1</v>
      </c>
      <c r="C1227" s="6" t="inlineStr">
        <is>
          <t>Mama koy</t>
        </is>
      </c>
      <c r="D1227" s="5" t="inlineStr"/>
      <c r="E1227" s="5" t="inlineStr"/>
      <c r="F1227" s="5" t="inlineStr">
        <is>
          <t>Gönül +1</t>
        </is>
      </c>
      <c r="G1227" s="6" t="inlineStr">
        <is>
          <t>Mamayı koydun. Kedi önce sana, sonra mamaya baktı; yedi, gitti. Ertesi gün bir arkadaşıyla geldi.</t>
        </is>
      </c>
      <c r="H1227" s="6" t="inlineStr"/>
      <c r="I1227" s="6" t="inlineStr"/>
      <c r="J1227" s="6" t="inlineStr"/>
      <c r="K1227" s="6" t="inlineStr"/>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inlineStr"/>
      <c r="Z1227" s="6" t="inlineStr"/>
      <c r="AA1227" s="5" t="inlineStr"/>
      <c r="AB1227" s="5" t="inlineStr"/>
      <c r="AC1227" s="5" t="inlineStr"/>
      <c r="AD1227" s="5" t="inlineStr"/>
      <c r="AE1227" s="5" t="inlineStr"/>
      <c r="AF1227" s="5" t="inlineStr"/>
      <c r="AG1227" s="5" t="inlineStr"/>
      <c r="AH1227" s="5" t="inlineStr"/>
      <c r="AI1227" s="5" t="inlineStr"/>
      <c r="AJ1227" s="5" t="inlineStr"/>
    </row>
    <row r="1228">
      <c r="A1228" s="5" t="inlineStr">
        <is>
          <t>b10-komsu-kedisi</t>
        </is>
      </c>
      <c r="B1228" s="5" t="n">
        <v>2</v>
      </c>
      <c r="C1228" s="6" t="inlineStr">
        <is>
          <t>Kediyi evlat edin</t>
        </is>
      </c>
      <c r="D1228" s="5" t="inlineStr">
        <is>
          <t>Sosyal Radar</t>
        </is>
      </c>
      <c r="E1228" s="5" t="inlineStr">
        <is>
          <t>Orta</t>
        </is>
      </c>
      <c r="F1228" s="5" t="inlineStr"/>
      <c r="G1228" s="6" t="inlineStr"/>
      <c r="H1228" s="6" t="inlineStr">
        <is>
          <t>Kedi ertesi gün yatağına geçti. Artık ev onun.</t>
        </is>
      </c>
      <c r="I1228" s="6" t="inlineStr">
        <is>
          <t>Kedi yerleşti; peşinden sahibi geldi: 'Bizimki sizde mi?' Şimdi kedi iki evde yaşıyor, komşu her akşam sende çayda.</t>
        </is>
      </c>
      <c r="J1228" s="6" t="inlineStr">
        <is>
          <t>Kedi içeri girdi, her şeyi kokladı ve çıktı. Başvurun reddedildi.</t>
        </is>
      </c>
      <c r="K1228" s="6" t="inlineStr">
        <is>
          <t>Kediyi içeri alıp kapıyı kapattın. Bütün gece kapının önünde miyavladı. Sabah komşu zili çaldı: 'Bizim kediyi siz mi kaçırdınız?' Apartman grubu o gün başka bir şey konuşmadı.</t>
        </is>
      </c>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c r="AI1228" s="5" t="inlineStr"/>
      <c r="AJ1228" s="5" t="inlineStr"/>
    </row>
    <row r="1229">
      <c r="A1229" s="5" t="inlineStr">
        <is>
          <t>b10-komsu-kedisi</t>
        </is>
      </c>
      <c r="B1229" s="5" t="n">
        <v>3</v>
      </c>
      <c r="C1229" s="6" t="inlineStr">
        <is>
          <t>Kediden özür dile</t>
        </is>
      </c>
      <c r="D1229" s="5" t="inlineStr"/>
      <c r="E1229" s="5" t="inlineStr"/>
      <c r="F1229" s="5" t="inlineStr">
        <is>
          <t>Gönül +2</t>
        </is>
      </c>
      <c r="G1229" s="6" t="inlineStr">
        <is>
          <t>'O vazoyu ben kırdım.' Kedi sana uzun uzun baktı, sonra kucağına yerleşti. Seksen yıl sonra biri seni affetti: bir kedi.</t>
        </is>
      </c>
      <c r="H1229" s="6" t="inlineStr"/>
      <c r="I1229" s="6" t="inlineStr"/>
      <c r="J1229" s="6" t="inlineStr"/>
      <c r="K1229" s="6" t="inlineStr"/>
      <c r="L1229" s="6" t="inlineStr"/>
      <c r="M1229" s="5" t="inlineStr"/>
      <c r="N1229" s="5" t="inlineStr"/>
      <c r="O1229" s="6" t="inlineStr"/>
      <c r="P1229" s="6" t="inlineStr"/>
      <c r="Q1229" s="5" t="inlineStr"/>
      <c r="R1229" s="5" t="inlineStr">
        <is>
          <t>kediSuclu</t>
        </is>
      </c>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c r="AI1229" s="5" t="inlineStr"/>
      <c r="AJ1229" s="5" t="inlineStr"/>
    </row>
    <row r="1230">
      <c r="A1230" s="5" t="inlineStr">
        <is>
          <t>b10-sabah-yuruyusu</t>
        </is>
      </c>
      <c r="B1230" s="5" t="n">
        <v>1</v>
      </c>
      <c r="C1230" s="6" t="inlineStr">
        <is>
          <t>Kendi temponda yürü</t>
        </is>
      </c>
      <c r="D1230" s="5" t="inlineStr"/>
      <c r="E1230" s="5" t="inlineStr"/>
      <c r="F1230" s="5" t="inlineStr">
        <is>
          <t>Dayanıklılık +1</t>
        </is>
      </c>
      <c r="G1230" s="6" t="inlineStr">
        <is>
          <t>Grup önden gitti. Sen kendi temponda yürüdün; banka vardığında herkes sana yer açtı. Genç sayılmadın ama çay sana ilk geldi.</t>
        </is>
      </c>
      <c r="H1230" s="6" t="inlineStr"/>
      <c r="I1230" s="6" t="inlineStr"/>
      <c r="J1230" s="6" t="inlineStr"/>
      <c r="K1230" s="6" t="inlineStr"/>
      <c r="L1230" s="6" t="inlineStr"/>
      <c r="M1230" s="5" t="inlineStr"/>
      <c r="N1230" s="5" t="inlineStr"/>
      <c r="O1230" s="6" t="inlineStr"/>
      <c r="P1230" s="6" t="inlineStr"/>
      <c r="Q1230" s="5" t="inlineStr"/>
      <c r="R1230" s="5" t="inlineStr"/>
      <c r="S1230" s="5" t="inlineStr"/>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c r="AI1230" s="5" t="inlineStr"/>
      <c r="AJ1230" s="5" t="inlineStr"/>
    </row>
    <row r="1231">
      <c r="A1231" s="5" t="inlineStr">
        <is>
          <t>b10-sabah-yuruyusu</t>
        </is>
      </c>
      <c r="B1231" s="5" t="n">
        <v>2</v>
      </c>
      <c r="C1231" s="6" t="inlineStr">
        <is>
          <t>Bastonu bırak, öne geç</t>
        </is>
      </c>
      <c r="D1231" s="5" t="inlineStr">
        <is>
          <t>Dayanıklılık</t>
        </is>
      </c>
      <c r="E1231" s="5" t="inlineStr">
        <is>
          <t>Zor</t>
        </is>
      </c>
      <c r="F1231" s="5" t="inlineStr"/>
      <c r="G1231" s="6" t="inlineStr"/>
      <c r="H1231" s="6" t="inlineStr">
        <is>
          <t>Grubun önüne geçtin. Kimse bir şey demedi, ama ertesi gün herkes erken geldi.</t>
        </is>
      </c>
      <c r="I1231" s="6" t="inlineStr">
        <is>
          <t>Önüne geçtin, bir tur boyunca liderliği bırakmadın. Ertesi sabah bankta seni bir şapka bekliyordu; üstüne keçeli kalemle 'Kaptan' yazmışlar.</t>
        </is>
      </c>
      <c r="J1231" s="6" t="inlineStr">
        <is>
          <t>Önüne geçtin, ikinci köşede geri düştün. Grup sana bir kez nazikçe el salladı.</t>
        </is>
      </c>
      <c r="K1231" s="6" t="inlineStr">
        <is>
          <t>Bastonsuz hızlandın; ikinci köşede nefesin kesildi, yoldaki ilk banka çöktün. Biri kolonya döktü, biri ambulansı aradı. Ertesi gün herkes senin yanında yavaş yürüdü; en çok bu koydu.</t>
        </is>
      </c>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n">
        <v>5</v>
      </c>
      <c r="Z1231" s="6" t="inlineStr">
        <is>
          <t>Sabah yürüyüş grubunda ilk kez en öne geçtiği anda. Kupa yoktu, onur vardı.</t>
        </is>
      </c>
      <c r="AA1231" s="5" t="inlineStr"/>
      <c r="AB1231" s="5" t="inlineStr"/>
      <c r="AC1231" s="5" t="inlineStr"/>
      <c r="AD1231" s="5" t="inlineStr"/>
      <c r="AE1231" s="5" t="inlineStr"/>
      <c r="AF1231" s="5" t="inlineStr"/>
      <c r="AG1231" s="5" t="inlineStr"/>
      <c r="AH1231" s="5" t="inlineStr"/>
      <c r="AI1231" s="5" t="inlineStr"/>
      <c r="AJ1231" s="5" t="inlineStr"/>
    </row>
    <row r="1232">
      <c r="A1232" s="5" t="inlineStr">
        <is>
          <t>b10-sabah-yuruyusu</t>
        </is>
      </c>
      <c r="B1232" s="5" t="n">
        <v>3</v>
      </c>
      <c r="C1232" s="6" t="inlineStr">
        <is>
          <t>Köşeyi kısa kes</t>
        </is>
      </c>
      <c r="D1232" s="5" t="inlineStr"/>
      <c r="E1232" s="5" t="inlineStr"/>
      <c r="F1232" s="5" t="inlineStr">
        <is>
          <t>Kurnazlık +1</t>
        </is>
      </c>
      <c r="G1232" s="6" t="inlineStr">
        <is>
          <t>Kısa kestin, banka ilk sen vardın. Park görevlisi gördü ama saygıyla sustu; akşama kadar 'genç' sayıldın.</t>
        </is>
      </c>
      <c r="H1232" s="6" t="inlineStr"/>
      <c r="I1232" s="6" t="inlineStr"/>
      <c r="J1232" s="6" t="inlineStr"/>
      <c r="K1232" s="6" t="inlineStr"/>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c r="AI1232" s="5" t="inlineStr"/>
      <c r="AJ1232" s="5" t="inlineStr"/>
    </row>
    <row r="1233">
      <c r="A1233" s="5" t="inlineStr">
        <is>
          <t>b10-son-taksit</t>
        </is>
      </c>
      <c r="B1233" s="5" t="n">
        <v>1</v>
      </c>
      <c r="C1233" s="6" t="inlineStr">
        <is>
          <t>'Borcu yoktur' yazısını çerçevelet</t>
        </is>
      </c>
      <c r="D1233" s="5" t="inlineStr"/>
      <c r="E1233" s="5" t="inlineStr"/>
      <c r="F1233" s="5" t="inlineStr">
        <is>
          <t>İtibar +1</t>
        </is>
      </c>
      <c r="G1233" s="6" t="inlineStr">
        <is>
          <t>Yazı çerçevelenip salonun duvarına asıldı. Gelen misafir önce ona, sonra sana bakıyor.</t>
        </is>
      </c>
      <c r="H1233" s="6" t="inlineStr"/>
      <c r="I1233" s="6" t="inlineStr"/>
      <c r="J1233" s="6" t="inlineStr"/>
      <c r="K1233" s="6" t="inlineStr"/>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c r="AI1233" s="5" t="inlineStr"/>
      <c r="AJ1233" s="5" t="inlineStr"/>
    </row>
    <row r="1234">
      <c r="A1234" s="5" t="inlineStr">
        <is>
          <t>b10-son-taksit</t>
        </is>
      </c>
      <c r="B1234" s="5" t="n">
        <v>2</v>
      </c>
      <c r="C1234" s="6" t="inlineStr">
        <is>
          <t>Yeni kredi teklifini kabul et</t>
        </is>
      </c>
      <c r="D1234" s="5" t="inlineStr">
        <is>
          <t>Pişkinlik</t>
        </is>
      </c>
      <c r="E1234" s="5" t="inlineStr">
        <is>
          <t>Orta</t>
        </is>
      </c>
      <c r="F1234" s="5" t="inlineStr"/>
      <c r="G1234" s="6" t="inlineStr"/>
      <c r="H1234" s="6" t="inlineStr">
        <is>
          <t>Kredi onaylandı. Bankanın risk departmanında sessiz bir toplantı yapıldı.</t>
        </is>
      </c>
      <c r="I1234" s="6" t="inlineStr">
        <is>
          <t>Otuz yıl vadeli kredi onaylandı. İmzayı atarken müdüre döndün: 'Son taksidi sana ben getireceğim.' Müdür güldü, sonra hesap makinesine baktı.</t>
        </is>
      </c>
      <c r="J1234" s="6" t="inlineStr">
        <is>
          <t>Başvuru 'değerlendirmede' kaldı. Her ay arıyorsun, her ay aynı genç 'Az kaldı efendim' diyor. İkiniz de neyin az kaldığını söylemiyorsunuz.</t>
        </is>
      </c>
      <c r="K1234" s="6" t="inlineStr">
        <is>
          <t>Banka kefil istedi; kefil olarak yeğenini yazdın. Banka yeğenini aradı; yeğenin 'Kaç yaşında olduğunu biliyor musunuz?' dedi ve kapattı. Bayram ziyareti o yıl kısa sürdü.</t>
        </is>
      </c>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inlineStr"/>
      <c r="Z1234" s="6" t="inlineStr"/>
      <c r="AA1234" s="5" t="inlineStr"/>
      <c r="AB1234" s="5" t="inlineStr"/>
      <c r="AC1234" s="5" t="inlineStr"/>
      <c r="AD1234" s="5" t="inlineStr"/>
      <c r="AE1234" s="5" t="inlineStr"/>
      <c r="AF1234" s="5" t="inlineStr"/>
      <c r="AG1234" s="5" t="inlineStr"/>
      <c r="AH1234" s="5" t="inlineStr"/>
      <c r="AI1234" s="5" t="inlineStr"/>
      <c r="AJ1234" s="5" t="inlineStr"/>
    </row>
    <row r="1235">
      <c r="A1235" s="5" t="inlineStr">
        <is>
          <t>b10-son-taksit</t>
        </is>
      </c>
      <c r="B1235" s="5" t="n">
        <v>3</v>
      </c>
      <c r="C1235" s="6" t="inlineStr">
        <is>
          <t>Bankaya ayrılık görüşmesine git</t>
        </is>
      </c>
      <c r="D1235" s="5" t="inlineStr"/>
      <c r="E1235" s="5" t="inlineStr"/>
      <c r="F1235" s="5" t="inlineStr">
        <is>
          <t>Çene +1</t>
        </is>
      </c>
      <c r="G1235" s="6" t="inlineStr">
        <is>
          <t>Banka müdürüne 'Sen değilsin, benim' dedin. Müdür güldü, sana bir kutu kalem verdi. Kapıdan çıkarken bir kez dönüp baktın.</t>
        </is>
      </c>
      <c r="H1235" s="6" t="inlineStr"/>
      <c r="I1235" s="6" t="inlineStr"/>
      <c r="J1235" s="6" t="inlineStr"/>
      <c r="K1235" s="6" t="inlineStr"/>
      <c r="L1235" s="6" t="inlineStr"/>
      <c r="M1235" s="5" t="inlineStr"/>
      <c r="N1235" s="5" t="inlineStr"/>
      <c r="O1235" s="6" t="inlineStr"/>
      <c r="P1235" s="6" t="inlineStr"/>
      <c r="Q1235" s="5" t="inlineStr"/>
      <c r="R1235" s="5" t="inlineStr">
        <is>
          <t>borclu</t>
        </is>
      </c>
      <c r="S1235" s="5" t="inlineStr"/>
      <c r="T1235" s="5" t="inlineStr"/>
      <c r="U1235" s="5" t="inlineStr"/>
      <c r="V1235" s="5" t="inlineStr"/>
      <c r="W1235" s="5" t="inlineStr"/>
      <c r="X1235" s="5" t="inlineStr"/>
      <c r="Y1235" s="5" t="inlineStr"/>
      <c r="Z1235" s="6" t="inlineStr"/>
      <c r="AA1235" s="5" t="inlineStr"/>
      <c r="AB1235" s="5" t="inlineStr"/>
      <c r="AC1235" s="5" t="inlineStr"/>
      <c r="AD1235" s="5" t="inlineStr"/>
      <c r="AE1235" s="5" t="inlineStr"/>
      <c r="AF1235" s="5" t="inlineStr"/>
      <c r="AG1235" s="5" t="inlineStr"/>
      <c r="AH1235" s="5" t="inlineStr"/>
      <c r="AI1235" s="5" t="inlineStr"/>
      <c r="AJ1235" s="5" t="inlineStr"/>
    </row>
    <row r="1236">
      <c r="A1236" s="5" t="inlineStr">
        <is>
          <t>b10-ehliyet-yenileme</t>
        </is>
      </c>
      <c r="B1236" s="5" t="n">
        <v>1</v>
      </c>
      <c r="C1236" s="6" t="inlineStr">
        <is>
          <t>Arabanın anahtarını teslim et</t>
        </is>
      </c>
      <c r="D1236" s="5" t="inlineStr"/>
      <c r="E1236" s="5" t="inlineStr"/>
      <c r="F1236" s="5" t="inlineStr">
        <is>
          <t>Gönül +1</t>
        </is>
      </c>
      <c r="G1236" s="6" t="inlineStr">
        <is>
          <t>Anahtarı teslim ettin; bir an bırakmadın, sonra bıraktın. Artık ön koltuktan yol tarif ediyorsun; şoför kim olursa olsun her virajda 'Yavaş!' diyorsun.</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inlineStr"/>
      <c r="Z1236" s="6" t="inlineStr"/>
      <c r="AA1236" s="5" t="inlineStr"/>
      <c r="AB1236" s="5" t="inlineStr"/>
      <c r="AC1236" s="5" t="inlineStr"/>
      <c r="AD1236" s="5" t="inlineStr"/>
      <c r="AE1236" s="5" t="inlineStr"/>
      <c r="AF1236" s="5" t="inlineStr"/>
      <c r="AG1236" s="5" t="inlineStr"/>
      <c r="AH1236" s="5" t="inlineStr"/>
      <c r="AI1236" s="5" t="inlineStr"/>
      <c r="AJ1236" s="5" t="inlineStr"/>
    </row>
    <row r="1237">
      <c r="A1237" s="5" t="inlineStr">
        <is>
          <t>b10-ehliyet-yenileme</t>
        </is>
      </c>
      <c r="B1237" s="5" t="n">
        <v>2</v>
      </c>
      <c r="C1237" s="6" t="inlineStr">
        <is>
          <t>Göz testini ezberden geç</t>
        </is>
      </c>
      <c r="D1237" s="5" t="inlineStr">
        <is>
          <t>Akıl</t>
        </is>
      </c>
      <c r="E1237" s="5" t="inlineStr">
        <is>
          <t>Orta</t>
        </is>
      </c>
      <c r="F1237" s="5" t="inlineStr"/>
      <c r="G1237" s="6" t="inlineStr"/>
      <c r="H1237" s="6" t="inlineStr">
        <is>
          <t>Üçüncü satırı gözünü kısarak, ezberden okudun. Doktor 'Gözleriniz benimkinden iyi' deyip imzaladı. Çıkarken kapının kenarına çarptın; doktor görmedi.</t>
        </is>
      </c>
      <c r="I1237" s="6" t="inlineStr">
        <is>
          <t>Doktor senin ezberini fark etti ve seni tebrik etti: 'Hafızanız gözlerinizden iyi.' Rapor imzalandı.</t>
        </is>
      </c>
      <c r="J1237" s="6" t="inlineStr">
        <is>
          <t>Doktor tabloyu değiştirdi. İlk satıra uzun uzun baktın: 'Bu harf mi, sinek mi?'</t>
        </is>
      </c>
      <c r="K1237" s="6" t="inlineStr">
        <is>
          <t>Üçüncü satırı ezberden, yüksek sesle, kendinden emin okudun. Doktor o sırada başka tabloyu gösteriyordu. Rapora 'Hafıza iyi, göz yok' yazdı.</t>
        </is>
      </c>
      <c r="L1237" s="6" t="inlineStr"/>
      <c r="M1237" s="5" t="inlineStr"/>
      <c r="N1237" s="5" t="inlineStr"/>
      <c r="O1237" s="6" t="inlineStr"/>
      <c r="P1237" s="6" t="inlineStr"/>
      <c r="Q1237" s="5" t="inlineStr"/>
      <c r="R1237" s="5" t="inlineStr"/>
      <c r="S1237" s="5" t="inlineStr"/>
      <c r="T1237" s="5" t="inlineStr"/>
      <c r="U1237" s="5" t="inlineStr"/>
      <c r="V1237" s="5" t="inlineStr"/>
      <c r="W1237" s="5" t="inlineStr"/>
      <c r="X1237" s="5" t="inlineStr"/>
      <c r="Y1237" s="5" t="inlineStr"/>
      <c r="Z1237" s="6" t="inlineStr"/>
      <c r="AA1237" s="5" t="inlineStr"/>
      <c r="AB1237" s="5" t="inlineStr"/>
      <c r="AC1237" s="5" t="inlineStr"/>
      <c r="AD1237" s="5" t="inlineStr"/>
      <c r="AE1237" s="5" t="inlineStr"/>
      <c r="AF1237" s="5" t="inlineStr"/>
      <c r="AG1237" s="5" t="inlineStr"/>
      <c r="AH1237" s="5" t="inlineStr"/>
      <c r="AI1237" s="5" t="inlineStr"/>
      <c r="AJ1237" s="5" t="inlineStr"/>
    </row>
    <row r="1238">
      <c r="A1238" s="5" t="inlineStr">
        <is>
          <t>b10-ehliyet-yenileme</t>
        </is>
      </c>
      <c r="B1238" s="5" t="n">
        <v>3</v>
      </c>
      <c r="C1238" s="6" t="inlineStr">
        <is>
          <t>Direksiyon sınavına gir</t>
        </is>
      </c>
      <c r="D1238" s="5" t="inlineStr">
        <is>
          <t>Cesaret</t>
        </is>
      </c>
      <c r="E1238" s="5" t="inlineStr">
        <is>
          <t>Zor</t>
        </is>
      </c>
      <c r="F1238" s="5" t="inlineStr"/>
      <c r="G1238" s="6" t="inlineStr"/>
      <c r="H1238" s="6" t="inlineStr">
        <is>
          <t>Sınavı geçtin. Sınav görevlisi seni kapıya kadar alkışladı.</t>
        </is>
      </c>
      <c r="I1238" s="6" t="inlineStr">
        <is>
          <t>Sınavı hatasız geçtin ve görevli sana 'Gençlere de böyle sürmeyi öğretin' dedi.</t>
        </is>
      </c>
      <c r="J1238" s="6" t="inlineStr">
        <is>
          <t>Park manevrasını dört denemede yaptın. Sınav görevlisi 'Bir dahaki sefere' dedi.</t>
        </is>
      </c>
      <c r="K1238" s="6" t="inlineStr">
        <is>
          <t>Park ederken sınav görevlisinin kendi arabasının farını kırdın. Görevli forma tek kelime yazdı: 'Hayır.' Farın parasını da senden istedi.</t>
        </is>
      </c>
      <c r="L1238" s="6" t="inlineStr"/>
      <c r="M1238" s="5" t="inlineStr"/>
      <c r="N1238" s="5" t="inlineStr"/>
      <c r="O1238" s="6" t="inlineStr"/>
      <c r="P1238" s="6" t="inlineStr"/>
      <c r="Q1238" s="5" t="inlineStr"/>
      <c r="R1238" s="5" t="inlineStr"/>
      <c r="S1238" s="5" t="inlineStr"/>
      <c r="T1238" s="5" t="inlineStr"/>
      <c r="U1238" s="5" t="inlineStr"/>
      <c r="V1238" s="5" t="inlineStr"/>
      <c r="W1238" s="5" t="inlineStr"/>
      <c r="X1238" s="5" t="inlineStr"/>
      <c r="Y1238" s="5" t="n">
        <v>5</v>
      </c>
      <c r="Z1238" s="6" t="inlineStr">
        <is>
          <t>Ehliyetini yeniledikten sonra ilk kavşakta sağ şeridi seçti. Sağ şerit onu seçmedi.</t>
        </is>
      </c>
      <c r="AA1238" s="5" t="inlineStr"/>
      <c r="AB1238" s="5" t="inlineStr"/>
      <c r="AC1238" s="5" t="inlineStr"/>
      <c r="AD1238" s="5" t="inlineStr"/>
      <c r="AE1238" s="5" t="inlineStr"/>
      <c r="AF1238" s="5" t="inlineStr"/>
      <c r="AG1238" s="5" t="inlineStr"/>
      <c r="AH1238" s="5" t="inlineStr"/>
      <c r="AI1238" s="5" t="inlineStr"/>
      <c r="AJ1238" s="5" t="inlineStr"/>
    </row>
    <row r="1239">
      <c r="A1239" s="5" t="inlineStr">
        <is>
          <t>b10-mahallenin-en-yaslisi</t>
        </is>
      </c>
      <c r="B1239" s="5" t="n">
        <v>1</v>
      </c>
      <c r="C1239" s="6" t="inlineStr">
        <is>
          <t>Plaketi alıp teşekkür et</t>
        </is>
      </c>
      <c r="D1239" s="5" t="inlineStr"/>
      <c r="E1239" s="5" t="inlineStr"/>
      <c r="F1239" s="5" t="inlineStr">
        <is>
          <t>İtibar +1</t>
        </is>
      </c>
      <c r="G1239" s="6" t="inlineStr">
        <is>
          <t>Plaketi alıp 'Sağ olun, daha bitmedi' dedin. Salon güldü. Plaket şimdi buzdolabının üstünde; muhtar her geçişte kapıdan selam veriyor.</t>
        </is>
      </c>
      <c r="H1239" s="6" t="inlineStr"/>
      <c r="I1239" s="6" t="inlineStr"/>
      <c r="J1239" s="6" t="inlineStr"/>
      <c r="K1239" s="6" t="inlineStr"/>
      <c r="L1239" s="6" t="inlineStr"/>
      <c r="M1239" s="5" t="inlineStr"/>
      <c r="N1239" s="5" t="inlineStr"/>
      <c r="O1239" s="6" t="inlineStr"/>
      <c r="P1239" s="6" t="inlineStr"/>
      <c r="Q1239" s="5" t="inlineStr"/>
      <c r="R1239" s="5" t="inlineStr"/>
      <c r="S1239" s="5" t="inlineStr"/>
      <c r="T1239" s="5" t="inlineStr"/>
      <c r="U1239" s="5" t="inlineStr"/>
      <c r="V1239" s="5" t="inlineStr"/>
      <c r="W1239" s="5" t="inlineStr"/>
      <c r="X1239" s="5" t="inlineStr"/>
      <c r="Y1239" s="5" t="inlineStr"/>
      <c r="Z1239" s="6" t="inlineStr"/>
      <c r="AA1239" s="5" t="inlineStr"/>
      <c r="AB1239" s="5" t="inlineStr"/>
      <c r="AC1239" s="5" t="inlineStr"/>
      <c r="AD1239" s="5" t="inlineStr"/>
      <c r="AE1239" s="5" t="inlineStr"/>
      <c r="AF1239" s="5" t="inlineStr"/>
      <c r="AG1239" s="5" t="inlineStr"/>
      <c r="AH1239" s="5" t="inlineStr"/>
      <c r="AI1239" s="5" t="inlineStr"/>
      <c r="AJ1239" s="5" t="inlineStr"/>
    </row>
    <row r="1240">
      <c r="A1240" s="5" t="inlineStr">
        <is>
          <t>b10-mahallenin-en-yaslisi</t>
        </is>
      </c>
      <c r="B1240" s="5" t="n">
        <v>2</v>
      </c>
      <c r="C1240" s="6" t="inlineStr">
        <is>
          <t>Uzun yaşamanın sırrını açıkla</t>
        </is>
      </c>
      <c r="D1240" s="5" t="inlineStr">
        <is>
          <t>İtibar</t>
        </is>
      </c>
      <c r="E1240" s="5" t="inlineStr">
        <is>
          <t>Orta</t>
        </is>
      </c>
      <c r="F1240" s="5" t="inlineStr"/>
      <c r="G1240" s="6" t="inlineStr"/>
      <c r="H1240" s="6" t="inlineStr">
        <is>
          <t>'Sabah bir kâse yoğurt, akşam üç ceviz, bir de kimseye kin tutmamak.' Ertesi gün bakkalda ceviz kalmadı.</t>
        </is>
      </c>
      <c r="I1240" s="6" t="inlineStr">
        <is>
          <t>Sırrın o kadar sevildi ki mahallede tişörtü basıldı. Satışlardan sana pay verilmedi.</t>
        </is>
      </c>
      <c r="J1240" s="6" t="inlineStr">
        <is>
          <t>Sırrı açıklamadan önce çay istedin. Çay geldi, konuşma bitti. Sır belki de buydu.</t>
        </is>
      </c>
      <c r="K1240" s="6" t="inlineStr">
        <is>
          <t>Sırrını açıkladın: 'Her sabah üç yumurta, her akşam bir tabak kızartma.' Salondaki doktor mikrofonu senden nazikçe aldı.</t>
        </is>
      </c>
      <c r="L1240" s="6" t="inlineStr"/>
      <c r="M1240" s="5" t="inlineStr"/>
      <c r="N1240" s="5" t="inlineStr"/>
      <c r="O1240" s="6" t="inlineStr"/>
      <c r="P1240" s="6" t="inlineStr"/>
      <c r="Q1240" s="5" t="inlineStr"/>
      <c r="R1240" s="5" t="inlineStr"/>
      <c r="S1240" s="5" t="inlineStr"/>
      <c r="T1240" s="5" t="inlineStr"/>
      <c r="U1240" s="5" t="inlineStr"/>
      <c r="V1240" s="5" t="inlineStr"/>
      <c r="W1240" s="5" t="inlineStr"/>
      <c r="X1240" s="5" t="inlineStr"/>
      <c r="Y1240" s="5" t="inlineStr"/>
      <c r="Z1240" s="6" t="inlineStr"/>
      <c r="AA1240" s="5" t="inlineStr"/>
      <c r="AB1240" s="5" t="inlineStr"/>
      <c r="AC1240" s="5" t="inlineStr"/>
      <c r="AD1240" s="5" t="inlineStr"/>
      <c r="AE1240" s="5" t="inlineStr"/>
      <c r="AF1240" s="5" t="inlineStr"/>
      <c r="AG1240" s="5" t="inlineStr"/>
      <c r="AH1240" s="5" t="inlineStr"/>
      <c r="AI1240" s="5" t="inlineStr"/>
      <c r="AJ1240" s="5" t="inlineStr"/>
    </row>
    <row r="1241">
      <c r="A1241" s="5" t="inlineStr">
        <is>
          <t>b10-mahallenin-en-yaslisi</t>
        </is>
      </c>
      <c r="B1241" s="5" t="n">
        <v>3</v>
      </c>
      <c r="C1241" s="6" t="inlineStr">
        <is>
          <t>Plaketi bir sonraki adaya ithaf et</t>
        </is>
      </c>
      <c r="D1241" s="5" t="inlineStr">
        <is>
          <t>Pişkinlik</t>
        </is>
      </c>
      <c r="E1241" s="5" t="inlineStr">
        <is>
          <t>Kolay</t>
        </is>
      </c>
      <c r="F1241" s="5" t="inlineStr"/>
      <c r="G1241" s="6" t="inlineStr"/>
      <c r="H1241" s="6" t="inlineStr">
        <is>
          <t>Plaketi salondaki ikinci en yaşlıya gösterdin: 'Bir sonraki sen.' Salon hem güldü hem ürperdi.</t>
        </is>
      </c>
      <c r="I1241" s="6" t="inlineStr">
        <is>
          <t>Salondaki bütün yaşlılar ayağa kalkıp birbirini gösterdi: 'Sıradaki sen!' Salon kahkahaya boğuldu, en çok da ikinci en yaşlı güldü.</t>
        </is>
      </c>
      <c r="J1241" s="6" t="inlineStr">
        <is>
          <t>İkinci en yaşlı seni duymadı. Ya da duymamış gibi yaptı.</t>
        </is>
      </c>
      <c r="K1241" s="6" t="inlineStr">
        <is>
          <t>İkinci en yaşlı ayağa kalktı: 'Ben nüfusa üç yıl geç yazıldım, asıl en yaşlı benim.' Muhtar kayıtlara baktı; plaket törenin ortasında el değiştirdi.</t>
        </is>
      </c>
      <c r="L1241" s="6" t="inlineStr"/>
      <c r="M1241" s="5" t="inlineStr"/>
      <c r="N1241" s="5" t="inlineStr"/>
      <c r="O1241" s="6" t="inlineStr"/>
      <c r="P1241" s="6" t="inlineStr"/>
      <c r="Q1241" s="5" t="inlineStr"/>
      <c r="R1241" s="5" t="inlineStr"/>
      <c r="S1241" s="5" t="inlineStr">
        <is>
          <t>Pişkinlik</t>
        </is>
      </c>
      <c r="T1241" s="5" t="inlineStr"/>
      <c r="U1241" s="5" t="inlineStr"/>
      <c r="V1241" s="5" t="inlineStr"/>
      <c r="W1241" s="5" t="inlineStr"/>
      <c r="X1241" s="5" t="inlineStr"/>
      <c r="Y1241" s="5" t="inlineStr"/>
      <c r="Z1241" s="6" t="inlineStr"/>
      <c r="AA1241" s="5" t="inlineStr"/>
      <c r="AB1241" s="5" t="inlineStr"/>
      <c r="AC1241" s="5" t="inlineStr"/>
      <c r="AD1241" s="5" t="inlineStr"/>
      <c r="AE1241" s="5" t="inlineStr"/>
      <c r="AF1241" s="5" t="inlineStr"/>
      <c r="AG1241" s="5" t="inlineStr"/>
      <c r="AH1241" s="5" t="inlineStr"/>
      <c r="AI1241" s="5" t="inlineStr"/>
      <c r="AJ1241" s="5" t="inlineStr"/>
    </row>
    <row r="1242">
      <c r="A1242" s="5" t="inlineStr">
        <is>
          <t>b10-mezar-tasi-fotografi</t>
        </is>
      </c>
      <c r="B1242" s="5" t="n">
        <v>1</v>
      </c>
      <c r="C1242" s="6" t="inlineStr">
        <is>
          <t>Ciddi poz ver</t>
        </is>
      </c>
      <c r="D1242" s="5" t="inlineStr"/>
      <c r="E1242" s="5" t="inlineStr"/>
      <c r="F1242" s="5" t="inlineStr">
        <is>
          <t>İtibar +1</t>
        </is>
      </c>
      <c r="G1242" s="6" t="inlineStr">
        <is>
          <t>Ciddi poz verdin. Fotoğrafçı 'Tam vesikalık oldu' dedi. Gören herkes aynı şeyi söyledi: 'Nüfus cüzdanındakinin aynısı.'</t>
        </is>
      </c>
      <c r="H1242" s="6" t="inlineStr"/>
      <c r="I1242" s="6" t="inlineStr"/>
      <c r="J1242" s="6" t="inlineStr"/>
      <c r="K1242" s="6" t="inlineStr"/>
      <c r="L1242" s="6" t="inlineStr"/>
      <c r="M1242" s="5" t="inlineStr"/>
      <c r="N1242" s="5" t="inlineStr"/>
      <c r="O1242" s="6" t="inlineStr"/>
      <c r="P1242" s="6" t="inlineStr"/>
      <c r="Q1242" s="5" t="inlineStr"/>
      <c r="R1242" s="5" t="inlineStr"/>
      <c r="S1242" s="5" t="inlineStr"/>
      <c r="T1242" s="5" t="inlineStr"/>
      <c r="U1242" s="5" t="inlineStr"/>
      <c r="V1242" s="5" t="inlineStr"/>
      <c r="W1242" s="5" t="inlineStr"/>
      <c r="X1242" s="5" t="inlineStr"/>
      <c r="Y1242" s="5" t="inlineStr"/>
      <c r="Z1242" s="6" t="inlineStr"/>
      <c r="AA1242" s="5" t="inlineStr"/>
      <c r="AB1242" s="5" t="inlineStr"/>
      <c r="AC1242" s="5" t="inlineStr"/>
      <c r="AD1242" s="5" t="inlineStr"/>
      <c r="AE1242" s="5" t="inlineStr"/>
      <c r="AF1242" s="5" t="inlineStr"/>
      <c r="AG1242" s="5" t="inlineStr"/>
      <c r="AH1242" s="5" t="inlineStr"/>
      <c r="AI1242" s="5" t="inlineStr"/>
      <c r="AJ1242" s="5" t="inlineStr"/>
    </row>
    <row r="1243">
      <c r="A1243" s="5" t="inlineStr">
        <is>
          <t>b10-mezar-tasi-fotografi</t>
        </is>
      </c>
      <c r="B1243" s="5" t="n">
        <v>2</v>
      </c>
      <c r="C1243" s="6" t="inlineStr">
        <is>
          <t>Göz kırparak poz ver</t>
        </is>
      </c>
      <c r="D1243" s="5" t="inlineStr">
        <is>
          <t>Pişkinlik</t>
        </is>
      </c>
      <c r="E1243" s="5" t="inlineStr">
        <is>
          <t>Orta</t>
        </is>
      </c>
      <c r="F1243" s="5" t="inlineStr"/>
      <c r="G1243" s="6" t="inlineStr"/>
      <c r="H1243" s="6" t="inlineStr">
        <is>
          <t>Fotoğrafta göz kırpıyorsun. Ziyarete gelen herkes önce kaşlarını çatacak, sonra gülecek.</t>
        </is>
      </c>
      <c r="I1243" s="6" t="inlineStr">
        <is>
          <t>Fotoğrafçı fotoğrafını vitrine, gelin damat fotoğraflarının yanına koydu. Mahallede artık 'vitrindeki göz kırpan' diye anılıyorsun.</t>
        </is>
      </c>
      <c r="J1243" s="6" t="inlineStr">
        <is>
          <t>Tam göz kırparken flaş patladı. İki gözün de kapalı çıktı.</t>
        </is>
      </c>
      <c r="K1243" s="6" t="inlineStr">
        <is>
          <t>Göz kırparken yüzün kasıldı; on iki karenin on ikisinde bir gözün kapalı, ağzın yamuk. Fotoğrafçı 'En doğalı bu' deyip birini seçti; taşa o işlendi. Mezarlık görevlisi, önünden geçen herkesin orada durduğunu söylüyor.</t>
        </is>
      </c>
      <c r="L1243" s="6" t="inlineStr"/>
      <c r="M1243" s="5" t="inlineStr"/>
      <c r="N1243" s="5" t="inlineStr"/>
      <c r="O1243" s="6" t="inlineStr"/>
      <c r="P1243" s="6" t="inlineStr"/>
      <c r="Q1243" s="5" t="inlineStr"/>
      <c r="R1243" s="5" t="inlineStr"/>
      <c r="S1243" s="5" t="inlineStr"/>
      <c r="T1243" s="5" t="inlineStr"/>
      <c r="U1243" s="5" t="inlineStr"/>
      <c r="V1243" s="5" t="inlineStr"/>
      <c r="W1243" s="5" t="inlineStr"/>
      <c r="X1243" s="5" t="inlineStr"/>
      <c r="Y1243" s="5" t="inlineStr"/>
      <c r="Z1243" s="6" t="inlineStr"/>
      <c r="AA1243" s="5" t="inlineStr"/>
      <c r="AB1243" s="5" t="inlineStr"/>
      <c r="AC1243" s="5" t="inlineStr"/>
      <c r="AD1243" s="5" t="inlineStr"/>
      <c r="AE1243" s="5" t="inlineStr"/>
      <c r="AF1243" s="5" t="inlineStr"/>
      <c r="AG1243" s="5" t="inlineStr"/>
      <c r="AH1243" s="5" t="inlineStr"/>
      <c r="AI1243" s="5" t="inlineStr">
        <is>
          <t>Göz Kırpan</t>
        </is>
      </c>
      <c r="AJ1243" s="5" t="inlineStr"/>
    </row>
    <row r="1244">
      <c r="A1244" s="5" t="inlineStr">
        <is>
          <t>b10-mezar-tasi-fotografi</t>
        </is>
      </c>
      <c r="B1244" s="5" t="n">
        <v>3</v>
      </c>
      <c r="C1244" s="6" t="inlineStr">
        <is>
          <t>Arka planı kendin seç</t>
        </is>
      </c>
      <c r="D1244" s="5" t="inlineStr">
        <is>
          <t>Sosyal Radar</t>
        </is>
      </c>
      <c r="E1244" s="5" t="inlineStr">
        <is>
          <t>Kolay</t>
        </is>
      </c>
      <c r="F1244" s="5" t="inlineStr"/>
      <c r="G1244" s="6" t="inlineStr"/>
      <c r="H1244" s="6" t="inlineStr">
        <is>
          <t>Arka planı sahil manzarası yaptın. Taş artık bir tatil kartı gibi.</t>
        </is>
      </c>
      <c r="I1244" s="6" t="inlineStr">
        <is>
          <t>Arka plan o kadar iyi oldu ki ziyaretçiler taşın önünde fotoğraf çektirmeye başladı.</t>
        </is>
      </c>
      <c r="J1244" s="6" t="inlineStr">
        <is>
          <t>Fotoğrafçının üç arka planı vardı: gri, açık gri, koyu gri. 'Farkı ne?' dedin. 'Işık' dedi. Açık griyi seçtin.</t>
        </is>
      </c>
      <c r="K1244" s="6" t="inlineStr">
        <is>
          <t>Arka plan olarak düğün fonunu seçtin: kalpler, güvercinler, 'Sonsuza dek' yazısı. Taşın nikâh davetiyesinden farkı kalmadı.</t>
        </is>
      </c>
      <c r="L1244" s="6" t="inlineStr"/>
      <c r="M1244" s="5" t="inlineStr"/>
      <c r="N1244" s="5" t="inlineStr"/>
      <c r="O1244" s="6" t="inlineStr"/>
      <c r="P1244" s="6" t="inlineStr"/>
      <c r="Q1244" s="5" t="inlineStr"/>
      <c r="R1244" s="5" t="inlineStr"/>
      <c r="S1244" s="5" t="inlineStr"/>
      <c r="T1244" s="5" t="inlineStr"/>
      <c r="U1244" s="5" t="inlineStr"/>
      <c r="V1244" s="5" t="inlineStr"/>
      <c r="W1244" s="5" t="inlineStr"/>
      <c r="X1244" s="5" t="inlineStr"/>
      <c r="Y1244" s="5" t="inlineStr"/>
      <c r="Z1244" s="6" t="inlineStr"/>
      <c r="AA1244" s="5" t="inlineStr"/>
      <c r="AB1244" s="5" t="inlineStr"/>
      <c r="AC1244" s="5" t="inlineStr"/>
      <c r="AD1244" s="5" t="inlineStr"/>
      <c r="AE1244" s="5" t="inlineStr"/>
      <c r="AF1244" s="5" t="inlineStr"/>
      <c r="AG1244" s="5" t="inlineStr"/>
      <c r="AH1244" s="5" t="inlineStr"/>
      <c r="AI1244" s="5" t="inlineStr"/>
      <c r="AJ1244" s="5" t="inlineStr"/>
    </row>
    <row r="1245">
      <c r="A1245" s="5" t="inlineStr">
        <is>
          <t>son-soz</t>
        </is>
      </c>
      <c r="B1245" s="5" t="n">
        <v>1</v>
      </c>
      <c r="C1245" s="6" t="inlineStr">
        <is>
          <t>'Kombiyi kapattınız mı?'</t>
        </is>
      </c>
      <c r="D1245" s="5" t="inlineStr"/>
      <c r="E1245" s="5" t="inlineStr"/>
      <c r="F1245" s="5" t="inlineStr">
        <is>
          <t>Akıl +1</t>
        </is>
      </c>
      <c r="G1245" s="6" t="inlineStr">
        <is>
          <t>Herkes aynı anda kalktı.</t>
        </is>
      </c>
      <c r="H1245" s="6" t="inlineStr"/>
      <c r="I1245" s="6" t="inlineStr"/>
      <c r="J1245" s="6" t="inlineStr"/>
      <c r="K1245" s="6" t="inlineStr"/>
      <c r="L1245" s="6" t="inlineStr"/>
      <c r="M1245" s="5" t="inlineStr"/>
      <c r="N1245" s="5" t="inlineStr"/>
      <c r="O1245" s="6" t="inlineStr"/>
      <c r="P1245" s="6" t="inlineStr"/>
      <c r="Q1245" s="5" t="inlineStr"/>
      <c r="R1245" s="5" t="inlineStr"/>
      <c r="S1245" s="5" t="inlineStr"/>
      <c r="T1245" s="5" t="inlineStr"/>
      <c r="U1245" s="5" t="inlineStr"/>
      <c r="V1245" s="5" t="inlineStr"/>
      <c r="W1245" s="5" t="inlineStr"/>
      <c r="X1245" s="5" t="inlineStr"/>
      <c r="Y1245" s="5" t="n">
        <v>100</v>
      </c>
      <c r="Z1245" s="6" t="inlineStr">
        <is>
          <t>Son sözü 'Kombiyi kapattınız mı?' oldu. Kapatılmıştı.</t>
        </is>
      </c>
      <c r="AA1245" s="5" t="inlineStr"/>
      <c r="AB1245" s="5" t="inlineStr"/>
      <c r="AC1245" s="5" t="inlineStr"/>
      <c r="AD1245" s="5" t="inlineStr"/>
      <c r="AE1245" s="5" t="inlineStr"/>
      <c r="AF1245" s="5" t="inlineStr"/>
      <c r="AG1245" s="5" t="inlineStr"/>
      <c r="AH1245" s="5" t="inlineStr"/>
      <c r="AI1245" s="5" t="inlineStr"/>
      <c r="AJ1245" s="5" t="inlineStr"/>
    </row>
    <row r="1246">
      <c r="A1246" s="5" t="inlineStr">
        <is>
          <t>son-soz</t>
        </is>
      </c>
      <c r="B1246" s="5" t="n">
        <v>2</v>
      </c>
      <c r="C1246" s="6" t="inlineStr">
        <is>
          <t>'Hepinizi seviyorum. Bazılarınızı daha çok.'</t>
        </is>
      </c>
      <c r="D1246" s="5" t="inlineStr"/>
      <c r="E1246" s="5" t="inlineStr"/>
      <c r="F1246" s="5" t="inlineStr">
        <is>
          <t>Pişkinlik +1</t>
        </is>
      </c>
      <c r="G1246" s="6" t="inlineStr">
        <is>
          <t>Oda bir an sustu, sonra herkes birbirine baktı.</t>
        </is>
      </c>
      <c r="H1246" s="6" t="inlineStr"/>
      <c r="I1246" s="6" t="inlineStr"/>
      <c r="J1246" s="6" t="inlineStr"/>
      <c r="K1246" s="6" t="inlineStr"/>
      <c r="L1246" s="6" t="inlineStr"/>
      <c r="M1246" s="5" t="inlineStr"/>
      <c r="N1246" s="5" t="inlineStr"/>
      <c r="O1246" s="6" t="inlineStr"/>
      <c r="P1246" s="6" t="inlineStr"/>
      <c r="Q1246" s="5" t="inlineStr"/>
      <c r="R1246" s="5" t="inlineStr"/>
      <c r="S1246" s="5" t="inlineStr"/>
      <c r="T1246" s="5" t="inlineStr"/>
      <c r="U1246" s="5" t="inlineStr"/>
      <c r="V1246" s="5" t="inlineStr"/>
      <c r="W1246" s="5" t="inlineStr"/>
      <c r="X1246" s="5" t="inlineStr"/>
      <c r="Y1246" s="5" t="n">
        <v>100</v>
      </c>
      <c r="Z1246" s="6" t="inlineStr">
        <is>
          <t>Son sözü 'Hepinizi seviyorum. Bazılarınızı daha çok.' oldu. Liste açıklanmadı.</t>
        </is>
      </c>
      <c r="AA1246" s="5" t="inlineStr"/>
      <c r="AB1246" s="5" t="inlineStr"/>
      <c r="AC1246" s="5" t="inlineStr"/>
      <c r="AD1246" s="5" t="inlineStr"/>
      <c r="AE1246" s="5" t="inlineStr"/>
      <c r="AF1246" s="5" t="inlineStr"/>
      <c r="AG1246" s="5" t="inlineStr"/>
      <c r="AH1246" s="5" t="inlineStr"/>
      <c r="AI1246" s="5" t="inlineStr"/>
      <c r="AJ1246" s="5" t="inlineStr"/>
    </row>
    <row r="1247">
      <c r="A1247" s="5" t="inlineStr">
        <is>
          <t>son-soz</t>
        </is>
      </c>
      <c r="B1247" s="5" t="n">
        <v>3</v>
      </c>
      <c r="C1247" s="6" t="inlineStr">
        <is>
          <t>'İyi bir hayattı.'</t>
        </is>
      </c>
      <c r="D1247" s="5" t="inlineStr"/>
      <c r="E1247" s="5" t="inlineStr"/>
      <c r="F1247" s="5" t="inlineStr">
        <is>
          <t>İtibar +1</t>
        </is>
      </c>
      <c r="G1247" s="6" t="inlineStr">
        <is>
          <t>Kimse itiraz etmedi.</t>
        </is>
      </c>
      <c r="H1247" s="6" t="inlineStr"/>
      <c r="I1247" s="6" t="inlineStr"/>
      <c r="J1247" s="6" t="inlineStr"/>
      <c r="K1247" s="6" t="inlineStr"/>
      <c r="L1247" s="6" t="inlineStr"/>
      <c r="M1247" s="5" t="inlineStr"/>
      <c r="N1247" s="5" t="inlineStr"/>
      <c r="O1247" s="6" t="inlineStr"/>
      <c r="P1247" s="6" t="inlineStr"/>
      <c r="Q1247" s="5" t="inlineStr"/>
      <c r="R1247" s="5" t="inlineStr"/>
      <c r="S1247" s="5" t="inlineStr"/>
      <c r="T1247" s="5" t="inlineStr"/>
      <c r="U1247" s="5" t="inlineStr"/>
      <c r="V1247" s="5" t="inlineStr"/>
      <c r="W1247" s="5" t="inlineStr"/>
      <c r="X1247" s="5" t="inlineStr"/>
      <c r="Y1247" s="5" t="n">
        <v>100</v>
      </c>
      <c r="Z1247" s="6" t="inlineStr">
        <is>
          <t>Son sözü 'İyi bir hayattı' oldu. İtiraz süresi dolmuştur.</t>
        </is>
      </c>
      <c r="AA1247" s="5" t="inlineStr"/>
      <c r="AB1247" s="5" t="inlineStr"/>
      <c r="AC1247" s="5" t="inlineStr"/>
      <c r="AD1247" s="5" t="inlineStr"/>
      <c r="AE1247" s="5" t="inlineStr"/>
      <c r="AF1247" s="5" t="inlineStr"/>
      <c r="AG1247" s="5" t="inlineStr"/>
      <c r="AH1247" s="5" t="inlineStr"/>
      <c r="AI1247" s="5" t="inlineStr"/>
      <c r="AJ1247" s="5" t="inlineStr"/>
    </row>
    <row r="1248">
      <c r="A1248" s="5" t="inlineStr">
        <is>
          <t>son-soz</t>
        </is>
      </c>
      <c r="B1248" s="5" t="n">
        <v>4</v>
      </c>
      <c r="C1248" s="6" t="inlineStr">
        <is>
          <t>'Vazoyu ben kırdım.'</t>
        </is>
      </c>
      <c r="D1248" s="5" t="inlineStr"/>
      <c r="E1248" s="5" t="inlineStr"/>
      <c r="F1248" s="5" t="inlineStr">
        <is>
          <t>İtibar +2</t>
        </is>
      </c>
      <c r="G1248" s="6" t="inlineStr">
        <is>
          <t>Oda uzun bir süre sessiz kaldı. Sonra biri kediye baktı.</t>
        </is>
      </c>
      <c r="H1248" s="6" t="inlineStr"/>
      <c r="I1248" s="6" t="inlineStr"/>
      <c r="J1248" s="6" t="inlineStr"/>
      <c r="K1248" s="6" t="inlineStr"/>
      <c r="L1248" s="6" t="inlineStr"/>
      <c r="M1248" s="5" t="inlineStr"/>
      <c r="N1248" s="5" t="inlineStr"/>
      <c r="O1248" s="6" t="inlineStr"/>
      <c r="P1248" s="6" t="inlineStr"/>
      <c r="Q1248" s="5" t="inlineStr"/>
      <c r="R1248" s="5" t="inlineStr">
        <is>
          <t>kediSuclu</t>
        </is>
      </c>
      <c r="S1248" s="5" t="inlineStr"/>
      <c r="T1248" s="5" t="inlineStr"/>
      <c r="U1248" s="5" t="inlineStr"/>
      <c r="V1248" s="5" t="inlineStr"/>
      <c r="W1248" s="5" t="inlineStr"/>
      <c r="X1248" s="5" t="inlineStr"/>
      <c r="Y1248" s="5" t="n">
        <v>100</v>
      </c>
      <c r="Z1248" s="6" t="inlineStr">
        <is>
          <t>Son sözü 'Vazoyu ben kırdım' oldu. Kedi, uzun bir aradan sonra aklandı.</t>
        </is>
      </c>
      <c r="AA1248" s="5" t="inlineStr"/>
      <c r="AB1248" s="5" t="inlineStr"/>
      <c r="AC1248" s="5" t="inlineStr"/>
      <c r="AD1248" s="5" t="inlineStr"/>
      <c r="AE1248" s="5" t="inlineStr"/>
      <c r="AF1248" s="5" t="inlineStr"/>
      <c r="AG1248" s="5" t="inlineStr"/>
      <c r="AH1248" s="5" t="inlineStr"/>
      <c r="AI1248" s="5" t="inlineStr"/>
      <c r="AJ1248" s="5" t="inlineStr"/>
    </row>
    <row r="1249">
      <c r="A1249" s="5" t="inlineStr">
        <is>
          <t>son-soz</t>
        </is>
      </c>
      <c r="B1249" s="5" t="n">
        <v>5</v>
      </c>
      <c r="C1249" s="6" t="inlineStr">
        <is>
          <t>'Para...'</t>
        </is>
      </c>
      <c r="D1249" s="5" t="inlineStr"/>
      <c r="E1249" s="5" t="inlineStr"/>
      <c r="F1249" s="5" t="inlineStr">
        <is>
          <t>Kurnazlık +1</t>
        </is>
      </c>
      <c r="G1249" s="6" t="inlineStr">
        <is>
          <t>Herkes öne eğildi. Cümlenin devamı gelmedi.</t>
        </is>
      </c>
      <c r="H1249" s="6" t="inlineStr"/>
      <c r="I1249" s="6" t="inlineStr"/>
      <c r="J1249" s="6" t="inlineStr"/>
      <c r="K1249" s="6" t="inlineStr"/>
      <c r="L1249" s="6" t="inlineStr"/>
      <c r="M1249" s="5" t="inlineStr"/>
      <c r="N1249" s="5" t="inlineStr"/>
      <c r="O1249" s="6" t="inlineStr"/>
      <c r="P1249" s="6" t="inlineStr"/>
      <c r="Q1249" s="5" t="inlineStr"/>
      <c r="R1249" s="5" t="inlineStr">
        <is>
          <t>ilkKelimePara</t>
        </is>
      </c>
      <c r="S1249" s="5" t="inlineStr"/>
      <c r="T1249" s="5" t="inlineStr"/>
      <c r="U1249" s="5" t="inlineStr"/>
      <c r="V1249" s="5" t="inlineStr"/>
      <c r="W1249" s="5" t="inlineStr"/>
      <c r="X1249" s="5" t="inlineStr"/>
      <c r="Y1249" s="5" t="n">
        <v>100</v>
      </c>
      <c r="Z1249" s="6" t="inlineStr">
        <is>
          <t>İlk sözü de son sözü de 'Para' oldu. Arada yaşadıkları kayıt altındadır.</t>
        </is>
      </c>
      <c r="AA1249" s="5" t="inlineStr"/>
      <c r="AB1249" s="5" t="inlineStr"/>
      <c r="AC1249" s="5" t="inlineStr"/>
      <c r="AD1249" s="5" t="inlineStr"/>
      <c r="AE1249" s="5" t="inlineStr"/>
      <c r="AF1249" s="5" t="inlineStr"/>
      <c r="AG1249" s="5" t="inlineStr"/>
      <c r="AH1249" s="5" t="inlineStr"/>
      <c r="AI1249" s="5" t="inlineStr"/>
      <c r="AJ1249" s="5" t="inlineStr"/>
    </row>
    <row r="1250">
      <c r="A1250" s="5" t="inlineStr">
        <is>
          <t>son-soz</t>
        </is>
      </c>
      <c r="B1250" s="5" t="n">
        <v>6</v>
      </c>
      <c r="C1250" s="6" t="inlineStr">
        <is>
          <t>“Tutanağa geçsin.”</t>
        </is>
      </c>
      <c r="D1250" s="5" t="inlineStr"/>
      <c r="E1250" s="5" t="inlineStr"/>
      <c r="F1250" s="5" t="inlineStr">
        <is>
          <t>Sosyal Radar +1</t>
        </is>
      </c>
      <c r="G1250" s="6" t="inlineStr">
        <is>
          <t>Başucundaki biri defterini çıkarıp yazdı; saati de not etti. Bunu senden öğrenmişti.</t>
        </is>
      </c>
      <c r="H1250" s="6" t="inlineStr"/>
      <c r="I1250" s="6" t="inlineStr"/>
      <c r="J1250" s="6" t="inlineStr"/>
      <c r="K1250" s="6" t="inlineStr"/>
      <c r="L1250" s="6" t="inlineStr"/>
      <c r="M1250" s="5" t="inlineStr"/>
      <c r="N1250" s="5" t="inlineStr"/>
      <c r="O1250" s="6" t="inlineStr"/>
      <c r="P1250" s="6" t="inlineStr"/>
      <c r="Q1250" s="5" t="inlineStr"/>
      <c r="R1250" s="5" t="inlineStr">
        <is>
          <t>hat-polis</t>
        </is>
      </c>
      <c r="S1250" s="5" t="inlineStr"/>
      <c r="T1250" s="5" t="inlineStr"/>
      <c r="U1250" s="5" t="inlineStr"/>
      <c r="V1250" s="5" t="inlineStr"/>
      <c r="W1250" s="5" t="inlineStr"/>
      <c r="X1250" s="5" t="inlineStr"/>
      <c r="Y1250" s="5" t="n">
        <v>100</v>
      </c>
      <c r="Z1250" s="6" t="inlineStr">
        <is>
          <t>Son sözü “Tutanağa geçsin” oldu. Geçti.</t>
        </is>
      </c>
      <c r="AA1250" s="5" t="inlineStr"/>
      <c r="AB1250" s="5" t="inlineStr"/>
      <c r="AC1250" s="5" t="inlineStr"/>
      <c r="AD1250" s="5" t="inlineStr"/>
      <c r="AE1250" s="5" t="inlineStr"/>
      <c r="AF1250" s="5" t="inlineStr"/>
      <c r="AG1250" s="5" t="inlineStr"/>
      <c r="AH1250" s="5" t="inlineStr"/>
      <c r="AI1250" s="5" t="inlineStr"/>
      <c r="AJ1250" s="5" t="inlineStr"/>
    </row>
    <row r="1251">
      <c r="A1251" s="5" t="inlineStr">
        <is>
          <t>son-soz</t>
        </is>
      </c>
      <c r="B1251" s="5" t="n">
        <v>7</v>
      </c>
      <c r="C1251" s="6" t="inlineStr">
        <is>
          <t>“Karar kesindir.”</t>
        </is>
      </c>
      <c r="D1251" s="5" t="inlineStr"/>
      <c r="E1251" s="5" t="inlineStr"/>
      <c r="F1251" s="5" t="inlineStr">
        <is>
          <t>İtibar +1</t>
        </is>
      </c>
      <c r="G1251" s="6" t="inlineStr">
        <is>
          <t>Odadakiler bir an ayağa kalkmak istedi. Temyize giden olmadı.</t>
        </is>
      </c>
      <c r="H1251" s="6" t="inlineStr"/>
      <c r="I1251" s="6" t="inlineStr"/>
      <c r="J1251" s="6" t="inlineStr"/>
      <c r="K1251" s="6" t="inlineStr"/>
      <c r="L1251" s="6" t="inlineStr"/>
      <c r="M1251" s="5" t="inlineStr"/>
      <c r="N1251" s="5" t="inlineStr"/>
      <c r="O1251" s="6" t="inlineStr"/>
      <c r="P1251" s="6" t="inlineStr"/>
      <c r="Q1251" s="5" t="inlineStr"/>
      <c r="R1251" s="5" t="inlineStr">
        <is>
          <t>hat-yargi</t>
        </is>
      </c>
      <c r="S1251" s="5" t="inlineStr"/>
      <c r="T1251" s="5" t="inlineStr"/>
      <c r="U1251" s="5" t="inlineStr"/>
      <c r="V1251" s="5" t="inlineStr"/>
      <c r="W1251" s="5" t="inlineStr"/>
      <c r="X1251" s="5" t="inlineStr"/>
      <c r="Y1251" s="5" t="n">
        <v>100</v>
      </c>
      <c r="Z1251" s="6" t="inlineStr">
        <is>
          <t>Son sözü “Karar kesindir” oldu. İtiraz eden çıkmadı.</t>
        </is>
      </c>
      <c r="AA1251" s="5" t="inlineStr"/>
      <c r="AB1251" s="5" t="inlineStr"/>
      <c r="AC1251" s="5" t="inlineStr"/>
      <c r="AD1251" s="5" t="inlineStr"/>
      <c r="AE1251" s="5" t="inlineStr"/>
      <c r="AF1251" s="5" t="inlineStr"/>
      <c r="AG1251" s="5" t="inlineStr"/>
      <c r="AH1251" s="5" t="inlineStr"/>
      <c r="AI1251" s="5" t="inlineStr"/>
      <c r="AJ1251" s="5" t="inlineStr"/>
    </row>
    <row r="1252">
      <c r="A1252" s="5" t="inlineStr">
        <is>
          <t>son-soz</t>
        </is>
      </c>
      <c r="B1252" s="5" t="n">
        <v>8</v>
      </c>
      <c r="C1252" s="6" t="inlineStr">
        <is>
          <t>“Tansiyonunu ölçtürdün mü?”</t>
        </is>
      </c>
      <c r="D1252" s="5" t="inlineStr"/>
      <c r="E1252" s="5" t="inlineStr"/>
      <c r="F1252" s="5" t="inlineStr">
        <is>
          <t>İtibar +1</t>
        </is>
      </c>
      <c r="G1252" s="6" t="inlineStr">
        <is>
          <t>Başucundaki gözlerini kaçırdı. Ertesi gün ölçtürdü; biraz yüksekti.</t>
        </is>
      </c>
      <c r="H1252" s="6" t="inlineStr"/>
      <c r="I1252" s="6" t="inlineStr"/>
      <c r="J1252" s="6" t="inlineStr"/>
      <c r="K1252" s="6" t="inlineStr"/>
      <c r="L1252" s="6" t="inlineStr"/>
      <c r="M1252" s="5" t="inlineStr"/>
      <c r="N1252" s="5" t="inlineStr"/>
      <c r="O1252" s="6" t="inlineStr"/>
      <c r="P1252" s="6" t="inlineStr"/>
      <c r="Q1252" s="5" t="inlineStr"/>
      <c r="R1252" s="5" t="inlineStr">
        <is>
          <t>hat-hekim</t>
        </is>
      </c>
      <c r="S1252" s="5" t="inlineStr"/>
      <c r="T1252" s="5" t="inlineStr"/>
      <c r="U1252" s="5" t="inlineStr"/>
      <c r="V1252" s="5" t="inlineStr"/>
      <c r="W1252" s="5" t="inlineStr"/>
      <c r="X1252" s="5" t="inlineStr"/>
      <c r="Y1252" s="5" t="n">
        <v>100</v>
      </c>
      <c r="Z1252" s="6" t="inlineStr">
        <is>
          <t>Son sözü, başucundakine “Tansiyonunu ölçtürdün mü?” oldu. Ölçtürdü; biraz yüksekti.</t>
        </is>
      </c>
      <c r="AA1252" s="5" t="inlineStr"/>
      <c r="AB1252" s="5" t="inlineStr"/>
      <c r="AC1252" s="5" t="inlineStr"/>
      <c r="AD1252" s="5" t="inlineStr"/>
      <c r="AE1252" s="5" t="inlineStr"/>
      <c r="AF1252" s="5" t="inlineStr"/>
      <c r="AG1252" s="5" t="inlineStr"/>
      <c r="AH1252" s="5" t="inlineStr"/>
      <c r="AI1252" s="5" t="inlineStr"/>
      <c r="AJ1252" s="5" t="inlineStr"/>
    </row>
    <row r="1253">
      <c r="A1253" s="5" t="inlineStr">
        <is>
          <t>son-soz</t>
        </is>
      </c>
      <c r="B1253" s="5" t="n">
        <v>9</v>
      </c>
      <c r="C1253" s="6" t="inlineStr">
        <is>
          <t>“Bu soruyu sevdim.”</t>
        </is>
      </c>
      <c r="D1253" s="5" t="inlineStr"/>
      <c r="E1253" s="5" t="inlineStr"/>
      <c r="F1253" s="5" t="inlineStr">
        <is>
          <t>Çene +1</t>
        </is>
      </c>
      <c r="G1253" s="6" t="inlineStr">
        <is>
          <t>Kimse bir şey sormamıştı. Oda yine de alkışladı; alışkanlık.</t>
        </is>
      </c>
      <c r="H1253" s="6" t="inlineStr"/>
      <c r="I1253" s="6" t="inlineStr"/>
      <c r="J1253" s="6" t="inlineStr"/>
      <c r="K1253" s="6" t="inlineStr"/>
      <c r="L1253" s="6" t="inlineStr"/>
      <c r="M1253" s="5" t="inlineStr"/>
      <c r="N1253" s="5" t="inlineStr"/>
      <c r="O1253" s="6" t="inlineStr"/>
      <c r="P1253" s="6" t="inlineStr"/>
      <c r="Q1253" s="5" t="inlineStr"/>
      <c r="R1253" s="5" t="inlineStr">
        <is>
          <t>hat-politika</t>
        </is>
      </c>
      <c r="S1253" s="5" t="inlineStr"/>
      <c r="T1253" s="5" t="inlineStr"/>
      <c r="U1253" s="5" t="inlineStr"/>
      <c r="V1253" s="5" t="inlineStr"/>
      <c r="W1253" s="5" t="inlineStr"/>
      <c r="X1253" s="5" t="inlineStr"/>
      <c r="Y1253" s="5" t="n">
        <v>100</v>
      </c>
      <c r="Z1253" s="6" t="inlineStr">
        <is>
          <t>Son sözü “Bu soruyu sevdim” oldu. Soruyu kimse hatırlamıyor.</t>
        </is>
      </c>
      <c r="AA1253" s="5" t="inlineStr"/>
      <c r="AB1253" s="5" t="inlineStr"/>
      <c r="AC1253" s="5" t="inlineStr"/>
      <c r="AD1253" s="5" t="inlineStr"/>
      <c r="AE1253" s="5" t="inlineStr"/>
      <c r="AF1253" s="5" t="inlineStr"/>
      <c r="AG1253" s="5" t="inlineStr"/>
      <c r="AH1253" s="5" t="inlineStr"/>
      <c r="AI1253" s="5" t="inlineStr"/>
      <c r="AJ1253" s="5" t="inlineStr"/>
    </row>
    <row r="1254">
      <c r="A1254" s="5" t="inlineStr">
        <is>
          <t>son-soz</t>
        </is>
      </c>
      <c r="B1254" s="5" t="n">
        <v>10</v>
      </c>
      <c r="C1254" s="6" t="inlineStr">
        <is>
          <t>“Kimseye bir şey söylemedim.”</t>
        </is>
      </c>
      <c r="D1254" s="5" t="inlineStr"/>
      <c r="E1254" s="5" t="inlineStr"/>
      <c r="F1254" s="5" t="inlineStr">
        <is>
          <t>Cesaret +1</t>
        </is>
      </c>
      <c r="G1254" s="6" t="inlineStr">
        <is>
          <t>Kapının yanındaki iki adam birbirine baktı, omuzları indi. Doğruydu.</t>
        </is>
      </c>
      <c r="H1254" s="6" t="inlineStr"/>
      <c r="I1254" s="6" t="inlineStr"/>
      <c r="J1254" s="6" t="inlineStr"/>
      <c r="K1254" s="6" t="inlineStr"/>
      <c r="L1254" s="6" t="inlineStr"/>
      <c r="M1254" s="5" t="inlineStr"/>
      <c r="N1254" s="5" t="inlineStr"/>
      <c r="O1254" s="6" t="inlineStr"/>
      <c r="P1254" s="6" t="inlineStr"/>
      <c r="Q1254" s="5" t="inlineStr"/>
      <c r="R1254" s="5" t="inlineStr">
        <is>
          <t>hat-cete</t>
        </is>
      </c>
      <c r="S1254" s="5" t="inlineStr"/>
      <c r="T1254" s="5" t="inlineStr"/>
      <c r="U1254" s="5" t="inlineStr"/>
      <c r="V1254" s="5" t="inlineStr"/>
      <c r="W1254" s="5" t="inlineStr"/>
      <c r="X1254" s="5" t="inlineStr"/>
      <c r="Y1254" s="5" t="n">
        <v>100</v>
      </c>
      <c r="Z1254" s="6" t="inlineStr">
        <is>
          <t>Son sözü “Kimseye bir şey söylemedim” oldu. Doğruydu.</t>
        </is>
      </c>
      <c r="AA1254" s="5" t="inlineStr"/>
      <c r="AB1254" s="5" t="inlineStr"/>
      <c r="AC1254" s="5" t="inlineStr"/>
      <c r="AD1254" s="5" t="inlineStr"/>
      <c r="AE1254" s="5" t="inlineStr"/>
      <c r="AF1254" s="5" t="inlineStr"/>
      <c r="AG1254" s="5" t="inlineStr"/>
      <c r="AH1254" s="5" t="inlineStr"/>
      <c r="AI1254" s="5" t="inlineStr"/>
      <c r="AJ1254" s="5" t="inlineStr"/>
    </row>
    <row r="1255">
      <c r="A1255" s="5" t="inlineStr">
        <is>
          <t>son-soz</t>
        </is>
      </c>
      <c r="B1255" s="5" t="n">
        <v>11</v>
      </c>
      <c r="C1255" s="6" t="inlineStr">
        <is>
          <t>“Aslında bu da bir fırsattı.”</t>
        </is>
      </c>
      <c r="D1255" s="5" t="inlineStr"/>
      <c r="E1255" s="5" t="inlineStr"/>
      <c r="F1255" s="5" t="inlineStr">
        <is>
          <t>Kurnazlık +1</t>
        </is>
      </c>
      <c r="G1255" s="6" t="inlineStr">
        <is>
          <t>Odadakiler refleksle cüzdanlarına el attı. Kapıdaki komşu yavaşça bir adım geri çekildi; bir kez kandırılmıştı.</t>
        </is>
      </c>
      <c r="H1255" s="6" t="inlineStr"/>
      <c r="I1255" s="6" t="inlineStr"/>
      <c r="J1255" s="6" t="inlineStr"/>
      <c r="K1255" s="6" t="inlineStr"/>
      <c r="L1255" s="6" t="inlineStr"/>
      <c r="M1255" s="5" t="inlineStr"/>
      <c r="N1255" s="5" t="inlineStr"/>
      <c r="O1255" s="6" t="inlineStr"/>
      <c r="P1255" s="6" t="inlineStr"/>
      <c r="Q1255" s="5" t="inlineStr"/>
      <c r="R1255" s="5" t="inlineStr">
        <is>
          <t>hat-dolandirici</t>
        </is>
      </c>
      <c r="S1255" s="5" t="inlineStr"/>
      <c r="T1255" s="5" t="inlineStr"/>
      <c r="U1255" s="5" t="inlineStr"/>
      <c r="V1255" s="5" t="inlineStr"/>
      <c r="W1255" s="5" t="inlineStr"/>
      <c r="X1255" s="5" t="inlineStr"/>
      <c r="Y1255" s="5" t="n">
        <v>100</v>
      </c>
      <c r="Z1255" s="6" t="inlineStr">
        <is>
          <t>Son sözü “Aslında bu da bir fırsattı” oldu. Kimse yatırım yapmadı.</t>
        </is>
      </c>
      <c r="AA1255" s="5" t="inlineStr"/>
      <c r="AB1255" s="5" t="inlineStr"/>
      <c r="AC1255" s="5" t="inlineStr"/>
      <c r="AD1255" s="5" t="inlineStr"/>
      <c r="AE1255" s="5" t="inlineStr"/>
      <c r="AF1255" s="5" t="inlineStr"/>
      <c r="AG1255" s="5" t="inlineStr"/>
      <c r="AH1255" s="5" t="inlineStr"/>
      <c r="AI1255" s="5" t="inlineStr"/>
      <c r="AJ1255" s="5" t="inlineStr"/>
    </row>
    <row r="1256">
      <c r="A1256" s="5" t="inlineStr">
        <is>
          <t>son-soz</t>
        </is>
      </c>
      <c r="B1256" s="5" t="n">
        <v>12</v>
      </c>
      <c r="C1256" s="6" t="inlineStr">
        <is>
          <t>“Kamera açık mı?”</t>
        </is>
      </c>
      <c r="D1256" s="5" t="inlineStr"/>
      <c r="E1256" s="5" t="inlineStr"/>
      <c r="F1256" s="5" t="inlineStr">
        <is>
          <t>Pişkinlik +1</t>
        </is>
      </c>
      <c r="G1256" s="6" t="inlineStr">
        <is>
          <t>Biri telefonu biraz daha yaklaştırdı. Açıktı.</t>
        </is>
      </c>
      <c r="H1256" s="6" t="inlineStr"/>
      <c r="I1256" s="6" t="inlineStr"/>
      <c r="J1256" s="6" t="inlineStr"/>
      <c r="K1256" s="6" t="inlineStr"/>
      <c r="L1256" s="6" t="inlineStr"/>
      <c r="M1256" s="5" t="inlineStr"/>
      <c r="N1256" s="5" t="inlineStr"/>
      <c r="O1256" s="6" t="inlineStr"/>
      <c r="P1256" s="6" t="inlineStr"/>
      <c r="Q1256" s="5" t="inlineStr"/>
      <c r="R1256" s="5" t="inlineStr">
        <is>
          <t>hat-sohret</t>
        </is>
      </c>
      <c r="S1256" s="5" t="inlineStr"/>
      <c r="T1256" s="5" t="inlineStr"/>
      <c r="U1256" s="5" t="inlineStr"/>
      <c r="V1256" s="5" t="inlineStr"/>
      <c r="W1256" s="5" t="inlineStr"/>
      <c r="X1256" s="5" t="inlineStr"/>
      <c r="Y1256" s="5" t="n">
        <v>100</v>
      </c>
      <c r="Z1256" s="6" t="inlineStr">
        <is>
          <t>Son sözü “Kamera açık mı?” oldu. Açıktı.</t>
        </is>
      </c>
      <c r="AA1256" s="5" t="inlineStr"/>
      <c r="AB1256" s="5" t="inlineStr"/>
      <c r="AC1256" s="5" t="inlineStr"/>
      <c r="AD1256" s="5" t="inlineStr"/>
      <c r="AE1256" s="5" t="inlineStr"/>
      <c r="AF1256" s="5" t="inlineStr"/>
      <c r="AG1256" s="5" t="inlineStr"/>
      <c r="AH1256" s="5" t="inlineStr"/>
      <c r="AI1256" s="5" t="inlineStr"/>
      <c r="AJ1256" s="5" t="inlineStr"/>
    </row>
    <row r="1257">
      <c r="A1257" s="5" t="inlineStr">
        <is>
          <t>son-soz</t>
        </is>
      </c>
      <c r="B1257" s="5" t="n">
        <v>13</v>
      </c>
      <c r="C1257" s="6" t="inlineStr">
        <is>
          <t>“Yatırım tavsiyesi değildir.”</t>
        </is>
      </c>
      <c r="D1257" s="5" t="inlineStr"/>
      <c r="E1257" s="5" t="inlineStr"/>
      <c r="F1257" s="5" t="inlineStr">
        <is>
          <t>Akıl +1</t>
        </is>
      </c>
      <c r="G1257" s="6" t="inlineStr">
        <is>
          <t>Kapının eşiğindeki eski ortağın sessizce güldü. Not alan olmadı.</t>
        </is>
      </c>
      <c r="H1257" s="6" t="inlineStr"/>
      <c r="I1257" s="6" t="inlineStr"/>
      <c r="J1257" s="6" t="inlineStr"/>
      <c r="K1257" s="6" t="inlineStr"/>
      <c r="L1257" s="6" t="inlineStr"/>
      <c r="M1257" s="5" t="inlineStr"/>
      <c r="N1257" s="5" t="inlineStr"/>
      <c r="O1257" s="6" t="inlineStr"/>
      <c r="P1257" s="6" t="inlineStr"/>
      <c r="Q1257" s="5" t="inlineStr"/>
      <c r="R1257" s="5" t="inlineStr">
        <is>
          <t>hat-girisimci</t>
        </is>
      </c>
      <c r="S1257" s="5" t="inlineStr"/>
      <c r="T1257" s="5" t="inlineStr"/>
      <c r="U1257" s="5" t="inlineStr"/>
      <c r="V1257" s="5" t="inlineStr"/>
      <c r="W1257" s="5" t="inlineStr"/>
      <c r="X1257" s="5" t="inlineStr"/>
      <c r="Y1257" s="5" t="n">
        <v>100</v>
      </c>
      <c r="Z1257" s="6" t="inlineStr">
        <is>
          <t>Son sözü “Yatırım tavsiyesi değildir” oldu. Hukuk departmanı rahatladı.</t>
        </is>
      </c>
      <c r="AA1257" s="5" t="inlineStr"/>
      <c r="AB1257" s="5" t="inlineStr"/>
      <c r="AC1257" s="5" t="inlineStr"/>
      <c r="AD1257" s="5" t="inlineStr"/>
      <c r="AE1257" s="5" t="inlineStr"/>
      <c r="AF1257" s="5" t="inlineStr"/>
      <c r="AG1257" s="5" t="inlineStr"/>
      <c r="AH1257" s="5" t="inlineStr"/>
      <c r="AI1257" s="5" t="inlineStr"/>
      <c r="AJ1257" s="5" t="inlineStr"/>
    </row>
    <row r="1258">
      <c r="A1258" s="5" t="inlineStr">
        <is>
          <t>son-soz</t>
        </is>
      </c>
      <c r="B1258" s="5" t="n">
        <v>14</v>
      </c>
      <c r="C1258" s="6" t="inlineStr">
        <is>
          <t>“Hangi dilde söyleyeyim?”</t>
        </is>
      </c>
      <c r="D1258" s="5" t="inlineStr"/>
      <c r="E1258" s="5" t="inlineStr"/>
      <c r="F1258" s="5" t="inlineStr">
        <is>
          <t>Sosyal Radar +1</t>
        </is>
      </c>
      <c r="G1258" s="6" t="inlineStr">
        <is>
          <t>İki dilde başladın; ikisi de yarım kaldı. Odadaki herkes yine de anladı.</t>
        </is>
      </c>
      <c r="H1258" s="6" t="inlineStr"/>
      <c r="I1258" s="6" t="inlineStr"/>
      <c r="J1258" s="6" t="inlineStr"/>
      <c r="K1258" s="6" t="inlineStr"/>
      <c r="L1258" s="6" t="inlineStr"/>
      <c r="M1258" s="5" t="inlineStr"/>
      <c r="N1258" s="5" t="inlineStr"/>
      <c r="O1258" s="6" t="inlineStr"/>
      <c r="P1258" s="6" t="inlineStr"/>
      <c r="Q1258" s="5" t="inlineStr"/>
      <c r="R1258" s="5" t="inlineStr">
        <is>
          <t>hat-goc</t>
        </is>
      </c>
      <c r="S1258" s="5" t="inlineStr"/>
      <c r="T1258" s="5" t="inlineStr"/>
      <c r="U1258" s="5" t="inlineStr"/>
      <c r="V1258" s="5" t="inlineStr"/>
      <c r="W1258" s="5" t="inlineStr"/>
      <c r="X1258" s="5" t="inlineStr"/>
      <c r="Y1258" s="5" t="n">
        <v>100</v>
      </c>
      <c r="Z1258" s="6" t="inlineStr">
        <is>
          <t>Son sözünü iki dilde söyledi; ikisi de yarım kaldı. Anlamı tamdı.</t>
        </is>
      </c>
      <c r="AA1258" s="5" t="inlineStr"/>
      <c r="AB1258" s="5" t="inlineStr"/>
      <c r="AC1258" s="5" t="inlineStr"/>
      <c r="AD1258" s="5" t="inlineStr"/>
      <c r="AE1258" s="5" t="inlineStr"/>
      <c r="AF1258" s="5" t="inlineStr"/>
      <c r="AG1258" s="5" t="inlineStr"/>
      <c r="AH1258" s="5" t="inlineStr"/>
      <c r="AI1258" s="5" t="inlineStr"/>
      <c r="AJ1258" s="5" t="inlineStr"/>
    </row>
    <row r="1259">
      <c r="A1259" s="5" t="inlineStr">
        <is>
          <t>son-soz</t>
        </is>
      </c>
      <c r="B1259" s="5" t="n">
        <v>15</v>
      </c>
      <c r="C1259" s="6" t="inlineStr">
        <is>
          <t>“Domatesleri sulayın.”</t>
        </is>
      </c>
      <c r="D1259" s="5" t="inlineStr"/>
      <c r="E1259" s="5" t="inlineStr"/>
      <c r="F1259" s="5" t="inlineStr">
        <is>
          <t>İtibar +1</t>
        </is>
      </c>
      <c r="G1259" s="6" t="inlineStr">
        <is>
          <t>Ertesi sabah üç kişi birden bahçeye, hortuma koştu. Sulandı.</t>
        </is>
      </c>
      <c r="H1259" s="6" t="inlineStr"/>
      <c r="I1259" s="6" t="inlineStr"/>
      <c r="J1259" s="6" t="inlineStr"/>
      <c r="K1259" s="6" t="inlineStr"/>
      <c r="L1259" s="6" t="inlineStr"/>
      <c r="M1259" s="5" t="inlineStr"/>
      <c r="N1259" s="5" t="inlineStr"/>
      <c r="O1259" s="6" t="inlineStr"/>
      <c r="P1259" s="6" t="inlineStr"/>
      <c r="Q1259" s="5" t="inlineStr"/>
      <c r="R1259" s="5" t="inlineStr">
        <is>
          <t>hat-koy</t>
        </is>
      </c>
      <c r="S1259" s="5" t="inlineStr"/>
      <c r="T1259" s="5" t="inlineStr"/>
      <c r="U1259" s="5" t="inlineStr"/>
      <c r="V1259" s="5" t="inlineStr"/>
      <c r="W1259" s="5" t="inlineStr"/>
      <c r="X1259" s="5" t="inlineStr"/>
      <c r="Y1259" s="5" t="n">
        <v>100</v>
      </c>
      <c r="Z1259" s="6" t="inlineStr">
        <is>
          <t>Son sözü “Domatesleri sulayın” oldu. Sulandı.</t>
        </is>
      </c>
      <c r="AA1259" s="5" t="inlineStr"/>
      <c r="AB1259" s="5" t="inlineStr"/>
      <c r="AC1259" s="5" t="inlineStr"/>
      <c r="AD1259" s="5" t="inlineStr"/>
      <c r="AE1259" s="5" t="inlineStr"/>
      <c r="AF1259" s="5" t="inlineStr"/>
      <c r="AG1259" s="5" t="inlineStr"/>
      <c r="AH1259" s="5" t="inlineStr"/>
      <c r="AI1259" s="5" t="inlineStr"/>
      <c r="AJ1259" s="5" t="inlineStr"/>
    </row>
    <row r="1260">
      <c r="A1260" s="5" t="inlineStr">
        <is>
          <t>son-soz</t>
        </is>
      </c>
      <c r="B1260" s="5" t="n">
        <v>16</v>
      </c>
      <c r="C1260" s="6" t="inlineStr">
        <is>
          <t>“O ses geçer.”</t>
        </is>
      </c>
      <c r="D1260" s="5" t="inlineStr"/>
      <c r="E1260" s="5" t="inlineStr"/>
      <c r="F1260" s="5" t="inlineStr">
        <is>
          <t>Akıl +1</t>
        </is>
      </c>
      <c r="G1260" s="6" t="inlineStr">
        <is>
          <t>Odada kimse bir ses duymamıştı; herkes yine de kulak kabarttı. Çırağın ertesi gün bunu dükkânın tabelasına yazdırdı.</t>
        </is>
      </c>
      <c r="H1260" s="6" t="inlineStr"/>
      <c r="I1260" s="6" t="inlineStr"/>
      <c r="J1260" s="6" t="inlineStr"/>
      <c r="K1260" s="6" t="inlineStr"/>
      <c r="L1260" s="6" t="inlineStr"/>
      <c r="M1260" s="5" t="inlineStr"/>
      <c r="N1260" s="5" t="inlineStr"/>
      <c r="O1260" s="6" t="inlineStr"/>
      <c r="P1260" s="6" t="inlineStr"/>
      <c r="Q1260" s="5" t="inlineStr"/>
      <c r="R1260" s="5" t="inlineStr">
        <is>
          <t>hat-usta</t>
        </is>
      </c>
      <c r="S1260" s="5" t="inlineStr"/>
      <c r="T1260" s="5" t="inlineStr"/>
      <c r="U1260" s="5" t="inlineStr"/>
      <c r="V1260" s="5" t="inlineStr"/>
      <c r="W1260" s="5" t="inlineStr"/>
      <c r="X1260" s="5" t="inlineStr"/>
      <c r="Y1260" s="5" t="n">
        <v>100</v>
      </c>
      <c r="Z1260" s="6" t="inlineStr">
        <is>
          <t>Son sözü “O ses geçer” oldu. Geçti.</t>
        </is>
      </c>
      <c r="AA1260" s="5" t="inlineStr"/>
      <c r="AB1260" s="5" t="inlineStr"/>
      <c r="AC1260" s="5" t="inlineStr"/>
      <c r="AD1260" s="5" t="inlineStr"/>
      <c r="AE1260" s="5" t="inlineStr"/>
      <c r="AF1260" s="5" t="inlineStr"/>
      <c r="AG1260" s="5" t="inlineStr"/>
      <c r="AH1260" s="5" t="inlineStr"/>
      <c r="AI1260" s="5" t="inlineStr"/>
      <c r="AJ1260" s="5" t="inlineStr"/>
    </row>
    <row r="1261">
      <c r="A1261" s="5" t="inlineStr">
        <is>
          <t>son-soz</t>
        </is>
      </c>
      <c r="B1261" s="5" t="n">
        <v>17</v>
      </c>
      <c r="C1261" s="6" t="inlineStr">
        <is>
          <t>“Evrakım eksiksizdi.”</t>
        </is>
      </c>
      <c r="D1261" s="5" t="inlineStr"/>
      <c r="E1261" s="5" t="inlineStr"/>
      <c r="F1261" s="5" t="inlineStr">
        <is>
          <t>Dayanıklılık +1</t>
        </is>
      </c>
      <c r="G1261" s="6" t="inlineStr">
        <is>
          <t>Odadakiler başını salladı. Ölüm belgesi de ilk seferde onaylandı.</t>
        </is>
      </c>
      <c r="H1261" s="6" t="inlineStr"/>
      <c r="I1261" s="6" t="inlineStr"/>
      <c r="J1261" s="6" t="inlineStr"/>
      <c r="K1261" s="6" t="inlineStr"/>
      <c r="L1261" s="6" t="inlineStr"/>
      <c r="M1261" s="5" t="inlineStr"/>
      <c r="N1261" s="5" t="inlineStr"/>
      <c r="O1261" s="6" t="inlineStr"/>
      <c r="P1261" s="6" t="inlineStr"/>
      <c r="Q1261" s="5" t="inlineStr"/>
      <c r="R1261" s="5" t="inlineStr">
        <is>
          <t>meslek-memur</t>
        </is>
      </c>
      <c r="S1261" s="5" t="inlineStr"/>
      <c r="T1261" s="5" t="inlineStr"/>
      <c r="U1261" s="5" t="inlineStr"/>
      <c r="V1261" s="5" t="inlineStr"/>
      <c r="W1261" s="5" t="inlineStr"/>
      <c r="X1261" s="5" t="inlineStr"/>
      <c r="Y1261" s="5" t="n">
        <v>100</v>
      </c>
      <c r="Z1261" s="6" t="inlineStr">
        <is>
          <t>Son sözü “Evrakım eksiksizdi” oldu. Evrakı gerçekten eksiksizdi.</t>
        </is>
      </c>
      <c r="AA1261" s="5" t="inlineStr"/>
      <c r="AB1261" s="5" t="inlineStr"/>
      <c r="AC1261" s="5" t="inlineStr"/>
      <c r="AD1261" s="5" t="inlineStr"/>
      <c r="AE1261" s="5" t="inlineStr"/>
      <c r="AF1261" s="5" t="inlineStr"/>
      <c r="AG1261" s="5" t="inlineStr"/>
      <c r="AH1261" s="5" t="inlineStr"/>
      <c r="AI1261" s="5" t="inlineStr"/>
      <c r="AJ1261" s="5" t="inlineStr"/>
    </row>
    <row r="1262">
      <c r="A1262" s="5" t="inlineStr">
        <is>
          <t>son-soz</t>
        </is>
      </c>
      <c r="B1262" s="5" t="n">
        <v>18</v>
      </c>
      <c r="C1262" s="6" t="inlineStr">
        <is>
          <t>“Bunu bir toplantıda konuşalım.”</t>
        </is>
      </c>
      <c r="D1262" s="5" t="inlineStr"/>
      <c r="E1262" s="5" t="inlineStr"/>
      <c r="F1262" s="5" t="inlineStr">
        <is>
          <t>Çene +1</t>
        </is>
      </c>
      <c r="G1262" s="6" t="inlineStr">
        <is>
          <t>Odadakiler refleksle takvimlerine baktı. Toplantı hiç yapılmadı.</t>
        </is>
      </c>
      <c r="H1262" s="6" t="inlineStr"/>
      <c r="I1262" s="6" t="inlineStr"/>
      <c r="J1262" s="6" t="inlineStr"/>
      <c r="K1262" s="6" t="inlineStr"/>
      <c r="L1262" s="6" t="inlineStr"/>
      <c r="M1262" s="5" t="inlineStr"/>
      <c r="N1262" s="5" t="inlineStr"/>
      <c r="O1262" s="6" t="inlineStr"/>
      <c r="P1262" s="6" t="inlineStr"/>
      <c r="Q1262" s="5" t="inlineStr"/>
      <c r="R1262" s="5" t="inlineStr">
        <is>
          <t>meslek-beyazyaka</t>
        </is>
      </c>
      <c r="S1262" s="5" t="inlineStr"/>
      <c r="T1262" s="5" t="inlineStr"/>
      <c r="U1262" s="5" t="inlineStr"/>
      <c r="V1262" s="5" t="inlineStr"/>
      <c r="W1262" s="5" t="inlineStr"/>
      <c r="X1262" s="5" t="inlineStr"/>
      <c r="Y1262" s="5" t="n">
        <v>100</v>
      </c>
      <c r="Z1262" s="6" t="inlineStr">
        <is>
          <t>Son sözü “Bunu bir toplantıda konuşalım” oldu. Toplantı ertelendi.</t>
        </is>
      </c>
      <c r="AA1262" s="5" t="inlineStr"/>
      <c r="AB1262" s="5" t="inlineStr"/>
      <c r="AC1262" s="5" t="inlineStr"/>
      <c r="AD1262" s="5" t="inlineStr"/>
      <c r="AE1262" s="5" t="inlineStr"/>
      <c r="AF1262" s="5" t="inlineStr"/>
      <c r="AG1262" s="5" t="inlineStr"/>
      <c r="AH1262" s="5" t="inlineStr"/>
      <c r="AI1262" s="5" t="inlineStr"/>
      <c r="AJ1262" s="5" t="inlineStr"/>
    </row>
    <row r="1263">
      <c r="A1263" s="5" t="inlineStr">
        <is>
          <t>son-soz</t>
        </is>
      </c>
      <c r="B1263" s="5" t="n">
        <v>19</v>
      </c>
      <c r="C1263" s="6" t="inlineStr">
        <is>
          <t>“Veresiye defteri üst rafta.”</t>
        </is>
      </c>
      <c r="D1263" s="5" t="inlineStr"/>
      <c r="E1263" s="5" t="inlineStr"/>
      <c r="F1263" s="5" t="inlineStr">
        <is>
          <t>Kurnazlık +1</t>
        </is>
      </c>
      <c r="G1263" s="6" t="inlineStr">
        <is>
          <t>Defter üst raftan indi. Ertesi gün mahallenin yarısı taziyeye borcunu ödemeye geldi.</t>
        </is>
      </c>
      <c r="H1263" s="6" t="inlineStr"/>
      <c r="I1263" s="6" t="inlineStr"/>
      <c r="J1263" s="6" t="inlineStr"/>
      <c r="K1263" s="6" t="inlineStr"/>
      <c r="L1263" s="6" t="inlineStr"/>
      <c r="M1263" s="5" t="inlineStr"/>
      <c r="N1263" s="5" t="inlineStr"/>
      <c r="O1263" s="6" t="inlineStr"/>
      <c r="P1263" s="6" t="inlineStr"/>
      <c r="Q1263" s="5" t="inlineStr"/>
      <c r="R1263" s="5" t="inlineStr">
        <is>
          <t>meslek-esnaf</t>
        </is>
      </c>
      <c r="S1263" s="5" t="inlineStr"/>
      <c r="T1263" s="5" t="inlineStr"/>
      <c r="U1263" s="5" t="inlineStr"/>
      <c r="V1263" s="5" t="inlineStr"/>
      <c r="W1263" s="5" t="inlineStr"/>
      <c r="X1263" s="5" t="inlineStr"/>
      <c r="Y1263" s="5" t="n">
        <v>100</v>
      </c>
      <c r="Z1263" s="6" t="inlineStr">
        <is>
          <t>Son sözü “Veresiye defteri üst rafta” oldu. Defter bulundu; tahsilat sürüyor.</t>
        </is>
      </c>
      <c r="AA1263" s="5" t="inlineStr"/>
      <c r="AB1263" s="5" t="inlineStr"/>
      <c r="AC1263" s="5" t="inlineStr"/>
      <c r="AD1263" s="5" t="inlineStr"/>
      <c r="AE1263" s="5" t="inlineStr"/>
      <c r="AF1263" s="5" t="inlineStr"/>
      <c r="AG1263" s="5" t="inlineStr"/>
      <c r="AH1263" s="5" t="inlineStr"/>
      <c r="AI1263" s="5" t="inlineStr"/>
      <c r="AJ1263" s="5" t="inlineStr"/>
    </row>
    <row r="1264">
      <c r="A1264" s="5" t="inlineStr">
        <is>
          <t>son-soz</t>
        </is>
      </c>
      <c r="B1264" s="5" t="n">
        <v>20</v>
      </c>
      <c r="C1264" s="6" t="inlineStr">
        <is>
          <t>“Son revizyon buydu, söz.”</t>
        </is>
      </c>
      <c r="D1264" s="5" t="inlineStr"/>
      <c r="E1264" s="5" t="inlineStr"/>
      <c r="F1264" s="5" t="inlineStr">
        <is>
          <t>Pişkinlik +1</t>
        </is>
      </c>
      <c r="G1264" s="6" t="inlineStr">
        <is>
          <t>Odadakiler gülümsedi; kimse inanmadı. Bu sefer gerçekten öyleydi.</t>
        </is>
      </c>
      <c r="H1264" s="6" t="inlineStr"/>
      <c r="I1264" s="6" t="inlineStr"/>
      <c r="J1264" s="6" t="inlineStr"/>
      <c r="K1264" s="6" t="inlineStr"/>
      <c r="L1264" s="6" t="inlineStr"/>
      <c r="M1264" s="5" t="inlineStr"/>
      <c r="N1264" s="5" t="inlineStr"/>
      <c r="O1264" s="6" t="inlineStr"/>
      <c r="P1264" s="6" t="inlineStr"/>
      <c r="Q1264" s="5" t="inlineStr"/>
      <c r="R1264" s="5" t="inlineStr">
        <is>
          <t>meslek-serbest</t>
        </is>
      </c>
      <c r="S1264" s="5" t="inlineStr"/>
      <c r="T1264" s="5" t="inlineStr"/>
      <c r="U1264" s="5" t="inlineStr"/>
      <c r="V1264" s="5" t="inlineStr"/>
      <c r="W1264" s="5" t="inlineStr"/>
      <c r="X1264" s="5" t="inlineStr"/>
      <c r="Y1264" s="5" t="n">
        <v>100</v>
      </c>
      <c r="Z1264" s="6" t="inlineStr">
        <is>
          <t>Son sözü “Son revizyon buydu, söz” oldu. Bu sefer gerçekten öyleydi.</t>
        </is>
      </c>
      <c r="AA1264" s="5" t="inlineStr"/>
      <c r="AB1264" s="5" t="inlineStr"/>
      <c r="AC1264" s="5" t="inlineStr"/>
      <c r="AD1264" s="5" t="inlineStr"/>
      <c r="AE1264" s="5" t="inlineStr"/>
      <c r="AF1264" s="5" t="inlineStr"/>
      <c r="AG1264" s="5" t="inlineStr"/>
      <c r="AH1264" s="5" t="inlineStr"/>
      <c r="AI1264" s="5" t="inlineStr"/>
      <c r="AJ1264" s="5" t="inlineStr"/>
    </row>
    <row r="1265">
      <c r="A1265" s="5" t="inlineStr">
        <is>
          <t>son-soz</t>
        </is>
      </c>
      <c r="B1265" s="5" t="n">
        <v>21</v>
      </c>
      <c r="C1265" s="6" t="inlineStr">
        <is>
          <t>“Dördüncü koğuşun tavla şampiyonuydum.”</t>
        </is>
      </c>
      <c r="D1265" s="5" t="inlineStr"/>
      <c r="E1265" s="5" t="inlineStr"/>
      <c r="F1265" s="5" t="inlineStr">
        <is>
          <t>Pişkinlik +1</t>
        </is>
      </c>
      <c r="G1265" s="6" t="inlineStr">
        <is>
          <t>Köşedeki eski koğuş arkadaşın başını salladı. Rövanş isteyen çıkmadı.</t>
        </is>
      </c>
      <c r="H1265" s="6" t="inlineStr"/>
      <c r="I1265" s="6" t="inlineStr"/>
      <c r="J1265" s="6" t="inlineStr"/>
      <c r="K1265" s="6" t="inlineStr"/>
      <c r="L1265" s="6" t="inlineStr"/>
      <c r="M1265" s="5" t="inlineStr"/>
      <c r="N1265" s="5" t="inlineStr"/>
      <c r="O1265" s="6" t="inlineStr"/>
      <c r="P1265" s="6" t="inlineStr"/>
      <c r="Q1265" s="5" t="inlineStr"/>
      <c r="R1265" s="5" t="inlineStr">
        <is>
          <t>eski-hukumlu</t>
        </is>
      </c>
      <c r="S1265" s="5" t="inlineStr"/>
      <c r="T1265" s="5" t="inlineStr"/>
      <c r="U1265" s="5" t="inlineStr"/>
      <c r="V1265" s="5" t="inlineStr"/>
      <c r="W1265" s="5" t="inlineStr"/>
      <c r="X1265" s="5" t="inlineStr"/>
      <c r="Y1265" s="5" t="n">
        <v>100</v>
      </c>
      <c r="Z1265" s="6" t="inlineStr">
        <is>
          <t>Son sözü “Dördüncü koğuşun tavla şampiyonuydum” oldu. Kimse itiraz etmedi; rövanş da istenmedi.</t>
        </is>
      </c>
      <c r="AA1265" s="5" t="inlineStr"/>
      <c r="AB1265" s="5" t="inlineStr"/>
      <c r="AC1265" s="5" t="inlineStr"/>
      <c r="AD1265" s="5" t="inlineStr"/>
      <c r="AE1265" s="5" t="inlineStr"/>
      <c r="AF1265" s="5" t="inlineStr"/>
      <c r="AG1265" s="5" t="inlineStr"/>
      <c r="AH1265" s="5" t="inlineStr"/>
      <c r="AI1265" s="5" t="inlineStr"/>
      <c r="AJ1265" s="5" t="inlineStr"/>
    </row>
    <row r="1266">
      <c r="A1266" s="5" t="inlineStr">
        <is>
          <t>son-soz</t>
        </is>
      </c>
      <c r="B1266" s="5" t="n">
        <v>22</v>
      </c>
      <c r="C1266" s="6" t="inlineStr">
        <is>
          <t>'Bu sefer son söz senin.'</t>
        </is>
      </c>
      <c r="D1266" s="5" t="inlineStr"/>
      <c r="E1266" s="5" t="inlineStr"/>
      <c r="F1266" s="5" t="inlineStr">
        <is>
          <t>Gönül +1</t>
        </is>
      </c>
      <c r="G1266" s="6" t="inlineStr">
        <is>
          <t>Eşin elini sıktı. Elli yıldır ilk kez son söz onda kaldı; ne dediğini yalnızca sen duydun.</t>
        </is>
      </c>
      <c r="H1266" s="6" t="inlineStr"/>
      <c r="I1266" s="6" t="inlineStr"/>
      <c r="J1266" s="6" t="inlineStr"/>
      <c r="K1266" s="6" t="inlineStr"/>
      <c r="L1266" s="6" t="inlineStr"/>
      <c r="M1266" s="5" t="inlineStr"/>
      <c r="N1266" s="5" t="inlineStr"/>
      <c r="O1266" s="6" t="inlineStr"/>
      <c r="P1266" s="6" t="inlineStr"/>
      <c r="Q1266" s="5" t="inlineStr"/>
      <c r="R1266" s="5" t="inlineStr">
        <is>
          <t>evli</t>
        </is>
      </c>
      <c r="S1266" s="5" t="inlineStr"/>
      <c r="T1266" s="5" t="inlineStr"/>
      <c r="U1266" s="5" t="inlineStr"/>
      <c r="V1266" s="5" t="inlineStr"/>
      <c r="W1266" s="5" t="inlineStr"/>
      <c r="X1266" s="5" t="inlineStr"/>
      <c r="Y1266" s="5" t="n">
        <v>100</v>
      </c>
      <c r="Z1266" s="6" t="inlineStr">
        <is>
          <t>Son sözü eşine bıraktı. Ne dendiğini yalnızca o duydu.</t>
        </is>
      </c>
      <c r="AA1266" s="5" t="inlineStr"/>
      <c r="AB1266" s="5" t="inlineStr"/>
      <c r="AC1266" s="5" t="inlineStr"/>
      <c r="AD1266" s="5" t="inlineStr"/>
      <c r="AE1266" s="5" t="inlineStr"/>
      <c r="AF1266" s="5" t="inlineStr"/>
      <c r="AG1266" s="5" t="inlineStr"/>
      <c r="AH1266" s="5" t="inlineStr"/>
      <c r="AI1266" s="5" t="inlineStr"/>
      <c r="AJ1266" s="5" t="inlineStr"/>
    </row>
    <row r="1267">
      <c r="A1267" s="5" t="inlineStr">
        <is>
          <t>son-soz</t>
        </is>
      </c>
      <c r="B1267" s="5" t="n">
        <v>23</v>
      </c>
      <c r="C1267" s="6" t="inlineStr">
        <is>
          <t>'Geliyorum.'</t>
        </is>
      </c>
      <c r="D1267" s="5" t="inlineStr"/>
      <c r="E1267" s="5" t="inlineStr"/>
      <c r="F1267" s="5" t="inlineStr">
        <is>
          <t>Gönül +1</t>
        </is>
      </c>
      <c r="G1267" s="6" t="inlineStr">
        <is>
          <t>Gözün komodindeki fotoğrafa kaydı. Odadakiler kime söylediğini sormadı.</t>
        </is>
      </c>
      <c r="H1267" s="6" t="inlineStr"/>
      <c r="I1267" s="6" t="inlineStr"/>
      <c r="J1267" s="6" t="inlineStr"/>
      <c r="K1267" s="6" t="inlineStr"/>
      <c r="L1267" s="6" t="inlineStr"/>
      <c r="M1267" s="5" t="inlineStr"/>
      <c r="N1267" s="5" t="inlineStr"/>
      <c r="O1267" s="6" t="inlineStr"/>
      <c r="P1267" s="6" t="inlineStr"/>
      <c r="Q1267" s="5" t="inlineStr"/>
      <c r="R1267" s="5" t="inlineStr">
        <is>
          <t>dul</t>
        </is>
      </c>
      <c r="S1267" s="5" t="inlineStr"/>
      <c r="T1267" s="5" t="inlineStr"/>
      <c r="U1267" s="5" t="inlineStr"/>
      <c r="V1267" s="5" t="inlineStr"/>
      <c r="W1267" s="5" t="inlineStr"/>
      <c r="X1267" s="5" t="inlineStr"/>
      <c r="Y1267" s="5" t="n">
        <v>100</v>
      </c>
      <c r="Z1267" s="6" t="inlineStr">
        <is>
          <t>Son sözü 'Geliyorum' oldu. Kime söylediğini kimse sormadı.</t>
        </is>
      </c>
      <c r="AA1267" s="5" t="inlineStr"/>
      <c r="AB1267" s="5" t="inlineStr"/>
      <c r="AC1267" s="5" t="inlineStr"/>
      <c r="AD1267" s="5" t="inlineStr"/>
      <c r="AE1267" s="5" t="inlineStr"/>
      <c r="AF1267" s="5" t="inlineStr"/>
      <c r="AG1267" s="5" t="inlineStr"/>
      <c r="AH1267" s="5" t="inlineStr"/>
      <c r="AI1267" s="5" t="inlineStr"/>
      <c r="AJ1267" s="5" t="inlineStr"/>
    </row>
    <row r="1268">
      <c r="A1268" s="5" t="inlineStr">
        <is>
          <t>son-soz</t>
        </is>
      </c>
      <c r="B1268" s="5" t="n">
        <v>24</v>
      </c>
      <c r="C1268" s="6" t="inlineStr">
        <is>
          <t>'Kardeşler küsmesin.'</t>
        </is>
      </c>
      <c r="D1268" s="5" t="inlineStr"/>
      <c r="E1268" s="5" t="inlineStr"/>
      <c r="F1268" s="5" t="inlineStr">
        <is>
          <t>Gönül +1</t>
        </is>
      </c>
      <c r="G1268" s="6" t="inlineStr">
        <is>
          <t>Çocukların aynı anda birbirine baktı. Mirasın paylaşımı iki yıl sürdü, ama bayramda hepsi geldi.</t>
        </is>
      </c>
      <c r="H1268" s="6" t="inlineStr"/>
      <c r="I1268" s="6" t="inlineStr"/>
      <c r="J1268" s="6" t="inlineStr"/>
      <c r="K1268" s="6" t="inlineStr"/>
      <c r="L1268" s="6" t="inlineStr"/>
      <c r="M1268" s="5" t="inlineStr"/>
      <c r="N1268" s="5" t="inlineStr"/>
      <c r="O1268" s="6" t="inlineStr"/>
      <c r="P1268" s="6" t="inlineStr"/>
      <c r="Q1268" s="5" t="inlineStr"/>
      <c r="R1268" s="5" t="inlineStr">
        <is>
          <t>cocuklu</t>
        </is>
      </c>
      <c r="S1268" s="5" t="inlineStr"/>
      <c r="T1268" s="5" t="inlineStr"/>
      <c r="U1268" s="5" t="inlineStr"/>
      <c r="V1268" s="5" t="inlineStr"/>
      <c r="W1268" s="5" t="inlineStr"/>
      <c r="X1268" s="5" t="inlineStr"/>
      <c r="Y1268" s="5" t="n">
        <v>100</v>
      </c>
      <c r="Z1268" s="6" t="inlineStr">
        <is>
          <t>Son sözü 'Kardeşler küsmesin' oldu. Bayramda hepsi geldi.</t>
        </is>
      </c>
      <c r="AA1268" s="5" t="inlineStr"/>
      <c r="AB1268" s="5" t="inlineStr"/>
      <c r="AC1268" s="5" t="inlineStr"/>
      <c r="AD1268" s="5" t="inlineStr"/>
      <c r="AE1268" s="5" t="inlineStr"/>
      <c r="AF1268" s="5" t="inlineStr"/>
      <c r="AG1268" s="5" t="inlineStr"/>
      <c r="AH1268" s="5" t="inlineStr"/>
      <c r="AI1268" s="5" t="inlineStr"/>
      <c r="AJ1268" s="5" t="inlineStr"/>
    </row>
    <row r="1269">
      <c r="A1269" s="5" t="inlineStr">
        <is>
          <t>sokak-mi-ekran-mi</t>
        </is>
      </c>
      <c r="B1269" s="5" t="n">
        <v>1</v>
      </c>
      <c r="C1269" s="6" t="inlineStr">
        <is>
          <t>Sokağa koş</t>
        </is>
      </c>
      <c r="D1269" s="5" t="inlineStr">
        <is>
          <t>Cesaret</t>
        </is>
      </c>
      <c r="E1269" s="5" t="inlineStr">
        <is>
          <t>Kolay</t>
        </is>
      </c>
      <c r="F1269" s="5" t="inlineStr"/>
      <c r="G1269" s="6" t="inlineStr"/>
      <c r="H1269" s="6" t="inlineStr">
        <is>
          <t>Merdivenleri ikişer ikişer indin. Akşama kadar dizlerin yara bandı, ceplerin çakıl taşı doldu.</t>
        </is>
      </c>
      <c r="I1269" s="6" t="inlineStr">
        <is>
          <t>İlk gün kaleye geçtin, ikinci gün takım kaptanı oldun. Mahalle seni adınla çağırmaya başladı.</t>
        </is>
      </c>
      <c r="J1269" s="6" t="inlineStr">
        <is>
          <t>Aşağı indin ama oyun çoktan kurulmuştu. Kenardan izledin; yine de oradaydın.</t>
        </is>
      </c>
      <c r="K1269" s="6" t="inlineStr">
        <is>
          <t>Merdivenleri koşarak inerken ayakkabının teki ikinci katta kaldı. Maçın ortasına tek ayakkabıyla daldın. Bakkal kapıya çıkıp bağırdı: “Gelin bakın, Tek Ayakkabı geldi!” Ayakkabıyı kapıcı getirdi; ad kaldı.</t>
        </is>
      </c>
      <c r="L1269" s="6" t="inlineStr"/>
      <c r="M1269" s="5" t="inlineStr"/>
      <c r="N1269" s="5" t="inlineStr"/>
      <c r="O1269" s="6" t="inlineStr"/>
      <c r="P1269" s="6" t="inlineStr"/>
      <c r="Q1269" s="5" t="inlineStr"/>
      <c r="R1269" s="5" t="inlineStr"/>
      <c r="S1269" s="5" t="inlineStr"/>
      <c r="T1269" s="5" t="inlineStr"/>
      <c r="U1269" s="5" t="inlineStr">
        <is>
          <t>mahalle-cocugu</t>
        </is>
      </c>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c r="AI1269" s="5" t="inlineStr">
        <is>
          <t>Tek Ayakkabı</t>
        </is>
      </c>
      <c r="AJ1269" s="5" t="inlineStr"/>
    </row>
    <row r="1270">
      <c r="A1270" s="5" t="inlineStr">
        <is>
          <t>sokak-mi-ekran-mi</t>
        </is>
      </c>
      <c r="B1270" s="5" t="n">
        <v>2</v>
      </c>
      <c r="C1270" s="6" t="inlineStr">
        <is>
          <t>Tableti al</t>
        </is>
      </c>
      <c r="D1270" s="5" t="inlineStr">
        <is>
          <t>Kurnazlık</t>
        </is>
      </c>
      <c r="E1270" s="5" t="inlineStr">
        <is>
          <t>Kolay</t>
        </is>
      </c>
      <c r="F1270" s="5" t="inlineStr"/>
      <c r="G1270" s="6" t="inlineStr"/>
      <c r="H1270" s="6" t="inlineStr">
        <is>
          <t>Şifreyi annenden önce öğrendin. Akşam yemeğine kadar üç oyun bitirdin, birini baştan.</t>
        </is>
      </c>
      <c r="I1270" s="6" t="inlineStr">
        <is>
          <t>Ebeveyn ayarını kimse fark etmeden değiştirdin. Ekran süresini artık sen belirliyorsun.</t>
        </is>
      </c>
      <c r="J1270" s="6" t="inlineStr">
        <is>
          <t>Tablet açıldı ama şarj seni yarı yolda bıraktı. Kabloyu bulana kadar akşam oldu.</t>
        </is>
      </c>
      <c r="K1270" s="6" t="inlineStr">
        <is>
          <t>Tableti kanepeden düşürdün. Ekranın köşesinde artık bir örümcek ağı var; her açışında hatırlıyorsun.</t>
        </is>
      </c>
      <c r="L1270" s="6" t="inlineStr"/>
      <c r="M1270" s="5" t="inlineStr"/>
      <c r="N1270" s="5" t="inlineStr"/>
      <c r="O1270" s="6" t="inlineStr"/>
      <c r="P1270" s="6" t="inlineStr"/>
      <c r="Q1270" s="5" t="inlineStr"/>
      <c r="R1270" s="5" t="inlineStr"/>
      <c r="S1270" s="5" t="inlineStr"/>
      <c r="T1270" s="5" t="inlineStr"/>
      <c r="U1270" s="5" t="inlineStr">
        <is>
          <t>ekran-cocugu</t>
        </is>
      </c>
      <c r="V1270" s="5" t="inlineStr"/>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c r="AI1270" s="5" t="inlineStr"/>
      <c r="AJ1270" s="5" t="inlineStr"/>
    </row>
    <row r="1271">
      <c r="A1271" s="5" t="inlineStr">
        <is>
          <t>sokak-mi-ekran-mi</t>
        </is>
      </c>
      <c r="B1271" s="5" t="n">
        <v>3</v>
      </c>
      <c r="C1271" s="6" t="inlineStr">
        <is>
          <t>Tableti sokağa indir</t>
        </is>
      </c>
      <c r="D1271" s="5" t="inlineStr">
        <is>
          <t>Çene</t>
        </is>
      </c>
      <c r="E1271" s="5" t="inlineStr">
        <is>
          <t>Zor</t>
        </is>
      </c>
      <c r="F1271" s="5" t="inlineStr"/>
      <c r="G1271" s="6" t="inlineStr"/>
      <c r="H1271" s="6" t="inlineStr">
        <is>
          <t>Tableti aşağı indirdin; mahalle bir anda seyirciye dönüştü. Hem sokağın hem ekranın çocuğusun.</t>
        </is>
      </c>
      <c r="I1271" s="6" t="inlineStr">
        <is>
          <t>Tabletle mahallede oyun turnuvası kurdun. Giriş ücreti bir bisküvi, sıra hep sende.</t>
        </is>
      </c>
      <c r="J1271" s="6" t="inlineStr">
        <is>
          <t>Tableti indirdin ama güneş ekranı okunmaz yaptı. Herkes topa döndü, sen de.</t>
        </is>
      </c>
      <c r="K1271" s="6" t="inlineStr">
        <is>
          <t>Tablet top gibi elden ele dolaştı. Sonunda bir kedinin altında bulundu; kedi memnundu.</t>
        </is>
      </c>
      <c r="L1271" s="6" t="inlineStr"/>
      <c r="M1271" s="5" t="inlineStr"/>
      <c r="N1271" s="5" t="inlineStr"/>
      <c r="O1271" s="6" t="inlineStr"/>
      <c r="P1271" s="6" t="inlineStr"/>
      <c r="Q1271" s="5" t="inlineStr"/>
      <c r="R1271" s="5" t="inlineStr"/>
      <c r="S1271" s="5" t="inlineStr"/>
      <c r="T1271" s="5" t="inlineStr"/>
      <c r="U1271" s="5" t="inlineStr">
        <is>
          <t>mahalle-cocugu</t>
        </is>
      </c>
      <c r="V1271" s="5" t="inlineStr">
        <is>
          <t>ekran-cocugu</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c r="AI1271" s="5" t="inlineStr"/>
      <c r="AJ1271" s="5" t="inlineStr"/>
    </row>
    <row r="1272">
      <c r="A1272" s="5" t="inlineStr">
        <is>
          <t>sokak-mi-ekran-mi</t>
        </is>
      </c>
      <c r="B1272" s="5" t="n">
        <v>4</v>
      </c>
      <c r="C1272" s="6" t="inlineStr">
        <is>
          <t>Pencereden ikisini de izle</t>
        </is>
      </c>
      <c r="D1272" s="5" t="inlineStr"/>
      <c r="E1272" s="5" t="inlineStr"/>
      <c r="F1272" s="5" t="inlineStr">
        <is>
          <t>Sosyal Radar +1</t>
        </is>
      </c>
      <c r="G1272" s="6" t="inlineStr">
        <is>
          <t>Pencerenin önüne tabure çektin; bir aşağıdaki maça, bir tablete baktın. Akşam baban “Bugün ne yaptın?” diye sordu; maçın skorunu ve oyunun bölümünü aynı nefeste anlattın. Annen “Bu çocuk spiker olur” dedi.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c r="AI1272" s="5" t="inlineStr"/>
      <c r="AJ1272" s="5" t="inlineStr"/>
    </row>
    <row r="1273">
      <c r="A1273" s="5" t="inlineStr">
        <is>
          <t>b5-sehir-secimi</t>
        </is>
      </c>
      <c r="B1273" s="5" t="n">
        <v>1</v>
      </c>
      <c r="C1273" s="6" t="inlineStr">
        <is>
          <t>Başka şehri yaz</t>
        </is>
      </c>
      <c r="D1273" s="5" t="inlineStr"/>
      <c r="E1273" s="5" t="inlineStr"/>
      <c r="F1273" s="5" t="inlineStr">
        <is>
          <t>Cesaret +1, Dayanıklılık +1</t>
        </is>
      </c>
      <c r="G1273" s="6" t="inlineStr">
        <is>
          <t>Başka şehri yazdın. Annen valize üç kavanoz reçel, bir yorgan ve bir torba kuru nane sıkıştırdı. Valiz kapanmadı; baban üstüne oturdu.</t>
        </is>
      </c>
      <c r="H1273" s="6" t="inlineStr"/>
      <c r="I1273" s="6" t="inlineStr"/>
      <c r="J1273" s="6" t="inlineStr"/>
      <c r="K1273" s="6" t="inlineStr"/>
      <c r="L1273" s="6" t="inlineStr"/>
      <c r="M1273" s="5" t="inlineStr"/>
      <c r="N1273" s="5" t="inlineStr"/>
      <c r="O1273" s="6" t="inlineStr"/>
      <c r="P1273" s="6" t="inlineStr"/>
      <c r="Q1273" s="5" t="inlineStr"/>
      <c r="R1273" s="5" t="inlineStr"/>
      <c r="S1273" s="5" t="inlineStr"/>
      <c r="T1273" s="5" t="inlineStr"/>
      <c r="U1273" s="5" t="inlineStr">
        <is>
          <t>baska-sehir</t>
        </is>
      </c>
      <c r="V1273" s="5" t="inlineStr"/>
      <c r="W1273" s="5" t="inlineStr"/>
      <c r="X1273" s="5" t="inlineStr"/>
      <c r="Y1273" s="5" t="inlineStr"/>
      <c r="Z1273" s="6" t="inlineStr"/>
      <c r="AA1273" s="5" t="inlineStr">
        <is>
          <t>Keskin -1, Yalçın -1, Şen -1, Tan +1, Erdem +1</t>
        </is>
      </c>
      <c r="AB1273" s="5" t="inlineStr"/>
      <c r="AC1273" s="5" t="inlineStr"/>
      <c r="AD1273" s="5" t="inlineStr"/>
      <c r="AE1273" s="5" t="inlineStr"/>
      <c r="AF1273" s="5" t="inlineStr"/>
      <c r="AG1273" s="5" t="inlineStr"/>
      <c r="AH1273" s="5" t="inlineStr"/>
      <c r="AI1273" s="5" t="inlineStr"/>
      <c r="AJ1273" s="5" t="inlineStr"/>
    </row>
    <row r="1274">
      <c r="A1274" s="5" t="inlineStr">
        <is>
          <t>b5-sehir-secimi</t>
        </is>
      </c>
      <c r="B1274" s="5" t="n">
        <v>2</v>
      </c>
      <c r="C1274" s="6" t="inlineStr">
        <is>
          <t>Evden gidebileceğin okulu yaz</t>
        </is>
      </c>
      <c r="D1274" s="5" t="inlineStr"/>
      <c r="E1274" s="5" t="inlineStr"/>
      <c r="F1274" s="5" t="inlineStr">
        <is>
          <t>İtibar +1, Kurnazlık +1</t>
        </is>
      </c>
      <c r="G1274" s="6" t="inlineStr">
        <is>
          <t>Aynı şehri yazdın. Üniversitelisin ama sokağa çıkma saatin hâlâ 22:00. Buzdolabı en büyük bursun.</t>
        </is>
      </c>
      <c r="H1274" s="6" t="inlineStr"/>
      <c r="I1274" s="6" t="inlineStr"/>
      <c r="J1274" s="6" t="inlineStr"/>
      <c r="K1274" s="6" t="inlineStr"/>
      <c r="L1274" s="6" t="inlineStr"/>
      <c r="M1274" s="5" t="inlineStr"/>
      <c r="N1274" s="5" t="inlineStr"/>
      <c r="O1274" s="6" t="inlineStr"/>
      <c r="P1274" s="6" t="inlineStr"/>
      <c r="Q1274" s="5" t="inlineStr"/>
      <c r="R1274" s="5" t="inlineStr"/>
      <c r="S1274" s="5" t="inlineStr"/>
      <c r="T1274" s="5" t="inlineStr"/>
      <c r="U1274" s="5" t="inlineStr">
        <is>
          <t>ayni-sehir</t>
        </is>
      </c>
      <c r="V1274" s="5" t="inlineStr"/>
      <c r="W1274" s="5" t="inlineStr"/>
      <c r="X1274" s="5" t="inlineStr"/>
      <c r="Y1274" s="5" t="inlineStr"/>
      <c r="Z1274" s="6" t="inlineStr"/>
      <c r="AA1274" s="5" t="inlineStr">
        <is>
          <t>Şen +1, Yalçın +1</t>
        </is>
      </c>
      <c r="AB1274" s="5" t="inlineStr"/>
      <c r="AC1274" s="5" t="inlineStr"/>
      <c r="AD1274" s="5" t="inlineStr"/>
      <c r="AE1274" s="5" t="inlineStr"/>
      <c r="AF1274" s="5" t="inlineStr"/>
      <c r="AG1274" s="5" t="inlineStr"/>
      <c r="AH1274" s="5" t="inlineStr"/>
      <c r="AI1274" s="5" t="inlineStr"/>
      <c r="AJ1274" s="5" t="inlineStr"/>
    </row>
    <row r="1275">
      <c r="A1275" s="5" t="inlineStr">
        <is>
          <t>b5-sehir-secimi</t>
        </is>
      </c>
      <c r="B1275" s="5" t="n">
        <v>3</v>
      </c>
      <c r="C1275" s="6" t="inlineStr">
        <is>
          <t>Kura çek</t>
        </is>
      </c>
      <c r="D1275" s="5" t="inlineStr">
        <is>
          <t>Pişkinlik</t>
        </is>
      </c>
      <c r="E1275" s="5" t="inlineStr">
        <is>
          <t>Orta</t>
        </is>
      </c>
      <c r="F1275" s="5" t="inlineStr"/>
      <c r="G1275" s="6" t="inlineStr"/>
      <c r="H1275" s="6" t="inlineStr">
        <is>
          <t>Kura başka şehri gösterdi. Annen kâğıdı üç kez okudu, “Kader” dedi ve reçel kavanozlarını saymaya başladı.</t>
        </is>
      </c>
      <c r="I1275" s="6" t="inlineStr">
        <is>
          <t>Kura başka şehri gösterdi. Annen dayını aradı; daha derdini anlatmadan dayın bağırdı: “Yurt parası benden!” Bir hafta içinde yurt ayarlandı.</t>
        </is>
      </c>
      <c r="J1275" s="6" t="inlineStr">
        <is>
          <t>Kura evi gösterdi. Kaderle tartışmadın; kader zaten annenin tarafındaydı.</t>
        </is>
      </c>
      <c r="K1275" s="6" t="inlineStr">
        <is>
          <t>Kurayı çekerken fark ettin: kâğıtları annen hazırlamıştı. İkisinde de aynı şehir yazıyordu.</t>
        </is>
      </c>
      <c r="L1275" s="6" t="inlineStr"/>
      <c r="M1275" s="5" t="inlineStr"/>
      <c r="N1275" s="5" t="inlineStr"/>
      <c r="O1275" s="6" t="inlineStr"/>
      <c r="P1275" s="6" t="inlineStr"/>
      <c r="Q1275" s="5" t="inlineStr"/>
      <c r="R1275" s="5" t="inlineStr"/>
      <c r="S1275" s="5" t="inlineStr"/>
      <c r="T1275" s="5" t="inlineStr"/>
      <c r="U1275" s="5" t="inlineStr"/>
      <c r="V1275" s="5" t="inlineStr">
        <is>
          <t>baska-sehir</t>
        </is>
      </c>
      <c r="W1275" s="5" t="inlineStr"/>
      <c r="X1275" s="5" t="inlineStr"/>
      <c r="Y1275" s="5" t="inlineStr"/>
      <c r="Z1275" s="6" t="inlineStr"/>
      <c r="AA1275" s="5" t="inlineStr"/>
      <c r="AB1275" s="5" t="inlineStr">
        <is>
          <t>ayni-sehir</t>
        </is>
      </c>
      <c r="AC1275" s="5" t="inlineStr"/>
      <c r="AD1275" s="5" t="inlineStr"/>
      <c r="AE1275" s="5" t="inlineStr"/>
      <c r="AF1275" s="5" t="inlineStr"/>
      <c r="AG1275" s="5" t="inlineStr"/>
      <c r="AH1275" s="5" t="inlineStr"/>
      <c r="AI1275" s="5" t="inlineStr"/>
      <c r="AJ1275" s="5" t="inlineStr"/>
    </row>
    <row r="1276">
      <c r="A1276" s="5" t="inlineStr">
        <is>
          <t>b5-kazanamayinca</t>
        </is>
      </c>
      <c r="B1276" s="5" t="n">
        <v>1</v>
      </c>
      <c r="C1276" s="6" t="inlineStr">
        <is>
          <t>Mezuna kal, bir yıl daha</t>
        </is>
      </c>
      <c r="D1276" s="5" t="inlineStr"/>
      <c r="E1276" s="5" t="inlineStr"/>
      <c r="F1276" s="5" t="inlineStr">
        <is>
          <t>Dayanıklılık +1, Akıl +1</t>
        </is>
      </c>
      <c r="G1276" s="6" t="inlineStr">
        <is>
          <t>Bir yıl daha dershaneye yazıldın. Bayramda akrabalar artık “Ne olacaksın?” diye sormuyor; “Bu sene olacak mı?” diye soruyor. Kimliğinde yazmıyor ama herkes biliyor: mezunsun.</t>
        </is>
      </c>
      <c r="H1276" s="6" t="inlineStr"/>
      <c r="I1276" s="6" t="inlineStr"/>
      <c r="J1276" s="6" t="inlineStr"/>
      <c r="K1276" s="6" t="inlineStr"/>
      <c r="L1276" s="6" t="inlineStr"/>
      <c r="M1276" s="5" t="inlineStr"/>
      <c r="N1276" s="5" t="inlineStr"/>
      <c r="O1276" s="6" t="inlineStr"/>
      <c r="P1276" s="6" t="inlineStr"/>
      <c r="Q1276" s="5" t="inlineStr"/>
      <c r="R1276" s="5" t="inlineStr"/>
      <c r="S1276" s="5" t="inlineStr"/>
      <c r="T1276" s="5" t="inlineStr"/>
      <c r="U1276" s="5" t="inlineStr">
        <is>
          <t>mezuna-kaldi</t>
        </is>
      </c>
      <c r="V1276" s="5" t="inlineStr"/>
      <c r="W1276" s="5" t="inlineStr"/>
      <c r="X1276" s="5" t="inlineStr"/>
      <c r="Y1276" s="5" t="inlineStr"/>
      <c r="Z1276" s="6" t="inlineStr"/>
      <c r="AA1276" s="5" t="inlineStr">
        <is>
          <t>Erdem +1, Tan +1</t>
        </is>
      </c>
      <c r="AB1276" s="5" t="inlineStr"/>
      <c r="AC1276" s="5" t="inlineStr"/>
      <c r="AD1276" s="5" t="inlineStr"/>
      <c r="AE1276" s="5" t="inlineStr"/>
      <c r="AF1276" s="5" t="inlineStr"/>
      <c r="AG1276" s="5" t="inlineStr"/>
      <c r="AH1276" s="5" t="inlineStr"/>
      <c r="AI1276" s="5" t="inlineStr"/>
      <c r="AJ1276" s="5" t="inlineStr"/>
    </row>
    <row r="1277">
      <c r="A1277" s="5" t="inlineStr">
        <is>
          <t>b5-kazanamayinca</t>
        </is>
      </c>
      <c r="B1277" s="5" t="n">
        <v>2</v>
      </c>
      <c r="C1277" s="6" t="inlineStr">
        <is>
          <t>Kuzeninin dükkânında tezgâha geç</t>
        </is>
      </c>
      <c r="D1277" s="5" t="inlineStr"/>
      <c r="E1277" s="5" t="inlineStr"/>
      <c r="F1277" s="5" t="inlineStr">
        <is>
          <t>Kurnazlık +1, Çene +1</t>
        </is>
      </c>
      <c r="G1277" s="6" t="inlineStr">
        <is>
          <t>Kuzeninin dükkânında tezgâha geçtin. İlk pazarlıkta ikinci oldun; birinci müşteriydi.</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is>
          <t>tezgah</t>
        </is>
      </c>
      <c r="V1277" s="5" t="inlineStr"/>
      <c r="W1277" s="5" t="inlineStr"/>
      <c r="X1277" s="5" t="inlineStr"/>
      <c r="Y1277" s="5" t="inlineStr"/>
      <c r="Z1277" s="6" t="inlineStr"/>
      <c r="AA1277" s="5" t="inlineStr">
        <is>
          <t>Keskin +1, Tan -1, Erdem -1</t>
        </is>
      </c>
      <c r="AB1277" s="5" t="inlineStr"/>
      <c r="AC1277" s="5" t="inlineStr"/>
      <c r="AD1277" s="5" t="inlineStr"/>
      <c r="AE1277" s="5" t="inlineStr"/>
      <c r="AF1277" s="5" t="inlineStr"/>
      <c r="AG1277" s="5" t="inlineStr"/>
      <c r="AH1277" s="5" t="inlineStr"/>
      <c r="AI1277" s="5" t="inlineStr"/>
      <c r="AJ1277" s="5" t="inlineStr"/>
    </row>
    <row r="1278">
      <c r="A1278" s="5" t="inlineStr">
        <is>
          <t>b5-kazanamayinca</t>
        </is>
      </c>
      <c r="B1278" s="5" t="n">
        <v>3</v>
      </c>
      <c r="C1278" s="6" t="inlineStr">
        <is>
          <t>Erken askere git</t>
        </is>
      </c>
      <c r="D1278" s="5" t="inlineStr"/>
      <c r="E1278" s="5" t="inlineStr"/>
      <c r="F1278" s="5" t="inlineStr">
        <is>
          <t>Cesaret +1, Dayanıklılık +1</t>
        </is>
      </c>
      <c r="G1278" s="6" t="inlineStr">
        <is>
          <t>Kararsızlığı en Makaryalı yoldan çözdün: askerlik şubesine gittin. Görevli kimliğine baktı: “On sekizini doldur, öyle gel.” Doldurduğun hafta mahalle seni davulla, omuzlarda uğurladı.</t>
        </is>
      </c>
      <c r="H1278" s="6" t="inlineStr"/>
      <c r="I1278" s="6" t="inlineStr"/>
      <c r="J1278" s="6" t="inlineStr"/>
      <c r="K1278" s="6" t="inlineStr"/>
      <c r="L1278" s="6" t="inlineStr"/>
      <c r="M1278" s="5" t="inlineStr"/>
      <c r="N1278" s="5" t="inlineStr"/>
      <c r="O1278" s="6" t="inlineStr"/>
      <c r="P1278" s="6" t="inlineStr"/>
      <c r="Q1278" s="5" t="inlineStr"/>
      <c r="R1278" s="5" t="inlineStr"/>
      <c r="S1278" s="5" t="inlineStr"/>
      <c r="T1278" s="5" t="inlineStr"/>
      <c r="U1278" s="5" t="inlineStr">
        <is>
          <t>erken-askerlik</t>
        </is>
      </c>
      <c r="V1278" s="5" t="inlineStr"/>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c r="AI1278" s="5" t="inlineStr"/>
      <c r="AJ1278" s="5" t="inlineStr">
        <is>
          <t>erkek</t>
        </is>
      </c>
    </row>
    <row r="1279">
      <c r="A1279" s="5" t="inlineStr">
        <is>
          <t>b5-kazanamayinca</t>
        </is>
      </c>
      <c r="B1279" s="5" t="n">
        <v>4</v>
      </c>
      <c r="C1279" s="6" t="inlineStr">
        <is>
          <t>Abinin yanında işe başla</t>
        </is>
      </c>
      <c r="D1279" s="5" t="inlineStr"/>
      <c r="E1279" s="5" t="inlineStr"/>
      <c r="F1279" s="5" t="inlineStr">
        <is>
          <t>Pişkinlik +1</t>
        </is>
      </c>
      <c r="G1279" s="6" t="inlineStr">
        <is>
          <t>Abi “Sende iş var” dedi. İlk görevin çay taşımaktı; bardaklar sayılıyordu.</t>
        </is>
      </c>
      <c r="H1279" s="6" t="inlineStr"/>
      <c r="I1279" s="6" t="inlineStr"/>
      <c r="J1279" s="6" t="inlineStr"/>
      <c r="K1279" s="6" t="inlineStr"/>
      <c r="L1279" s="6" t="inlineStr"/>
      <c r="M1279" s="5" t="inlineStr"/>
      <c r="N1279" s="5" t="inlineStr"/>
      <c r="O1279" s="6" t="inlineStr"/>
      <c r="P1279" s="6" t="inlineStr"/>
      <c r="Q1279" s="5" t="inlineStr"/>
      <c r="R1279" s="5" t="inlineStr">
        <is>
          <t>mahalle-abileri</t>
        </is>
      </c>
      <c r="S1279" s="5" t="inlineStr"/>
      <c r="T1279" s="5" t="inlineStr"/>
      <c r="U1279" s="5" t="inlineStr">
        <is>
          <t>abinin-adami</t>
        </is>
      </c>
      <c r="V1279" s="5" t="inlineStr"/>
      <c r="W1279" s="5" t="inlineStr"/>
      <c r="X1279" s="5" t="inlineStr"/>
      <c r="Y1279" s="5" t="inlineStr"/>
      <c r="Z1279" s="6" t="inlineStr"/>
      <c r="AA1279" s="5" t="inlineStr">
        <is>
          <t>hepsi -1</t>
        </is>
      </c>
      <c r="AB1279" s="5" t="inlineStr"/>
      <c r="AC1279" s="5" t="inlineStr"/>
      <c r="AD1279" s="5" t="inlineStr"/>
      <c r="AE1279" s="5" t="inlineStr"/>
      <c r="AF1279" s="5" t="inlineStr"/>
      <c r="AG1279" s="5" t="inlineStr"/>
      <c r="AH1279" s="5" t="inlineStr"/>
      <c r="AI1279" s="5" t="inlineStr"/>
      <c r="AJ1279" s="5" t="inlineStr"/>
    </row>
    <row r="1280">
      <c r="A1280" s="5" t="inlineStr">
        <is>
          <t>b5-havalimani</t>
        </is>
      </c>
      <c r="B1280" s="5" t="n">
        <v>1</v>
      </c>
      <c r="C1280" s="6" t="inlineStr">
        <is>
          <t>Herkesle tek tek vedalaş</t>
        </is>
      </c>
      <c r="D1280" s="5" t="inlineStr"/>
      <c r="E1280" s="5" t="inlineStr"/>
      <c r="F1280" s="5" t="inlineStr">
        <is>
          <t>Sosyal Radar +1, Gönül +1</t>
        </is>
      </c>
      <c r="G1280" s="6" t="inlineStr">
        <is>
          <t>On iki akrabayla tek tek vedalaştın. Kapı kapanmak üzereyken on üçüncüsü geldi. Kim olduğunu hâlâ bilmiyorsun.</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c r="AB1280" s="5" t="inlineStr"/>
      <c r="AC1280" s="5" t="inlineStr"/>
      <c r="AD1280" s="5" t="inlineStr"/>
      <c r="AE1280" s="5" t="inlineStr"/>
      <c r="AF1280" s="5" t="inlineStr"/>
      <c r="AG1280" s="5" t="inlineStr"/>
      <c r="AH1280" s="5" t="inlineStr"/>
      <c r="AI1280" s="5" t="inlineStr"/>
      <c r="AJ1280" s="5" t="inlineStr"/>
    </row>
    <row r="1281">
      <c r="A1281" s="5" t="inlineStr">
        <is>
          <t>b5-havalimani</t>
        </is>
      </c>
      <c r="B1281" s="5" t="n">
        <v>2</v>
      </c>
      <c r="C1281" s="6" t="inlineStr">
        <is>
          <t>Ağlamamaya çalış</t>
        </is>
      </c>
      <c r="D1281" s="5" t="inlineStr">
        <is>
          <t>Dayanıklılık</t>
        </is>
      </c>
      <c r="E1281" s="5" t="inlineStr">
        <is>
          <t>Orta</t>
        </is>
      </c>
      <c r="F1281" s="5" t="inlineStr"/>
      <c r="G1281" s="6" t="inlineStr"/>
      <c r="H1281" s="6" t="inlineStr">
        <is>
          <t>Ağlamadın. Pasaport kontrolünden sonra ağladın; orada seni kimse tanımıyordu.</t>
        </is>
      </c>
      <c r="I1281" s="6" t="inlineStr">
        <is>
          <t>Ağlamadın; annenin gözyaşını da sen sildin. Babaannen “Büyümüş” dedi ve bu kez o ağladı.</t>
        </is>
      </c>
      <c r="J1281" s="6" t="inlineStr">
        <is>
          <t>Güvenlik kontrolünde ağladın. Görevli sana mendil verdi ve çantanı yine de açtı.</t>
        </is>
      </c>
      <c r="K1281" s="6" t="inlineStr">
        <is>
          <t>Herkesten önce sen ağladın. Babaannen seni teselli etmek için uçağa binmeye kalktı.</t>
        </is>
      </c>
      <c r="L1281" s="6" t="inlineStr"/>
      <c r="M1281" s="5" t="inlineStr"/>
      <c r="N1281" s="5" t="inlineStr"/>
      <c r="O1281" s="6" t="inlineStr"/>
      <c r="P1281" s="6" t="inlineStr"/>
      <c r="Q1281" s="5" t="inlineStr"/>
      <c r="R1281" s="5" t="inlineStr"/>
      <c r="S1281" s="5" t="inlineStr"/>
      <c r="T1281" s="5" t="inlineStr"/>
      <c r="U1281" s="5" t="inlineStr"/>
      <c r="V1281" s="5" t="inlineStr"/>
      <c r="W1281" s="5" t="inlineStr"/>
      <c r="X1281" s="5" t="inlineStr"/>
      <c r="Y1281" s="5" t="inlineStr"/>
      <c r="Z1281" s="6" t="inlineStr"/>
      <c r="AA1281" s="5" t="inlineStr"/>
      <c r="AB1281" s="5" t="inlineStr"/>
      <c r="AC1281" s="5" t="inlineStr"/>
      <c r="AD1281" s="5" t="inlineStr"/>
      <c r="AE1281" s="5" t="inlineStr"/>
      <c r="AF1281" s="5" t="inlineStr"/>
      <c r="AG1281" s="5" t="inlineStr"/>
      <c r="AH1281" s="5" t="inlineStr"/>
      <c r="AI1281" s="5" t="inlineStr"/>
      <c r="AJ1281" s="5" t="inlineStr"/>
    </row>
    <row r="1282">
      <c r="A1282" s="5" t="inlineStr">
        <is>
          <t>b5-havalimani</t>
        </is>
      </c>
      <c r="B1282" s="5" t="n">
        <v>3</v>
      </c>
      <c r="C1282" s="6" t="inlineStr">
        <is>
          <t>Reçelleri kabine sığdır</t>
        </is>
      </c>
      <c r="D1282" s="5" t="inlineStr">
        <is>
          <t>Kurnazlık</t>
        </is>
      </c>
      <c r="E1282" s="5" t="inlineStr">
        <is>
          <t>Orta</t>
        </is>
      </c>
      <c r="F1282" s="5" t="inlineStr"/>
      <c r="G1282" s="6" t="inlineStr"/>
      <c r="H1282" s="6" t="inlineStr">
        <is>
          <t>Üç kavanozu kabin sınırının altında paketledin. Öte Diyar'a Makarya'nın en tatlı kaçakçılığı yapıldı.</t>
        </is>
      </c>
      <c r="I1282" s="6" t="inlineStr">
        <is>
          <t>Reçelleri sınıra tam sığdırdın. Güvenlikteki görevli kavanoza bakıp “Vişne mi?” dedi. “Annemin” dedin; geçirdi.</t>
        </is>
      </c>
      <c r="J1282" s="6" t="inlineStr">
        <is>
          <t>Kavanozlardan biri güvenlikte kaldı. Görevli onu kendi masasına koydu.</t>
        </is>
      </c>
      <c r="K1282" s="6" t="inlineStr">
        <is>
          <t>Kavanoz valizde patladı. Öte Diyar'a vişne kokulu bir öğrenci indi.</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c r="AI1282" s="5" t="inlineStr"/>
      <c r="AJ1282" s="5" t="inlineStr"/>
    </row>
    <row r="1283">
      <c r="A1283" s="5" t="inlineStr">
        <is>
          <t>b5-atolye-staji</t>
        </is>
      </c>
      <c r="B1283" s="5" t="n">
        <v>1</v>
      </c>
      <c r="C1283" s="6" t="inlineStr">
        <is>
          <t>Şefi izle</t>
        </is>
      </c>
      <c r="D1283" s="5" t="inlineStr"/>
      <c r="E1283" s="5" t="inlineStr"/>
      <c r="F1283" s="5" t="inlineStr">
        <is>
          <t>Dayanıklılık +1, Sosyal Radar +1</t>
        </is>
      </c>
      <c r="G1283" s="6" t="inlineStr">
        <is>
          <t>Bir ay izledin. Şef “Gözün alışmış” dedi; atölyede bu bir ödül.</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c r="AI1283" s="5" t="inlineStr"/>
      <c r="AJ1283" s="5" t="inlineStr"/>
    </row>
    <row r="1284">
      <c r="A1284" s="5" t="inlineStr">
        <is>
          <t>b5-atolye-staji</t>
        </is>
      </c>
      <c r="B1284" s="5" t="n">
        <v>2</v>
      </c>
      <c r="C1284" s="6" t="inlineStr">
        <is>
          <t>Arızayı sen bul</t>
        </is>
      </c>
      <c r="D1284" s="5" t="inlineStr">
        <is>
          <t>Akıl</t>
        </is>
      </c>
      <c r="E1284" s="5" t="inlineStr">
        <is>
          <t>Orta</t>
        </is>
      </c>
      <c r="F1284" s="5" t="inlineStr"/>
      <c r="G1284" s="6" t="inlineStr"/>
      <c r="H1284" s="6" t="inlineStr">
        <is>
          <t>Şef anlatmadan arızayı buldun. Staj defterine ilk yıldızın düştü.</t>
        </is>
      </c>
      <c r="I1284" s="6" t="inlineStr">
        <is>
          <t>Arızayı buldun, parçayı değiştirdin, faturayı sen kestin. Şef seni mezuniyetten sonra işe çağırdı.</t>
        </is>
      </c>
      <c r="J1284" s="6" t="inlineStr">
        <is>
          <t>Arızayı ararken yanlış kabloyu tuttun. Bütün atölyenin ışığı söndü. Karanlıkta şefin sesi geldi: “Bozma dedim, yeter dedim.”</t>
        </is>
      </c>
      <c r="K1284" s="6" t="inlineStr">
        <is>
          <t>“Buldum!” deyip bir kabloyu söktün. Atölyenin değil, şefin çay makinesinin kablosuymuş. Bir hafta boyunca şef her sabah boş bardağını senin tezgâhına koydu: “Tamir ettin mi?”</t>
        </is>
      </c>
      <c r="L1284" s="6" t="inlineStr"/>
      <c r="M1284" s="5" t="inlineStr"/>
      <c r="N1284" s="5" t="inlineStr"/>
      <c r="O1284" s="6" t="inlineStr"/>
      <c r="P1284" s="6" t="inlineStr"/>
      <c r="Q1284" s="5" t="inlineStr"/>
      <c r="R1284" s="5" t="inlineStr"/>
      <c r="S1284" s="5" t="inlineStr"/>
      <c r="T1284" s="5" t="inlineStr"/>
      <c r="U1284" s="5" t="inlineStr"/>
      <c r="V1284" s="5" t="inlineStr">
        <is>
          <t>usta-eli</t>
        </is>
      </c>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c r="AI1284" s="5" t="inlineStr"/>
      <c r="AJ1284" s="5" t="inlineStr"/>
    </row>
    <row r="1285">
      <c r="A1285" s="5" t="inlineStr">
        <is>
          <t>b5-atolye-staji</t>
        </is>
      </c>
      <c r="B1285" s="5" t="n">
        <v>3</v>
      </c>
      <c r="C1285" s="6" t="inlineStr">
        <is>
          <t>Artan malzemeyi biriktirip sat</t>
        </is>
      </c>
      <c r="D1285" s="5" t="inlineStr">
        <is>
          <t>Kurnazlık</t>
        </is>
      </c>
      <c r="E1285" s="5" t="inlineStr">
        <is>
          <t>Zor</t>
        </is>
      </c>
      <c r="F1285" s="5" t="inlineStr"/>
      <c r="G1285" s="6" t="inlineStr"/>
      <c r="H1285" s="6" t="inlineStr">
        <is>
          <t>Artan kabloları biriktirip sanayiye sattın. Kâr küçük ama düzenli.</t>
        </is>
      </c>
      <c r="I1285" s="6" t="inlineStr">
        <is>
          <t>Artan malzemeyle küçük bir tamir işi kurdun; mahallenin priz ustası oldun.</t>
        </is>
      </c>
      <c r="J1285" s="6" t="inlineStr">
        <is>
          <t>Malzemeyi sattın; alıcı atölye şefinin kardeşi çıktı.</t>
        </is>
      </c>
      <c r="K1285" s="6" t="inlineStr">
        <is>
          <t>Artırdığın kablolar aslında yarının işiymiş. Sayımda eksik çıktı; şef bütün atölyenin önünde çantanı açtırdı. Kablolar oradaydı, sen kıpkırmızıydın.</t>
        </is>
      </c>
      <c r="L1285" s="6" t="inlineStr"/>
      <c r="M1285" s="5" t="inlineStr"/>
      <c r="N1285" s="5" t="inlineStr"/>
      <c r="O1285" s="6" t="inlineStr"/>
      <c r="P1285" s="6" t="inlineStr"/>
      <c r="Q1285" s="5" t="inlineStr"/>
      <c r="R1285" s="5" t="inlineStr"/>
      <c r="S1285" s="5" t="inlineStr"/>
      <c r="T1285" s="5" t="inlineStr"/>
      <c r="U1285" s="5" t="inlineStr"/>
      <c r="V1285" s="5" t="inlineStr">
        <is>
          <t>teneffus-tuccari</t>
        </is>
      </c>
      <c r="W1285" s="5" t="inlineStr"/>
      <c r="X1285" s="5" t="inlineStr"/>
      <c r="Y1285" s="5" t="inlineStr"/>
      <c r="Z1285" s="6" t="inlineStr"/>
      <c r="AA1285" s="5" t="inlineStr"/>
      <c r="AB1285" s="5" t="inlineStr"/>
      <c r="AC1285" s="5" t="inlineStr"/>
      <c r="AD1285" s="5" t="inlineStr"/>
      <c r="AE1285" s="5" t="inlineStr"/>
      <c r="AF1285" s="5" t="inlineStr"/>
      <c r="AG1285" s="5" t="inlineStr"/>
      <c r="AH1285" s="5" t="inlineStr"/>
      <c r="AI1285" s="5" t="inlineStr"/>
      <c r="AJ1285" s="5" t="inlineStr"/>
    </row>
    <row r="1286">
      <c r="A1286" s="5" t="inlineStr">
        <is>
          <t>b5-cay-ocagi</t>
        </is>
      </c>
      <c r="B1286" s="5" t="n">
        <v>1</v>
      </c>
      <c r="C1286" s="6" t="inlineStr">
        <is>
          <t>Tepsiyi taşı, sus</t>
        </is>
      </c>
      <c r="D1286" s="5" t="inlineStr"/>
      <c r="E1286" s="5" t="inlineStr"/>
      <c r="F1286" s="5" t="inlineStr">
        <is>
          <t>Dayanıklılık +1</t>
        </is>
      </c>
      <c r="G1286" s="6" t="inlineStr">
        <is>
          <t>Günde üç yüz çay taşıdın. Kimse adını sormadı ama herkes şekerini nasıl içtiğini söyledi.</t>
        </is>
      </c>
      <c r="H1286" s="6" t="inlineStr"/>
      <c r="I1286" s="6" t="inlineStr"/>
      <c r="J1286" s="6" t="inlineStr"/>
      <c r="K1286" s="6" t="inlineStr"/>
      <c r="L1286" s="6" t="inlineStr"/>
      <c r="M1286" s="5" t="inlineStr"/>
      <c r="N1286" s="5" t="inlineStr"/>
      <c r="O1286" s="6" t="inlineStr"/>
      <c r="P1286" s="6" t="inlineStr"/>
      <c r="Q1286" s="5" t="inlineStr"/>
      <c r="R1286" s="5" t="inlineStr"/>
      <c r="S1286" s="5" t="inlineStr"/>
      <c r="T1286" s="5" t="inlineStr"/>
      <c r="U1286" s="5" t="inlineStr"/>
      <c r="V1286" s="5" t="inlineStr"/>
      <c r="W1286" s="5" t="inlineStr"/>
      <c r="X1286" s="5" t="inlineStr"/>
      <c r="Y1286" s="5" t="inlineStr"/>
      <c r="Z1286" s="6" t="inlineStr"/>
      <c r="AA1286" s="5" t="inlineStr"/>
      <c r="AB1286" s="5" t="inlineStr"/>
      <c r="AC1286" s="5" t="inlineStr"/>
      <c r="AD1286" s="5" t="inlineStr"/>
      <c r="AE1286" s="5" t="inlineStr"/>
      <c r="AF1286" s="5" t="inlineStr"/>
      <c r="AG1286" s="5" t="inlineStr"/>
      <c r="AH1286" s="5" t="inlineStr"/>
      <c r="AI1286" s="5" t="inlineStr"/>
      <c r="AJ1286" s="5" t="inlineStr"/>
    </row>
    <row r="1287">
      <c r="A1287" s="5" t="inlineStr">
        <is>
          <t>b5-cay-ocagi</t>
        </is>
      </c>
      <c r="B1287" s="5" t="n">
        <v>2</v>
      </c>
      <c r="C1287" s="6" t="inlineStr">
        <is>
          <t>Kimin kime borçlu olduğunu not et</t>
        </is>
      </c>
      <c r="D1287" s="5" t="inlineStr">
        <is>
          <t>Sosyal Radar</t>
        </is>
      </c>
      <c r="E1287" s="5" t="inlineStr">
        <is>
          <t>Orta</t>
        </is>
      </c>
      <c r="F1287" s="5" t="inlineStr"/>
      <c r="G1287" s="6" t="inlineStr"/>
      <c r="H1287" s="6" t="inlineStr">
        <is>
          <t>Çay ocağında kimin kime borçlu olduğunu bir deftere yazmaya başladın. Bir hafta sonra kasap kendi borcunu sana sordu. Abi deftere şöyle bir baktı: “Bunu sana kim öğretti?”</t>
        </is>
      </c>
      <c r="I1287" s="6" t="inlineStr">
        <is>
          <t>Defterin çarşının ikinci veresiye defteri oldu. Esnaf alacağını sormaya artık abiye değil sana geliyor; abi bile bir karar vermeden önce “Deftere bak” diyor.</t>
        </is>
      </c>
      <c r="J1287" s="6" t="inlineStr">
        <is>
          <t>Not tuttun ama isimleri karıştırdın. Borçlu biri alacaklı sanıldı; çarşı bir hafta karıştı.</t>
        </is>
      </c>
      <c r="K1287" s="6" t="inlineStr">
        <is>
          <t>Defterini tezgâhta unuttun. Akşama kadar çarşının yarısı okudu; kimin kime borçlu olduğu ortaya döküldü. İki dükkân küstü, abi defteri semaverin ateşine attı.</t>
        </is>
      </c>
      <c r="L1287" s="6" t="inlineStr"/>
      <c r="M1287" s="5" t="inlineStr"/>
      <c r="N1287" s="5" t="inlineStr"/>
      <c r="O1287" s="6" t="inlineStr"/>
      <c r="P1287" s="6" t="inlineStr"/>
      <c r="Q1287" s="5" t="inlineStr"/>
      <c r="R1287" s="5" t="inlineStr"/>
      <c r="S1287" s="5" t="inlineStr"/>
      <c r="T1287" s="5" t="inlineStr"/>
      <c r="U1287" s="5" t="inlineStr"/>
      <c r="V1287" s="5" t="inlineStr">
        <is>
          <t>abinin-adami</t>
        </is>
      </c>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c r="AI1287" s="5" t="inlineStr"/>
      <c r="AJ1287" s="5" t="inlineStr"/>
    </row>
    <row r="1288">
      <c r="A1288" s="5" t="inlineStr">
        <is>
          <t>b5-cay-ocagi</t>
        </is>
      </c>
      <c r="B1288" s="5" t="n">
        <v>3</v>
      </c>
      <c r="C1288" s="6" t="inlineStr">
        <is>
          <t>Bahşişleri kendine sakla</t>
        </is>
      </c>
      <c r="D1288" s="5" t="inlineStr">
        <is>
          <t>Kurnazlık</t>
        </is>
      </c>
      <c r="E1288" s="5" t="inlineStr">
        <is>
          <t>Zor</t>
        </is>
      </c>
      <c r="F1288" s="5" t="inlineStr"/>
      <c r="G1288" s="6" t="inlineStr"/>
      <c r="H1288" s="6" t="inlineStr">
        <is>
          <t>Bahşişin tamamını cebe attın, abilere “Bugün kimse vermedi” dedin. Abi kapıdan çarşıya bağırdı: “Ayıp size, çocuğa bir bozukluk bırakmamışsınız!” Ertesi gün esnaf iki kat bahşiş bıraktı; onu da sen aldın.</t>
        </is>
      </c>
      <c r="I1288" s="6" t="inlineStr">
        <is>
          <t>Bahşişleri gizlice biriktirip üç ayda bir bisiklet aldın. Abiler bisikletin nereden geldiğini hâlâ tartışıyor.</t>
        </is>
      </c>
      <c r="J1288" s="6" t="inlineStr">
        <is>
          <t>Bahşişi cebine attın ama yürürken cebin şıngırdadı. Abi tek kelime etmeden elini uzattı; sen de tek kelime etmeden verdin.</t>
        </is>
      </c>
      <c r="K1288" s="6" t="inlineStr">
        <is>
          <t>Bahşişleri şeker kavanozunun dibine sakladın. Abi kasabın çayına iki kaşık şeker attı; bardaktan bozukluk çıktı. Kasap parayı havaya kaldırdı: “Çaydan piyango çıkıyor!” Bir ay bahşişsiz çalıştın.</t>
        </is>
      </c>
      <c r="L1288" s="6" t="inlineStr"/>
      <c r="M1288" s="5" t="inlineStr"/>
      <c r="N1288" s="5" t="inlineStr"/>
      <c r="O1288" s="6" t="inlineStr"/>
      <c r="P1288" s="6" t="inlineStr"/>
      <c r="Q1288" s="5" t="inlineStr"/>
      <c r="R1288" s="5" t="inlineStr"/>
      <c r="S1288" s="5" t="inlineStr"/>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c r="AI1288" s="5" t="inlineStr"/>
      <c r="AJ1288" s="5" t="inlineStr"/>
    </row>
    <row r="1289">
      <c r="A1289" s="5" t="inlineStr">
        <is>
          <t>b5-sanayi-ciragi</t>
        </is>
      </c>
      <c r="B1289" s="5" t="n">
        <v>1</v>
      </c>
      <c r="C1289" s="6" t="inlineStr">
        <is>
          <t>Çay demle, izle</t>
        </is>
      </c>
      <c r="D1289" s="5" t="inlineStr"/>
      <c r="E1289" s="5" t="inlineStr"/>
      <c r="F1289" s="5" t="inlineStr">
        <is>
          <t>Dayanıklılık +1, Sosyal Radar +1</t>
        </is>
      </c>
      <c r="G1289" s="6" t="inlineStr">
        <is>
          <t>Bir ay çay demledin, bir ay izledin. Üçüncü ay usta sana ilk kez bir anahtar uzattı. Annen o akşam sofraya tatlı koydu.</t>
        </is>
      </c>
      <c r="H1289" s="6" t="inlineStr"/>
      <c r="I1289" s="6" t="inlineStr"/>
      <c r="J1289" s="6" t="inlineStr"/>
      <c r="K1289" s="6" t="inlineStr"/>
      <c r="L1289" s="6" t="inlineStr"/>
      <c r="M1289" s="5" t="inlineStr"/>
      <c r="N1289" s="5" t="inlineStr"/>
      <c r="O1289" s="6" t="inlineStr"/>
      <c r="P1289" s="6" t="inlineStr"/>
      <c r="Q1289" s="5" t="inlineStr"/>
      <c r="R1289" s="5" t="inlineStr"/>
      <c r="S1289" s="5" t="inlineStr"/>
      <c r="T1289" s="5" t="inlineStr"/>
      <c r="U1289" s="5" t="inlineStr"/>
      <c r="V1289" s="5" t="inlineStr"/>
      <c r="W1289" s="5" t="inlineStr"/>
      <c r="X1289" s="5" t="inlineStr"/>
      <c r="Y1289" s="5" t="inlineStr"/>
      <c r="Z1289" s="6" t="inlineStr"/>
      <c r="AA1289" s="5" t="inlineStr">
        <is>
          <t>hepsi +1</t>
        </is>
      </c>
      <c r="AB1289" s="5" t="inlineStr"/>
      <c r="AC1289" s="5" t="inlineStr"/>
      <c r="AD1289" s="5" t="inlineStr"/>
      <c r="AE1289" s="5" t="inlineStr"/>
      <c r="AF1289" s="5" t="inlineStr"/>
      <c r="AG1289" s="5" t="inlineStr"/>
      <c r="AH1289" s="5" t="inlineStr"/>
      <c r="AI1289" s="5" t="inlineStr"/>
      <c r="AJ1289" s="5" t="inlineStr"/>
    </row>
    <row r="1290">
      <c r="A1290" s="5" t="inlineStr">
        <is>
          <t>b5-sanayi-ciragi</t>
        </is>
      </c>
      <c r="B1290" s="5" t="n">
        <v>2</v>
      </c>
      <c r="C1290" s="6" t="inlineStr">
        <is>
          <t>Ustanın elinden anahtarı kap</t>
        </is>
      </c>
      <c r="D1290" s="5" t="inlineStr">
        <is>
          <t>Akıl</t>
        </is>
      </c>
      <c r="E1290" s="5" t="inlineStr">
        <is>
          <t>Orta</t>
        </is>
      </c>
      <c r="F1290" s="5" t="inlineStr"/>
      <c r="G1290" s="6" t="inlineStr"/>
      <c r="H1290" s="6" t="inlineStr">
        <is>
          <t>Usta anlatmadan arızayı sen buldun. “Sen bu işi yaparsın” dedi; sanayide bu madalya demek.</t>
        </is>
      </c>
      <c r="I1290" s="6" t="inlineStr">
        <is>
          <t>Arızayı buldun, parçayı söküp taktın. Usta ellerini bezle silerken müşteriye seni gösterdi: “Benim çırak.” Sanayide bundan büyük diploma yok; o akşam annen telefonu ilk çalışta açtı.</t>
        </is>
      </c>
      <c r="J1290" s="6" t="inlineStr">
        <is>
          <t>Anahtarı kaptın, yanlış cıvatayı söktün. Usta anahtarı elinden geri aldı: “Önce çay.”</t>
        </is>
      </c>
      <c r="K1290" s="6" t="inlineStr">
        <is>
          <t>Anahtarı kaptın ve müşterinin arabasının yan aynasını söktün. Araba yağ değişimine gelmişti. Müşteri aynasız arabasına baktı: “Yağ dedim evladım, ayna demedim!” Aynanın parasını usta senin cebinden aldı.</t>
        </is>
      </c>
      <c r="L1290" s="6" t="inlineStr"/>
      <c r="M1290" s="5" t="inlineStr"/>
      <c r="N1290" s="5" t="inlineStr"/>
      <c r="O1290" s="6" t="inlineStr"/>
      <c r="P1290" s="6" t="inlineStr"/>
      <c r="Q1290" s="5" t="inlineStr"/>
      <c r="R1290" s="5" t="inlineStr"/>
      <c r="S1290" s="5" t="inlineStr"/>
      <c r="T1290" s="5" t="inlineStr"/>
      <c r="U1290" s="5" t="inlineStr"/>
      <c r="V1290" s="5" t="inlineStr">
        <is>
          <t>usta-eli</t>
        </is>
      </c>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c r="AI1290" s="5" t="inlineStr"/>
      <c r="AJ1290" s="5" t="inlineStr"/>
    </row>
    <row r="1291">
      <c r="A1291" s="5" t="inlineStr">
        <is>
          <t>b5-sanayi-ciragi</t>
        </is>
      </c>
      <c r="B1291" s="5" t="n">
        <v>3</v>
      </c>
      <c r="C1291" s="6" t="inlineStr">
        <is>
          <t>Abilere geri dön</t>
        </is>
      </c>
      <c r="D1291" s="5" t="inlineStr"/>
      <c r="E1291" s="5" t="inlineStr"/>
      <c r="F1291" s="5" t="inlineStr">
        <is>
          <t>Pişkinlik +1</t>
        </is>
      </c>
      <c r="G1291" s="6" t="inlineStr">
        <is>
          <t>İkinci gün sanayiden kaçıp çay ocağına döndün. Abiler seni alkışladı. Annen telefonu açmadı.</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is>
          <t>hepsi -1</t>
        </is>
      </c>
      <c r="AB1291" s="5" t="inlineStr"/>
      <c r="AC1291" s="5" t="inlineStr"/>
      <c r="AD1291" s="5" t="inlineStr"/>
      <c r="AE1291" s="5" t="inlineStr"/>
      <c r="AF1291" s="5" t="inlineStr"/>
      <c r="AG1291" s="5" t="inlineStr"/>
      <c r="AH1291" s="5" t="inlineStr"/>
      <c r="AI1291" s="5" t="inlineStr"/>
      <c r="AJ1291" s="5" t="inlineStr"/>
    </row>
    <row r="1292">
      <c r="A1292" s="5" t="inlineStr">
        <is>
          <t>b5-bilet-karaborsasi</t>
        </is>
      </c>
      <c r="B1292" s="5" t="n">
        <v>1</v>
      </c>
      <c r="C1292" s="6" t="inlineStr">
        <is>
          <t>Abinin fiyatından sat</t>
        </is>
      </c>
      <c r="D1292" s="5" t="inlineStr">
        <is>
          <t>Çene</t>
        </is>
      </c>
      <c r="E1292" s="5" t="inlineStr">
        <is>
          <t>Orta</t>
        </is>
      </c>
      <c r="F1292" s="5" t="inlineStr"/>
      <c r="G1292" s="6" t="inlineStr"/>
      <c r="H1292" s="6" t="inlineStr">
        <is>
          <t>Yirmi bileti yarım saatte bitirdin. Abi parayı saydı, eksiksiz. Artık sana güveniyor; bu da bir tür borç.</t>
        </is>
      </c>
      <c r="I1292" s="6" t="inlineStr">
        <is>
          <t>Biletleri bitirdin, üstüne kuyrukta bekleyenlere “garantili koltuk” sattın. Koltuk yok ama kuyruk mutlu.</t>
        </is>
      </c>
      <c r="J1292" s="6" t="inlineStr">
        <is>
          <t>Biletlerin yarısını sattın. Maç başladı; kalan on bilet artık sadece hatıra.</t>
        </is>
      </c>
      <c r="K1292" s="6" t="inlineStr">
        <is>
          <t>Sattığın ilk bilet stat görevlisinin oğluna gitti. Biletler toplandı; sen de toplandın. Seni karakoldan annen aldı; apartmanın kapısında komşuya “Maça gitmişti” dedi.</t>
        </is>
      </c>
      <c r="L1292" s="6" t="inlineStr"/>
      <c r="M1292" s="5" t="inlineStr"/>
      <c r="N1292" s="5" t="inlineStr"/>
      <c r="O1292" s="6" t="inlineStr"/>
      <c r="P1292" s="6" t="inlineStr"/>
      <c r="Q1292" s="5" t="inlineStr"/>
      <c r="R1292" s="5" t="inlineStr"/>
      <c r="S1292" s="5" t="inlineStr"/>
      <c r="T1292" s="5" t="inlineStr"/>
      <c r="U1292" s="5" t="inlineStr"/>
      <c r="V1292" s="5" t="inlineStr">
        <is>
          <t>abinin-adami</t>
        </is>
      </c>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c r="AI1292" s="5" t="inlineStr"/>
      <c r="AJ1292" s="5" t="inlineStr"/>
    </row>
    <row r="1293">
      <c r="A1293" s="5" t="inlineStr">
        <is>
          <t>b5-bilet-karaborsasi</t>
        </is>
      </c>
      <c r="B1293" s="5" t="n">
        <v>2</v>
      </c>
      <c r="C1293" s="6" t="inlineStr">
        <is>
          <t>Kendi fiyatını koy</t>
        </is>
      </c>
      <c r="D1293" s="5" t="inlineStr">
        <is>
          <t>Kurnazlık</t>
        </is>
      </c>
      <c r="E1293" s="5" t="inlineStr">
        <is>
          <t>Zor</t>
        </is>
      </c>
      <c r="F1293" s="5" t="inlineStr"/>
      <c r="G1293" s="6" t="inlineStr"/>
      <c r="H1293" s="6" t="inlineStr">
        <is>
          <t>Abinin fiyatının üstüne kendi payını ekledin. Maç berabere bitti, sen galip.</t>
        </is>
      </c>
      <c r="I1293" s="6" t="inlineStr">
        <is>
          <t>Maçtan önce fiyatı ikiye katladın, devre arasında yarıya indirdin. Abi hesabı görünce seni yanına kasa olarak aldı.</t>
        </is>
      </c>
      <c r="J1293" s="6" t="inlineStr">
        <is>
          <t>Fiyatı yükselttin, kimse almadı. Son on dakikada biletleri bedavaya dağıttın.</t>
        </is>
      </c>
      <c r="K1293" s="6" t="inlineStr">
        <is>
          <t>Kendi fiyatını koydun, farkı cebe attın. Abi stadın çıkışında bekliyordu; telefonunda sattığın biletin fotoğrafı vardı. Bir ay çay ocağında bedavaya çalıştın.</t>
        </is>
      </c>
      <c r="L1293" s="6" t="inlineStr"/>
      <c r="M1293" s="5" t="inlineStr"/>
      <c r="N1293" s="5" t="inlineStr"/>
      <c r="O1293" s="6" t="inlineStr"/>
      <c r="P1293" s="6" t="inlineStr"/>
      <c r="Q1293" s="5" t="inlineStr"/>
      <c r="R1293" s="5" t="inlineStr"/>
      <c r="S1293" s="5" t="inlineStr"/>
      <c r="T1293" s="5" t="inlineStr"/>
      <c r="U1293" s="5" t="inlineStr"/>
      <c r="V1293" s="5" t="inlineStr">
        <is>
          <t>karaborsaci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c r="AI1293" s="5" t="inlineStr"/>
      <c r="AJ1293" s="5" t="inlineStr"/>
    </row>
    <row r="1294">
      <c r="A1294" s="5" t="inlineStr">
        <is>
          <t>b5-bilet-karaborsasi</t>
        </is>
      </c>
      <c r="B1294" s="5" t="n">
        <v>3</v>
      </c>
      <c r="C1294" s="6" t="inlineStr">
        <is>
          <t>Biletleri geri ver, eve dön</t>
        </is>
      </c>
      <c r="D1294" s="5" t="inlineStr"/>
      <c r="E1294" s="5" t="inlineStr"/>
      <c r="F1294" s="5" t="inlineStr">
        <is>
          <t>Gönül +1</t>
        </is>
      </c>
      <c r="G1294" s="6" t="inlineStr">
        <is>
          <t>Biletleri abiye geri verdin ve eve döndün. Abi omuz silkti, annen sarıldı. Maçı televizyondan izledin; berabere bitti.</t>
        </is>
      </c>
      <c r="H1294" s="6" t="inlineStr"/>
      <c r="I1294" s="6" t="inlineStr"/>
      <c r="J1294" s="6" t="inlineStr"/>
      <c r="K1294" s="6" t="inlineStr"/>
      <c r="L1294" s="6" t="inlineStr"/>
      <c r="M1294" s="5" t="inlineStr"/>
      <c r="N1294" s="5" t="inlineStr"/>
      <c r="O1294" s="6" t="inlineStr"/>
      <c r="P1294" s="6" t="inlineStr"/>
      <c r="Q1294" s="5" t="inlineStr"/>
      <c r="R1294" s="5" t="inlineStr"/>
      <c r="S1294" s="5" t="inlineStr"/>
      <c r="T1294" s="5" t="inlineStr"/>
      <c r="U1294" s="5" t="inlineStr"/>
      <c r="V1294" s="5" t="inlineStr"/>
      <c r="W1294" s="5" t="inlineStr"/>
      <c r="X1294" s="5" t="inlineStr"/>
      <c r="Y1294" s="5" t="inlineStr"/>
      <c r="Z1294" s="6" t="inlineStr"/>
      <c r="AA1294" s="5" t="inlineStr">
        <is>
          <t>hepsi +1</t>
        </is>
      </c>
      <c r="AB1294" s="5" t="inlineStr"/>
      <c r="AC1294" s="5" t="inlineStr"/>
      <c r="AD1294" s="5" t="inlineStr"/>
      <c r="AE1294" s="5" t="inlineStr"/>
      <c r="AF1294" s="5" t="inlineStr"/>
      <c r="AG1294" s="5" t="inlineStr"/>
      <c r="AH1294" s="5" t="inlineStr"/>
      <c r="AI1294" s="5" t="inlineStr"/>
      <c r="AJ1294" s="5" t="inlineStr"/>
    </row>
    <row r="1295">
      <c r="A1295" s="5" t="inlineStr">
        <is>
          <t>b5-acik-lise</t>
        </is>
      </c>
      <c r="B1295" s="5" t="n">
        <v>1</v>
      </c>
      <c r="C1295" s="6" t="inlineStr">
        <is>
          <t>Kaydol, akşamları oku</t>
        </is>
      </c>
      <c r="D1295" s="5" t="inlineStr"/>
      <c r="E1295" s="5" t="inlineStr"/>
      <c r="F1295" s="5" t="inlineStr">
        <is>
          <t>Dayanıklılık +1, Akıl +1</t>
        </is>
      </c>
      <c r="G1295" s="6" t="inlineStr">
        <is>
          <t>Gündüz çalıştın, akşam okudun. Annen broşürü mıknatısla buzdolabına astı; misafir gelince ilk onu gösteriyor.</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is>
          <t>acik-lise</t>
        </is>
      </c>
      <c r="V1295" s="5" t="inlineStr"/>
      <c r="W1295" s="5" t="inlineStr"/>
      <c r="X1295" s="5" t="inlineStr">
        <is>
          <t>okulu-birakti</t>
        </is>
      </c>
      <c r="Y1295" s="5" t="inlineStr"/>
      <c r="Z1295" s="6" t="inlineStr"/>
      <c r="AA1295" s="5" t="inlineStr">
        <is>
          <t>hepsi +1</t>
        </is>
      </c>
      <c r="AB1295" s="5" t="inlineStr"/>
      <c r="AC1295" s="5" t="inlineStr"/>
      <c r="AD1295" s="5" t="inlineStr"/>
      <c r="AE1295" s="5" t="inlineStr"/>
      <c r="AF1295" s="5" t="inlineStr"/>
      <c r="AG1295" s="5" t="inlineStr"/>
      <c r="AH1295" s="5" t="inlineStr"/>
      <c r="AI1295" s="5" t="inlineStr"/>
      <c r="AJ1295" s="5" t="inlineStr"/>
    </row>
    <row r="1296">
      <c r="A1296" s="5" t="inlineStr">
        <is>
          <t>b5-acik-lise</t>
        </is>
      </c>
      <c r="B1296" s="5" t="n">
        <v>2</v>
      </c>
      <c r="C1296" s="6" t="inlineStr">
        <is>
          <t>Broşürü abilere göster</t>
        </is>
      </c>
      <c r="D1296" s="5" t="inlineStr">
        <is>
          <t>Pişkinlik</t>
        </is>
      </c>
      <c r="E1296" s="5" t="inlineStr">
        <is>
          <t>Orta</t>
        </is>
      </c>
      <c r="F1296" s="5" t="inlineStr"/>
      <c r="G1296" s="6" t="inlineStr"/>
      <c r="H1296" s="6" t="inlineStr">
        <is>
          <t>Broşürü abilere gösterdin. En yaşlı abi iki kez okudu, katlayıp cebine koydu. Kimseye bir şey demedi.</t>
        </is>
      </c>
      <c r="I1296" s="6" t="inlineStr">
        <is>
          <t>Üç abi birden kaydoldu. Çay ocağında akşamları test çözülüyor.</t>
        </is>
      </c>
      <c r="J1296" s="6" t="inlineStr">
        <is>
          <t>Abiler broşürü okudu, güldü ve çay altlığı yaptı.</t>
        </is>
      </c>
      <c r="K1296" s="6" t="inlineStr">
        <is>
          <t>Abiler broşürü okudu ve sana “Okumuş” demeye başladı. Çarşıda artık çaylar “Okumuş”a söyleniyor. Okumadığın hâlde.</t>
        </is>
      </c>
      <c r="L1296" s="6" t="inlineStr"/>
      <c r="M1296" s="5" t="inlineStr"/>
      <c r="N1296" s="5" t="inlineStr"/>
      <c r="O1296" s="6" t="inlineStr"/>
      <c r="P1296" s="6" t="inlineStr"/>
      <c r="Q1296" s="5" t="inlineStr"/>
      <c r="R1296" s="5" t="inlineStr"/>
      <c r="S1296" s="5" t="inlineStr"/>
      <c r="T1296" s="5" t="inlineStr"/>
      <c r="U1296" s="5" t="inlineStr"/>
      <c r="V1296" s="5" t="inlineStr"/>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c r="AI1296" s="5" t="inlineStr"/>
      <c r="AJ1296" s="5" t="inlineStr"/>
    </row>
    <row r="1297">
      <c r="A1297" s="5" t="inlineStr">
        <is>
          <t>b5-acik-lise</t>
        </is>
      </c>
      <c r="B1297" s="5" t="n">
        <v>3</v>
      </c>
      <c r="C1297" s="6" t="inlineStr">
        <is>
          <t>Broşürü çöpe at</t>
        </is>
      </c>
      <c r="D1297" s="5" t="inlineStr"/>
      <c r="E1297" s="5" t="inlineStr"/>
      <c r="F1297" s="5" t="inlineStr">
        <is>
          <t>Pişkinlik +1</t>
        </is>
      </c>
      <c r="G1297" s="6" t="inlineStr">
        <is>
          <t>Broşürü çöpe attın. Annen ertesi gün onu çöpten çıkarıp yeniden masaya koydu. Masa bu konuda kararlı.</t>
        </is>
      </c>
      <c r="H1297" s="6" t="inlineStr"/>
      <c r="I1297" s="6" t="inlineStr"/>
      <c r="J1297" s="6" t="inlineStr"/>
      <c r="K1297" s="6" t="inlineStr"/>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c r="AI1297" s="5" t="inlineStr"/>
      <c r="AJ1297" s="5" t="inlineStr"/>
    </row>
    <row r="1298">
      <c r="A1298" s="5" t="inlineStr">
        <is>
          <t>b6-askerlik-mezun</t>
        </is>
      </c>
      <c r="B1298" s="5" t="n">
        <v>1</v>
      </c>
      <c r="C1298" s="6" t="inlineStr">
        <is>
          <t>Kısa dönem git, çavuşluğa talip ol</t>
        </is>
      </c>
      <c r="D1298" s="5" t="inlineStr">
        <is>
          <t>Akıl</t>
        </is>
      </c>
      <c r="E1298" s="5" t="inlineStr">
        <is>
          <t>Orta</t>
        </is>
      </c>
      <c r="F1298" s="5" t="inlineStr"/>
      <c r="G1298" s="6" t="inlineStr"/>
      <c r="H1298" s="6" t="inlineStr">
        <is>
          <t>Altı ayda bölüğün bütün evrakı senden geçti. Çavuş oldun; yetkin, kantin sırasında öne geçmekle sınırlıydı.</t>
        </is>
      </c>
      <c r="I1298" s="6" t="inlineStr">
        <is>
          <t>Komutan seni eğitim birliğine öğretmen yaptı. Er arkadaşlarına okuma yazma öğrettin; biri sana mektup yazdı, ilk mektubuydu.</t>
        </is>
      </c>
      <c r="J1298" s="6" t="inlineStr">
        <is>
          <t>Çavuşluk başkasına gitti. Sen de altı ay boyunca başkasının çavuşluğunu dinledin.</t>
        </is>
      </c>
      <c r="K1298" s="6" t="inlineStr">
        <is>
          <t>İlk içtimada yanlış bölüğe katıldın. Bir hafta orada yemek yedin, nöbet tuttun; kimse fark etmedi. Sekizinci gün kendi bölüğün seni firari diye arıyordu. Bulduklarında öbür bölüğün bayrağını taşıyordun.</t>
        </is>
      </c>
      <c r="L1298" s="6" t="inlineStr"/>
      <c r="M1298" s="5" t="inlineStr"/>
      <c r="N1298" s="5" t="inlineStr"/>
      <c r="O1298" s="6" t="inlineStr"/>
      <c r="P1298" s="6" t="inlineStr"/>
      <c r="Q1298" s="5" t="inlineStr"/>
      <c r="R1298" s="5" t="inlineStr"/>
      <c r="S1298" s="5" t="inlineStr"/>
      <c r="T1298" s="5" t="inlineStr"/>
      <c r="U1298" s="5" t="inlineStr">
        <is>
          <t>askerlik-yapti</t>
        </is>
      </c>
      <c r="V1298" s="5" t="inlineStr"/>
      <c r="W1298" s="5" t="inlineStr"/>
      <c r="X1298" s="5" t="inlineStr"/>
      <c r="Y1298" s="5" t="inlineStr"/>
      <c r="Z1298" s="6" t="inlineStr"/>
      <c r="AA1298" s="5" t="inlineStr"/>
      <c r="AB1298" s="5" t="inlineStr"/>
      <c r="AC1298" s="5" t="inlineStr"/>
      <c r="AD1298" s="5" t="inlineStr"/>
      <c r="AE1298" s="5" t="inlineStr"/>
      <c r="AF1298" s="5" t="inlineStr"/>
      <c r="AG1298" s="5" t="inlineStr"/>
      <c r="AH1298" s="5" t="inlineStr"/>
      <c r="AI1298" s="5" t="inlineStr"/>
      <c r="AJ1298" s="5" t="inlineStr"/>
    </row>
    <row r="1299">
      <c r="A1299" s="5" t="inlineStr">
        <is>
          <t>b6-askerlik-mezun</t>
        </is>
      </c>
      <c r="B1299" s="5" t="n">
        <v>2</v>
      </c>
      <c r="C1299" s="6" t="inlineStr">
        <is>
          <t>Bedelli öde</t>
        </is>
      </c>
      <c r="D1299" s="5" t="inlineStr"/>
      <c r="E1299" s="5" t="inlineStr"/>
      <c r="F1299" s="5" t="inlineStr">
        <is>
          <t>Pişkinlik +1</t>
        </is>
      </c>
      <c r="G1299" s="6" t="inlineStr">
        <is>
          <t>Parayı yatırdın, üç haftalık temel eğitime gittin, döndün. Arkadaşların “Bu da askerlik mi?” dedi. Sen de “Evet” dedin; çoğunlukla.</t>
        </is>
      </c>
      <c r="H1299" s="6" t="inlineStr"/>
      <c r="I1299" s="6" t="inlineStr"/>
      <c r="J1299" s="6" t="inlineStr"/>
      <c r="K1299" s="6" t="inlineStr"/>
      <c r="L1299" s="6" t="inlineStr"/>
      <c r="M1299" s="5" t="inlineStr"/>
      <c r="N1299" s="5" t="inlineStr"/>
      <c r="O1299" s="6" t="inlineStr"/>
      <c r="P1299" s="6" t="inlineStr"/>
      <c r="Q1299" s="5" t="inlineStr"/>
      <c r="R1299" s="5" t="inlineStr"/>
      <c r="S1299" s="5" t="inlineStr"/>
      <c r="T1299" s="5" t="inlineStr"/>
      <c r="U1299" s="5" t="inlineStr">
        <is>
          <t>bedelli</t>
        </is>
      </c>
      <c r="V1299" s="5" t="inlineStr"/>
      <c r="W1299" s="5" t="inlineStr"/>
      <c r="X1299" s="5" t="inlineStr"/>
      <c r="Y1299" s="5" t="inlineStr"/>
      <c r="Z1299" s="6" t="inlineStr"/>
      <c r="AA1299" s="5" t="inlineStr">
        <is>
          <t>Yalçın -1, Şen -1</t>
        </is>
      </c>
      <c r="AB1299" s="5" t="inlineStr"/>
      <c r="AC1299" s="5" t="inlineStr">
        <is>
          <t>Orta</t>
        </is>
      </c>
      <c r="AD1299" s="5" t="inlineStr"/>
      <c r="AE1299" s="5" t="inlineStr"/>
      <c r="AF1299" s="5" t="inlineStr"/>
      <c r="AG1299" s="5" t="inlineStr"/>
      <c r="AH1299" s="5" t="inlineStr"/>
      <c r="AI1299" s="5" t="inlineStr"/>
      <c r="AJ1299" s="5" t="inlineStr"/>
    </row>
    <row r="1300">
      <c r="A1300" s="5" t="inlineStr">
        <is>
          <t>b6-askerlik-mezun</t>
        </is>
      </c>
      <c r="B1300" s="5" t="n">
        <v>3</v>
      </c>
      <c r="C1300" s="6" t="inlineStr">
        <is>
          <t>Heyette düztabanlığını anlat</t>
        </is>
      </c>
      <c r="D1300" s="5" t="inlineStr">
        <is>
          <t>Kurnazlık</t>
        </is>
      </c>
      <c r="E1300" s="5" t="inlineStr">
        <is>
          <t>Zor</t>
        </is>
      </c>
      <c r="F1300" s="5" t="inlineStr"/>
      <c r="G1300" s="6" t="inlineStr"/>
      <c r="H1300" s="6" t="inlineStr">
        <is>
          <t>Heyete öyle bir düztaban hikâyesi anlattın ki doktor kendi ayağına baktı. Rapor çıktı: “Elverişsiz.”</t>
        </is>
      </c>
      <c r="I1300" s="6" t="inlineStr">
        <is>
          <t>Heyet ayaklarını tek tek inceledi; doktor kendi tabanlığını çıkarıp sana gösterdi. Rapor elinde. O günden beri her yokuşta biraz topallıyorsun; kim izliyor belli olmaz.</t>
        </is>
      </c>
      <c r="J1300" s="6" t="inlineStr">
        <is>
          <t>Heyet dinledi, not aldı, seni haritanın en ucundaki birliğe yazdı. “Diplomanı da al gel” dediler; orada okuma yazma kursu varmış.</t>
        </is>
      </c>
      <c r="K1300" s="6" t="inlineStr">
        <is>
          <t>Hangi ayağın düz olduğunu karıştırdın. Heyet kâğıdına “Acil celp” yazdı; bir de altını çizdi.</t>
        </is>
      </c>
      <c r="L1300" s="6" t="inlineStr"/>
      <c r="M1300" s="5" t="inlineStr"/>
      <c r="N1300" s="5" t="inlineStr"/>
      <c r="O1300" s="6" t="inlineStr"/>
      <c r="P1300" s="6" t="inlineStr"/>
      <c r="Q1300" s="5" t="inlineStr"/>
      <c r="R1300" s="5" t="inlineStr">
        <is>
          <t>yalanci</t>
        </is>
      </c>
      <c r="S1300" s="5" t="inlineStr"/>
      <c r="T1300" s="5" t="inlineStr"/>
      <c r="U1300" s="5" t="inlineStr"/>
      <c r="V1300" s="5" t="inlineStr">
        <is>
          <t>curuk-rapor</t>
        </is>
      </c>
      <c r="W1300" s="5" t="inlineStr"/>
      <c r="X1300" s="5" t="inlineStr"/>
      <c r="Y1300" s="5" t="inlineStr"/>
      <c r="Z1300" s="6" t="inlineStr"/>
      <c r="AA1300" s="5" t="inlineStr">
        <is>
          <t>hepsi -1</t>
        </is>
      </c>
      <c r="AB1300" s="5" t="inlineStr">
        <is>
          <t>askerlik-yapti</t>
        </is>
      </c>
      <c r="AC1300" s="5" t="inlineStr"/>
      <c r="AD1300" s="5" t="inlineStr"/>
      <c r="AE1300" s="5" t="inlineStr"/>
      <c r="AF1300" s="5" t="inlineStr"/>
      <c r="AG1300" s="5" t="inlineStr"/>
      <c r="AH1300" s="5" t="inlineStr"/>
      <c r="AI1300" s="5" t="inlineStr"/>
      <c r="AJ1300" s="5" t="inlineStr"/>
    </row>
    <row r="1301">
      <c r="A1301" s="5" t="inlineStr">
        <is>
          <t>b6-kisla</t>
        </is>
      </c>
      <c r="B1301" s="5" t="n">
        <v>1</v>
      </c>
      <c r="C1301" s="6" t="inlineStr">
        <is>
          <t>Gece nöbetinde uyanık kal</t>
        </is>
      </c>
      <c r="D1301" s="5" t="inlineStr">
        <is>
          <t>Dayanıklılık</t>
        </is>
      </c>
      <c r="E1301" s="5" t="inlineStr">
        <is>
          <t>Zor</t>
        </is>
      </c>
      <c r="F1301" s="5" t="inlineStr"/>
      <c r="G1301" s="6" t="inlineStr"/>
      <c r="H1301" s="6" t="inlineStr">
        <is>
          <t>Saat üçte uyanıktın. Yıldızları saydın: altmış dört. Nöbeti devralan “Ben altmış üç saydım” dedi; biri uçakmış.</t>
        </is>
      </c>
      <c r="I1301" s="6" t="inlineStr">
        <is>
          <t>Tek bir kez esnemedin. Nöbet çizelgesinde adının yanına 'örnek' yazıldı. Ödülün bir nöbet daha.</t>
        </is>
      </c>
      <c r="J1301" s="6" t="inlineStr">
        <is>
          <t>Nöbette uyudun. Seni komutanın köpeği yüzünü yalayarak uyandırdı ve kimseye söylemedi. Ertesi sabah kahvaltıda ekmeğinin yarısı onundu.</t>
        </is>
      </c>
      <c r="K1301" s="6" t="inlineStr">
        <is>
          <t>Nöbette uyuyakaldın. Komutan seni uyandırmadı; fotoğrafını çekip annene gönderdi: “Evladınız burada da rahat.” Annen fotoğrafı aile grubuna attı; gururla mı, utançla mı, hâlâ belli değil.</t>
        </is>
      </c>
      <c r="L1301" s="6" t="inlineStr"/>
      <c r="M1301" s="5" t="inlineStr"/>
      <c r="N1301" s="5" t="inlineStr"/>
      <c r="O1301" s="6" t="inlineStr"/>
      <c r="P1301" s="6" t="inlineStr"/>
      <c r="Q1301" s="5" t="inlineStr"/>
      <c r="R1301" s="5" t="inlineStr"/>
      <c r="S1301" s="5" t="inlineStr"/>
      <c r="T1301" s="5" t="inlineStr">
        <is>
          <t>Nöbet Disiplini</t>
        </is>
      </c>
      <c r="U1301" s="5" t="inlineStr"/>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is>
          <t>Dayanıklılık 28</t>
        </is>
      </c>
      <c r="AI1301" s="5" t="inlineStr"/>
      <c r="AJ1301" s="5" t="inlineStr"/>
    </row>
    <row r="1302">
      <c r="A1302" s="5" t="inlineStr">
        <is>
          <t>b6-kisla</t>
        </is>
      </c>
      <c r="B1302" s="5" t="n">
        <v>2</v>
      </c>
      <c r="C1302" s="6" t="inlineStr">
        <is>
          <t>Komutanın köpeğini gezdirmeye gönüllü ol</t>
        </is>
      </c>
      <c r="D1302" s="5" t="inlineStr">
        <is>
          <t>Sosyal Radar</t>
        </is>
      </c>
      <c r="E1302" s="5" t="inlineStr">
        <is>
          <t>Kolay</t>
        </is>
      </c>
      <c r="F1302" s="5" t="inlineStr"/>
      <c r="G1302" s="6" t="inlineStr"/>
      <c r="H1302" s="6" t="inlineStr">
        <is>
          <t>Köpek seni sevdi. Komutan da köpeğin sevdiğini sevdi. Nöbetlerin gündüze kaydı.</t>
        </is>
      </c>
      <c r="I1302" s="6" t="inlineStr">
        <is>
          <t>Köpek yalnızca seninle yürüyor. Terhis günü kapıya kadar geldi. Komutan da.</t>
        </is>
      </c>
      <c r="J1302" s="6" t="inlineStr">
        <is>
          <t>Köpek seni gezdirdi. Kışlanın çevresini üç kez koşarak turladınız.</t>
        </is>
      </c>
      <c r="K1302" s="6" t="inlineStr">
        <is>
          <t>Tasmayı bıraktın. Bütün bölük iki saat köpeği aradı. Köpek komutanın odasında, komutanın koltuğunda uyuyordu; sen o gece ek nöbetteydin.</t>
        </is>
      </c>
      <c r="L1302" s="6" t="inlineStr"/>
      <c r="M1302" s="5" t="inlineStr"/>
      <c r="N1302" s="5" t="inlineStr"/>
      <c r="O1302" s="6" t="inlineStr"/>
      <c r="P1302" s="6" t="inlineStr"/>
      <c r="Q1302" s="5" t="inlineStr"/>
      <c r="R1302" s="5" t="inlineStr"/>
      <c r="S1302" s="5" t="inlineStr">
        <is>
          <t>Sosyal Radar</t>
        </is>
      </c>
      <c r="T1302" s="5" t="inlineStr"/>
      <c r="U1302" s="5" t="inlineStr"/>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c r="AI1302" s="5" t="inlineStr"/>
      <c r="AJ1302" s="5" t="inlineStr"/>
    </row>
    <row r="1303">
      <c r="A1303" s="5" t="inlineStr">
        <is>
          <t>b6-kisla</t>
        </is>
      </c>
      <c r="B1303" s="5" t="n">
        <v>3</v>
      </c>
      <c r="C1303" s="6" t="inlineStr">
        <is>
          <t>Kantin sırasını düzene sok</t>
        </is>
      </c>
      <c r="D1303" s="5" t="inlineStr">
        <is>
          <t>Akıl</t>
        </is>
      </c>
      <c r="E1303" s="5" t="inlineStr">
        <is>
          <t>Orta</t>
        </is>
      </c>
      <c r="F1303" s="5" t="inlineStr"/>
      <c r="G1303" s="6" t="inlineStr"/>
      <c r="H1303" s="6" t="inlineStr">
        <is>
          <t>Numaratör sistemi kurdun. Bekleme yarıya indi. Kantinci sana bedava tost verdi.</t>
        </is>
      </c>
      <c r="I1303" s="6" t="inlineStr">
        <is>
          <t>Numaratör bütün kışlaya yayıldı. Bölük komutanı da tost için numara aldı; sırası gelince sana uzattı: “Bu iyi oldu asker.”</t>
        </is>
      </c>
      <c r="J1303" s="6" t="inlineStr">
        <is>
          <t>İlk gün numaralar karıştı. İki kişi aynı tostu istedi, ikisi de sana baktı.</t>
        </is>
      </c>
      <c r="K1303" s="6" t="inlineStr">
        <is>
          <t>Numara kâğıtlarını rüzgârlı bir sabah dağıttın. Kâğıtlar içtima alanına uçtu, bölük peşinden koştu. Komutan yerden birini aldı: “Bir numara.” Sonra sana uzattı: “Ek nöbette bir numara sensin.”</t>
        </is>
      </c>
      <c r="L1303" s="6" t="inlineStr"/>
      <c r="M1303" s="5" t="inlineStr"/>
      <c r="N1303" s="5" t="inlineStr"/>
      <c r="O1303" s="6" t="inlineStr"/>
      <c r="P1303" s="6" t="inlineStr"/>
      <c r="Q1303" s="5" t="inlineStr">
        <is>
          <t>Kuralı Koyan</t>
        </is>
      </c>
      <c r="R1303" s="5" t="inlineStr"/>
      <c r="S1303" s="5" t="inlineStr"/>
      <c r="T1303" s="5" t="inlineStr"/>
      <c r="U1303" s="5" t="inlineStr"/>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c r="AI1303" s="5" t="inlineStr"/>
      <c r="AJ1303" s="5" t="inlineStr"/>
    </row>
    <row r="1304">
      <c r="A1304" s="5" t="inlineStr">
        <is>
          <t>b6-kisla</t>
        </is>
      </c>
      <c r="B1304" s="5" t="n">
        <v>4</v>
      </c>
      <c r="C1304" s="6" t="inlineStr">
        <is>
          <t>Yazıcılığa gönüllü ol</t>
        </is>
      </c>
      <c r="D1304" s="5" t="inlineStr">
        <is>
          <t>Kurnazlık</t>
        </is>
      </c>
      <c r="E1304" s="5" t="inlineStr">
        <is>
          <t>Orta</t>
        </is>
      </c>
      <c r="F1304" s="5" t="inlineStr"/>
      <c r="G1304" s="6" t="inlineStr"/>
      <c r="H1304" s="6" t="inlineStr">
        <is>
          <t>İzin kâğıtlarının hepsi artık senin masandan geçiyor. Bölükte herkes sana kantinden bir şey getiriyor; aç olmadığını bile bile.</t>
        </is>
      </c>
      <c r="I1304" s="6" t="inlineStr">
        <is>
          <t>İzin kâğıtları senden geçiyor diye bölük sana hediye yağdırdı: tost, ayran, annelerin yolladığı kurabiyeler. Kışladan kilo alarak dönen tek asker sensin.</t>
        </is>
      </c>
      <c r="J1304" s="6" t="inlineStr">
        <is>
          <t>Mührü ters bastın. Yüz izin belgesi yeniden basıldı.</t>
        </is>
      </c>
      <c r="K1304" s="6" t="inlineStr">
        <is>
          <t>Kendi izin belgeni yanlış tarihe bastın. Kapıdan çıktın, kapıdan geri döndün.</t>
        </is>
      </c>
      <c r="L1304" s="6" t="inlineStr"/>
      <c r="M1304" s="5" t="inlineStr"/>
      <c r="N1304" s="5" t="inlineStr"/>
      <c r="O1304" s="6" t="inlineStr"/>
      <c r="P1304" s="6" t="inlineStr"/>
      <c r="Q1304" s="5" t="inlineStr"/>
      <c r="R1304" s="5" t="inlineStr"/>
      <c r="S1304" s="5" t="inlineStr"/>
      <c r="T1304" s="5" t="inlineStr"/>
      <c r="U1304" s="5" t="inlineStr"/>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c r="AI1304" s="5" t="inlineStr"/>
      <c r="AJ1304" s="5" t="inlineStr"/>
    </row>
    <row r="1305">
      <c r="A1305" s="5" t="inlineStr">
        <is>
          <t>b6-kisla</t>
        </is>
      </c>
      <c r="B1305" s="5" t="n">
        <v>5</v>
      </c>
      <c r="C1305" s="6" t="inlineStr">
        <is>
          <t>Nöbetleri tut, mektup yaz</t>
        </is>
      </c>
      <c r="D1305" s="5" t="inlineStr"/>
      <c r="E1305" s="5" t="inlineStr"/>
      <c r="F1305" s="5" t="inlineStr">
        <is>
          <t>Dayanıklılık +1, Gönül +1</t>
        </is>
      </c>
      <c r="G1305" s="6" t="inlineStr">
        <is>
          <t>Her nöbette bir mektup yazdın. Annen hepsini bir kutuda saklıyor. Kutunun üstünde “Evladımın romanı” yazıyor.</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c r="AI1305" s="5" t="inlineStr"/>
      <c r="AJ1305" s="5" t="inlineStr"/>
    </row>
    <row r="1306">
      <c r="A1306" s="5" t="inlineStr">
        <is>
          <t>b6-erken-askerlik</t>
        </is>
      </c>
      <c r="B1306" s="5" t="n">
        <v>1</v>
      </c>
      <c r="C1306" s="6" t="inlineStr">
        <is>
          <t>Nöbetleri tut, günleri say</t>
        </is>
      </c>
      <c r="D1306" s="5" t="inlineStr"/>
      <c r="E1306" s="5" t="inlineStr"/>
      <c r="F1306" s="5" t="inlineStr">
        <is>
          <t>Dayanıklılık +1</t>
        </is>
      </c>
      <c r="G1306" s="6" t="inlineStr">
        <is>
          <t>Her gece ranzanın tahtasına yazdın: “Şafak 360”, “Şafak 359”… Terhis sabahı tahtada “Şafak 1” kaldı. Fotoğrafını annene gönderdin; annen büyütüp çerçeveletti.</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is>
          <t>askerlik-yapti</t>
        </is>
      </c>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c r="AI1306" s="5" t="inlineStr"/>
      <c r="AJ1306" s="5" t="inlineStr"/>
    </row>
    <row r="1307">
      <c r="A1307" s="5" t="inlineStr">
        <is>
          <t>b6-erken-askerlik</t>
        </is>
      </c>
      <c r="B1307" s="5" t="n">
        <v>2</v>
      </c>
      <c r="C1307" s="6" t="inlineStr">
        <is>
          <t>Kışla arkadaşlarıyla dönüş planı kur</t>
        </is>
      </c>
      <c r="D1307" s="5" t="inlineStr">
        <is>
          <t>Çene</t>
        </is>
      </c>
      <c r="E1307" s="5" t="inlineStr">
        <is>
          <t>Orta</t>
        </is>
      </c>
      <c r="F1307" s="5" t="inlineStr"/>
      <c r="G1307" s="6" t="inlineStr"/>
      <c r="H1307" s="6" t="inlineStr">
        <is>
          <t>Nöbette dört kişi bir plan kurdunuz: dönünce birlikte iş. Kimse plana inanmadı; siz inandınız.</t>
        </is>
      </c>
      <c r="I1307" s="6" t="inlineStr">
        <is>
          <t>Planın o kadar sağlamdı ki bölük komutanı da katılmak istedi. Emekliliğine üç yıl var; bekliyorsunuz.</t>
        </is>
      </c>
      <c r="J1307" s="6" t="inlineStr">
        <is>
          <t>Plan kuruldu, sonra kantinde dağıldı. Bir kişi dayısının yanına gidecekmiş, biri evlenecekmiş.</t>
        </is>
      </c>
      <c r="K1307" s="6" t="inlineStr">
        <is>
          <t>Planı yüksek sesle anlattın. Nöbetçi subay duydu; planın ilk maddesi ek nöbet oldu.</t>
        </is>
      </c>
      <c r="L1307" s="6" t="inlineStr"/>
      <c r="M1307" s="5" t="inlineStr"/>
      <c r="N1307" s="5" t="inlineStr"/>
      <c r="O1307" s="6" t="inlineStr"/>
      <c r="P1307" s="6" t="inlineStr"/>
      <c r="Q1307" s="5" t="inlineStr"/>
      <c r="R1307" s="5" t="inlineStr"/>
      <c r="S1307" s="5" t="inlineStr"/>
      <c r="T1307" s="5" t="inlineStr"/>
      <c r="U1307" s="5" t="inlineStr">
        <is>
          <t>askerlik-yapti</t>
        </is>
      </c>
      <c r="V1307" s="5" t="inlineStr">
        <is>
          <t>kisla-kankasi</t>
        </is>
      </c>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c r="AI1307" s="5" t="inlineStr"/>
      <c r="AJ1307" s="5" t="inlineStr"/>
    </row>
    <row r="1308">
      <c r="A1308" s="5" t="inlineStr">
        <is>
          <t>b6-erken-askerlik</t>
        </is>
      </c>
      <c r="B1308" s="5" t="n">
        <v>3</v>
      </c>
      <c r="C1308" s="6" t="inlineStr">
        <is>
          <t>Gece nöbetinde uyanık kal</t>
        </is>
      </c>
      <c r="D1308" s="5" t="inlineStr">
        <is>
          <t>Dayanıklılık</t>
        </is>
      </c>
      <c r="E1308" s="5" t="inlineStr">
        <is>
          <t>Zor</t>
        </is>
      </c>
      <c r="F1308" s="5" t="inlineStr"/>
      <c r="G1308" s="6" t="inlineStr"/>
      <c r="H1308" s="6" t="inlineStr">
        <is>
          <t>Saat üçte uyanıktın. Yıldızları saydın: altmış dört. Nöbeti devralan “Ben altmış üç saydım” dedi; biri uçakmış.</t>
        </is>
      </c>
      <c r="I1308" s="6" t="inlineStr">
        <is>
          <t>Tek bir kez esnemedin. Nöbet çizelgesinde adının yanına “örnek” yazıldı. Ödülün bir nöbet daha.</t>
        </is>
      </c>
      <c r="J1308" s="6" t="inlineStr">
        <is>
          <t>Nöbette uyudun. Seni komutanın köpeği yüzünü yalayarak uyandırdı ve kimseye söylemedi. Ertesi sabah kahvaltıda ekmeğinin yarısı onundu.</t>
        </is>
      </c>
      <c r="K1308" s="6" t="inlineStr">
        <is>
          <t>Nöbette uyudun. Uyandığında kulübenin önünde komutan duruyordu, yanında köpeği. Köpek ayaktaydı; sen değil. Bir ay boyunca nöbetini köpekle birlikte tuttun; o uyudu.</t>
        </is>
      </c>
      <c r="L1308" s="6" t="inlineStr"/>
      <c r="M1308" s="5" t="inlineStr"/>
      <c r="N1308" s="5" t="inlineStr"/>
      <c r="O1308" s="6" t="inlineStr"/>
      <c r="P1308" s="6" t="inlineStr"/>
      <c r="Q1308" s="5" t="inlineStr"/>
      <c r="R1308" s="5" t="inlineStr"/>
      <c r="S1308" s="5" t="inlineStr"/>
      <c r="T1308" s="5" t="inlineStr">
        <is>
          <t>Nöbet Disiplini</t>
        </is>
      </c>
      <c r="U1308" s="5" t="inlineStr">
        <is>
          <t>askerlik-yapti</t>
        </is>
      </c>
      <c r="V1308" s="5" t="inlineStr"/>
      <c r="W1308" s="5" t="inlineStr"/>
      <c r="X1308" s="5" t="inlineStr"/>
      <c r="Y1308" s="5" t="inlineStr"/>
      <c r="Z1308" s="6" t="inlineStr"/>
      <c r="AA1308" s="5" t="inlineStr"/>
      <c r="AB1308" s="5" t="inlineStr"/>
      <c r="AC1308" s="5" t="inlineStr"/>
      <c r="AD1308" s="5" t="inlineStr"/>
      <c r="AE1308" s="5" t="inlineStr"/>
      <c r="AF1308" s="5" t="inlineStr"/>
      <c r="AG1308" s="5" t="inlineStr"/>
      <c r="AH1308" s="5" t="inlineStr"/>
      <c r="AI1308" s="5" t="inlineStr"/>
      <c r="AJ1308" s="5" t="inlineStr"/>
    </row>
    <row r="1309">
      <c r="A1309" s="5" t="inlineStr">
        <is>
          <t>b6-erken-askerlik</t>
        </is>
      </c>
      <c r="B1309" s="5" t="n">
        <v>4</v>
      </c>
      <c r="C1309" s="6" t="inlineStr">
        <is>
          <t>Komutanın köpeğini gezdirmeye gönüllü ol</t>
        </is>
      </c>
      <c r="D1309" s="5" t="inlineStr">
        <is>
          <t>Sosyal Radar</t>
        </is>
      </c>
      <c r="E1309" s="5" t="inlineStr">
        <is>
          <t>Kolay</t>
        </is>
      </c>
      <c r="F1309" s="5" t="inlineStr"/>
      <c r="G1309" s="6" t="inlineStr"/>
      <c r="H1309" s="6" t="inlineStr">
        <is>
          <t>Köpek seni sevdi, komutan da köpeğin sevdiğini. Nöbetlerin gündüze kaydı; bölükte buna “köpek torpili” diyorlar.</t>
        </is>
      </c>
      <c r="I1309" s="6" t="inlineStr">
        <is>
          <t>Köpek yalnızca seninle yürüyor. Terhis günü kapıya kadar geldi; arkasından komutan da. “Yavrum” dedi; bu sefer bağırmadı.</t>
        </is>
      </c>
      <c r="J1309" s="6" t="inlineStr">
        <is>
          <t>Köpek seni gezdirdi. Kışlanın çevresini üç kez koşarak turladınız; içtimaya nefes nefese yetiştin.</t>
        </is>
      </c>
      <c r="K1309" s="6" t="inlineStr">
        <is>
          <t>Tasmayı bıraktın. Bütün bölük iki saat köpeği aradı. Köpek komutanın odasında uyuyordu; sen o gece ek nöbetteydin.</t>
        </is>
      </c>
      <c r="L1309" s="6" t="inlineStr"/>
      <c r="M1309" s="5" t="inlineStr"/>
      <c r="N1309" s="5" t="inlineStr"/>
      <c r="O1309" s="6" t="inlineStr"/>
      <c r="P1309" s="6" t="inlineStr"/>
      <c r="Q1309" s="5" t="inlineStr"/>
      <c r="R1309" s="5" t="inlineStr"/>
      <c r="S1309" s="5" t="inlineStr">
        <is>
          <t>Sosyal Radar</t>
        </is>
      </c>
      <c r="T1309" s="5" t="inlineStr"/>
      <c r="U1309" s="5" t="inlineStr">
        <is>
          <t>askerlik-yapti</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c r="AI1309" s="5" t="inlineStr"/>
      <c r="AJ1309" s="5" t="inlineStr"/>
    </row>
    <row r="1310">
      <c r="A1310" s="5" t="inlineStr">
        <is>
          <t>b6-tezkere</t>
        </is>
      </c>
      <c r="B1310" s="5" t="n">
        <v>1</v>
      </c>
      <c r="C1310" s="6" t="inlineStr">
        <is>
          <t>Kapıda sürpriz yap</t>
        </is>
      </c>
      <c r="D1310" s="5" t="inlineStr"/>
      <c r="E1310" s="5" t="inlineStr"/>
      <c r="F1310" s="5" t="inlineStr">
        <is>
          <t>Sosyal Radar +1, Gönül +1</t>
        </is>
      </c>
      <c r="G1310" s="6" t="inlineStr">
        <is>
          <t>Kapıyı çaldın. Annen açtı, baktı, kapattı, sonra tekrar açtı. İkinci açışta ağladı. Baban “Zayıflamışsın” dedi; kendisi de zayıflamıştı.</t>
        </is>
      </c>
      <c r="H1310" s="6" t="inlineStr"/>
      <c r="I1310" s="6" t="inlineStr"/>
      <c r="J1310" s="6" t="inlineStr"/>
      <c r="K1310" s="6" t="inlineStr"/>
      <c r="L1310" s="6" t="inlineStr"/>
      <c r="M1310" s="5" t="inlineStr"/>
      <c r="N1310" s="5" t="inlineStr"/>
      <c r="O1310" s="6" t="inlineStr"/>
      <c r="P1310" s="6" t="inlineStr"/>
      <c r="Q1310" s="5" t="inlineStr"/>
      <c r="R1310" s="5" t="inlineStr"/>
      <c r="S1310" s="5" t="inlineStr"/>
      <c r="T1310" s="5" t="inlineStr"/>
      <c r="U1310" s="5" t="inlineStr"/>
      <c r="V1310" s="5" t="inlineStr"/>
      <c r="W1310" s="5" t="inlineStr"/>
      <c r="X1310" s="5" t="inlineStr"/>
      <c r="Y1310" s="5" t="inlineStr"/>
      <c r="Z1310" s="6" t="inlineStr"/>
      <c r="AA1310" s="5" t="inlineStr"/>
      <c r="AB1310" s="5" t="inlineStr"/>
      <c r="AC1310" s="5" t="inlineStr"/>
      <c r="AD1310" s="5" t="inlineStr"/>
      <c r="AE1310" s="5" t="inlineStr"/>
      <c r="AF1310" s="5" t="inlineStr"/>
      <c r="AG1310" s="5" t="inlineStr"/>
      <c r="AH1310" s="5" t="inlineStr"/>
      <c r="AI1310" s="5" t="inlineStr"/>
      <c r="AJ1310" s="5" t="inlineStr"/>
    </row>
    <row r="1311">
      <c r="A1311" s="5" t="inlineStr">
        <is>
          <t>b6-tezkere</t>
        </is>
      </c>
      <c r="B1311" s="5" t="n">
        <v>2</v>
      </c>
      <c r="C1311" s="6" t="inlineStr">
        <is>
          <t>Kışla arkadaşlarıyla iş kur</t>
        </is>
      </c>
      <c r="D1311" s="5" t="inlineStr">
        <is>
          <t>Kurnazlık</t>
        </is>
      </c>
      <c r="E1311" s="5" t="inlineStr">
        <is>
          <t>Orta</t>
        </is>
      </c>
      <c r="F1311" s="5" t="inlineStr"/>
      <c r="G1311" s="6" t="inlineStr"/>
      <c r="H1311" s="6" t="inlineStr">
        <is>
          <t>Dört kişi bir nakliye minibüsü kiraladınız. Adı “Tezkere Taşımacılık.” İlk ay üç ev taşıdınız, bir buzdolabını kurtaramadınız.</t>
        </is>
      </c>
      <c r="I1311" s="6" t="inlineStr">
        <is>
          <t>İşler öyle iyi gitti ki ikinci minibüsü aldınız. Şoförlerin hepsi aynı bölükten; araçta marş çalıyor.</t>
        </is>
      </c>
      <c r="J1311" s="6" t="inlineStr">
        <is>
          <t>Minibüsün kirasını ödediniz, iş gelmedi. Bir ay boyunca birbirinizi taşıdınız.</t>
        </is>
      </c>
      <c r="K1311" s="6" t="inlineStr">
        <is>
          <t>İlk taşımada üçlü koltuğu dördüncü katın merdiveninde sıkıştırdınız. Kışla alışkanlığıyla “Bir, iki, kaldır!” diye bağırdınız; bütün apartman kapıya çıktı. Koltuk hâlâ orada; komşular üstüne oturup ayakkabı bağlıyor.</t>
        </is>
      </c>
      <c r="L1311" s="6" t="inlineStr"/>
      <c r="M1311" s="5" t="inlineStr"/>
      <c r="N1311" s="5" t="inlineStr"/>
      <c r="O1311" s="6" t="inlineStr"/>
      <c r="P1311" s="6" t="inlineStr"/>
      <c r="Q1311" s="5" t="inlineStr"/>
      <c r="R1311" s="5" t="inlineStr">
        <is>
          <t>kisla-kankasi</t>
        </is>
      </c>
      <c r="S1311" s="5" t="inlineStr"/>
      <c r="T1311" s="5" t="inlineStr"/>
      <c r="U1311" s="5" t="inlineStr"/>
      <c r="V1311" s="5" t="inlineStr"/>
      <c r="W1311" s="5" t="inlineStr"/>
      <c r="X1311" s="5" t="inlineStr"/>
      <c r="Y1311" s="5" t="inlineStr"/>
      <c r="Z1311" s="6" t="inlineStr"/>
      <c r="AA1311" s="5" t="inlineStr"/>
      <c r="AB1311" s="5" t="inlineStr"/>
      <c r="AC1311" s="5" t="inlineStr"/>
      <c r="AD1311" s="5" t="inlineStr"/>
      <c r="AE1311" s="5" t="inlineStr"/>
      <c r="AF1311" s="5" t="inlineStr"/>
      <c r="AG1311" s="5" t="inlineStr"/>
      <c r="AH1311" s="5" t="inlineStr"/>
      <c r="AI1311" s="5" t="inlineStr"/>
      <c r="AJ1311" s="5" t="inlineStr"/>
    </row>
    <row r="1312">
      <c r="A1312" s="5" t="inlineStr">
        <is>
          <t>b6-tezkere</t>
        </is>
      </c>
      <c r="B1312" s="5" t="n">
        <v>3</v>
      </c>
      <c r="C1312" s="6" t="inlineStr">
        <is>
          <t>Ertesi gün iş aramaya çık</t>
        </is>
      </c>
      <c r="D1312" s="5" t="inlineStr">
        <is>
          <t>Dayanıklılık</t>
        </is>
      </c>
      <c r="E1312" s="5" t="inlineStr">
        <is>
          <t>Orta</t>
        </is>
      </c>
      <c r="F1312" s="5" t="inlineStr"/>
      <c r="G1312" s="6" t="inlineStr"/>
      <c r="H1312" s="6" t="inlineStr">
        <is>
          <t>Askerliğini yapmış olman kapıları açtı. “Askerlik yapıldı mı?” sorusuna gülerek cevap verdin; işe alındın.</t>
        </is>
      </c>
      <c r="I1312" s="6" t="inlineStr">
        <is>
          <t>İlk girdiğin yerde müdür, eski bölük komutanının kardeşi çıktı. Telefonu açtı, abisine sordu: “Bu çocuk nasıldı?” Cevabı duyamadın; müdür kalkıp sana kendi çayını verdi.</t>
        </is>
      </c>
      <c r="J1312" s="6" t="inlineStr">
        <is>
          <t>Her yer “Tecrübe?” diye sordu. Tecrüben var: nöbet. Özgeçmişe nasıl yazılacağını kimse bilmiyor.</t>
        </is>
      </c>
      <c r="K1312" s="6" t="inlineStr">
        <is>
          <t>Mülakatçı “Rahat olun” dedi. Refleksle “Rahat!” diye bağırıp topuk vurdun. Yan odadaki herkes ayağa kalktı. Görüşme orada bitti.</t>
        </is>
      </c>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c r="AI1312" s="5" t="inlineStr"/>
      <c r="AJ1312" s="5" t="inlineStr"/>
    </row>
    <row r="1313">
      <c r="A1313" s="5" t="inlineStr">
        <is>
          <t>b6-ikinci-sinav</t>
        </is>
      </c>
      <c r="B1313" s="5" t="n">
        <v>1</v>
      </c>
      <c r="C1313" s="6" t="inlineStr">
        <is>
          <t>Bu sefer sırayla, sakince çöz</t>
        </is>
      </c>
      <c r="D1313" s="5" t="inlineStr">
        <is>
          <t>Akıl</t>
        </is>
      </c>
      <c r="E1313" s="5" t="inlineStr">
        <is>
          <t>Orta</t>
        </is>
      </c>
      <c r="F1313" s="5" t="inlineStr"/>
      <c r="G1313" s="6" t="inlineStr"/>
      <c r="H1313" s="6" t="inlineStr">
        <is>
          <t>Bu sefer eller titremedi. Sonuç açıklandığında adın listedeydi. Annen aynı mesajı aile grubuna iki kez gönderdi.</t>
        </is>
      </c>
      <c r="I1313" s="6" t="inlineStr">
        <is>
          <t>Bu sefer kalem bile titremedi. Puanın geçen yılın neredeyse iki katı. Dershane seni afişe bastı: “Bir yılda neler değişir?” Annen afişin önünde fotoğraf çektirdi, duraktaki herkese de gösterdi.</t>
        </is>
      </c>
      <c r="J1313" s="6" t="inlineStr">
        <is>
          <t>Bir yıl daha çalıştın; yine olmadı. Aile grubu bu sefer sessiz. Akşam annen odana çay getirdi, bir şey demeden bıraktı, çıktı.</t>
        </is>
      </c>
      <c r="K1313" s="6" t="inlineStr">
        <is>
          <t>Optik formu yine kaydırdın. Bu sefer iki satır. Dershane seni afişe bastı; “Yapmayın” başlığıyla.</t>
        </is>
      </c>
      <c r="L1313" s="6" t="inlineStr"/>
      <c r="M1313" s="5" t="inlineStr"/>
      <c r="N1313" s="5" t="inlineStr"/>
      <c r="O1313" s="6" t="inlineStr"/>
      <c r="P1313" s="6" t="inlineStr"/>
      <c r="Q1313" s="5" t="inlineStr"/>
      <c r="R1313" s="5" t="inlineStr"/>
      <c r="S1313" s="5" t="inlineStr"/>
      <c r="T1313" s="5" t="inlineStr"/>
      <c r="U1313" s="5" t="inlineStr"/>
      <c r="V1313" s="5" t="inlineStr">
        <is>
          <t>universiteli, sinav-orta, -sinav-kotu</t>
        </is>
      </c>
      <c r="W1313" s="5" t="inlineStr"/>
      <c r="X1313" s="5" t="inlineStr"/>
      <c r="Y1313" s="5" t="inlineStr"/>
      <c r="Z1313" s="6" t="inlineStr"/>
      <c r="AA1313" s="5" t="inlineStr">
        <is>
          <t>Erdem +1, Tan +1</t>
        </is>
      </c>
      <c r="AB1313" s="5" t="inlineStr">
        <is>
          <t>universitesiz</t>
        </is>
      </c>
      <c r="AC1313" s="5" t="inlineStr"/>
      <c r="AD1313" s="5" t="inlineStr"/>
      <c r="AE1313" s="5" t="inlineStr"/>
      <c r="AF1313" s="5" t="inlineStr"/>
      <c r="AG1313" s="5" t="inlineStr"/>
      <c r="AH1313" s="5" t="inlineStr"/>
      <c r="AI1313" s="5" t="inlineStr"/>
      <c r="AJ1313" s="5" t="inlineStr"/>
      <c r="AK1313" t="inlineStr">
        <is>
          <t>sinav-iyi, -sinav-orta</t>
        </is>
      </c>
    </row>
    <row r="1314">
      <c r="A1314" s="5" t="inlineStr">
        <is>
          <t>b6-ikinci-sinav</t>
        </is>
      </c>
      <c r="B1314" s="5" t="n">
        <v>2</v>
      </c>
      <c r="C1314" s="6" t="inlineStr">
        <is>
          <t>Deneme tecrübene yaslan</t>
        </is>
      </c>
      <c r="D1314" s="5" t="inlineStr">
        <is>
          <t>Dayanıklılık</t>
        </is>
      </c>
      <c r="E1314" s="5" t="inlineStr">
        <is>
          <t>Kolay</t>
        </is>
      </c>
      <c r="F1314" s="5" t="inlineStr"/>
      <c r="G1314" s="6" t="inlineStr"/>
      <c r="H1314" s="6" t="inlineStr">
        <is>
          <t>Yüzlerce denemeden sonra bu sadece bir tane daha. Sonuç gecesi annen listedeki adına bakıp “Bu sen misin?” dedi; üç kez okuttu.</t>
        </is>
      </c>
      <c r="I1314" s="6" t="inlineStr">
        <is>
          <t>Salondaki gözetmen seni hatırladı: “Sen hep erken bitirirdin.” Bu sefer de erken bitirdin; bu sefer doğru.</t>
        </is>
      </c>
      <c r="J1314" s="6" t="inlineStr">
        <is>
          <t>Denemelerde hep tutan taktiklerin bu sefer tutmadı. Dershanedeki hocan sonucu görünce “Ama denemelerde…” dedi; cümleyi kimse bitiremedi.</t>
        </is>
      </c>
      <c r="K1314" s="6" t="inlineStr">
        <is>
          <t>Denemelerdeki gibi son yarım saati masada uyuyarak geçirdin. Dershanede seni hocan dürterdi; burada gözetmen dürttü, “Süre bitti” demek için.</t>
        </is>
      </c>
      <c r="L1314" s="6" t="inlineStr"/>
      <c r="M1314" s="5" t="inlineStr"/>
      <c r="N1314" s="5" t="inlineStr"/>
      <c r="O1314" s="6" t="inlineStr"/>
      <c r="P1314" s="6" t="inlineStr"/>
      <c r="Q1314" s="5" t="inlineStr">
        <is>
          <t>Deneme Kurdu</t>
        </is>
      </c>
      <c r="R1314" s="5" t="inlineStr"/>
      <c r="S1314" s="5" t="inlineStr"/>
      <c r="T1314" s="5" t="inlineStr"/>
      <c r="U1314" s="5" t="inlineStr"/>
      <c r="V1314" s="5" t="inlineStr">
        <is>
          <t>universiteli, sinav-orta, -sinav-kotu</t>
        </is>
      </c>
      <c r="W1314" s="5" t="inlineStr"/>
      <c r="X1314" s="5" t="inlineStr"/>
      <c r="Y1314" s="5" t="inlineStr"/>
      <c r="Z1314" s="6" t="inlineStr"/>
      <c r="AA1314" s="5" t="inlineStr"/>
      <c r="AB1314" s="5" t="inlineStr">
        <is>
          <t>universitesiz</t>
        </is>
      </c>
      <c r="AC1314" s="5" t="inlineStr"/>
      <c r="AD1314" s="5" t="inlineStr"/>
      <c r="AE1314" s="5" t="inlineStr"/>
      <c r="AF1314" s="5" t="inlineStr"/>
      <c r="AG1314" s="5" t="inlineStr"/>
      <c r="AH1314" s="5" t="inlineStr"/>
      <c r="AI1314" s="5" t="inlineStr"/>
      <c r="AJ1314" s="5" t="inlineStr"/>
      <c r="AK1314" t="inlineStr">
        <is>
          <t>sinav-iyi, -sinav-orta</t>
        </is>
      </c>
    </row>
    <row r="1315">
      <c r="A1315" s="5" t="inlineStr">
        <is>
          <t>b6-ikinci-sinav</t>
        </is>
      </c>
      <c r="B1315" s="5" t="n">
        <v>3</v>
      </c>
      <c r="C1315" s="6" t="inlineStr">
        <is>
          <t>Sınava girme, çalışmaya başla</t>
        </is>
      </c>
      <c r="D1315" s="5" t="inlineStr"/>
      <c r="E1315" s="5" t="inlineStr"/>
      <c r="F1315" s="5" t="inlineStr">
        <is>
          <t>Cesaret +1, Dayanıklılık +1</t>
        </is>
      </c>
      <c r="G1315" s="6" t="inlineStr">
        <is>
          <t>Sınav sabahı işe gittin. Dershane arkandan üç mesaj attı, sonra vazgeçti. Annen o akşam “Sen bilirsin” dedi; bu cümle evde en ağır cümledir.</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is>
          <t>universitesiz</t>
        </is>
      </c>
      <c r="V1315" s="5" t="inlineStr"/>
      <c r="W1315" s="5" t="inlineStr"/>
      <c r="X1315" s="5" t="inlineStr"/>
      <c r="Y1315" s="5" t="inlineStr"/>
      <c r="Z1315" s="6" t="inlineStr"/>
      <c r="AA1315" s="5" t="inlineStr">
        <is>
          <t>Erdem -1, Tan -1</t>
        </is>
      </c>
      <c r="AB1315" s="5" t="inlineStr"/>
      <c r="AC1315" s="5" t="inlineStr"/>
      <c r="AD1315" s="5" t="inlineStr"/>
      <c r="AE1315" s="5" t="inlineStr"/>
      <c r="AF1315" s="5" t="inlineStr"/>
      <c r="AG1315" s="5" t="inlineStr"/>
      <c r="AH1315" s="5" t="inlineStr"/>
      <c r="AI1315" s="5" t="inlineStr"/>
      <c r="AJ1315" s="5" t="inlineStr"/>
    </row>
    <row r="1316">
      <c r="A1316" s="5" t="inlineStr">
        <is>
          <t>b6-ikinci-tercih</t>
        </is>
      </c>
      <c r="B1316" s="5" t="n">
        <v>1</v>
      </c>
      <c r="C1316" s="6" t="inlineStr">
        <is>
          <t>Hukuk</t>
        </is>
      </c>
      <c r="D1316" s="5" t="inlineStr"/>
      <c r="E1316" s="5" t="inlineStr"/>
      <c r="F1316" s="5" t="inlineStr">
        <is>
          <t>Çene +1, Akıl +1</t>
        </is>
      </c>
      <c r="G1316" s="6" t="inlineStr">
        <is>
          <t>Hukuk yazdın. Annen hemen bir akrabayı aradı: “Bizimki avukat oluyor.” Daha birinci sınıf bile değilsin; akraba ise bir davası için randevu istedi.</t>
        </is>
      </c>
      <c r="H1316" s="6" t="inlineStr"/>
      <c r="I1316" s="6" t="inlineStr"/>
      <c r="J1316" s="6" t="inlineStr"/>
      <c r="K1316" s="6" t="inlineStr"/>
      <c r="L1316" s="6" t="inlineStr"/>
      <c r="M1316" s="5" t="inlineStr"/>
      <c r="N1316" s="5" t="inlineStr"/>
      <c r="O1316" s="6" t="inlineStr"/>
      <c r="P1316" s="6" t="inlineStr"/>
      <c r="Q1316" s="5" t="inlineStr"/>
      <c r="R1316" s="5" t="inlineStr"/>
      <c r="S1316" s="5" t="inlineStr"/>
      <c r="T1316" s="5" t="inlineStr"/>
      <c r="U1316" s="5" t="inlineStr">
        <is>
          <t>bolum-hukuk</t>
        </is>
      </c>
      <c r="V1316" s="5" t="inlineStr"/>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is>
          <t>Akıl 27</t>
        </is>
      </c>
      <c r="AI1316" s="5" t="inlineStr"/>
      <c r="AJ1316" s="5" t="inlineStr"/>
    </row>
    <row r="1317">
      <c r="A1317" s="5" t="inlineStr">
        <is>
          <t>b6-ikinci-tercih</t>
        </is>
      </c>
      <c r="B1317" s="5" t="n">
        <v>2</v>
      </c>
      <c r="C1317" s="6" t="inlineStr">
        <is>
          <t>Polis okulu</t>
        </is>
      </c>
      <c r="D1317" s="5" t="inlineStr"/>
      <c r="E1317" s="5" t="inlineStr"/>
      <c r="F1317" s="5" t="inlineStr">
        <is>
          <t>Cesaret +1, İtibar +1</t>
        </is>
      </c>
      <c r="G1317" s="6" t="inlineStr">
        <is>
          <t>Polis okulunu yazdın. Baban seni ilk kez bir üniformanın içinde hayal etti ve gözleri doldu; sonra sesli sesli “Saçını kestir” dedi.</t>
        </is>
      </c>
      <c r="H1317" s="6" t="inlineStr"/>
      <c r="I1317" s="6" t="inlineStr"/>
      <c r="J1317" s="6" t="inlineStr"/>
      <c r="K1317" s="6" t="inlineStr"/>
      <c r="L1317" s="6" t="inlineStr"/>
      <c r="M1317" s="5" t="inlineStr"/>
      <c r="N1317" s="5" t="inlineStr"/>
      <c r="O1317" s="6" t="inlineStr"/>
      <c r="P1317" s="6" t="inlineStr"/>
      <c r="Q1317" s="5" t="inlineStr"/>
      <c r="R1317" s="5" t="inlineStr"/>
      <c r="S1317" s="5" t="inlineStr"/>
      <c r="T1317" s="5" t="inlineStr"/>
      <c r="U1317" s="5" t="inlineStr">
        <is>
          <t>bolum-emniyet</t>
        </is>
      </c>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is>
          <t>Dayanıklılık 28</t>
        </is>
      </c>
      <c r="AI1317" s="5" t="inlineStr"/>
      <c r="AJ1317" s="5" t="inlineStr"/>
    </row>
    <row r="1318">
      <c r="A1318" s="5" t="inlineStr">
        <is>
          <t>b6-ikinci-tercih</t>
        </is>
      </c>
      <c r="B1318" s="5" t="n">
        <v>3</v>
      </c>
      <c r="C1318" s="6" t="inlineStr">
        <is>
          <t>Mühendislik</t>
        </is>
      </c>
      <c r="D1318" s="5" t="inlineStr"/>
      <c r="E1318" s="5" t="inlineStr"/>
      <c r="F1318" s="5" t="inlineStr">
        <is>
          <t>Akıl +1, Dayanıklılık +1</t>
        </is>
      </c>
      <c r="G1318" s="6" t="inlineStr">
        <is>
          <t>Mühendislik yazdın. O günden sonra evde bozulan her şey sana soruldu. Kombi, televizyon, bir de babanın ruh hâli.</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is>
          <t>bolum-muhendislik</t>
        </is>
      </c>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is>
          <t>Akıl 26</t>
        </is>
      </c>
      <c r="AI1318" s="5" t="inlineStr"/>
      <c r="AJ1318" s="5" t="inlineStr"/>
    </row>
    <row r="1319">
      <c r="A1319" s="5" t="inlineStr">
        <is>
          <t>b6-ikinci-tercih</t>
        </is>
      </c>
      <c r="B1319" s="5" t="n">
        <v>4</v>
      </c>
      <c r="C1319" s="6" t="inlineStr">
        <is>
          <t>İşletme</t>
        </is>
      </c>
      <c r="D1319" s="5" t="inlineStr"/>
      <c r="E1319" s="5" t="inlineStr"/>
      <c r="F1319" s="5" t="inlineStr">
        <is>
          <t>Kurnazlık +1, Akıl +1</t>
        </is>
      </c>
      <c r="G1319" s="6" t="inlineStr">
        <is>
          <t>İşletme yazdın. Amcan “İşletme ne işletir?” diye sordu. Dört yıl boyunca aynı soruyu cevaplayacaksın.</t>
        </is>
      </c>
      <c r="H1319" s="6" t="inlineStr"/>
      <c r="I1319" s="6" t="inlineStr"/>
      <c r="J1319" s="6" t="inlineStr"/>
      <c r="K1319" s="6" t="inlineStr"/>
      <c r="L1319" s="6" t="inlineStr"/>
      <c r="M1319" s="5" t="inlineStr"/>
      <c r="N1319" s="5" t="inlineStr"/>
      <c r="O1319" s="6" t="inlineStr"/>
      <c r="P1319" s="6" t="inlineStr"/>
      <c r="Q1319" s="5" t="inlineStr"/>
      <c r="R1319" s="5" t="inlineStr"/>
      <c r="S1319" s="5" t="inlineStr"/>
      <c r="T1319" s="5" t="inlineStr"/>
      <c r="U1319" s="5" t="inlineStr">
        <is>
          <t>bolum-isletme</t>
        </is>
      </c>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c r="AI1319" s="5" t="inlineStr"/>
      <c r="AJ1319" s="5" t="inlineStr"/>
    </row>
    <row r="1320">
      <c r="A1320" s="5" t="inlineStr">
        <is>
          <t>b6-ikinci-tercih</t>
        </is>
      </c>
      <c r="B1320" s="5" t="n">
        <v>5</v>
      </c>
      <c r="C1320" s="6" t="inlineStr">
        <is>
          <t>İletişim ya da konservatuvar</t>
        </is>
      </c>
      <c r="D1320" s="5" t="inlineStr"/>
      <c r="E1320" s="5" t="inlineStr"/>
      <c r="F1320" s="5" t="inlineStr">
        <is>
          <t>Pişkinlik +1, Çene +1</t>
        </is>
      </c>
      <c r="G1320" s="6" t="inlineStr">
        <is>
          <t>Sahneye giden yolu yazdın. Teyzen “Televizyona çıkınca bizi de söyle” dedi. Listesini şimdiden hazırlamış.</t>
        </is>
      </c>
      <c r="H1320" s="6" t="inlineStr"/>
      <c r="I1320" s="6" t="inlineStr"/>
      <c r="J1320" s="6" t="inlineStr"/>
      <c r="K1320" s="6" t="inlineStr"/>
      <c r="L1320" s="6" t="inlineStr"/>
      <c r="M1320" s="5" t="inlineStr"/>
      <c r="N1320" s="5" t="inlineStr"/>
      <c r="O1320" s="6" t="inlineStr"/>
      <c r="P1320" s="6" t="inlineStr"/>
      <c r="Q1320" s="5" t="inlineStr"/>
      <c r="R1320" s="5" t="inlineStr"/>
      <c r="S1320" s="5" t="inlineStr"/>
      <c r="T1320" s="5" t="inlineStr"/>
      <c r="U1320" s="5" t="inlineStr">
        <is>
          <t>bolum-iletisim</t>
        </is>
      </c>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is>
          <t>Pişkinlik 24</t>
        </is>
      </c>
      <c r="AI1320" s="5" t="inlineStr"/>
      <c r="AJ1320" s="5" t="inlineStr"/>
    </row>
    <row r="1321">
      <c r="A1321" s="5" t="inlineStr">
        <is>
          <t>b6-ikinci-tercih</t>
        </is>
      </c>
      <c r="B1321" s="5" t="n">
        <v>6</v>
      </c>
      <c r="C1321" s="6" t="inlineStr">
        <is>
          <t>Tıbbı zorla</t>
        </is>
      </c>
      <c r="D1321" s="5" t="inlineStr">
        <is>
          <t>Akıl</t>
        </is>
      </c>
      <c r="E1321" s="5" t="inlineStr">
        <is>
          <t>Zor</t>
        </is>
      </c>
      <c r="F1321" s="5" t="inlineStr"/>
      <c r="G1321" s="6" t="inlineStr"/>
      <c r="H1321" s="6" t="inlineStr">
        <is>
          <t>Tıbba yerleştin. Annen haberi verirken “bir yıl kaybetti” kısmını atladı; artık “bir yıl olgunlaştı” deniyor.</t>
        </is>
      </c>
      <c r="I1321" s="6" t="inlineStr">
        <is>
          <t>Tıbbı bu sefer ilk sıralardan tutturdun. Geçen yıl “Olmadı” diyen teyzen bu yıl ilk röntgenini attı.</t>
        </is>
      </c>
      <c r="J1321" s="6" t="inlineStr">
        <is>
          <t>Puan tıbba yine yetmedi; biyolojiye yerleştin. Teyzen yine de komşulara “Bizimki doktor olacak” diyor; düzeltmekten vazgeçtin.</t>
        </is>
      </c>
      <c r="K1321" s="6" t="inlineStr">
        <is>
          <t>Sıralamayı ters girdin, diş teknikerliğine yerleştin. Aile grubunda artık herkes sana dişini gösteriyor.</t>
        </is>
      </c>
      <c r="L1321" s="6" t="inlineStr"/>
      <c r="M1321" s="5" t="inlineStr"/>
      <c r="N1321" s="5" t="inlineStr"/>
      <c r="O1321" s="6" t="inlineStr"/>
      <c r="P1321" s="6" t="inlineStr"/>
      <c r="Q1321" s="5" t="inlineStr"/>
      <c r="R1321" s="5" t="inlineStr">
        <is>
          <t>sinav-iyi</t>
        </is>
      </c>
      <c r="S1321" s="5" t="inlineStr"/>
      <c r="T1321" s="5" t="inlineStr"/>
      <c r="U1321" s="5" t="inlineStr"/>
      <c r="V1321" s="5" t="inlineStr">
        <is>
          <t>bolum-tip</t>
        </is>
      </c>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is>
          <t>Akıl 31</t>
        </is>
      </c>
      <c r="AI1321" s="5" t="inlineStr"/>
      <c r="AJ1321" s="5" t="inlineStr"/>
    </row>
    <row r="1322">
      <c r="A1322" s="5" t="inlineStr">
        <is>
          <t>b6-tezgah-ilk-yil</t>
        </is>
      </c>
      <c r="B1322" s="5" t="n">
        <v>1</v>
      </c>
      <c r="C1322" s="6" t="inlineStr">
        <is>
          <t>Kuzeni bekle</t>
        </is>
      </c>
      <c r="D1322" s="5" t="inlineStr"/>
      <c r="E1322" s="5" t="inlineStr"/>
      <c r="F1322" s="5" t="inlineStr">
        <is>
          <t>İtibar +1, Dayanıklılık +1</t>
        </is>
      </c>
      <c r="G1322" s="6" t="inlineStr">
        <is>
          <t>Müşteriyi on dakika tuttun; hava durumunu, trafiği ve belediyeyi konuştunuz. Kuzen döndü, sattı. Akşam halana anlattı: “Lafı uzatmayı bizden öğrenmiş.”</t>
        </is>
      </c>
      <c r="H1322" s="6" t="inlineStr"/>
      <c r="I1322" s="6" t="inlineStr"/>
      <c r="J1322" s="6" t="inlineStr"/>
      <c r="K1322" s="6" t="inlineStr"/>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c r="AI1322" s="5" t="inlineStr"/>
      <c r="AJ1322" s="5" t="inlineStr"/>
    </row>
    <row r="1323">
      <c r="A1323" s="5" t="inlineStr">
        <is>
          <t>b6-tezgah-ilk-yil</t>
        </is>
      </c>
      <c r="B1323" s="5" t="n">
        <v>2</v>
      </c>
      <c r="C1323" s="6" t="inlineStr">
        <is>
          <t>Fiyatı sen söyle</t>
        </is>
      </c>
      <c r="D1323" s="5" t="inlineStr">
        <is>
          <t>Çene</t>
        </is>
      </c>
      <c r="E1323" s="5" t="inlineStr">
        <is>
          <t>Zor</t>
        </is>
      </c>
      <c r="F1323" s="5" t="inlineStr"/>
      <c r="G1323" s="6" t="inlineStr"/>
      <c r="H1323" s="6" t="inlineStr">
        <is>
          <t>Fiyatı söyledin, müşteri pazarlık etti, sen de ettin. Satış oldu. Kuzen tuvaletten çıkınca kasaya baktı, sonra sana baktı.</t>
        </is>
      </c>
      <c r="I1323" s="6" t="inlineStr">
        <is>
          <t>Müşteri iki tane aldı, bir de arkadaşını getirdi. Kuzen o akşam tezgâha ikinci bir sandalye koydu: “Bu senin.”</t>
        </is>
      </c>
      <c r="J1323" s="6" t="inlineStr">
        <is>
          <t>Fiyatı söyledin, müşteri güldü, gitti. Kuzen döndüğünde “Ne dedin?” diye sordu. Söylediğini tekrar etmedin.</t>
        </is>
      </c>
      <c r="K1323" s="6" t="inlineStr">
        <is>
          <t>Fiyat diye alış fiyatını söyledin. Müşteri gözlerine inanamadı, üç kasa aldı, bir de kardeşini aradı. Kuzen tuvaletten çıktığında tezgâh boştu. O hafta seninle konuşmadı; her şeyi halana anlattı.</t>
        </is>
      </c>
      <c r="L1323" s="6" t="inlineStr"/>
      <c r="M1323" s="5" t="inlineStr"/>
      <c r="N1323" s="5" t="inlineStr"/>
      <c r="O1323" s="6" t="inlineStr"/>
      <c r="P1323" s="6" t="inlineStr"/>
      <c r="Q1323" s="5" t="inlineStr"/>
      <c r="R1323" s="5" t="inlineStr"/>
      <c r="S1323" s="5" t="inlineStr"/>
      <c r="T1323" s="5" t="inlineStr">
        <is>
          <t>Tezgâh Ağzı</t>
        </is>
      </c>
      <c r="U1323" s="5" t="inlineStr"/>
      <c r="V1323" s="5" t="inlineStr"/>
      <c r="W1323" s="5" t="inlineStr"/>
      <c r="X1323" s="5" t="inlineStr"/>
      <c r="Y1323" s="5" t="inlineStr"/>
      <c r="Z1323" s="6" t="inlineStr"/>
      <c r="AA1323" s="5" t="inlineStr"/>
      <c r="AB1323" s="5" t="inlineStr"/>
      <c r="AC1323" s="5" t="inlineStr"/>
      <c r="AD1323" s="5" t="inlineStr"/>
      <c r="AE1323" s="5" t="inlineStr"/>
      <c r="AF1323" s="5" t="inlineStr"/>
      <c r="AG1323" s="5" t="inlineStr"/>
      <c r="AH1323" s="5" t="inlineStr"/>
      <c r="AI1323" s="5" t="inlineStr"/>
      <c r="AJ1323" s="5" t="inlineStr"/>
    </row>
    <row r="1324">
      <c r="A1324" s="5" t="inlineStr">
        <is>
          <t>b6-tezgah-ilk-yil</t>
        </is>
      </c>
      <c r="B1324" s="5" t="n">
        <v>3</v>
      </c>
      <c r="C1324" s="6" t="inlineStr">
        <is>
          <t>Kasadan “bahşiş” ayır</t>
        </is>
      </c>
      <c r="D1324" s="5" t="inlineStr">
        <is>
          <t>Kurnazlık</t>
        </is>
      </c>
      <c r="E1324" s="5" t="inlineStr">
        <is>
          <t>Orta</t>
        </is>
      </c>
      <c r="F1324" s="5" t="inlineStr"/>
      <c r="G1324" s="6" t="inlineStr"/>
      <c r="H1324" s="6" t="inlineStr">
        <is>
          <t>Günde biraz ayırdın, kimse fark etmedi. Kasa defterine kuzenin yazısıyla “Fire” diye geçti.</t>
        </is>
      </c>
      <c r="I1324" s="6" t="inlineStr">
        <is>
          <t>Öyle ustaca ayırdın ki ay sonu kasa fazla çıktı. Kuzen bunu bereket sandı; sana bir de zam yaptı.</t>
        </is>
      </c>
      <c r="J1324" s="6" t="inlineStr">
        <is>
          <t>Ayırdın, sonra vicdanın ağır bastı, geri koydun. Kuzen iki kere saydığı kasayı üçüncü kez saydı.</t>
        </is>
      </c>
      <c r="K1324" s="6" t="inlineStr">
        <is>
          <t>Kuzen kasayı sayarken eğildin; cebinden bozuklar şıngır şıngır tezgâha döküldü. Kuzen hepsini tek tek toplayıp kasaya koydu, sonra sana yeni bir önlük uzattı: cepsiz. Bütün çarşı o önlüğün hikâyesini biliyor.</t>
        </is>
      </c>
      <c r="L1324" s="6" t="inlineStr"/>
      <c r="M1324" s="5" t="inlineStr"/>
      <c r="N1324" s="5" t="inlineStr"/>
      <c r="O1324" s="6" t="inlineStr"/>
      <c r="P1324" s="6" t="inlineStr"/>
      <c r="Q1324" s="5" t="inlineStr"/>
      <c r="R1324" s="5" t="inlineStr"/>
      <c r="S1324" s="5" t="inlineStr"/>
      <c r="T1324" s="5" t="inlineStr"/>
      <c r="U1324" s="5" t="inlineStr"/>
      <c r="V1324" s="5" t="inlineStr"/>
      <c r="W1324" s="5" t="inlineStr">
        <is>
          <t>yalanci</t>
        </is>
      </c>
      <c r="X1324" s="5" t="inlineStr"/>
      <c r="Y1324" s="5" t="inlineStr"/>
      <c r="Z1324" s="6" t="inlineStr"/>
      <c r="AA1324" s="5" t="inlineStr"/>
      <c r="AB1324" s="5" t="inlineStr"/>
      <c r="AC1324" s="5" t="inlineStr"/>
      <c r="AD1324" s="5" t="inlineStr"/>
      <c r="AE1324" s="5" t="inlineStr"/>
      <c r="AF1324" s="5" t="inlineStr"/>
      <c r="AG1324" s="5" t="inlineStr"/>
      <c r="AH1324" s="5" t="inlineStr"/>
      <c r="AI1324" s="5" t="inlineStr"/>
      <c r="AJ1324" s="5" t="inlineStr"/>
    </row>
    <row r="1325">
      <c r="A1325" s="5" t="inlineStr">
        <is>
          <t>b6-abinin-cantasi</t>
        </is>
      </c>
      <c r="B1325" s="5" t="n">
        <v>1</v>
      </c>
      <c r="C1325" s="6" t="inlineStr">
        <is>
          <t>Açmadan götür</t>
        </is>
      </c>
      <c r="D1325" s="5" t="inlineStr"/>
      <c r="E1325" s="5" t="inlineStr"/>
      <c r="F1325" s="5" t="inlineStr">
        <is>
          <t>Pişkinlik +1, Dayanıklılık +1</t>
        </is>
      </c>
      <c r="G1325" s="6" t="inlineStr">
        <is>
          <t>Çantayı açmadan bıraktın; kahveci çay ısmarladı, çay bitmeden döndün. Abi sırtını sıvazladı: “Güvenilir adamsın.” Akşam annen “Bugün ne yaptın?” diye sordu; “Hiç” dedin.</t>
        </is>
      </c>
      <c r="H1325" s="6" t="inlineStr"/>
      <c r="I1325" s="6" t="inlineStr"/>
      <c r="J1325" s="6" t="inlineStr"/>
      <c r="K1325" s="6" t="inlineStr"/>
      <c r="L1325" s="6" t="inlineStr"/>
      <c r="M1325" s="5" t="inlineStr"/>
      <c r="N1325" s="5" t="inlineStr"/>
      <c r="O1325" s="6" t="inlineStr"/>
      <c r="P1325" s="6" t="inlineStr"/>
      <c r="Q1325" s="5" t="inlineStr"/>
      <c r="R1325" s="5" t="inlineStr"/>
      <c r="S1325" s="5" t="inlineStr"/>
      <c r="T1325" s="5" t="inlineStr"/>
      <c r="U1325" s="5" t="inlineStr">
        <is>
          <t>abiye-borclu</t>
        </is>
      </c>
      <c r="V1325" s="5" t="inlineStr"/>
      <c r="W1325" s="5" t="inlineStr"/>
      <c r="X1325" s="5" t="inlineStr"/>
      <c r="Y1325" s="5" t="inlineStr"/>
      <c r="Z1325" s="6" t="inlineStr"/>
      <c r="AA1325" s="5" t="inlineStr"/>
      <c r="AB1325" s="5" t="inlineStr"/>
      <c r="AC1325" s="5" t="inlineStr"/>
      <c r="AD1325" s="5" t="inlineStr"/>
      <c r="AE1325" s="5" t="inlineStr"/>
      <c r="AF1325" s="5" t="inlineStr"/>
      <c r="AG1325" s="5" t="inlineStr"/>
      <c r="AH1325" s="5" t="inlineStr"/>
      <c r="AI1325" s="5" t="inlineStr"/>
      <c r="AJ1325" s="5" t="inlineStr"/>
    </row>
    <row r="1326">
      <c r="A1326" s="5" t="inlineStr">
        <is>
          <t>b6-abinin-cantasi</t>
        </is>
      </c>
      <c r="B1326" s="5" t="n">
        <v>2</v>
      </c>
      <c r="C1326" s="6" t="inlineStr">
        <is>
          <t>Yolda içine bak</t>
        </is>
      </c>
      <c r="D1326" s="5" t="inlineStr">
        <is>
          <t>Kurnazlık</t>
        </is>
      </c>
      <c r="E1326" s="5" t="inlineStr">
        <is>
          <t>Orta</t>
        </is>
      </c>
      <c r="F1326" s="5" t="inlineStr"/>
      <c r="G1326" s="6" t="inlineStr"/>
      <c r="H1326" s="6" t="inlineStr">
        <is>
          <t>Çantada tapu fotokopileri, bir tespih ve yarım simit vardı. Neyin fotokopisi olduğunu okudun; şimdi abinin hangi arsalarla ilgilendiğini biliyorsun.</t>
        </is>
      </c>
      <c r="I1326" s="6" t="inlineStr">
        <is>
          <t>Fotokopileri telefonuna da çektin. Abinin bütün arsa işleri artık sende. Bunu kimseye söylemedin; henüz.</t>
        </is>
      </c>
      <c r="J1326" s="6" t="inlineStr">
        <is>
          <t>Fermuarı açarken sıkıştı. Çanta kahveye yarısı açık gitti. Kahveci sana uzun uzun baktı.</t>
        </is>
      </c>
      <c r="K1326" s="6" t="inlineStr">
        <is>
          <t>Fermuarı açtığın an abinin arabası yanında yavaşladı, cam indi. Abi çantaya baktı, sonra sana: “Simit yarımdı, değil mi?” O günden beri seni her görüşünde soruyor: “Simidin öbür yarısı nerede?”</t>
        </is>
      </c>
      <c r="L1326" s="6" t="inlineStr"/>
      <c r="M1326" s="5" t="inlineStr"/>
      <c r="N1326" s="5" t="inlineStr"/>
      <c r="O1326" s="6" t="inlineStr"/>
      <c r="P1326" s="6" t="inlineStr"/>
      <c r="Q1326" s="5" t="inlineStr"/>
      <c r="R1326" s="5" t="inlineStr"/>
      <c r="S1326" s="5" t="inlineStr"/>
      <c r="T1326" s="5" t="inlineStr"/>
      <c r="U1326" s="5" t="inlineStr"/>
      <c r="V1326" s="5" t="inlineStr">
        <is>
          <t>abiye-borclu</t>
        </is>
      </c>
      <c r="W1326" s="5" t="inlineStr">
        <is>
          <t>abiye-borclu</t>
        </is>
      </c>
      <c r="X1326" s="5" t="inlineStr"/>
      <c r="Y1326" s="5" t="inlineStr"/>
      <c r="Z1326" s="6" t="inlineStr"/>
      <c r="AA1326" s="5" t="inlineStr"/>
      <c r="AB1326" s="5" t="inlineStr"/>
      <c r="AC1326" s="5" t="inlineStr"/>
      <c r="AD1326" s="5" t="inlineStr"/>
      <c r="AE1326" s="5" t="inlineStr"/>
      <c r="AF1326" s="5" t="inlineStr"/>
      <c r="AG1326" s="5" t="inlineStr"/>
      <c r="AH1326" s="5" t="inlineStr"/>
      <c r="AI1326" s="5" t="inlineStr"/>
      <c r="AJ1326" s="5" t="inlineStr"/>
    </row>
    <row r="1327">
      <c r="A1327" s="5" t="inlineStr">
        <is>
          <t>b6-abinin-cantasi</t>
        </is>
      </c>
      <c r="B1327" s="5" t="n">
        <v>3</v>
      </c>
      <c r="C1327" s="6" t="inlineStr">
        <is>
          <t>Çantayı karakola bırak</t>
        </is>
      </c>
      <c r="D1327" s="5" t="inlineStr">
        <is>
          <t>Cesaret</t>
        </is>
      </c>
      <c r="E1327" s="5" t="inlineStr">
        <is>
          <t>Zor</t>
        </is>
      </c>
      <c r="F1327" s="5" t="inlineStr"/>
      <c r="G1327" s="6" t="inlineStr"/>
      <c r="H1327" s="6" t="inlineStr">
        <is>
          <t>Komiser çantayı açtı, tapu fotokopilerine baktı, sana baktı. “Otur, çay iç” dedi. O günden sonra abinin kahvesine uğramadın; abi de seni aramadı.</t>
        </is>
      </c>
      <c r="I1327" s="6" t="inlineStr">
        <is>
          <t>Komiser seni bir kenara çekti: “Bizde okuyabilirsin, polis okulunun sınavı var.” Kartvizitini verdi. Abi olanları hiç öğrenmedi.</t>
        </is>
      </c>
      <c r="J1327" s="6" t="inlineStr">
        <is>
          <t>Karakolun kapısında döndün. Çantayı kahveye götürdün, bir saat geç. Abi saati sordu; sen “Trafik” dedin. Yürüyordun.</t>
        </is>
      </c>
      <c r="K1327" s="6" t="inlineStr">
        <is>
          <t>Komiser abinin kuzeni çıktı. Çanta abiye geri döndü; sen de sokağa. Mahallede artık iki yere de gidemiyorsun.</t>
        </is>
      </c>
      <c r="L1327" s="6" t="inlineStr"/>
      <c r="M1327" s="5" t="inlineStr"/>
      <c r="N1327" s="5" t="inlineStr"/>
      <c r="O1327" s="6" t="inlineStr"/>
      <c r="P1327" s="6" t="inlineStr"/>
      <c r="Q1327" s="5" t="inlineStr"/>
      <c r="R1327" s="5" t="inlineStr"/>
      <c r="S1327" s="5" t="inlineStr"/>
      <c r="T1327" s="5" t="inlineStr"/>
      <c r="U1327" s="5" t="inlineStr"/>
      <c r="V1327" s="5" t="inlineStr">
        <is>
          <t>komiser-tanidik</t>
        </is>
      </c>
      <c r="W1327" s="5" t="inlineStr"/>
      <c r="X1327" s="5" t="inlineStr">
        <is>
          <t>abinin-adami</t>
        </is>
      </c>
      <c r="Y1327" s="5" t="inlineStr"/>
      <c r="Z1327" s="6" t="inlineStr"/>
      <c r="AA1327" s="5" t="inlineStr">
        <is>
          <t>hepsi +1</t>
        </is>
      </c>
      <c r="AB1327" s="5" t="inlineStr"/>
      <c r="AC1327" s="5" t="inlineStr"/>
      <c r="AD1327" s="5" t="inlineStr"/>
      <c r="AE1327" s="5" t="inlineStr"/>
      <c r="AF1327" s="5" t="inlineStr"/>
      <c r="AG1327" s="5" t="inlineStr"/>
      <c r="AH1327" s="5" t="inlineStr"/>
      <c r="AI1327" s="5" t="inlineStr"/>
      <c r="AJ1327" s="5" t="inlineStr"/>
    </row>
    <row r="1328">
      <c r="A1328" s="5" t="inlineStr">
        <is>
          <t>b6-karakol-gecesi</t>
        </is>
      </c>
      <c r="B1328" s="5" t="n">
        <v>1</v>
      </c>
      <c r="C1328" s="6" t="inlineStr">
        <is>
          <t>Sus, sabahı bekle</t>
        </is>
      </c>
      <c r="D1328" s="5" t="inlineStr"/>
      <c r="E1328" s="5" t="inlineStr"/>
      <c r="F1328" s="5" t="inlineStr">
        <is>
          <t>Dayanıklılık +1</t>
        </is>
      </c>
      <c r="G1328" s="6" t="inlineStr">
        <is>
          <t>Sabah saat altıda kapı açıldı. “Yanlışlık olmuş” dendi. Yanlışlık gece boyunca senin yanında uyumuştu; davulcuydu.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c r="AB1328" s="5" t="inlineStr"/>
      <c r="AC1328" s="5" t="inlineStr"/>
      <c r="AD1328" s="5" t="inlineStr"/>
      <c r="AE1328" s="5" t="inlineStr"/>
      <c r="AF1328" s="5" t="inlineStr"/>
      <c r="AG1328" s="5" t="inlineStr"/>
      <c r="AH1328" s="5" t="inlineStr"/>
      <c r="AI1328" s="5" t="inlineStr"/>
      <c r="AJ1328" s="5" t="inlineStr"/>
    </row>
    <row r="1329">
      <c r="A1329" s="5" t="inlineStr">
        <is>
          <t>b6-karakol-gecesi</t>
        </is>
      </c>
      <c r="B1329" s="5" t="n">
        <v>2</v>
      </c>
      <c r="C1329" s="6" t="inlineStr">
        <is>
          <t>Abiyi ara</t>
        </is>
      </c>
      <c r="D1329" s="5" t="inlineStr"/>
      <c r="E1329" s="5" t="inlineStr"/>
      <c r="F1329" s="5" t="inlineStr">
        <is>
          <t>Pişkinlik +1</t>
        </is>
      </c>
      <c r="G1329" s="6" t="inlineStr">
        <is>
          <t>Tek telefon hakkını abiye harcadın. Yirmi dakika sonra serbesttin. Abi seni kapıda bekliyordu: “Bunu da yazdım.”</t>
        </is>
      </c>
      <c r="H1329" s="6" t="inlineStr"/>
      <c r="I1329" s="6" t="inlineStr"/>
      <c r="J1329" s="6" t="inlineStr"/>
      <c r="K1329" s="6" t="inlineStr"/>
      <c r="L1329" s="6" t="inlineStr"/>
      <c r="M1329" s="5" t="inlineStr"/>
      <c r="N1329" s="5" t="inlineStr"/>
      <c r="O1329" s="6" t="inlineStr"/>
      <c r="P1329" s="6" t="inlineStr"/>
      <c r="Q1329" s="5" t="inlineStr"/>
      <c r="R1329" s="5" t="inlineStr">
        <is>
          <t>abinin-adami</t>
        </is>
      </c>
      <c r="S1329" s="5" t="inlineStr"/>
      <c r="T1329" s="5" t="inlineStr"/>
      <c r="U1329" s="5" t="inlineStr">
        <is>
          <t>abiye-borclu</t>
        </is>
      </c>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c r="AI1329" s="5" t="inlineStr"/>
      <c r="AJ1329" s="5" t="inlineStr"/>
    </row>
    <row r="1330">
      <c r="A1330" s="5" t="inlineStr">
        <is>
          <t>b6-karakol-gecesi</t>
        </is>
      </c>
      <c r="B1330" s="5" t="n">
        <v>3</v>
      </c>
      <c r="C1330" s="6" t="inlineStr">
        <is>
          <t>Nöbetçi komiserle sohbet aç</t>
        </is>
      </c>
      <c r="D1330" s="5" t="inlineStr">
        <is>
          <t>Çene</t>
        </is>
      </c>
      <c r="E1330" s="5" t="inlineStr">
        <is>
          <t>Zor</t>
        </is>
      </c>
      <c r="F1330" s="5" t="inlineStr"/>
      <c r="G1330" s="6" t="inlineStr"/>
      <c r="H1330" s="6" t="inlineStr">
        <is>
          <t>Sabaha kadar konuştunuz: futbol, kira, komiserin kızının sınavı. Sabah seni kapıya kadar geçirdi. “Başın sıkışırsa ara” dedi.</t>
        </is>
      </c>
      <c r="I1330" s="6" t="inlineStr">
        <is>
          <t>Komiser o gece hayat hikâyesini anlattı, sen de dinledin. Sabah kapıda elini sıktı: “Senin gibi dinleyen az.” Kartvizitini cüzdanına koydun; annen çamaşırda bulup üç gün kimden olduğunu sordu.</t>
        </is>
      </c>
      <c r="J1330" s="6" t="inlineStr">
        <is>
          <t>Komiser seni dinledi ve bir cümleyle bitirdi: “Otur yerine.” Oturdun; davulcu yerini almıştı.</t>
        </is>
      </c>
      <c r="K1330" s="6" t="inlineStr">
        <is>
          <t>Sohbeti uzattıkça tutanak uzadı; her anlattığın şey bir satır oldu. Sabah imzalaman için önüne üç sayfa koydular. Davulcunun ifadesi yarım sayfaydı.</t>
        </is>
      </c>
      <c r="L1330" s="6" t="inlineStr"/>
      <c r="M1330" s="5" t="inlineStr"/>
      <c r="N1330" s="5" t="inlineStr"/>
      <c r="O1330" s="6" t="inlineStr"/>
      <c r="P1330" s="6" t="inlineStr"/>
      <c r="Q1330" s="5" t="inlineStr"/>
      <c r="R1330" s="5" t="inlineStr"/>
      <c r="S1330" s="5" t="inlineStr"/>
      <c r="T1330" s="5" t="inlineStr"/>
      <c r="U1330" s="5" t="inlineStr"/>
      <c r="V1330" s="5" t="inlineStr">
        <is>
          <t>komiser-tanidik</t>
        </is>
      </c>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c r="AI1330" s="5" t="inlineStr"/>
      <c r="AJ1330" s="5" t="inlineStr"/>
    </row>
    <row r="1331">
      <c r="A1331" s="5" t="inlineStr">
        <is>
          <t>b6-gurbet-ilk-kis</t>
        </is>
      </c>
      <c r="B1331" s="5" t="n">
        <v>1</v>
      </c>
      <c r="C1331" s="6" t="inlineStr">
        <is>
          <t>Memleketten gelenleri bul</t>
        </is>
      </c>
      <c r="D1331" s="5" t="inlineStr"/>
      <c r="E1331" s="5" t="inlineStr"/>
      <c r="F1331" s="5" t="inlineStr">
        <is>
          <t>İtibar +1, Sosyal Radar +1</t>
        </is>
      </c>
      <c r="G1331" s="6" t="inlineStr">
        <is>
          <t>Kampüste Makaryalı öğrencileri buldun. Her cumartesi birinin odasında çay demleniyor; pencereden bakınca kar yağıyor, içeride bayram.</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n">
        <v>2</v>
      </c>
      <c r="Z1331" s="6" t="inlineStr">
        <is>
          <t>Öte Diyar'da ilk kış, gece yurda dönerken “Buralı değilsin” diye sataşan bir grubun karşısında durup kavgaya karıştığında. Gruptan biri sonradan özür diledi; çok geç, çok kısa.</t>
        </is>
      </c>
      <c r="AA1331" s="5" t="inlineStr"/>
      <c r="AB1331" s="5" t="inlineStr"/>
      <c r="AC1331" s="5" t="inlineStr"/>
      <c r="AD1331" s="5" t="inlineStr"/>
      <c r="AE1331" s="5" t="inlineStr"/>
      <c r="AF1331" s="5" t="inlineStr"/>
      <c r="AG1331" s="5" t="inlineStr"/>
      <c r="AH1331" s="5" t="inlineStr"/>
      <c r="AI1331" s="5" t="inlineStr"/>
      <c r="AJ1331" s="5" t="inlineStr"/>
    </row>
    <row r="1332">
      <c r="A1332" s="5" t="inlineStr">
        <is>
          <t>b6-gurbet-ilk-kis</t>
        </is>
      </c>
      <c r="B1332" s="5" t="n">
        <v>2</v>
      </c>
      <c r="C1332" s="6" t="inlineStr">
        <is>
          <t>Ortak mutfakta yemek yap, kokusuyla herkesi topla</t>
        </is>
      </c>
      <c r="D1332" s="5" t="inlineStr">
        <is>
          <t>Sosyal Radar</t>
        </is>
      </c>
      <c r="E1332" s="5" t="inlineStr">
        <is>
          <t>Zor</t>
        </is>
      </c>
      <c r="F1332" s="5" t="inlineStr"/>
      <c r="G1332" s="6" t="inlineStr"/>
      <c r="H1332" s="6" t="inlineStr">
        <is>
          <t>Mercimek çorbasının kokusu koridoru sardı. Üç kişi kapıyı çaldı; biri kaşığını kendisi getirmişti. Artık her perşembe çorba günü.</t>
        </is>
      </c>
      <c r="I1332" s="6" t="inlineStr">
        <is>
          <t>Mercimek çorbasının kokusu bütün yurdu mutfağa topladı. Yerli arkadaşların kaşıkla sıraya girdi; biri “Makarya” demeyi öğrendi, biri “Elinize sağlık”ı. İkincisi daha güzel söylüyor.</t>
        </is>
      </c>
      <c r="J1332" s="6" t="inlineStr">
        <is>
          <t>Çorbayı yaptın, koridor memleket koktu. Kimse kapıyı çalmadı. Kâseni pencerenin önünde tek başına içtin; dışarıda kar vardı.</t>
        </is>
      </c>
      <c r="K1332" s="6" t="inlineStr">
        <is>
          <t>Yangın alarmı çaldı, bütün yurt dışarıda üşüdü. Mutfak kapısına adını yazan bir uyarı asıldı. Doğru yazmışlar.</t>
        </is>
      </c>
      <c r="L1332" s="6" t="inlineStr"/>
      <c r="M1332" s="5" t="inlineStr"/>
      <c r="N1332" s="5" t="inlineStr"/>
      <c r="O1332" s="6" t="inlineStr"/>
      <c r="P1332" s="6" t="inlineStr"/>
      <c r="Q1332" s="5" t="inlineStr"/>
      <c r="R1332" s="5" t="inlineStr"/>
      <c r="S1332" s="5" t="inlineStr"/>
      <c r="T1332" s="5" t="inlineStr">
        <is>
          <t>İki Dilli Rüya</t>
        </is>
      </c>
      <c r="U1332" s="5" t="inlineStr"/>
      <c r="V1332" s="5" t="inlineStr">
        <is>
          <t>yabanci-dil</t>
        </is>
      </c>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c r="AI1332" s="5" t="inlineStr"/>
      <c r="AJ1332" s="5" t="inlineStr"/>
    </row>
    <row r="1333">
      <c r="A1333" s="5" t="inlineStr">
        <is>
          <t>b6-gurbet-ilk-kis</t>
        </is>
      </c>
      <c r="B1333" s="5" t="n">
        <v>3</v>
      </c>
      <c r="C1333" s="6" t="inlineStr">
        <is>
          <t>Derslere gömül</t>
        </is>
      </c>
      <c r="D1333" s="5" t="inlineStr">
        <is>
          <t>Akıl</t>
        </is>
      </c>
      <c r="E1333" s="5" t="inlineStr">
        <is>
          <t>Orta</t>
        </is>
      </c>
      <c r="F1333" s="5" t="inlineStr"/>
      <c r="G1333" s="6" t="inlineStr"/>
      <c r="H1333" s="6" t="inlineStr">
        <is>
          <t>İlk dönem notların iyi geldi. Annen telefonda “Yemek yiyor musun?” diye sordu; notları sormadı bile. Biliyordu.</t>
        </is>
      </c>
      <c r="I1333" s="6" t="inlineStr">
        <is>
          <t>Dönem birincisi oldun. Ailen bunu aile grubuna attı; teyzen “Orada da mı sınav var?” diye sordu.</t>
        </is>
      </c>
      <c r="J1333" s="6" t="inlineStr">
        <is>
          <t>Derslere gömüldün ama dil gömülmedi. Sınavda soruyu anlamak yirmi dakikanı aldı.</t>
        </is>
      </c>
      <c r="K1333" s="6" t="inlineStr">
        <is>
          <t>Kütüphanede sabahladın; sınav başladığında masada uyuyordun. Kâğıdına hoca tek satır yazmış: “Uyanınca gel.” Annen telefonda “Orada yatak mı yok?” dedi.</t>
        </is>
      </c>
      <c r="L1333" s="6" t="inlineStr"/>
      <c r="M1333" s="5" t="inlineStr"/>
      <c r="N1333" s="5" t="inlineStr"/>
      <c r="O1333" s="6" t="inlineStr"/>
      <c r="P1333" s="6" t="inlineStr"/>
      <c r="Q1333" s="5" t="inlineStr"/>
      <c r="R1333" s="5" t="inlineStr"/>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c r="AI1333" s="5" t="inlineStr"/>
      <c r="AJ1333" s="5" t="inlineStr"/>
    </row>
    <row r="1334">
      <c r="A1334" s="5" t="inlineStr">
        <is>
          <t>b6-gurbet-garson</t>
        </is>
      </c>
      <c r="B1334" s="5" t="n">
        <v>1</v>
      </c>
      <c r="C1334" s="6" t="inlineStr">
        <is>
          <t>Tabağı taşı, bahşişi topla</t>
        </is>
      </c>
      <c r="D1334" s="5" t="inlineStr"/>
      <c r="E1334" s="5" t="inlineStr"/>
      <c r="F1334" s="5" t="inlineStr">
        <is>
          <t>Dayanıklılık +1</t>
        </is>
      </c>
      <c r="G1334" s="6" t="inlineStr">
        <is>
          <t>Bir dönem boyunca tabak taşıdın. Bahşişlerle bir kış montu aldın. Mont memlekettekinden iki kat pahalı, yarısı kadar sıcak.</t>
        </is>
      </c>
      <c r="H1334" s="6" t="inlineStr"/>
      <c r="I1334" s="6" t="inlineStr"/>
      <c r="J1334" s="6" t="inlineStr"/>
      <c r="K1334" s="6" t="inlineStr"/>
      <c r="L1334" s="6" t="inlineStr"/>
      <c r="M1334" s="5" t="inlineStr"/>
      <c r="N1334" s="5" t="inlineStr"/>
      <c r="O1334" s="6" t="inlineStr"/>
      <c r="P1334" s="6" t="inlineStr"/>
      <c r="Q1334" s="5" t="inlineStr"/>
      <c r="R1334" s="5" t="inlineStr"/>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c r="AI1334" s="5" t="inlineStr"/>
      <c r="AJ1334" s="5" t="inlineStr"/>
    </row>
    <row r="1335">
      <c r="A1335" s="5" t="inlineStr">
        <is>
          <t>b6-gurbet-garson</t>
        </is>
      </c>
      <c r="B1335" s="5" t="n">
        <v>2</v>
      </c>
      <c r="C1335" s="6" t="inlineStr">
        <is>
          <t>Kahveye köpükle desen çizmeyi öğren</t>
        </is>
      </c>
      <c r="D1335" s="5" t="inlineStr">
        <is>
          <t>Akıl</t>
        </is>
      </c>
      <c r="E1335" s="5" t="inlineStr">
        <is>
          <t>Orta</t>
        </is>
      </c>
      <c r="F1335" s="5" t="inlineStr"/>
      <c r="G1335" s="6" t="inlineStr"/>
      <c r="H1335" s="6" t="inlineStr">
        <is>
          <t>Üçüncü haftada köpükle kalp çizdin. Fotoğrafını annene attın, annen aile grubuna. Teyzen “Kalp mi bu, armut mu?” diye yazdı.</t>
        </is>
      </c>
      <c r="I1335" s="6" t="inlineStr">
        <is>
          <t>Köpükle Makarya haritası çizdin. Kafe bunu menüye koydu: “Memleket.” Pahalı.</t>
        </is>
      </c>
      <c r="J1335" s="6" t="inlineStr">
        <is>
          <t>Kalp çizmeye çalıştın; çıkan şey bir patatesti. Müşteri memnun, çünkü patates severmiş.</t>
        </is>
      </c>
      <c r="K1335" s="6" t="inlineStr">
        <is>
          <t>Süt köpürtücüyle eline köpük değil süt püskürttün. Müdür seni bulaşığa aldı; orada desen yok.</t>
        </is>
      </c>
      <c r="L1335" s="6" t="inlineStr"/>
      <c r="M1335" s="5" t="inlineStr"/>
      <c r="N1335" s="5" t="inlineStr"/>
      <c r="O1335" s="6" t="inlineStr"/>
      <c r="P1335" s="6" t="inlineStr"/>
      <c r="Q1335" s="5" t="inlineStr"/>
      <c r="R1335" s="5" t="inlineStr"/>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c r="AI1335" s="5" t="inlineStr"/>
      <c r="AJ1335" s="5" t="inlineStr"/>
    </row>
    <row r="1336">
      <c r="A1336" s="5" t="inlineStr">
        <is>
          <t>b6-gurbet-garson</t>
        </is>
      </c>
      <c r="B1336" s="5" t="n">
        <v>3</v>
      </c>
      <c r="C1336" s="6" t="inlineStr">
        <is>
          <t>Müdürden daha iyi saat pazarlık et</t>
        </is>
      </c>
      <c r="D1336" s="5" t="inlineStr">
        <is>
          <t>Çene</t>
        </is>
      </c>
      <c r="E1336" s="5" t="inlineStr">
        <is>
          <t>Zor</t>
        </is>
      </c>
      <c r="F1336" s="5" t="inlineStr"/>
      <c r="G1336" s="6" t="inlineStr"/>
      <c r="H1336" s="6" t="inlineStr">
        <is>
          <t>Sınav haftası izinli, bayram sabahı da izinli. Müdür bayramın ne olduğunu sordu; anlattın. Ertesi yıl senden önce o hatırladı, bir de baklava istedi.</t>
        </is>
      </c>
      <c r="I1336" s="6" t="inlineStr">
        <is>
          <t>Müdür saatlerini düzeltti, sonra seni vardiya sorumlusu yaptı. İlk gün yeni bir garson senden izin istedi; ağzından müdürün cümlesi çıktı: “Başka kafeler de var.”</t>
        </is>
      </c>
      <c r="J1336" s="6" t="inlineStr">
        <is>
          <t>Müdür seni dinledi ve kafenin broşürünü uzattı: “Başka kafeler de var.”</t>
        </is>
      </c>
      <c r="K1336" s="6" t="inlineStr">
        <is>
          <t>Pazarlığın ortasında iki kelimeyi karıştırdın; “vardiya” diyecekken müdürün annesi hakkında bir şey söylemiş oldun. Önlüğü kapıda bıraktın; kafenin önünden artık karşı kaldırımdan geçiyorsun.</t>
        </is>
      </c>
      <c r="L1336" s="6" t="inlineStr"/>
      <c r="M1336" s="5" t="inlineStr"/>
      <c r="N1336" s="5" t="inlineStr"/>
      <c r="O1336" s="6" t="inlineStr"/>
      <c r="P1336" s="6" t="inlineStr"/>
      <c r="Q1336" s="5" t="inlineStr"/>
      <c r="R1336" s="5" t="inlineStr"/>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is>
          <t>Çene 36</t>
        </is>
      </c>
      <c r="AI1336" s="5" t="inlineStr"/>
      <c r="AJ1336" s="5" t="inlineStr"/>
    </row>
    <row r="1337">
      <c r="A1337" s="5" t="inlineStr">
        <is>
          <t>b6-gurbet-bayram</t>
        </is>
      </c>
      <c r="B1337" s="5" t="n">
        <v>1</v>
      </c>
      <c r="C1337" s="6" t="inlineStr">
        <is>
          <t>Herkesle tek tek konuş</t>
        </is>
      </c>
      <c r="D1337" s="5" t="inlineStr"/>
      <c r="E1337" s="5" t="inlineStr"/>
      <c r="F1337" s="5" t="inlineStr">
        <is>
          <t>Gönül +1</t>
        </is>
      </c>
      <c r="G1337" s="6" t="inlineStr">
        <is>
          <t>Kırk dakika boyunca on dört kişiyle konuştun. Dedenin eli ekrana değdi; sen de kendi ekranına. Telefonun ısındı, sen de.</t>
        </is>
      </c>
      <c r="H1337" s="6" t="inlineStr"/>
      <c r="I1337" s="6" t="inlineStr"/>
      <c r="J1337" s="6" t="inlineStr"/>
      <c r="K1337" s="6" t="inlineStr"/>
      <c r="L1337" s="6" t="inlineStr"/>
      <c r="M1337" s="5" t="inlineStr"/>
      <c r="N1337" s="5" t="inlineStr"/>
      <c r="O1337" s="6" t="inlineStr"/>
      <c r="P1337" s="6" t="inlineStr"/>
      <c r="Q1337" s="5" t="inlineStr"/>
      <c r="R1337" s="5" t="inlineStr"/>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c r="AI1337" s="5" t="inlineStr"/>
      <c r="AJ1337" s="5" t="inlineStr"/>
    </row>
    <row r="1338">
      <c r="A1338" s="5" t="inlineStr">
        <is>
          <t>b6-gurbet-bayram</t>
        </is>
      </c>
      <c r="B1338" s="5" t="n">
        <v>2</v>
      </c>
      <c r="C1338" s="6" t="inlineStr">
        <is>
          <t>Uçak bileti bul, sürpriz yap</t>
        </is>
      </c>
      <c r="D1338" s="5" t="inlineStr">
        <is>
          <t>Kurnazlık</t>
        </is>
      </c>
      <c r="E1338" s="5" t="inlineStr">
        <is>
          <t>Zor</t>
        </is>
      </c>
      <c r="F1338" s="5" t="inlineStr"/>
      <c r="G1338" s="6" t="inlineStr"/>
      <c r="H1338" s="6" t="inlineStr">
        <is>
          <t>Gece yarısı indirimli bir bilet buldun, aktarmalı, on dokuz saat. Kapıyı çaldığında annen elindeki tabağı düşürdü; tabak kırıldı, kimse umursamadı.</t>
        </is>
      </c>
      <c r="I1338" s="6" t="inlineStr">
        <is>
          <t>Bilet o kadar ucuzdu ki bir de amcan için aldın. Bayramı iki yerde, iki kez yaşadın; biri memlekette, biri aktarmada.</t>
        </is>
      </c>
      <c r="J1338" s="6" t="inlineStr">
        <is>
          <t>Bilet aradın, bulamadın. Bulduğun tek bilet bayramdan sonraki güne. Annen “Gel yine de” dedi.</t>
        </is>
      </c>
      <c r="K1338" s="6" t="inlineStr">
        <is>
          <t>Bileti aldın, aktarmayı kaçırdın. Bayram sabahı annen telefonu yine sofraya dikti; bu sefer arkanda anons sesi vardı. Annen bir şey demedi, bir tabak doldurup ekranın önüne koydu.</t>
        </is>
      </c>
      <c r="L1338" s="6" t="inlineStr"/>
      <c r="M1338" s="5" t="inlineStr"/>
      <c r="N1338" s="5" t="inlineStr"/>
      <c r="O1338" s="6" t="inlineStr"/>
      <c r="P1338" s="6" t="inlineStr"/>
      <c r="Q1338" s="5" t="inlineStr"/>
      <c r="R1338" s="5" t="inlineStr"/>
      <c r="S1338" s="5" t="inlineStr"/>
      <c r="T1338" s="5" t="inlineStr"/>
      <c r="U1338" s="5" t="inlineStr"/>
      <c r="V1338" s="5" t="inlineStr"/>
      <c r="W1338" s="5" t="inlineStr"/>
      <c r="X1338" s="5" t="inlineStr"/>
      <c r="Y1338" s="5" t="inlineStr"/>
      <c r="Z1338" s="6" t="inlineStr"/>
      <c r="AA1338" s="5" t="inlineStr"/>
      <c r="AB1338" s="5" t="inlineStr"/>
      <c r="AC1338" s="5" t="inlineStr"/>
      <c r="AD1338" s="5" t="inlineStr"/>
      <c r="AE1338" s="5" t="inlineStr"/>
      <c r="AF1338" s="5" t="inlineStr"/>
      <c r="AG1338" s="5" t="inlineStr"/>
      <c r="AH1338" s="5" t="inlineStr"/>
      <c r="AI1338" s="5" t="inlineStr"/>
      <c r="AJ1338" s="5" t="inlineStr"/>
    </row>
    <row r="1339">
      <c r="A1339" s="5" t="inlineStr">
        <is>
          <t>b6-gurbet-bayram</t>
        </is>
      </c>
      <c r="B1339" s="5" t="n">
        <v>3</v>
      </c>
      <c r="C1339" s="6" t="inlineStr">
        <is>
          <t>Aramayı kısa tut, derse dön</t>
        </is>
      </c>
      <c r="D1339" s="5" t="inlineStr"/>
      <c r="E1339" s="5" t="inlineStr"/>
      <c r="F1339" s="5" t="inlineStr">
        <is>
          <t>Akıl +1</t>
        </is>
      </c>
      <c r="G1339" s="6" t="inlineStr">
        <is>
          <t>“Sınavım var” dedin. Doğruydu; ama asıl sebep ekranda ağlayan teyzendi. Teyzen de bunu biliyordu.</t>
        </is>
      </c>
      <c r="H1339" s="6" t="inlineStr"/>
      <c r="I1339" s="6" t="inlineStr"/>
      <c r="J1339" s="6" t="inlineStr"/>
      <c r="K1339" s="6" t="inlineStr"/>
      <c r="L1339" s="6" t="inlineStr"/>
      <c r="M1339" s="5" t="inlineStr"/>
      <c r="N1339" s="5" t="inlineStr"/>
      <c r="O1339" s="6" t="inlineStr"/>
      <c r="P1339" s="6" t="inlineStr"/>
      <c r="Q1339" s="5" t="inlineStr"/>
      <c r="R1339" s="5" t="inlineStr"/>
      <c r="S1339" s="5" t="inlineStr"/>
      <c r="T1339" s="5" t="inlineStr"/>
      <c r="U1339" s="5" t="inlineStr"/>
      <c r="V1339" s="5" t="inlineStr"/>
      <c r="W1339" s="5" t="inlineStr"/>
      <c r="X1339" s="5" t="inlineStr"/>
      <c r="Y1339" s="5" t="inlineStr"/>
      <c r="Z1339" s="6" t="inlineStr"/>
      <c r="AA1339" s="5" t="inlineStr">
        <is>
          <t>Şen -1, Yalçın -1</t>
        </is>
      </c>
      <c r="AB1339" s="5" t="inlineStr"/>
      <c r="AC1339" s="5" t="inlineStr"/>
      <c r="AD1339" s="5" t="inlineStr"/>
      <c r="AE1339" s="5" t="inlineStr"/>
      <c r="AF1339" s="5" t="inlineStr"/>
      <c r="AG1339" s="5" t="inlineStr"/>
      <c r="AH1339" s="5" t="inlineStr"/>
      <c r="AI1339" s="5" t="inlineStr"/>
      <c r="AJ1339" s="5" t="inlineStr"/>
    </row>
    <row r="1340">
      <c r="A1340" s="5" t="inlineStr">
        <is>
          <t>b6-donus-bileti</t>
        </is>
      </c>
      <c r="B1340" s="5" t="n">
        <v>1</v>
      </c>
      <c r="C1340" s="6" t="inlineStr">
        <is>
          <t>Kal, burada iş bul</t>
        </is>
      </c>
      <c r="D1340" s="5" t="inlineStr">
        <is>
          <t>Akıl</t>
        </is>
      </c>
      <c r="E1340" s="5" t="inlineStr">
        <is>
          <t>Zor</t>
        </is>
      </c>
      <c r="F1340" s="5" t="inlineStr"/>
      <c r="G1340" s="6" t="inlineStr"/>
      <c r="H1340" s="6" t="inlineStr">
        <is>
          <t>Üç ayda on dört başvuru, bir teklif. Vizen uzatıldı. Annen haberi aldığında “Aferin” dedi, sonra telefonu kapattı ve ağladı.</t>
        </is>
      </c>
      <c r="I1340" s="6" t="inlineStr">
        <is>
          <t>İki şirket seni istedi. Pazarlık ettin ve kazandın. Maaşını memlekettekilere söylemedin; kur hesabı yapıyorlar.</t>
        </is>
      </c>
      <c r="J1340" s="6" t="inlineStr">
        <is>
          <t>İş çıkmadı ama vize uzadı. Kafeye döndün, bu sefer vardiya sorumlusu olarak. Annen komşulara “Orada müdür olmuş” diye anlattı; kafeyi atladı.</t>
        </is>
      </c>
      <c r="K1340" s="6" t="inlineStr">
        <is>
          <t>Başvuruların hiçbirine cevap gelmedi, vizen de bitmek üzere. Kafede çalışarak kalıyorsun; yarı yasal, tam yorgun.</t>
        </is>
      </c>
      <c r="L1340" s="6" t="inlineStr"/>
      <c r="M1340" s="5" t="inlineStr"/>
      <c r="N1340" s="5" t="inlineStr"/>
      <c r="O1340" s="6" t="inlineStr"/>
      <c r="P1340" s="6" t="inlineStr"/>
      <c r="Q1340" s="5" t="inlineStr"/>
      <c r="R1340" s="5" t="inlineStr"/>
      <c r="S1340" s="5" t="inlineStr"/>
      <c r="T1340" s="5" t="inlineStr"/>
      <c r="U1340" s="5" t="inlineStr"/>
      <c r="V1340" s="5" t="inlineStr">
        <is>
          <t>hat-goc, meslek-beyazyaka</t>
        </is>
      </c>
      <c r="W1340" s="5" t="inlineStr"/>
      <c r="X1340" s="5" t="inlineStr"/>
      <c r="Y1340" s="5" t="inlineStr"/>
      <c r="Z1340" s="6" t="inlineStr"/>
      <c r="AA1340" s="5" t="inlineStr">
        <is>
          <t>Varlı +1, Şen -1, Yalçın -1</t>
        </is>
      </c>
      <c r="AB1340" s="5" t="inlineStr">
        <is>
          <t>hat-goc, meslek-serbest</t>
        </is>
      </c>
      <c r="AC1340" s="5" t="inlineStr"/>
      <c r="AD1340" s="5" t="inlineStr">
        <is>
          <t>Rahat</t>
        </is>
      </c>
      <c r="AE1340" s="5" t="inlineStr"/>
      <c r="AF1340" s="5" t="inlineStr"/>
      <c r="AG1340" s="5" t="inlineStr"/>
      <c r="AH1340" s="5" t="inlineStr">
        <is>
          <t>Akıl 32</t>
        </is>
      </c>
      <c r="AI1340" s="5" t="inlineStr"/>
      <c r="AJ1340" s="5" t="inlineStr"/>
    </row>
    <row r="1341">
      <c r="A1341" s="5" t="inlineStr">
        <is>
          <t>b6-donus-bileti</t>
        </is>
      </c>
      <c r="B1341" s="5" t="n">
        <v>2</v>
      </c>
      <c r="C1341" s="6" t="inlineStr">
        <is>
          <t>Buradaki dostlarının şirketine gir</t>
        </is>
      </c>
      <c r="D1341" s="5" t="inlineStr">
        <is>
          <t>Sosyal Radar</t>
        </is>
      </c>
      <c r="E1341" s="5" t="inlineStr">
        <is>
          <t>Orta</t>
        </is>
      </c>
      <c r="F1341" s="5" t="inlineStr"/>
      <c r="G1341" s="6" t="inlineStr"/>
      <c r="H1341" s="6" t="inlineStr">
        <is>
          <t>Arkadaşının şirketi seni işe aldı. İlk gün seni herkese “Bizim Makaryalı” diye tanıttılar. İsmini öğrenmeleri üç ay sürdü.</t>
        </is>
      </c>
      <c r="I1341" s="6" t="inlineStr">
        <is>
          <t>Arkadaşların seni bir kurucu olarak aldı. Hisse verdiler; değeri şimdilik bir pizza kadar, ama büyük boy.</t>
        </is>
      </c>
      <c r="J1341" s="6" t="inlineStr">
        <is>
          <t>Arkadaşının şirketi batmak üzereydi. Seni işe aldılar, maaşı sonra vereceklermiş. Sonrası hâlâ gelmedi.</t>
        </is>
      </c>
      <c r="K1341" s="6" t="inlineStr">
        <is>
          <t>Şirket seni aldığı hafta battı. Kalmayı seçtin; bu sefer kafede, bu sefer müdür arkadaşın.</t>
        </is>
      </c>
      <c r="L1341" s="6" t="inlineStr"/>
      <c r="M1341" s="5" t="inlineStr"/>
      <c r="N1341" s="5" t="inlineStr"/>
      <c r="O1341" s="6" t="inlineStr"/>
      <c r="P1341" s="6" t="inlineStr"/>
      <c r="Q1341" s="5" t="inlineStr"/>
      <c r="R1341" s="5" t="inlineStr">
        <is>
          <t>yabanci-dil</t>
        </is>
      </c>
      <c r="S1341" s="5" t="inlineStr"/>
      <c r="T1341" s="5" t="inlineStr"/>
      <c r="U1341" s="5" t="inlineStr"/>
      <c r="V1341" s="5" t="inlineStr">
        <is>
          <t>hat-goc, meslek-beyazyaka</t>
        </is>
      </c>
      <c r="W1341" s="5" t="inlineStr"/>
      <c r="X1341" s="5" t="inlineStr"/>
      <c r="Y1341" s="5" t="inlineStr"/>
      <c r="Z1341" s="6" t="inlineStr"/>
      <c r="AA1341" s="5" t="inlineStr"/>
      <c r="AB1341" s="5" t="inlineStr">
        <is>
          <t>hat-goc, meslek-serbest</t>
        </is>
      </c>
      <c r="AC1341" s="5" t="inlineStr"/>
      <c r="AD1341" s="5" t="inlineStr">
        <is>
          <t>Rahat</t>
        </is>
      </c>
      <c r="AE1341" s="5" t="inlineStr"/>
      <c r="AF1341" s="5" t="inlineStr"/>
      <c r="AG1341" s="5" t="inlineStr"/>
      <c r="AH1341" s="5" t="inlineStr"/>
      <c r="AI1341" s="5" t="inlineStr"/>
      <c r="AJ1341" s="5" t="inlineStr"/>
    </row>
    <row r="1342">
      <c r="A1342" s="5" t="inlineStr">
        <is>
          <t>b6-donus-bileti</t>
        </is>
      </c>
      <c r="B1342" s="5" t="n">
        <v>3</v>
      </c>
      <c r="C1342" s="6" t="inlineStr">
        <is>
          <t>Dön, diplomanla plazaya gir</t>
        </is>
      </c>
      <c r="D1342" s="5" t="inlineStr"/>
      <c r="E1342" s="5" t="inlineStr"/>
      <c r="F1342" s="5" t="inlineStr">
        <is>
          <t>İtibar +1, Çene +1</t>
        </is>
      </c>
      <c r="G1342" s="6" t="inlineStr">
        <is>
          <t>Tek yön bilet aldın. Havalimanında on iki akraba seni karşıladı; biri yalnızca havalimanını görmeye gelmişti. İki hafta sonra bir plazada başladın; koridorda adın “Öte Diyar görmüş”.</t>
        </is>
      </c>
      <c r="H1342" s="6" t="inlineStr"/>
      <c r="I1342" s="6" t="inlineStr"/>
      <c r="J1342" s="6" t="inlineStr"/>
      <c r="K1342" s="6" t="inlineStr"/>
      <c r="L1342" s="6" t="inlineStr"/>
      <c r="M1342" s="5" t="inlineStr"/>
      <c r="N1342" s="5" t="inlineStr"/>
      <c r="O1342" s="6" t="inlineStr"/>
      <c r="P1342" s="6" t="inlineStr"/>
      <c r="Q1342" s="5" t="inlineStr"/>
      <c r="R1342" s="5" t="inlineStr"/>
      <c r="S1342" s="5" t="inlineStr"/>
      <c r="T1342" s="5" t="inlineStr"/>
      <c r="U1342" s="5" t="inlineStr">
        <is>
          <t>yurtdan-dondu, meslek-beyazyaka</t>
        </is>
      </c>
      <c r="V1342" s="5" t="inlineStr"/>
      <c r="W1342" s="5" t="inlineStr"/>
      <c r="X1342" s="5" t="inlineStr"/>
      <c r="Y1342" s="5" t="inlineStr"/>
      <c r="Z1342" s="6" t="inlineStr"/>
      <c r="AA1342" s="5" t="inlineStr">
        <is>
          <t>hepsi +1</t>
        </is>
      </c>
      <c r="AB1342" s="5" t="inlineStr"/>
      <c r="AC1342" s="5" t="inlineStr"/>
      <c r="AD1342" s="5" t="inlineStr">
        <is>
          <t>Orta</t>
        </is>
      </c>
      <c r="AE1342" s="5" t="inlineStr"/>
      <c r="AF1342" s="5" t="inlineStr"/>
      <c r="AG1342" s="5" t="inlineStr"/>
      <c r="AH1342" s="5" t="inlineStr"/>
      <c r="AI1342" s="5" t="inlineStr"/>
      <c r="AJ1342" s="5" t="inlineStr"/>
    </row>
    <row r="1343">
      <c r="A1343" s="5" t="inlineStr">
        <is>
          <t>b6-donus-bileti</t>
        </is>
      </c>
      <c r="B1343" s="5" t="n">
        <v>4</v>
      </c>
      <c r="C1343" s="6" t="inlineStr">
        <is>
          <t>Dön, orada gördüğün işi burada kur</t>
        </is>
      </c>
      <c r="D1343" s="5" t="inlineStr">
        <is>
          <t>Kurnazlık</t>
        </is>
      </c>
      <c r="E1343" s="5" t="inlineStr">
        <is>
          <t>Zor</t>
        </is>
      </c>
      <c r="F1343" s="5" t="inlineStr"/>
      <c r="G1343" s="6" t="inlineStr"/>
      <c r="H1343" s="6" t="inlineStr">
        <is>
          <t>Öte Diyar'da her köşede olan bir işi Makarya'da ilk sen açtın. İlk ay kimse ne olduğunu anlamadı, ikinci ay kuyruk vardı.</t>
        </is>
      </c>
      <c r="I1343" s="6" t="inlineStr">
        <is>
          <t>Fikrini bir yatırımcıya anlattın; yatırımcı kendi kuzenine anlattı. Sonunda ikisi de ortağın oldu.</t>
        </is>
      </c>
      <c r="J1343" s="6" t="inlineStr">
        <is>
          <t>İşi kurdun, Makarya anlamadı. Kapattın ve bir plazaya başvurdun; özgeçmişinde “girişimcilik deneyimi” yazıyor.</t>
        </is>
      </c>
      <c r="K1343" s="6" t="inlineStr">
        <is>
          <t>Kurduğun iş, açıldığı hafta karşısında açılan bir kopyasına yenildi. Kopyanın adı seninkinden daha iyiydi.</t>
        </is>
      </c>
      <c r="L1343" s="6" t="inlineStr"/>
      <c r="M1343" s="5" t="inlineStr"/>
      <c r="N1343" s="5" t="inlineStr"/>
      <c r="O1343" s="6" t="inlineStr"/>
      <c r="P1343" s="6" t="inlineStr"/>
      <c r="Q1343" s="5" t="inlineStr"/>
      <c r="R1343" s="5" t="inlineStr"/>
      <c r="S1343" s="5" t="inlineStr"/>
      <c r="T1343" s="5" t="inlineStr"/>
      <c r="U1343" s="5" t="inlineStr"/>
      <c r="V1343" s="5" t="inlineStr">
        <is>
          <t>hat-girisimci, meslek-serbest, yurtdan-dondu</t>
        </is>
      </c>
      <c r="W1343" s="5" t="inlineStr"/>
      <c r="X1343" s="5" t="inlineStr"/>
      <c r="Y1343" s="5" t="inlineStr"/>
      <c r="Z1343" s="6" t="inlineStr"/>
      <c r="AA1343" s="5" t="inlineStr">
        <is>
          <t>hepsi +1</t>
        </is>
      </c>
      <c r="AB1343" s="5" t="inlineStr">
        <is>
          <t>yurtdan-dondu, meslek-beyazyaka</t>
        </is>
      </c>
      <c r="AC1343" s="5" t="inlineStr"/>
      <c r="AD1343" s="5" t="inlineStr">
        <is>
          <t>Orta</t>
        </is>
      </c>
      <c r="AE1343" s="5" t="inlineStr"/>
      <c r="AF1343" s="5" t="inlineStr"/>
      <c r="AG1343" s="5" t="inlineStr"/>
      <c r="AH1343" s="5" t="inlineStr"/>
      <c r="AI1343" s="5" t="inlineStr"/>
      <c r="AJ1343" s="5" t="inlineStr"/>
    </row>
    <row r="1344">
      <c r="A1344" s="5" t="inlineStr">
        <is>
          <t>b6-evden-okul</t>
        </is>
      </c>
      <c r="B1344" s="5" t="n">
        <v>1</v>
      </c>
      <c r="C1344" s="6" t="inlineStr">
        <is>
          <t>Kurala uy, on birde evde ol</t>
        </is>
      </c>
      <c r="D1344" s="5" t="inlineStr"/>
      <c r="E1344" s="5" t="inlineStr"/>
      <c r="F1344" s="5" t="inlineStr">
        <is>
          <t>Dayanıklılık +1, Gönül +1</t>
        </is>
      </c>
      <c r="G1344" s="6" t="inlineStr">
        <is>
          <t>Her akşam on bire beş kala anahtar kilitte döndü. Arkadaşların sana “Külkedisi” diyor. Buzdolabı dolu; Külkedisi'nin böyle bir imkânı yoktu.</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is>
          <t>hepsi +1</t>
        </is>
      </c>
      <c r="AB1344" s="5" t="inlineStr"/>
      <c r="AC1344" s="5" t="inlineStr"/>
      <c r="AD1344" s="5" t="inlineStr"/>
      <c r="AE1344" s="5" t="inlineStr"/>
      <c r="AF1344" s="5" t="inlineStr"/>
      <c r="AG1344" s="5" t="inlineStr"/>
      <c r="AH1344" s="5" t="inlineStr"/>
      <c r="AI1344" s="5" t="inlineStr"/>
      <c r="AJ1344" s="5" t="inlineStr"/>
    </row>
    <row r="1345">
      <c r="A1345" s="5" t="inlineStr">
        <is>
          <t>b6-evden-okul</t>
        </is>
      </c>
      <c r="B1345" s="5" t="n">
        <v>2</v>
      </c>
      <c r="C1345" s="6" t="inlineStr">
        <is>
          <t>Saati bire çıkarmak için pazarlık et</t>
        </is>
      </c>
      <c r="D1345" s="5" t="inlineStr">
        <is>
          <t>Çene</t>
        </is>
      </c>
      <c r="E1345" s="5" t="inlineStr">
        <is>
          <t>Orta</t>
        </is>
      </c>
      <c r="F1345" s="5" t="inlineStr"/>
      <c r="G1345" s="6" t="inlineStr"/>
      <c r="H1345" s="6" t="inlineStr">
        <is>
          <t>Saat yarım saat esnedi. “Kütüphane” kelimesinin evde bu kadar güçlü olduğunu bilmiyordun.</t>
        </is>
      </c>
      <c r="I1345" s="6" t="inlineStr">
        <is>
          <t>Pazarlık öyle iyi geçti ki cumartesileri saat sınırı kalktı. Annen bunu kendi fikri sandı.</t>
        </is>
      </c>
      <c r="J1345" s="6" t="inlineStr">
        <is>
          <t>Pazarlık bir saat sürdü; saat on bir olarak kaldı, üstüne bir de “Kiminlesin?” sorusu eklendi.</t>
        </is>
      </c>
      <c r="K1345" s="6" t="inlineStr">
        <is>
          <t>Pazarlığın ortasında telefonuna bir mesaj geldi: “Bu gece nereye?” Annen okudu. Saat on oldu.</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c r="AI1345" s="5" t="inlineStr"/>
      <c r="AJ1345" s="5" t="inlineStr"/>
    </row>
    <row r="1346">
      <c r="A1346" s="5" t="inlineStr">
        <is>
          <t>b6-evden-okul</t>
        </is>
      </c>
      <c r="B1346" s="5" t="n">
        <v>3</v>
      </c>
      <c r="C1346" s="6" t="inlineStr">
        <is>
          <t>Gizlice geç gel</t>
        </is>
      </c>
      <c r="D1346" s="5" t="inlineStr">
        <is>
          <t>Kurnazlık</t>
        </is>
      </c>
      <c r="E1346" s="5" t="inlineStr">
        <is>
          <t>Zor</t>
        </is>
      </c>
      <c r="F1346" s="5" t="inlineStr"/>
      <c r="G1346" s="6" t="inlineStr"/>
      <c r="H1346" s="6" t="inlineStr">
        <is>
          <t>Anahtarı sessizce çevirmeyi, gıcırdayan üçüncü basamağı atlamayı öğrendin. Sabah kahvaltıda baban “Dün erken yattın galiba” dedi; ağzın doluydu, başını salladın.</t>
        </is>
      </c>
      <c r="I1346" s="6" t="inlineStr">
        <is>
          <t>Gece gelişlerinde öyle ustalaştın ki bir gece merdivende annenle karşılaştın; o da ayakkabıları elinde, geç geliyordu. İkiniz de bir şey demediniz. Ertesi hafta saat sınırı kendiliğinden kalktı.</t>
        </is>
      </c>
      <c r="J1346" s="6" t="inlineStr">
        <is>
          <t>Üçüncü basamak gıcırdadı. Işık yandı. Babanın sorusu kısaydı: “Saat?”</t>
        </is>
      </c>
      <c r="K1346" s="6" t="inlineStr">
        <is>
          <t>Kapıyı açtığında salonda annen, baban ve teyzen oturuyordu. Teyzen o gece sizde kalmıştı; tanık olarak.</t>
        </is>
      </c>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c r="AB1346" s="5" t="inlineStr"/>
      <c r="AC1346" s="5" t="inlineStr"/>
      <c r="AD1346" s="5" t="inlineStr"/>
      <c r="AE1346" s="5" t="inlineStr"/>
      <c r="AF1346" s="5" t="inlineStr"/>
      <c r="AG1346" s="5" t="inlineStr"/>
      <c r="AH1346" s="5" t="inlineStr"/>
      <c r="AI1346" s="5" t="inlineStr"/>
      <c r="AJ1346" s="5" t="inlineStr"/>
    </row>
    <row r="1347">
      <c r="A1347" s="5" t="inlineStr">
        <is>
          <t>b6-bolum-ilk-yil</t>
        </is>
      </c>
      <c r="B1347" s="5" t="n">
        <v>1</v>
      </c>
      <c r="C1347" s="6" t="inlineStr">
        <is>
          <t>Derslere gir, not al, çık</t>
        </is>
      </c>
      <c r="D1347" s="5" t="inlineStr"/>
      <c r="E1347" s="5" t="inlineStr"/>
      <c r="F1347" s="5" t="inlineStr">
        <is>
          <t>Akıl +1, Dayanıklılık +1</t>
        </is>
      </c>
      <c r="G1347" s="6" t="inlineStr">
        <is>
          <t>Bir yıl boyunca derslere girdin, çıktın. Annen notlarını sordu; “İyi” dedin. “İyi ne kadar iyi?” dedi. Orta kadar.</t>
        </is>
      </c>
      <c r="H1347" s="6" t="inlineStr"/>
      <c r="I1347" s="6" t="inlineStr"/>
      <c r="J1347" s="6" t="inlineStr"/>
      <c r="K1347" s="6" t="inlineStr"/>
      <c r="L1347" s="6" t="inlineStr"/>
      <c r="M1347" s="5" t="inlineStr"/>
      <c r="N1347" s="5" t="inlineStr"/>
      <c r="O1347" s="6" t="inlineStr"/>
      <c r="P1347" s="6" t="inlineStr"/>
      <c r="Q1347" s="5" t="inlineStr"/>
      <c r="R1347" s="5" t="inlineStr"/>
      <c r="S1347" s="5" t="inlineStr"/>
      <c r="T1347" s="5" t="inlineStr"/>
      <c r="U1347" s="5" t="inlineStr"/>
      <c r="V1347" s="5" t="inlineStr"/>
      <c r="W1347" s="5" t="inlineStr"/>
      <c r="X1347" s="5" t="inlineStr"/>
      <c r="Y1347" s="5" t="inlineStr"/>
      <c r="Z1347" s="6" t="inlineStr"/>
      <c r="AA1347" s="5" t="inlineStr"/>
      <c r="AB1347" s="5" t="inlineStr"/>
      <c r="AC1347" s="5" t="inlineStr"/>
      <c r="AD1347" s="5" t="inlineStr"/>
      <c r="AE1347" s="5" t="inlineStr"/>
      <c r="AF1347" s="5" t="inlineStr"/>
      <c r="AG1347" s="5" t="inlineStr"/>
      <c r="AH1347" s="5" t="inlineStr"/>
      <c r="AI1347" s="5" t="inlineStr"/>
      <c r="AJ1347" s="5" t="inlineStr"/>
    </row>
    <row r="1348">
      <c r="A1348" s="5" t="inlineStr">
        <is>
          <t>b6-bolum-ilk-yil</t>
        </is>
      </c>
      <c r="B1348" s="5" t="n">
        <v>2</v>
      </c>
      <c r="C1348" s="6" t="inlineStr">
        <is>
          <t>Adliyede duruşma izle</t>
        </is>
      </c>
      <c r="D1348" s="5" t="inlineStr">
        <is>
          <t>Sosyal Radar</t>
        </is>
      </c>
      <c r="E1348" s="5" t="inlineStr">
        <is>
          <t>Orta</t>
        </is>
      </c>
      <c r="F1348" s="5" t="inlineStr"/>
      <c r="G1348" s="6" t="inlineStr"/>
      <c r="H1348" s="6" t="inlineStr">
        <is>
          <t>Arka sırada üç duruşma izledin. Hâkimin kalemi masaya vurduğu an, bütün salonun nefesini tuttuğunu gördün. Bu salonu bir gün kendin susturmak istiyorsun.</t>
        </is>
      </c>
      <c r="I1348" s="6" t="inlineStr">
        <is>
          <t>Bir avukat seni fark etti ve dosyasını taşımanı istedi. Dosya ağırdı; teklifi daha da ağırdı: “Yazın stajyerim ol.”</t>
        </is>
      </c>
      <c r="J1348" s="6" t="inlineStr">
        <is>
          <t>Yanlış salona girdin. Bir boşanma davasını sonuna kadar izledin; tarafların ikisi de sana baktı.</t>
        </is>
      </c>
      <c r="K1348" s="6" t="inlineStr">
        <is>
          <t>Duruşmada telefonun çaldı. Hâkim seni “salona saygısızlık” diye uyardı. Tutanaktaki ilk adın bu.</t>
        </is>
      </c>
      <c r="L1348" s="6" t="inlineStr"/>
      <c r="M1348" s="5" t="inlineStr"/>
      <c r="N1348" s="5" t="inlineStr"/>
      <c r="O1348" s="6" t="inlineStr"/>
      <c r="P1348" s="6" t="inlineStr"/>
      <c r="Q1348" s="5" t="inlineStr"/>
      <c r="R1348" s="5" t="inlineStr">
        <is>
          <t>bolum-hukuk</t>
        </is>
      </c>
      <c r="S1348" s="5" t="inlineStr"/>
      <c r="T1348" s="5" t="inlineStr"/>
      <c r="U1348" s="5" t="inlineStr"/>
      <c r="V1348" s="5" t="inlineStr"/>
      <c r="W1348" s="5" t="inlineStr"/>
      <c r="X1348" s="5" t="inlineStr"/>
      <c r="Y1348" s="5" t="inlineStr"/>
      <c r="Z1348" s="6" t="inlineStr"/>
      <c r="AA1348" s="5" t="inlineStr"/>
      <c r="AB1348" s="5" t="inlineStr"/>
      <c r="AC1348" s="5" t="inlineStr"/>
      <c r="AD1348" s="5" t="inlineStr"/>
      <c r="AE1348" s="5" t="inlineStr"/>
      <c r="AF1348" s="5" t="inlineStr"/>
      <c r="AG1348" s="5" t="inlineStr"/>
      <c r="AH1348" s="5" t="inlineStr"/>
      <c r="AI1348" s="5" t="inlineStr"/>
      <c r="AJ1348" s="5" t="inlineStr"/>
    </row>
    <row r="1349">
      <c r="A1349" s="5" t="inlineStr">
        <is>
          <t>b6-bolum-ilk-yil</t>
        </is>
      </c>
      <c r="B1349" s="5" t="n">
        <v>3</v>
      </c>
      <c r="C1349" s="6" t="inlineStr">
        <is>
          <t>İçtimada en önde dur</t>
        </is>
      </c>
      <c r="D1349" s="5" t="inlineStr">
        <is>
          <t>Dayanıklılık</t>
        </is>
      </c>
      <c r="E1349" s="5" t="inlineStr">
        <is>
          <t>Orta</t>
        </is>
      </c>
      <c r="F1349" s="5" t="inlineStr"/>
      <c r="G1349" s="6" t="inlineStr"/>
      <c r="H1349" s="6" t="inlineStr">
        <is>
          <t>Sabah altıda en öndeydin. Komiser amir adını sordu, ertesi gün adınla seslendi. Babana anlattın; baban o akşam iki kez sordu: “Adını mı söyledi?”</t>
        </is>
      </c>
      <c r="I1349" s="6" t="inlineStr">
        <is>
          <t>Bütün yıl hiç geç kalmadın. Tören günü sancağı sen taşıdın; annen fotoğrafı çerçevelettirdi, baban cüzdanına koydu.</t>
        </is>
      </c>
      <c r="J1349" s="6" t="inlineStr">
        <is>
          <t>En önde durdun, sonra bayıldın. Revirde uyandığında hemşire “Kahvaltı?” diye sordu. Yapmamıştın.</t>
        </is>
      </c>
      <c r="K1349" s="6" t="inlineStr">
        <is>
          <t>İçtimada yanlış tarafa döndün. Bütün sıra seninle döndü. Komiser amir “Yeni bir düzen mi?” diye sordu.</t>
        </is>
      </c>
      <c r="L1349" s="6" t="inlineStr"/>
      <c r="M1349" s="5" t="inlineStr"/>
      <c r="N1349" s="5" t="inlineStr"/>
      <c r="O1349" s="6" t="inlineStr"/>
      <c r="P1349" s="6" t="inlineStr"/>
      <c r="Q1349" s="5" t="inlineStr"/>
      <c r="R1349" s="5" t="inlineStr">
        <is>
          <t>bolum-emniyet</t>
        </is>
      </c>
      <c r="S1349" s="5" t="inlineStr"/>
      <c r="T1349" s="5" t="inlineStr"/>
      <c r="U1349" s="5" t="inlineStr"/>
      <c r="V1349" s="5" t="inlineStr"/>
      <c r="W1349" s="5" t="inlineStr"/>
      <c r="X1349" s="5" t="inlineStr"/>
      <c r="Y1349" s="5" t="inlineStr"/>
      <c r="Z1349" s="6" t="inlineStr"/>
      <c r="AA1349" s="5" t="inlineStr"/>
      <c r="AB1349" s="5" t="inlineStr"/>
      <c r="AC1349" s="5" t="inlineStr"/>
      <c r="AD1349" s="5" t="inlineStr"/>
      <c r="AE1349" s="5" t="inlineStr"/>
      <c r="AF1349" s="5" t="inlineStr"/>
      <c r="AG1349" s="5" t="inlineStr"/>
      <c r="AH1349" s="5" t="inlineStr"/>
      <c r="AI1349" s="5" t="inlineStr"/>
      <c r="AJ1349" s="5" t="inlineStr"/>
    </row>
    <row r="1350">
      <c r="A1350" s="5" t="inlineStr">
        <is>
          <t>b6-bolum-ilk-yil</t>
        </is>
      </c>
      <c r="B1350" s="5" t="n">
        <v>4</v>
      </c>
      <c r="C1350" s="6" t="inlineStr">
        <is>
          <t>Laboratuvardaki arızayı sen çöz</t>
        </is>
      </c>
      <c r="D1350" s="5" t="inlineStr">
        <is>
          <t>Akıl</t>
        </is>
      </c>
      <c r="E1350" s="5" t="inlineStr">
        <is>
          <t>Orta</t>
        </is>
      </c>
      <c r="F1350" s="5" t="inlineStr"/>
      <c r="G1350" s="6" t="inlineStr"/>
      <c r="H1350" s="6" t="inlineStr">
        <is>
          <t>Hocanın çözemediği cihazı sen çözdün; kablo takılı değilmiş. Asistan o günden beri sana “Mühendis” diye sesleniyor.</t>
        </is>
      </c>
      <c r="I1350" s="6" t="inlineStr">
        <is>
          <t>Cihazı çözdün, bir de programını düzelttin. Hoca seni araştırma grubuna aldı; maaşı yok, anahtarı var.</t>
        </is>
      </c>
      <c r="J1350" s="6" t="inlineStr">
        <is>
          <t>Cihaz açıldı, ekranda bir hata kodu belirdi. Hocaya gösterdin; hoca da çözemedi. İkiniz cihazı kapattınız ve hiç açılmamış gibi davrandınız.</t>
        </is>
      </c>
      <c r="K1350" s="6" t="inlineStr">
        <is>
          <t>Kabloyu yanlış yere taktın. Bölümün bütün sigortaları attı. Adın panoda: “Bu öğrenci prize yaklaşamaz.”</t>
        </is>
      </c>
      <c r="L1350" s="6" t="inlineStr"/>
      <c r="M1350" s="5" t="inlineStr"/>
      <c r="N1350" s="5" t="inlineStr"/>
      <c r="O1350" s="6" t="inlineStr"/>
      <c r="P1350" s="6" t="inlineStr"/>
      <c r="Q1350" s="5" t="inlineStr"/>
      <c r="R1350" s="5" t="inlineStr">
        <is>
          <t>bolum-muhendislik</t>
        </is>
      </c>
      <c r="S1350" s="5" t="inlineStr"/>
      <c r="T1350" s="5" t="inlineStr"/>
      <c r="U1350" s="5" t="inlineStr"/>
      <c r="V1350" s="5" t="inlineStr"/>
      <c r="W1350" s="5" t="inlineStr"/>
      <c r="X1350" s="5" t="inlineStr"/>
      <c r="Y1350" s="5" t="inlineStr"/>
      <c r="Z1350" s="6" t="inlineStr"/>
      <c r="AA1350" s="5" t="inlineStr"/>
      <c r="AB1350" s="5" t="inlineStr"/>
      <c r="AC1350" s="5" t="inlineStr"/>
      <c r="AD1350" s="5" t="inlineStr"/>
      <c r="AE1350" s="5" t="inlineStr"/>
      <c r="AF1350" s="5" t="inlineStr"/>
      <c r="AG1350" s="5" t="inlineStr"/>
      <c r="AH1350" s="5" t="inlineStr"/>
      <c r="AI1350" s="5" t="inlineStr"/>
      <c r="AJ1350" s="5" t="inlineStr"/>
    </row>
    <row r="1351">
      <c r="A1351" s="5" t="inlineStr">
        <is>
          <t>b6-bolum-ilk-yil</t>
        </is>
      </c>
      <c r="B1351" s="5" t="n">
        <v>5</v>
      </c>
      <c r="C1351" s="6" t="inlineStr">
        <is>
          <t>İlk seçmeye gir</t>
        </is>
      </c>
      <c r="D1351" s="5" t="inlineStr">
        <is>
          <t>Pişkinlik</t>
        </is>
      </c>
      <c r="E1351" s="5" t="inlineStr">
        <is>
          <t>Orta</t>
        </is>
      </c>
      <c r="F1351" s="5" t="inlineStr"/>
      <c r="G1351" s="6" t="inlineStr"/>
      <c r="H1351" s="6" t="inlineStr">
        <is>
          <t>Sahnede üç dakikan vardı; iki dakika elli saniye kullandın. Jüri seni hatırladı; bir de ismini.</t>
        </is>
      </c>
      <c r="I1351" s="6" t="inlineStr">
        <is>
          <t>Jüri seni bir reklam filminin setine önerdi. İlk rolün: “Çayını yudumlayan mutlu genç.” Çay soğuktu.</t>
        </is>
      </c>
      <c r="J1351" s="6" t="inlineStr">
        <is>
          <t>Seçmede metni unuttun ve doğaçlama yaptın. Jüri “Bu metinde öyle bir sahne yok” dedi.</t>
        </is>
      </c>
      <c r="K1351" s="6" t="inlineStr">
        <is>
          <t>Sahneye çıkarken perdeye takıldın; perde rayıyla birlikte indi. Jüri ayağa kalkıp alkışladı, sonra not kâğıdına baktı: “Bu bir dram seçmesiydi.”</t>
        </is>
      </c>
      <c r="L1351" s="6" t="inlineStr"/>
      <c r="M1351" s="5" t="inlineStr"/>
      <c r="N1351" s="5" t="inlineStr"/>
      <c r="O1351" s="6" t="inlineStr"/>
      <c r="P1351" s="6" t="inlineStr"/>
      <c r="Q1351" s="5" t="inlineStr"/>
      <c r="R1351" s="5" t="inlineStr">
        <is>
          <t>bolum-iletisim</t>
        </is>
      </c>
      <c r="S1351" s="5" t="inlineStr"/>
      <c r="T1351" s="5" t="inlineStr"/>
      <c r="U1351" s="5" t="inlineStr"/>
      <c r="V1351" s="5" t="inlineStr"/>
      <c r="W1351" s="5" t="inlineStr"/>
      <c r="X1351" s="5" t="inlineStr"/>
      <c r="Y1351" s="5" t="inlineStr"/>
      <c r="Z1351" s="6" t="inlineStr"/>
      <c r="AA1351" s="5" t="inlineStr"/>
      <c r="AB1351" s="5" t="inlineStr"/>
      <c r="AC1351" s="5" t="inlineStr"/>
      <c r="AD1351" s="5" t="inlineStr"/>
      <c r="AE1351" s="5" t="inlineStr"/>
      <c r="AF1351" s="5" t="inlineStr"/>
      <c r="AG1351" s="5" t="inlineStr"/>
      <c r="AH1351" s="5" t="inlineStr"/>
      <c r="AI1351" s="5" t="inlineStr"/>
      <c r="AJ1351" s="5" t="inlineStr"/>
    </row>
    <row r="1352">
      <c r="A1352" s="5" t="inlineStr">
        <is>
          <t>b6-bolum-ilk-yil</t>
        </is>
      </c>
      <c r="B1352" s="5" t="n">
        <v>6</v>
      </c>
      <c r="C1352" s="6" t="inlineStr">
        <is>
          <t>Kantinde vaka analizi yap</t>
        </is>
      </c>
      <c r="D1352" s="5" t="inlineStr">
        <is>
          <t>Kurnazlık</t>
        </is>
      </c>
      <c r="E1352" s="5" t="inlineStr">
        <is>
          <t>Orta</t>
        </is>
      </c>
      <c r="F1352" s="5" t="inlineStr"/>
      <c r="G1352" s="6" t="inlineStr"/>
      <c r="H1352" s="6" t="inlineStr">
        <is>
          <t>Kantincinin tost fiyatlarını analiz ettin ve yeni bir menü önerdin. Kantinci uyguladı; kârın yüzde onu sana tost olarak dönüyor.</t>
        </is>
      </c>
      <c r="I1352" s="6" t="inlineStr">
        <is>
          <t>Analizini ödev diye teslim ettin; hoca derste örnek diye okudu. Kantinci de duydu, ertesi gün tezgâha senin fiyat listeni astı. Altında: “Hocamızın tavsiyesidir.”</t>
        </is>
      </c>
      <c r="J1352" s="6" t="inlineStr">
        <is>
          <t>Kantinciye analizini anlattın. Sonuna kadar dinledi, sonra tostunu uzattı: “Sen bunu ye, ben otuz yıldır tost satıyorum.”</t>
        </is>
      </c>
      <c r="K1352" s="6" t="inlineStr">
        <is>
          <t>Analizini kantinin duvarına astın. Ertesi gün tost fiyatı arttı ve bütün bölüm seni suçladı. Kantinci artık sana “Hocam” diyor; tostunu da en son veriyor.</t>
        </is>
      </c>
      <c r="L1352" s="6" t="inlineStr"/>
      <c r="M1352" s="5" t="inlineStr"/>
      <c r="N1352" s="5" t="inlineStr"/>
      <c r="O1352" s="6" t="inlineStr"/>
      <c r="P1352" s="6" t="inlineStr"/>
      <c r="Q1352" s="5" t="inlineStr"/>
      <c r="R1352" s="5" t="inlineStr">
        <is>
          <t>bolum-isletme</t>
        </is>
      </c>
      <c r="S1352" s="5" t="inlineStr"/>
      <c r="T1352" s="5" t="inlineStr"/>
      <c r="U1352" s="5" t="inlineStr"/>
      <c r="V1352" s="5" t="inlineStr"/>
      <c r="W1352" s="5" t="inlineStr"/>
      <c r="X1352" s="5" t="inlineStr"/>
      <c r="Y1352" s="5" t="inlineStr"/>
      <c r="Z1352" s="6" t="inlineStr"/>
      <c r="AA1352" s="5" t="inlineStr"/>
      <c r="AB1352" s="5" t="inlineStr"/>
      <c r="AC1352" s="5" t="inlineStr"/>
      <c r="AD1352" s="5" t="inlineStr"/>
      <c r="AE1352" s="5" t="inlineStr"/>
      <c r="AF1352" s="5" t="inlineStr"/>
      <c r="AG1352" s="5" t="inlineStr"/>
      <c r="AH1352" s="5" t="inlineStr"/>
      <c r="AI1352" s="5" t="inlineStr"/>
      <c r="AJ1352" s="5" t="inlineStr"/>
    </row>
    <row r="1353">
      <c r="A1353" s="5" t="inlineStr">
        <is>
          <t>b6-bolum-ilk-yil</t>
        </is>
      </c>
      <c r="B1353" s="5" t="n">
        <v>7</v>
      </c>
      <c r="C1353" s="6" t="inlineStr">
        <is>
          <t>Kadavra dersinde ayakta kal</t>
        </is>
      </c>
      <c r="D1353" s="5" t="inlineStr">
        <is>
          <t>Dayanıklılık</t>
        </is>
      </c>
      <c r="E1353" s="5" t="inlineStr">
        <is>
          <t>Orta</t>
        </is>
      </c>
      <c r="F1353" s="5" t="inlineStr"/>
      <c r="G1353" s="6" t="inlineStr"/>
      <c r="H1353" s="6" t="inlineStr">
        <is>
          <t>Herkes birer birer dışarı çıkarken sen kaldın. Hoca sana başıyla onay verdi; tıp fakültesinde bu bir alkıştır.</t>
        </is>
      </c>
      <c r="I1353" s="6" t="inlineStr">
        <is>
          <t>Dersin sonunda hoca seni asistanı yaptı. Aile grubunda artık her semptom sana soruluyor; teyzen fotoğraf da atıyor.</t>
        </is>
      </c>
      <c r="J1353" s="6" t="inlineStr">
        <is>
          <t>Ayakta kaldın ama rengin kalmadı. Hoca seni koridora çıkardı: “Bir çay iç, sonra gel.” Gelmedin.</t>
        </is>
      </c>
      <c r="K1353" s="6" t="inlineStr">
        <is>
          <t>Bayıldın; üstelik yanındaki arkadaşının üstüne. O da bayıldı, arkasındaki de. Fakültede adın artık “Domino”.</t>
        </is>
      </c>
      <c r="L1353" s="6" t="inlineStr">
        <is>
          <t>Ayakta kaldın ama dersin yarısını tavana bakarak dinledin. Notların daha çok tavanla ilgili.</t>
        </is>
      </c>
      <c r="M1353" s="5" t="inlineStr">
        <is>
          <t>timing</t>
        </is>
      </c>
      <c r="N1353" s="5" t="inlineStr">
        <is>
          <t>Derin Nefes</t>
        </is>
      </c>
      <c r="O1353" s="6" t="inlineStr">
        <is>
          <t>İbre yeşil alandayken DURDUR'a bas. Art arda tutturdukça kombo kazanırsın.</t>
        </is>
      </c>
      <c r="P1353" s="6" t="n"/>
      <c r="Q1353" s="5" t="inlineStr"/>
      <c r="R1353" s="5" t="inlineStr">
        <is>
          <t>bolum-tip</t>
        </is>
      </c>
      <c r="S1353" s="5" t="inlineStr"/>
      <c r="T1353" s="5" t="inlineStr"/>
      <c r="U1353" s="5" t="inlineStr"/>
      <c r="V1353" s="5" t="inlineStr"/>
      <c r="W1353" s="5" t="inlineStr"/>
      <c r="X1353" s="5" t="inlineStr"/>
      <c r="Y1353" s="5" t="inlineStr"/>
      <c r="Z1353" s="6" t="inlineStr"/>
      <c r="AA1353" s="5" t="inlineStr"/>
      <c r="AB1353" s="5" t="inlineStr"/>
      <c r="AC1353" s="5" t="inlineStr"/>
      <c r="AD1353" s="5" t="inlineStr"/>
      <c r="AE1353" s="5" t="inlineStr"/>
      <c r="AF1353" s="5" t="inlineStr"/>
      <c r="AG1353" s="5" t="inlineStr"/>
      <c r="AH1353" s="5" t="inlineStr"/>
      <c r="AI1353" s="5" t="inlineStr">
        <is>
          <t>Domino</t>
        </is>
      </c>
      <c r="AJ1353" s="5" t="inlineStr"/>
    </row>
    <row r="1354">
      <c r="A1354" s="5" t="inlineStr">
        <is>
          <t>b6-evden-cikis</t>
        </is>
      </c>
      <c r="B1354" s="5" t="n">
        <v>1</v>
      </c>
      <c r="C1354" s="6" t="inlineStr">
        <is>
          <t>Ailenin yanında kal</t>
        </is>
      </c>
      <c r="D1354" s="5" t="inlineStr"/>
      <c r="E1354" s="5" t="inlineStr"/>
      <c r="F1354" s="5" t="inlineStr">
        <is>
          <t>Kurnazlık +1, Gönül +1</t>
        </is>
      </c>
      <c r="G1354" s="6" t="inlineStr">
        <is>
          <t>Kalmaya karar verdin. Annen o akşam en sevdiğin yemeği yaptı; baban da televizyonun kumandasını ilk kez sana uzattı. Kira yok, ama akşam dokuzda “Nereye?” var.</t>
        </is>
      </c>
      <c r="H1354" s="6" t="inlineStr"/>
      <c r="I1354" s="6" t="inlineStr"/>
      <c r="J1354" s="6" t="inlineStr"/>
      <c r="K1354" s="6" t="inlineStr"/>
      <c r="L1354" s="6" t="inlineStr"/>
      <c r="M1354" s="5" t="inlineStr"/>
      <c r="N1354" s="5" t="inlineStr"/>
      <c r="O1354" s="6" t="inlineStr"/>
      <c r="P1354" s="6" t="inlineStr"/>
      <c r="Q1354" s="5" t="inlineStr"/>
      <c r="R1354" s="5" t="inlineStr"/>
      <c r="S1354" s="5" t="inlineStr"/>
      <c r="T1354" s="5" t="inlineStr"/>
      <c r="U1354" s="5" t="inlineStr">
        <is>
          <t>evde-kaldi</t>
        </is>
      </c>
      <c r="V1354" s="5" t="inlineStr"/>
      <c r="W1354" s="5" t="inlineStr"/>
      <c r="X1354" s="5" t="inlineStr"/>
      <c r="Y1354" s="5" t="inlineStr"/>
      <c r="Z1354" s="6" t="inlineStr"/>
      <c r="AA1354" s="5" t="inlineStr">
        <is>
          <t>hepsi +1</t>
        </is>
      </c>
      <c r="AB1354" s="5" t="inlineStr"/>
      <c r="AC1354" s="5" t="inlineStr"/>
      <c r="AD1354" s="5" t="inlineStr"/>
      <c r="AE1354" s="5" t="inlineStr"/>
      <c r="AF1354" s="5" t="inlineStr"/>
      <c r="AG1354" s="5" t="inlineStr"/>
      <c r="AH1354" s="5" t="inlineStr"/>
      <c r="AI1354" s="5" t="inlineStr"/>
      <c r="AJ1354" s="5" t="inlineStr"/>
    </row>
    <row r="1355">
      <c r="A1355" s="5" t="inlineStr">
        <is>
          <t>b6-evden-cikis</t>
        </is>
      </c>
      <c r="B1355" s="5" t="n">
        <v>2</v>
      </c>
      <c r="C1355" s="6" t="inlineStr">
        <is>
          <t>Tek başına kiraya çık</t>
        </is>
      </c>
      <c r="D1355" s="5" t="inlineStr">
        <is>
          <t>Cesaret</t>
        </is>
      </c>
      <c r="E1355" s="5" t="inlineStr">
        <is>
          <t>Orta</t>
        </is>
      </c>
      <c r="F1355" s="5" t="inlineStr"/>
      <c r="G1355" s="6" t="inlineStr"/>
      <c r="H1355" s="6" t="inlineStr">
        <is>
          <t>Anahtarı aldın. İlk gece boş evde yankılanan kendi sesine alıştın. Buzdolabında sadece su var; su senin.</t>
        </is>
      </c>
      <c r="I1355" s="6" t="inlineStr">
        <is>
          <t>İlk ev şansına iyi çıktı: güneş alıyor, komşu sessiz, ev sahibi Öte Diyar'da. Böyle bir üçlü mahallede efsanedir; annen bile “Kıymetini bil” dedi.</t>
        </is>
      </c>
      <c r="J1355" s="6" t="inlineStr">
        <is>
          <t>Kontrat aşamasında depozito, emlakçı payı ve iki kira birden istendi. Cebine baktın; odana döndün.</t>
        </is>
      </c>
      <c r="K1355" s="6" t="inlineStr">
        <is>
          <t>Kontratı imzalamak üzereyken annen emlakçıyı aradı. Emlakçı annenin okul arkadaşı çıktı; kontrat yırtıldı, sana da çay koydular. Akşam annen odanı havalandırdı; “Ben demiştim” demedi, gözleri dedi.</t>
        </is>
      </c>
      <c r="L1355" s="6" t="inlineStr"/>
      <c r="M1355" s="5" t="inlineStr"/>
      <c r="N1355" s="5" t="inlineStr"/>
      <c r="O1355" s="6" t="inlineStr"/>
      <c r="P1355" s="6" t="inlineStr"/>
      <c r="Q1355" s="5" t="inlineStr"/>
      <c r="R1355" s="5" t="inlineStr"/>
      <c r="S1355" s="5" t="inlineStr"/>
      <c r="T1355" s="5" t="inlineStr"/>
      <c r="U1355" s="5" t="inlineStr"/>
      <c r="V1355" s="5" t="inlineStr">
        <is>
          <t>kiraci</t>
        </is>
      </c>
      <c r="W1355" s="5" t="inlineStr"/>
      <c r="X1355" s="5" t="inlineStr"/>
      <c r="Y1355" s="5" t="n">
        <v>1</v>
      </c>
      <c r="Z1355" s="6" t="inlineStr">
        <is>
          <t>Yeni evin eski kombisini ilk kez yakmaya çalışırken. Ev sahibi “Normal” demişti.</t>
        </is>
      </c>
      <c r="AA1355" s="5" t="inlineStr">
        <is>
          <t>Şen -1, Yalçın -1, Tan +1</t>
        </is>
      </c>
      <c r="AB1355" s="5" t="inlineStr">
        <is>
          <t>evde-kaldi</t>
        </is>
      </c>
      <c r="AC1355" s="5" t="inlineStr">
        <is>
          <t>Fakir</t>
        </is>
      </c>
      <c r="AD1355" s="5" t="inlineStr"/>
      <c r="AE1355" s="5" t="inlineStr"/>
      <c r="AF1355" s="5" t="inlineStr"/>
      <c r="AG1355" s="5" t="inlineStr"/>
      <c r="AH1355" s="5" t="inlineStr"/>
      <c r="AI1355" s="5" t="inlineStr"/>
      <c r="AJ1355" s="5" t="inlineStr"/>
    </row>
    <row r="1356">
      <c r="A1356" s="5" t="inlineStr">
        <is>
          <t>b6-evden-cikis</t>
        </is>
      </c>
      <c r="B1356" s="5" t="n">
        <v>3</v>
      </c>
      <c r="C1356" s="6" t="inlineStr">
        <is>
          <t>Bir arkadaşla ev tut</t>
        </is>
      </c>
      <c r="D1356" s="5" t="inlineStr">
        <is>
          <t>Çene</t>
        </is>
      </c>
      <c r="E1356" s="5" t="inlineStr">
        <is>
          <t>Kolay</t>
        </is>
      </c>
      <c r="F1356" s="5" t="inlineStr"/>
      <c r="G1356" s="6" t="inlineStr"/>
      <c r="H1356" s="6" t="inlineStr">
        <is>
          <t>Arkadaşınla iki odalı bir yer tuttunuz. Kira yarı yarıya, buzdolabı rafı yarı yarıya; kavga tam.</t>
        </is>
      </c>
      <c r="I1356" s="6" t="inlineStr">
        <is>
          <t>Ev arkadaşın yemek yapıyor, sen bulaşığı. Annen ilk ziyarette buzdolabını açtı, uzun uzun baktı, kapattı. Hayatında ilk kez söyleyecek bir şey bulamadı.</t>
        </is>
      </c>
      <c r="J1356" s="6" t="inlineStr">
        <is>
          <t>Arkadaşın son anda sevgilisiyle taşınmaya karar verdi. Evin anahtarı elinde kaldı, kontrat onun adına. Odana döndün.</t>
        </is>
      </c>
      <c r="K1356" s="6" t="inlineStr">
        <is>
          <t>Evi tuttunuz. Arkadaşın ilk ay kirayı ödemedi, ikinci ay buzdolabındaki yoğurdunla birlikte ortadan kayboldu. Aile evine döndün; annen kapıda bir şey sormadı, sadece valizini aldı.</t>
        </is>
      </c>
      <c r="L1356" s="6" t="inlineStr"/>
      <c r="M1356" s="5" t="inlineStr"/>
      <c r="N1356" s="5" t="inlineStr"/>
      <c r="O1356" s="6" t="inlineStr"/>
      <c r="P1356" s="6" t="inlineStr"/>
      <c r="Q1356" s="5" t="inlineStr"/>
      <c r="R1356" s="5" t="inlineStr"/>
      <c r="S1356" s="5" t="inlineStr"/>
      <c r="T1356" s="5" t="inlineStr"/>
      <c r="U1356" s="5" t="inlineStr"/>
      <c r="V1356" s="5" t="inlineStr">
        <is>
          <t>ev-arkadasli</t>
        </is>
      </c>
      <c r="W1356" s="5" t="inlineStr"/>
      <c r="X1356" s="5" t="inlineStr"/>
      <c r="Y1356" s="5" t="inlineStr"/>
      <c r="Z1356" s="6" t="inlineStr"/>
      <c r="AA1356" s="5" t="inlineStr"/>
      <c r="AB1356" s="5" t="inlineStr">
        <is>
          <t>evde-kaldi</t>
        </is>
      </c>
      <c r="AC1356" s="5" t="inlineStr"/>
      <c r="AD1356" s="5" t="inlineStr"/>
      <c r="AE1356" s="5" t="inlineStr"/>
      <c r="AF1356" s="5" t="inlineStr"/>
      <c r="AG1356" s="5" t="inlineStr"/>
      <c r="AH1356" s="5" t="inlineStr"/>
      <c r="AI1356" s="5" t="inlineStr"/>
      <c r="AJ1356" s="5" t="inlineStr"/>
    </row>
    <row r="1357">
      <c r="A1357" s="5" t="inlineStr">
        <is>
          <t>b6-evden-cikis</t>
        </is>
      </c>
      <c r="B1357" s="5" t="n">
        <v>4</v>
      </c>
      <c r="C1357" s="6" t="inlineStr">
        <is>
          <t>Yurttan öğrenci evine geç</t>
        </is>
      </c>
      <c r="D1357" s="5" t="inlineStr"/>
      <c r="E1357" s="5" t="inlineStr"/>
      <c r="F1357" s="5" t="inlineStr">
        <is>
          <t>Sosyal Radar +1, Dayanıklılık +1</t>
        </is>
      </c>
      <c r="G1357" s="6" t="inlineStr">
        <is>
          <t>Dört kişi, üç oda, bir banyo. Salon aynı zamanda birinin yatak odası; misafir gelince o da misafir oluyor. Kapıda dört isim yazılı; kargocu her seferinde “Hanginiz?” diye soruyor.</t>
        </is>
      </c>
      <c r="H1357" s="6" t="inlineStr"/>
      <c r="I1357" s="6" t="inlineStr"/>
      <c r="J1357" s="6" t="inlineStr"/>
      <c r="K1357" s="6" t="inlineStr"/>
      <c r="L1357" s="6" t="inlineStr"/>
      <c r="M1357" s="5" t="inlineStr"/>
      <c r="N1357" s="5" t="inlineStr"/>
      <c r="O1357" s="6" t="inlineStr"/>
      <c r="P1357" s="6" t="inlineStr"/>
      <c r="Q1357" s="5" t="inlineStr"/>
      <c r="R1357" s="5" t="inlineStr">
        <is>
          <t>baska-sehir</t>
        </is>
      </c>
      <c r="S1357" s="5" t="inlineStr"/>
      <c r="T1357" s="5" t="inlineStr"/>
      <c r="U1357" s="5" t="inlineStr">
        <is>
          <t>ev-arkadasli</t>
        </is>
      </c>
      <c r="V1357" s="5" t="inlineStr"/>
      <c r="W1357" s="5" t="inlineStr"/>
      <c r="X1357" s="5" t="inlineStr"/>
      <c r="Y1357" s="5" t="inlineStr"/>
      <c r="Z1357" s="6" t="inlineStr"/>
      <c r="AA1357" s="5" t="inlineStr"/>
      <c r="AB1357" s="5" t="inlineStr"/>
      <c r="AC1357" s="5" t="inlineStr"/>
      <c r="AD1357" s="5" t="inlineStr"/>
      <c r="AE1357" s="5" t="inlineStr"/>
      <c r="AF1357" s="5" t="inlineStr"/>
      <c r="AG1357" s="5" t="inlineStr"/>
      <c r="AH1357" s="5" t="inlineStr"/>
      <c r="AI1357" s="5" t="inlineStr"/>
      <c r="AJ1357" s="5" t="inlineStr"/>
    </row>
    <row r="1358">
      <c r="A1358" s="5" t="inlineStr">
        <is>
          <t>b6-evden-cikis</t>
        </is>
      </c>
      <c r="B1358" s="5" t="n">
        <v>5</v>
      </c>
      <c r="C1358" s="6" t="inlineStr">
        <is>
          <t>Abinin ayarladığı eve geç</t>
        </is>
      </c>
      <c r="D1358" s="5" t="inlineStr"/>
      <c r="E1358" s="5" t="inlineStr"/>
      <c r="F1358" s="5" t="inlineStr">
        <is>
          <t>Pişkinlik +1</t>
        </is>
      </c>
      <c r="G1358" s="6" t="inlineStr">
        <is>
          <t>Abi bir telefon açtı, ertesi gün anahtarın vardı. Kira yok dendi; ama her ayın biri kapına biri gelip “Abi selam söyledi” diyor.</t>
        </is>
      </c>
      <c r="H1358" s="6" t="inlineStr"/>
      <c r="I1358" s="6" t="inlineStr"/>
      <c r="J1358" s="6" t="inlineStr"/>
      <c r="K1358" s="6" t="inlineStr"/>
      <c r="L1358" s="6" t="inlineStr"/>
      <c r="M1358" s="5" t="inlineStr"/>
      <c r="N1358" s="5" t="inlineStr"/>
      <c r="O1358" s="6" t="inlineStr"/>
      <c r="P1358" s="6" t="inlineStr"/>
      <c r="Q1358" s="5" t="inlineStr"/>
      <c r="R1358" s="5" t="inlineStr">
        <is>
          <t>abinin-adami</t>
        </is>
      </c>
      <c r="S1358" s="5" t="inlineStr"/>
      <c r="T1358" s="5" t="inlineStr"/>
      <c r="U1358" s="5" t="inlineStr">
        <is>
          <t>kiraci, abiye-borclu</t>
        </is>
      </c>
      <c r="V1358" s="5" t="inlineStr"/>
      <c r="W1358" s="5" t="inlineStr"/>
      <c r="X1358" s="5" t="inlineStr"/>
      <c r="Y1358" s="5" t="inlineStr"/>
      <c r="Z1358" s="6" t="inlineStr"/>
      <c r="AA1358" s="5" t="inlineStr">
        <is>
          <t>hepsi -1</t>
        </is>
      </c>
      <c r="AB1358" s="5" t="inlineStr"/>
      <c r="AC1358" s="5" t="inlineStr"/>
      <c r="AD1358" s="5" t="inlineStr"/>
      <c r="AE1358" s="5" t="inlineStr"/>
      <c r="AF1358" s="5" t="inlineStr"/>
      <c r="AG1358" s="5" t="inlineStr"/>
      <c r="AH1358" s="5" t="inlineStr"/>
      <c r="AI1358" s="5" t="inlineStr"/>
      <c r="AJ1358" s="5" t="inlineStr"/>
    </row>
    <row r="1359">
      <c r="A1359" s="5" t="inlineStr">
        <is>
          <t>b6-evden-cikis</t>
        </is>
      </c>
      <c r="B1359" s="5" t="n">
        <v>6</v>
      </c>
      <c r="C1359" s="6" t="inlineStr">
        <is>
          <t>Ailenin aldığı daireye geç</t>
        </is>
      </c>
      <c r="D1359" s="5" t="inlineStr"/>
      <c r="E1359" s="5" t="inlineStr"/>
      <c r="F1359" s="5" t="inlineStr">
        <is>
          <t>Pişkinlik +1, Cesaret +1</t>
        </is>
      </c>
      <c r="G1359" s="6" t="inlineStr">
        <is>
          <t>Baban tapuyu gösterdi ama vermedi: “Tapu bende, anahtar sende.” Evinde kira yok, ama her pazar ziyaret var; habersiz.</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is>
          <t>aile-dairesi</t>
        </is>
      </c>
      <c r="V1359" s="5" t="inlineStr"/>
      <c r="W1359" s="5" t="inlineStr"/>
      <c r="X1359" s="5" t="inlineStr"/>
      <c r="Y1359" s="5" t="inlineStr"/>
      <c r="Z1359" s="6" t="inlineStr"/>
      <c r="AA1359" s="5" t="inlineStr"/>
      <c r="AB1359" s="5" t="inlineStr"/>
      <c r="AC1359" s="5" t="inlineStr">
        <is>
          <t>Rahat</t>
        </is>
      </c>
      <c r="AD1359" s="5" t="inlineStr"/>
      <c r="AE1359" s="5" t="inlineStr"/>
      <c r="AF1359" s="5" t="inlineStr"/>
      <c r="AG1359" s="5" t="inlineStr"/>
      <c r="AH1359" s="5" t="inlineStr"/>
      <c r="AI1359" s="5" t="inlineStr"/>
      <c r="AJ1359" s="5" t="inlineStr"/>
    </row>
    <row r="1360">
      <c r="A1360" s="5" t="inlineStr">
        <is>
          <t>b6-evde-kalmak</t>
        </is>
      </c>
      <c r="B1360" s="5" t="n">
        <v>1</v>
      </c>
      <c r="C1360" s="6" t="inlineStr">
        <is>
          <t>Çıkartmayı sök, odayı yetişkinleştir</t>
        </is>
      </c>
      <c r="D1360" s="5" t="inlineStr"/>
      <c r="E1360" s="5" t="inlineStr"/>
      <c r="F1360" s="5" t="inlineStr">
        <is>
          <t>Cesaret +1</t>
        </is>
      </c>
      <c r="G1360" s="6" t="inlineStr">
        <is>
          <t>Çıkartmayı söktün; altından daha eski bir çıkartma çıktı. Annen kapıda durdu, ikisine de baktı: “Onları ben yapıştırmıştım.” İkinciyi sökemedin.</t>
        </is>
      </c>
      <c r="H1360" s="6" t="inlineStr"/>
      <c r="I1360" s="6" t="inlineStr"/>
      <c r="J1360" s="6" t="inlineStr"/>
      <c r="K1360" s="6" t="inlineStr"/>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c r="AI1360" s="5" t="inlineStr"/>
      <c r="AJ1360" s="5" t="inlineStr"/>
    </row>
    <row r="1361">
      <c r="A1361" s="5" t="inlineStr">
        <is>
          <t>b6-evde-kalmak</t>
        </is>
      </c>
      <c r="B1361" s="5" t="n">
        <v>2</v>
      </c>
      <c r="C1361" s="6" t="inlineStr">
        <is>
          <t>Eve katkı payı ver, söz hakkı iste</t>
        </is>
      </c>
      <c r="D1361" s="5" t="inlineStr">
        <is>
          <t>Çene</t>
        </is>
      </c>
      <c r="E1361" s="5" t="inlineStr">
        <is>
          <t>Orta</t>
        </is>
      </c>
      <c r="F1361" s="5" t="inlineStr"/>
      <c r="G1361" s="6" t="inlineStr"/>
      <c r="H1361" s="6" t="inlineStr">
        <is>
          <t>Her ay zarfı mutfak masasına bıraktın. Karşılığında akşam dokuz sorusu kalktı. Evde ilk kez bir kira sözleşmesi var; sözlü.</t>
        </is>
      </c>
      <c r="I1361" s="6" t="inlineStr">
        <is>
          <t>Katkı payını verdin, annen o parayı senin adına biriktirdi. Yıllar sonra ev peşinatın o zarftan çıkacak.</t>
        </is>
      </c>
      <c r="J1361" s="6" t="inlineStr">
        <is>
          <t>Zarfı bıraktın, annen geri verdi: “Evimizde para mı olur?” Söz hakkı da zarfla birlikte geri döndü.</t>
        </is>
      </c>
      <c r="K1361" s="6" t="inlineStr">
        <is>
          <t>Söz hakkı istedin; mutfakta aile meclisi toplandı. Babaannen telefondan bağlandı, teyzen de. Karar oy birliğiyle çıktı: söz hakkın var; kullanım saati akşam dokuza kadar, cumartesi ona.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c r="AI1361" s="5" t="inlineStr"/>
      <c r="AJ1361" s="5" t="inlineStr"/>
    </row>
    <row r="1362">
      <c r="A1362" s="5" t="inlineStr">
        <is>
          <t>b6-evde-kalmak</t>
        </is>
      </c>
      <c r="B1362" s="5" t="n">
        <v>3</v>
      </c>
      <c r="C1362" s="6" t="inlineStr">
        <is>
          <t>Buzdolabı bursunun keyfini çıkar</t>
        </is>
      </c>
      <c r="D1362" s="5" t="inlineStr"/>
      <c r="E1362" s="5" t="inlineStr"/>
      <c r="F1362" s="5" t="inlineStr">
        <is>
          <t>Pişkinlik +1, Dayanıklılık +1</t>
        </is>
      </c>
      <c r="G1362" s="6" t="inlineStr">
        <is>
          <t>Maaşın cebinde, yemeğin masada, çamaşırın katlı. Arkadaşların kira öderken sen bir araba için para biriktiriyorsun. Kimse bunu kıskanmadığını söylüyor.</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is>
          <t>hepsi +1</t>
        </is>
      </c>
      <c r="AB1362" s="5" t="inlineStr"/>
      <c r="AC1362" s="5" t="inlineStr"/>
      <c r="AD1362" s="5" t="inlineStr"/>
      <c r="AE1362" s="5" t="inlineStr"/>
      <c r="AF1362" s="5" t="inlineStr"/>
      <c r="AG1362" s="5" t="inlineStr"/>
      <c r="AH1362" s="5" t="inlineStr"/>
      <c r="AI1362" s="5" t="inlineStr"/>
      <c r="AJ1362" s="5" t="inlineStr"/>
    </row>
    <row r="1363">
      <c r="A1363" s="5" t="inlineStr">
        <is>
          <t>b6-hayat-yolu</t>
        </is>
      </c>
      <c r="B1363" s="5" t="n">
        <v>1</v>
      </c>
      <c r="C1363" s="6" t="inlineStr">
        <is>
          <t>Kendi tezgâhını aç</t>
        </is>
      </c>
      <c r="D1363" s="5" t="inlineStr">
        <is>
          <t>Kurnazlık</t>
        </is>
      </c>
      <c r="E1363" s="5" t="inlineStr">
        <is>
          <t>Orta</t>
        </is>
      </c>
      <c r="F1363" s="5" t="inlineStr"/>
      <c r="G1363" s="6" t="inlineStr"/>
      <c r="H1363" s="6" t="inlineStr">
        <is>
          <t>Çarşının köşesinde küçük bir yer tuttun. Tabelayı kendin boyadın; bir harfi ters oldu. Müşteriler o harf için geliyor.</t>
        </is>
      </c>
      <c r="I1363" s="6" t="inlineStr">
        <is>
          <t>İlk haftada kira çıktı, ikinci haftada kâr. Karşı dükkân sana kendi çırağını yollayıp fiyat sordurdu.</t>
        </is>
      </c>
      <c r="J1363" s="6" t="inlineStr">
        <is>
          <t>Dükkânı açtın ama sermaye yetmedi; rafların yarısı borçla doldu. Tabela ise tam.</t>
        </is>
      </c>
      <c r="K1363" s="6" t="inlineStr">
        <is>
          <t>Açılışı yaptın; ertesi sabah karşına aynı malı yarı fiyata satan bir zincir mağaza açıldı. Rafları borçla doldurmuştun. Müşterilerin poşetlerini senin önünden taşıdı; biri durup “Kolay gelsin” dedi. En çok o koydu.</t>
        </is>
      </c>
      <c r="L1363" s="6" t="inlineStr"/>
      <c r="M1363" s="5" t="inlineStr"/>
      <c r="N1363" s="5" t="inlineStr"/>
      <c r="O1363" s="6" t="inlineStr"/>
      <c r="P1363" s="6" t="inlineStr"/>
      <c r="Q1363" s="5" t="inlineStr"/>
      <c r="R1363" s="5" t="inlineStr"/>
      <c r="S1363" s="5" t="inlineStr"/>
      <c r="T1363" s="5" t="inlineStr"/>
      <c r="U1363" s="5" t="inlineStr"/>
      <c r="V1363" s="5" t="inlineStr">
        <is>
          <t>meslek-esnaf</t>
        </is>
      </c>
      <c r="W1363" s="5" t="inlineStr"/>
      <c r="X1363" s="5" t="inlineStr"/>
      <c r="Y1363" s="5" t="inlineStr"/>
      <c r="Z1363" s="6" t="inlineStr"/>
      <c r="AA1363" s="5" t="inlineStr">
        <is>
          <t>Keskin +1, Yalçın +1</t>
        </is>
      </c>
      <c r="AB1363" s="5" t="inlineStr">
        <is>
          <t>meslek-esnaf, borclu</t>
        </is>
      </c>
      <c r="AC1363" s="5" t="inlineStr"/>
      <c r="AD1363" s="5" t="inlineStr">
        <is>
          <t>Orta</t>
        </is>
      </c>
      <c r="AE1363" s="5" t="inlineStr"/>
      <c r="AF1363" s="5" t="inlineStr"/>
      <c r="AG1363" s="5" t="inlineStr"/>
      <c r="AH1363" s="5" t="inlineStr"/>
      <c r="AI1363" s="5" t="inlineStr"/>
      <c r="AJ1363" s="5" t="inlineStr"/>
      <c r="AL1363" t="n">
        <v>1</v>
      </c>
    </row>
    <row r="1364">
      <c r="A1364" s="5" t="inlineStr">
        <is>
          <t>b6-hayat-yolu</t>
        </is>
      </c>
      <c r="B1364" s="5" t="n">
        <v>2</v>
      </c>
      <c r="C1364" s="6" t="inlineStr">
        <is>
          <t>Sanayide kendi ustalığını ilan et</t>
        </is>
      </c>
      <c r="D1364" s="5" t="inlineStr"/>
      <c r="E1364" s="5" t="inlineStr"/>
      <c r="F1364" s="5" t="inlineStr">
        <is>
          <t>Dayanıklılık +1, Akıl +1</t>
        </is>
      </c>
      <c r="G1364" s="6" t="inlineStr">
        <is>
          <t>Ustanın yanından ayrıldın, sanayide kendi kapını açtın. Usta kapıya bir çelenk gönderdi; üstünde “Beni unutma” yazıyor. Unutmayacaksın; çünkü müşterilerinin yarısı ondan.</t>
        </is>
      </c>
      <c r="H1364" s="6" t="inlineStr"/>
      <c r="I1364" s="6" t="inlineStr"/>
      <c r="J1364" s="6" t="inlineStr"/>
      <c r="K1364" s="6" t="inlineStr"/>
      <c r="L1364" s="6" t="inlineStr"/>
      <c r="M1364" s="5" t="inlineStr"/>
      <c r="N1364" s="5" t="inlineStr"/>
      <c r="O1364" s="6" t="inlineStr"/>
      <c r="P1364" s="6" t="inlineStr"/>
      <c r="Q1364" s="5" t="inlineStr"/>
      <c r="R1364" s="5" t="inlineStr">
        <is>
          <t>usta-eli</t>
        </is>
      </c>
      <c r="S1364" s="5" t="inlineStr"/>
      <c r="T1364" s="5" t="inlineStr"/>
      <c r="U1364" s="5" t="inlineStr">
        <is>
          <t>hat-usta, meslek-esnaf</t>
        </is>
      </c>
      <c r="V1364" s="5" t="inlineStr"/>
      <c r="W1364" s="5" t="inlineStr"/>
      <c r="X1364" s="5" t="inlineStr"/>
      <c r="Y1364" s="5" t="inlineStr"/>
      <c r="Z1364" s="6" t="inlineStr"/>
      <c r="AA1364" s="5" t="inlineStr">
        <is>
          <t>hepsi +1</t>
        </is>
      </c>
      <c r="AB1364" s="5" t="inlineStr"/>
      <c r="AC1364" s="5" t="inlineStr"/>
      <c r="AD1364" s="5" t="inlineStr">
        <is>
          <t>Orta</t>
        </is>
      </c>
      <c r="AE1364" s="5" t="inlineStr"/>
      <c r="AF1364" s="5" t="inlineStr"/>
      <c r="AG1364" s="5" t="inlineStr"/>
      <c r="AH1364" s="5" t="inlineStr"/>
      <c r="AI1364" s="5" t="inlineStr"/>
      <c r="AJ1364" s="5" t="inlineStr"/>
    </row>
    <row r="1365">
      <c r="A1365" s="5" t="inlineStr">
        <is>
          <t>b6-hayat-yolu</t>
        </is>
      </c>
      <c r="B1365" s="5" t="n">
        <v>3</v>
      </c>
      <c r="C1365" s="6" t="inlineStr">
        <is>
          <t>Devlet kapısı: kadro sınavına çalış</t>
        </is>
      </c>
      <c r="D1365" s="5" t="inlineStr">
        <is>
          <t>Akıl</t>
        </is>
      </c>
      <c r="E1365" s="5" t="inlineStr">
        <is>
          <t>Zor</t>
        </is>
      </c>
      <c r="F1365" s="5" t="inlineStr"/>
      <c r="G1365" s="6" t="inlineStr"/>
      <c r="H1365" s="6" t="inlineStr">
        <is>
          <t>Lise diplomasıyla sınava girdin ve geçtin. Annen komşulara bunu anlatırken “lise” kelimesini atladı.</t>
        </is>
      </c>
      <c r="I1365" s="6" t="inlineStr">
        <is>
          <t>Derece yaptın. “Okusaydın keşke” diyen teyzen aile grubuna yalnızca bir nazar boncuğu gönderdi. Teyzenden bundan büyük övgü çıkmaz.</t>
        </is>
      </c>
      <c r="J1365" s="6" t="inlineStr">
        <is>
          <t>Sınav olmadı. Çarşıda bir tezgâhın arkasına geçtin; tezgâhın sahibi seni “Bizim memur” diye çağırıyor.</t>
        </is>
      </c>
      <c r="K1365" s="6" t="inlineStr">
        <is>
          <t>Sınavda cevap kâğıdını imzalamadın. Kâğıt geçersiz sayıldı. Tezgâha döndün; orada imza yok, sadece veresiye.</t>
        </is>
      </c>
      <c r="L1365" s="6" t="inlineStr"/>
      <c r="M1365" s="5" t="inlineStr"/>
      <c r="N1365" s="5" t="inlineStr"/>
      <c r="O1365" s="6" t="inlineStr"/>
      <c r="P1365" s="6" t="inlineStr"/>
      <c r="Q1365" s="5" t="inlineStr"/>
      <c r="R1365" s="5" t="inlineStr"/>
      <c r="S1365" s="5" t="inlineStr"/>
      <c r="T1365" s="5" t="inlineStr"/>
      <c r="U1365" s="5" t="inlineStr"/>
      <c r="V1365" s="5" t="inlineStr">
        <is>
          <t>meslek-memur</t>
        </is>
      </c>
      <c r="W1365" s="5" t="inlineStr"/>
      <c r="X1365" s="5" t="inlineStr"/>
      <c r="Y1365" s="5" t="inlineStr"/>
      <c r="Z1365" s="6" t="inlineStr"/>
      <c r="AA1365" s="5" t="inlineStr">
        <is>
          <t>Erdem +1, Yalçın +1</t>
        </is>
      </c>
      <c r="AB1365" s="5" t="inlineStr">
        <is>
          <t>meslek-esnaf</t>
        </is>
      </c>
      <c r="AC1365" s="5" t="inlineStr"/>
      <c r="AD1365" s="5" t="inlineStr">
        <is>
          <t>Orta</t>
        </is>
      </c>
      <c r="AE1365" s="5" t="inlineStr"/>
      <c r="AF1365" s="5" t="inlineStr"/>
      <c r="AG1365" s="5" t="inlineStr"/>
      <c r="AH1365" s="5" t="inlineStr"/>
      <c r="AI1365" s="5" t="inlineStr"/>
      <c r="AJ1365" s="5" t="inlineStr"/>
    </row>
    <row r="1366">
      <c r="A1366" s="5" t="inlineStr">
        <is>
          <t>b6-hayat-yolu</t>
        </is>
      </c>
      <c r="B1366" s="5" t="n">
        <v>4</v>
      </c>
      <c r="C1366" s="6" t="inlineStr">
        <is>
          <t>Abinin işine gir</t>
        </is>
      </c>
      <c r="D1366" s="5" t="inlineStr"/>
      <c r="E1366" s="5" t="inlineStr"/>
      <c r="F1366" s="5" t="inlineStr">
        <is>
          <t>Pişkinlik +1</t>
        </is>
      </c>
      <c r="G1366" s="6" t="inlineStr">
        <is>
          <t>Abi seni bir oto yıkamanın başına geçirdi. Arabalar pek yıkanmıyor ama kasa hep dolu. Nereden dolduğunu sormamayı öğrendin; bu, bu işin ilk ve son dersi.</t>
        </is>
      </c>
      <c r="H1366" s="6" t="inlineStr"/>
      <c r="I1366" s="6" t="inlineStr"/>
      <c r="J1366" s="6" t="inlineStr"/>
      <c r="K1366" s="6" t="inlineStr"/>
      <c r="L1366" s="6" t="inlineStr"/>
      <c r="M1366" s="5" t="inlineStr"/>
      <c r="N1366" s="5" t="inlineStr"/>
      <c r="O1366" s="6" t="inlineStr"/>
      <c r="P1366" s="6" t="inlineStr"/>
      <c r="Q1366" s="5" t="inlineStr"/>
      <c r="R1366" s="5" t="inlineStr">
        <is>
          <t>abinin-adami</t>
        </is>
      </c>
      <c r="S1366" s="5" t="inlineStr"/>
      <c r="T1366" s="5" t="inlineStr"/>
      <c r="U1366" s="5" t="inlineStr">
        <is>
          <t>hat-cete, meslek-esnaf</t>
        </is>
      </c>
      <c r="V1366" s="5" t="inlineStr"/>
      <c r="W1366" s="5" t="inlineStr"/>
      <c r="X1366" s="5" t="inlineStr"/>
      <c r="Y1366" s="5" t="inlineStr"/>
      <c r="Z1366" s="6" t="inlineStr"/>
      <c r="AA1366" s="5" t="inlineStr">
        <is>
          <t>hepsi -1</t>
        </is>
      </c>
      <c r="AB1366" s="5" t="inlineStr"/>
      <c r="AC1366" s="5" t="inlineStr"/>
      <c r="AD1366" s="5" t="inlineStr">
        <is>
          <t>Rahat</t>
        </is>
      </c>
      <c r="AE1366" s="5" t="inlineStr"/>
      <c r="AF1366" s="5" t="inlineStr"/>
      <c r="AG1366" s="5" t="inlineStr"/>
      <c r="AH1366" s="5" t="inlineStr"/>
      <c r="AI1366" s="5" t="inlineStr"/>
      <c r="AJ1366" s="5" t="inlineStr"/>
    </row>
    <row r="1367">
      <c r="A1367" s="5" t="inlineStr">
        <is>
          <t>b6-hayat-yolu</t>
        </is>
      </c>
      <c r="B1367" s="5" t="n">
        <v>5</v>
      </c>
      <c r="C1367" s="6" t="inlineStr">
        <is>
          <t>Takipçilerini işe çevir</t>
        </is>
      </c>
      <c r="D1367" s="5" t="inlineStr">
        <is>
          <t>Pişkinlik</t>
        </is>
      </c>
      <c r="E1367" s="5" t="inlineStr">
        <is>
          <t>Zor</t>
        </is>
      </c>
      <c r="F1367" s="5" t="inlineStr"/>
      <c r="G1367" s="6" t="inlineStr"/>
      <c r="H1367" s="6" t="inlineStr">
        <is>
          <t>Kedinin hesabı artık bir marka. Bir mama firması seninle anlaştı; kedi yüzde yetmiş, sen yüzde otuz alıyorsun.</t>
        </is>
      </c>
      <c r="I1367" s="6" t="inlineStr">
        <is>
          <t>Kedi bir reklam filmine çıktı; sen de arkada. Sokakta insanlar seni kedinin sahibi olarak tanıyor. Bu da bir şöhret.</t>
        </is>
      </c>
      <c r="J1367" s="6" t="inlineStr">
        <is>
          <t>Takipçilerin kediyi seviyor, reklamı sevmiyor. Anlaşmalar gelmedi; düğünlerde fotoğrafçılık yapmaya başladın.</t>
        </is>
      </c>
      <c r="K1367" s="6" t="inlineStr">
        <is>
          <t>Mama reklamını kedinin değil kendi hesabından, sabah suratınla paylaştın. Takipçiler kediyi sana yakıştıramadı, gitti. Kedi o hafta sana sırtını dönüp uyudu. Düğün fotoğrafçılığı seni bekliyor.</t>
        </is>
      </c>
      <c r="L1367" s="6" t="inlineStr"/>
      <c r="M1367" s="5" t="inlineStr"/>
      <c r="N1367" s="5" t="inlineStr"/>
      <c r="O1367" s="6" t="inlineStr"/>
      <c r="P1367" s="6" t="inlineStr"/>
      <c r="Q1367" s="5" t="inlineStr"/>
      <c r="R1367" s="5" t="inlineStr">
        <is>
          <t>fenomen</t>
        </is>
      </c>
      <c r="S1367" s="5" t="inlineStr"/>
      <c r="T1367" s="5" t="inlineStr"/>
      <c r="U1367" s="5" t="inlineStr"/>
      <c r="V1367" s="5" t="inlineStr">
        <is>
          <t>hat-sohret, meslek-serbest</t>
        </is>
      </c>
      <c r="W1367" s="5" t="inlineStr"/>
      <c r="X1367" s="5" t="inlineStr"/>
      <c r="Y1367" s="5" t="inlineStr"/>
      <c r="Z1367" s="6" t="inlineStr"/>
      <c r="AA1367" s="5" t="inlineStr"/>
      <c r="AB1367" s="5" t="inlineStr">
        <is>
          <t>meslek-serbest</t>
        </is>
      </c>
      <c r="AC1367" s="5" t="inlineStr"/>
      <c r="AD1367" s="5" t="inlineStr">
        <is>
          <t>Orta</t>
        </is>
      </c>
      <c r="AE1367" s="5" t="inlineStr"/>
      <c r="AF1367" s="5" t="inlineStr"/>
      <c r="AG1367" s="5" t="inlineStr"/>
      <c r="AH1367" s="5" t="inlineStr"/>
      <c r="AI1367" s="5" t="inlineStr"/>
      <c r="AJ1367" s="5" t="inlineStr"/>
    </row>
    <row r="1368">
      <c r="A1368" s="5" t="inlineStr">
        <is>
          <t>b6-hayat-yolu</t>
        </is>
      </c>
      <c r="B1368" s="5" t="n">
        <v>6</v>
      </c>
      <c r="C1368" s="6" t="inlineStr">
        <is>
          <t>Dedenin köyüne dön, toprağı işle</t>
        </is>
      </c>
      <c r="D1368" s="5" t="inlineStr"/>
      <c r="E1368" s="5" t="inlineStr"/>
      <c r="F1368" s="5" t="inlineStr">
        <is>
          <t>Dayanıklılık +1, İtibar +1</t>
        </is>
      </c>
      <c r="G1368" s="6" t="inlineStr">
        <is>
          <t>Şehri bıraktın, dedenin tarlasına döndün. Deden traktörün anahtarını verdi; kontağın püf noktasını vermedi. Köy kahvesinde adın şimdiden “Şehirli Torun”.</t>
        </is>
      </c>
      <c r="H1368" s="6" t="inlineStr"/>
      <c r="I1368" s="6" t="inlineStr"/>
      <c r="J1368" s="6" t="inlineStr"/>
      <c r="K1368" s="6" t="inlineStr"/>
      <c r="L1368" s="6" t="inlineStr"/>
      <c r="M1368" s="5" t="inlineStr"/>
      <c r="N1368" s="5" t="inlineStr"/>
      <c r="O1368" s="6" t="inlineStr"/>
      <c r="P1368" s="6" t="inlineStr"/>
      <c r="Q1368" s="5" t="inlineStr"/>
      <c r="R1368" s="5" t="inlineStr"/>
      <c r="S1368" s="5" t="inlineStr"/>
      <c r="T1368" s="5" t="inlineStr"/>
      <c r="U1368" s="5" t="inlineStr">
        <is>
          <t>hat-koy, meslek-esnaf</t>
        </is>
      </c>
      <c r="V1368" s="5" t="inlineStr"/>
      <c r="W1368" s="5" t="inlineStr"/>
      <c r="X1368" s="5" t="inlineStr"/>
      <c r="Y1368" s="5" t="inlineStr"/>
      <c r="Z1368" s="6" t="inlineStr"/>
      <c r="AA1368" s="5" t="inlineStr">
        <is>
          <t>Yalçın +1, Şen +1, Tan -1, Varlı -1</t>
        </is>
      </c>
      <c r="AB1368" s="5" t="inlineStr"/>
      <c r="AC1368" s="5" t="inlineStr"/>
      <c r="AD1368" s="5" t="inlineStr">
        <is>
          <t>Fakir</t>
        </is>
      </c>
      <c r="AE1368" s="5" t="inlineStr"/>
      <c r="AF1368" s="5" t="inlineStr"/>
      <c r="AG1368" s="5" t="inlineStr"/>
      <c r="AH1368" s="5" t="inlineStr"/>
      <c r="AI1368" s="5" t="inlineStr"/>
      <c r="AJ1368" s="5" t="inlineStr"/>
    </row>
    <row r="1369">
      <c r="A1369" s="5" t="inlineStr">
        <is>
          <t>b6-hayat-yolu</t>
        </is>
      </c>
      <c r="B1369" s="5" t="n">
        <v>7</v>
      </c>
      <c r="C1369" s="6" t="inlineStr">
        <is>
          <t>Telefonla “yatırım danışmanlığı” yap</t>
        </is>
      </c>
      <c r="D1369" s="5" t="inlineStr">
        <is>
          <t>Kurnazlık</t>
        </is>
      </c>
      <c r="E1369" s="5" t="inlineStr">
        <is>
          <t>Zor</t>
        </is>
      </c>
      <c r="F1369" s="5" t="inlineStr"/>
      <c r="G1369" s="6" t="inlineStr"/>
      <c r="H1369" s="6" t="inlineStr">
        <is>
          <t>Bir masa, üç hat ve “Size özel bir fırsat” cümlesi. İlk ay kazandığını ailene söyleyemedin; ailen de nereden kazandığını sormadı.</t>
        </is>
      </c>
      <c r="I1369" s="6" t="inlineStr">
        <is>
          <t>Sesin o kadar güven verici ki bir banka müdürü seni işe almak istedi. Teşekkür ettin; kendi masan daha kârlı.</t>
        </is>
      </c>
      <c r="J1369" s="6" t="inlineStr">
        <is>
          <t>Telefonu açanların hepsi senden şüphelendi, biri de seni kendi planına davet etti. Bir çağrı merkezinde meşru satış yapmaya başladın.</t>
        </is>
      </c>
      <c r="K1369" s="6" t="inlineStr">
        <is>
          <t>İlk aradığın numara teyzeninmiş. Aile grubunda sesli mesajın dolaşıyor. Meşru bir çağrı merkezine geçtin; teyzen hâlâ dinliyor.</t>
        </is>
      </c>
      <c r="L1369" s="6" t="inlineStr"/>
      <c r="M1369" s="5" t="inlineStr"/>
      <c r="N1369" s="5" t="inlineStr"/>
      <c r="O1369" s="6" t="inlineStr"/>
      <c r="P1369" s="6" t="inlineStr"/>
      <c r="Q1369" s="5" t="inlineStr"/>
      <c r="R1369" s="5" t="inlineStr">
        <is>
          <t>yalanci</t>
        </is>
      </c>
      <c r="S1369" s="5" t="inlineStr"/>
      <c r="T1369" s="5" t="inlineStr"/>
      <c r="U1369" s="5" t="inlineStr"/>
      <c r="V1369" s="5" t="inlineStr">
        <is>
          <t>hat-dolandirici, meslek-serbest</t>
        </is>
      </c>
      <c r="W1369" s="5" t="inlineStr"/>
      <c r="X1369" s="5" t="inlineStr"/>
      <c r="Y1369" s="5" t="inlineStr"/>
      <c r="Z1369" s="6" t="inlineStr"/>
      <c r="AA1369" s="5" t="inlineStr">
        <is>
          <t>hepsi -1</t>
        </is>
      </c>
      <c r="AB1369" s="5" t="inlineStr">
        <is>
          <t>meslek-serbest</t>
        </is>
      </c>
      <c r="AC1369" s="5" t="inlineStr"/>
      <c r="AD1369" s="5" t="inlineStr">
        <is>
          <t>Orta</t>
        </is>
      </c>
      <c r="AE1369" s="5" t="inlineStr"/>
      <c r="AF1369" s="5" t="inlineStr"/>
      <c r="AG1369" s="5" t="inlineStr"/>
      <c r="AH1369" s="5" t="inlineStr"/>
      <c r="AI1369" s="5" t="inlineStr"/>
      <c r="AJ1369" s="5" t="inlineStr"/>
    </row>
    <row r="1370">
      <c r="A1370" s="5" t="inlineStr">
        <is>
          <t>b6-hayat-yolu</t>
        </is>
      </c>
      <c r="B1370" s="5" t="n">
        <v>8</v>
      </c>
      <c r="C1370" s="6" t="inlineStr">
        <is>
          <t>Mahallenin kefaletiyle devlet kapısına gir</t>
        </is>
      </c>
      <c r="D1370" s="5" t="inlineStr">
        <is>
          <t>İtibar</t>
        </is>
      </c>
      <c r="E1370" s="5" t="inlineStr">
        <is>
          <t>Orta</t>
        </is>
      </c>
      <c r="F1370" s="5" t="inlineStr"/>
      <c r="G1370" s="6" t="inlineStr"/>
      <c r="H1370" s="6" t="inlineStr">
        <is>
          <t>Muhtar, mahallenin en yaşlı esnafı ve eski öğretmenin birer satır yazdı. Kadro sınavına o mektuplarla girdin; mülakatta herkes seni sordu.</t>
        </is>
      </c>
      <c r="I1370" s="6" t="inlineStr">
        <is>
          <t>Mülakat heyetindeki memur, kefil mektubundaki öğretmenin eski öğrencisiydi. Görüşme beş dakika sürdü; dördü öğretmeni anmakla geçti.</t>
        </is>
      </c>
      <c r="J1370" s="6" t="inlineStr">
        <is>
          <t>Mektuplar güzeldi, puan yetmedi. Çarşıda bir tezgâhın arkasına geçtin; mektuplar tezgâhın üstünde, çerçevede.</t>
        </is>
      </c>
      <c r="K1370" s="6" t="inlineStr">
        <is>
          <t>Kefil mektubunu yazan esnafın adı, sınav görevlisinin borç defterinde çıktı. Tezgâha döndün; mektup çöpte.</t>
        </is>
      </c>
      <c r="L1370" s="6" t="inlineStr"/>
      <c r="M1370" s="5" t="inlineStr"/>
      <c r="N1370" s="5" t="inlineStr"/>
      <c r="O1370" s="6" t="inlineStr"/>
      <c r="P1370" s="6" t="inlineStr"/>
      <c r="Q1370" s="5" t="inlineStr"/>
      <c r="R1370" s="5" t="inlineStr"/>
      <c r="S1370" s="5" t="inlineStr"/>
      <c r="T1370" s="5" t="inlineStr"/>
      <c r="U1370" s="5" t="inlineStr"/>
      <c r="V1370" s="5" t="inlineStr">
        <is>
          <t>meslek-memur</t>
        </is>
      </c>
      <c r="W1370" s="5" t="inlineStr"/>
      <c r="X1370" s="5" t="inlineStr"/>
      <c r="Y1370" s="5" t="inlineStr"/>
      <c r="Z1370" s="6" t="inlineStr"/>
      <c r="AA1370" s="5" t="inlineStr"/>
      <c r="AB1370" s="5" t="inlineStr">
        <is>
          <t>meslek-esnaf</t>
        </is>
      </c>
      <c r="AC1370" s="5" t="inlineStr"/>
      <c r="AD1370" s="5" t="inlineStr">
        <is>
          <t>Orta</t>
        </is>
      </c>
      <c r="AE1370" s="5" t="inlineStr"/>
      <c r="AF1370" s="5" t="inlineStr"/>
      <c r="AG1370" s="5" t="inlineStr"/>
      <c r="AH1370" s="5" t="inlineStr">
        <is>
          <t>İtibar 36</t>
        </is>
      </c>
      <c r="AI1370" s="5" t="inlineStr"/>
      <c r="AJ1370" s="5" t="inlineStr"/>
    </row>
    <row r="1371">
      <c r="A1371" s="5" t="inlineStr">
        <is>
          <t>b6-hekimlik-yolu</t>
        </is>
      </c>
      <c r="B1371" s="5" t="n">
        <v>1</v>
      </c>
      <c r="C1371" s="6" t="inlineStr">
        <is>
          <t>Devlet hastanesine, mecburi hizmete</t>
        </is>
      </c>
      <c r="D1371" s="5" t="inlineStr"/>
      <c r="E1371" s="5" t="inlineStr"/>
      <c r="F1371" s="5" t="inlineStr">
        <is>
          <t>İtibar +1, Dayanıklılık +1</t>
        </is>
      </c>
      <c r="G1371" s="6" t="inlineStr">
        <is>
          <t>Kura çekildi, bir ilçe hastanesine düştün. Acilde tek hekimsin; gece ikide hem doktor, hem hemşire, hem de hasta yakınlarının psikoloğusun.</t>
        </is>
      </c>
      <c r="H1371" s="6" t="inlineStr"/>
      <c r="I1371" s="6" t="inlineStr"/>
      <c r="J1371" s="6" t="inlineStr"/>
      <c r="K1371" s="6" t="inlineStr"/>
      <c r="L1371" s="6" t="inlineStr"/>
      <c r="M1371" s="5" t="inlineStr"/>
      <c r="N1371" s="5" t="inlineStr"/>
      <c r="O1371" s="6" t="inlineStr"/>
      <c r="P1371" s="6" t="inlineStr"/>
      <c r="Q1371" s="5" t="inlineStr"/>
      <c r="R1371" s="5" t="inlineStr"/>
      <c r="S1371" s="5" t="inlineStr"/>
      <c r="T1371" s="5" t="inlineStr"/>
      <c r="U1371" s="5" t="inlineStr">
        <is>
          <t>hat-hekim, meslek-memur</t>
        </is>
      </c>
      <c r="V1371" s="5" t="inlineStr"/>
      <c r="W1371" s="5" t="inlineStr"/>
      <c r="X1371" s="5" t="inlineStr"/>
      <c r="Y1371" s="5" t="inlineStr"/>
      <c r="Z1371" s="6" t="inlineStr"/>
      <c r="AA1371" s="5" t="inlineStr">
        <is>
          <t>Erdem +1, Yalçın +1</t>
        </is>
      </c>
      <c r="AB1371" s="5" t="inlineStr"/>
      <c r="AC1371" s="5" t="inlineStr"/>
      <c r="AD1371" s="5" t="inlineStr">
        <is>
          <t>Orta</t>
        </is>
      </c>
      <c r="AE1371" s="5" t="inlineStr"/>
      <c r="AF1371" s="5" t="inlineStr"/>
      <c r="AG1371" s="5" t="inlineStr"/>
      <c r="AH1371" s="5" t="inlineStr"/>
      <c r="AI1371" s="5" t="inlineStr"/>
      <c r="AJ1371" s="5" t="inlineStr"/>
    </row>
    <row r="1372">
      <c r="A1372" s="5" t="inlineStr">
        <is>
          <t>b6-hekimlik-yolu</t>
        </is>
      </c>
      <c r="B1372" s="5" t="n">
        <v>2</v>
      </c>
      <c r="C1372" s="6" t="inlineStr">
        <is>
          <t>Uzmanlık sınavına gir</t>
        </is>
      </c>
      <c r="D1372" s="5" t="inlineStr">
        <is>
          <t>Akıl</t>
        </is>
      </c>
      <c r="E1372" s="5" t="inlineStr">
        <is>
          <t>Zor</t>
        </is>
      </c>
      <c r="F1372" s="5" t="inlineStr"/>
      <c r="G1372" s="6" t="inlineStr"/>
      <c r="H1372" s="6" t="inlineStr">
        <is>
          <t>Sınavı geçtin; istediğin branş, istediğin şehir. Beş yıllık asistanlık başlıyor. Annen hemen sordu: “Bayramda gelirsin, değil mi?” Hocan da aynı soruyu sordu; nöbet listesi için.</t>
        </is>
      </c>
      <c r="I1372" s="6" t="inlineStr">
        <is>
          <t>Derece yaptın. Hocalar seni kendi kliniğine istedi. Annen bunu okuduğunda “Hangi hastalığa bakıyorsun?” diye sordu; hepsine.</t>
        </is>
      </c>
      <c r="J1372" s="6" t="inlineStr">
        <is>
          <t>Puan yetmedi. Mecburi hizmete gittin; seneye yine deneyeceksin. Sınav kitapları acildeki masanın altında.</t>
        </is>
      </c>
      <c r="K1372" s="6" t="inlineStr">
        <is>
          <t>Sınavda yanlış branşı işaretledin. Mecburi hizmete gittin; orada branş yok, herkes her şey.</t>
        </is>
      </c>
      <c r="L1372" s="6" t="inlineStr"/>
      <c r="M1372" s="5" t="inlineStr"/>
      <c r="N1372" s="5" t="inlineStr"/>
      <c r="O1372" s="6" t="inlineStr"/>
      <c r="P1372" s="6" t="inlineStr"/>
      <c r="Q1372" s="5" t="inlineStr"/>
      <c r="R1372" s="5" t="inlineStr"/>
      <c r="S1372" s="5" t="inlineStr"/>
      <c r="T1372" s="5" t="inlineStr"/>
      <c r="U1372" s="5" t="inlineStr"/>
      <c r="V1372" s="5" t="inlineStr">
        <is>
          <t>hat-hekim, meslek-memur</t>
        </is>
      </c>
      <c r="W1372" s="5" t="inlineStr"/>
      <c r="X1372" s="5" t="inlineStr"/>
      <c r="Y1372" s="5" t="inlineStr"/>
      <c r="Z1372" s="6" t="inlineStr"/>
      <c r="AA1372" s="5" t="inlineStr"/>
      <c r="AB1372" s="5" t="inlineStr">
        <is>
          <t>hat-hekim, meslek-memur</t>
        </is>
      </c>
      <c r="AC1372" s="5" t="inlineStr"/>
      <c r="AD1372" s="5" t="inlineStr">
        <is>
          <t>Rahat</t>
        </is>
      </c>
      <c r="AE1372" s="5" t="inlineStr"/>
      <c r="AF1372" s="5" t="inlineStr"/>
      <c r="AG1372" s="5" t="inlineStr"/>
      <c r="AH1372" s="5" t="inlineStr">
        <is>
          <t>Akıl 32</t>
        </is>
      </c>
      <c r="AI1372" s="5" t="inlineStr"/>
      <c r="AJ1372" s="5" t="inlineStr"/>
    </row>
    <row r="1373">
      <c r="A1373" s="5" t="inlineStr">
        <is>
          <t>b6-hekimlik-yolu</t>
        </is>
      </c>
      <c r="B1373" s="5" t="n">
        <v>3</v>
      </c>
      <c r="C1373" s="6" t="inlineStr">
        <is>
          <t>Özel hastaneye geç</t>
        </is>
      </c>
      <c r="D1373" s="5" t="inlineStr">
        <is>
          <t>Çene</t>
        </is>
      </c>
      <c r="E1373" s="5" t="inlineStr">
        <is>
          <t>Orta</t>
        </is>
      </c>
      <c r="F1373" s="5" t="inlineStr"/>
      <c r="G1373" s="6" t="inlineStr"/>
      <c r="H1373" s="6" t="inlineStr">
        <is>
          <t>Özel bir hastane seni kadrosuna aldı. Odanda bitki var, hastaların randevulu. Aile grubundaki hastalar da artık randevu istiyor.</t>
        </is>
      </c>
      <c r="I1373" s="6" t="inlineStr">
        <is>
          <t>Hastane seni tanıtım filmine koydu. Gülümseyen doktor sensin; gülümsemek sözleşmede yazıyor.</t>
        </is>
      </c>
      <c r="J1373" s="6" t="inlineStr">
        <is>
          <t>Özel hastane seni aldı ama önce mecburi hizmet dedi. Bir ilçe hastanesinde iki yıl; bitki yok.</t>
        </is>
      </c>
      <c r="K1373" s="6" t="inlineStr">
        <is>
          <t>Görüşmede maaşı sordun, müdür “Biz aileyiz” dedi. Mecburi hizmete gittin; orada da aile yok, hasta var.</t>
        </is>
      </c>
      <c r="L1373" s="6" t="inlineStr"/>
      <c r="M1373" s="5" t="inlineStr"/>
      <c r="N1373" s="5" t="inlineStr"/>
      <c r="O1373" s="6" t="inlineStr"/>
      <c r="P1373" s="6" t="inlineStr"/>
      <c r="Q1373" s="5" t="inlineStr"/>
      <c r="R1373" s="5" t="inlineStr"/>
      <c r="S1373" s="5" t="inlineStr"/>
      <c r="T1373" s="5" t="inlineStr"/>
      <c r="U1373" s="5" t="inlineStr"/>
      <c r="V1373" s="5" t="inlineStr">
        <is>
          <t>hat-hekim, meslek-beyazyaka</t>
        </is>
      </c>
      <c r="W1373" s="5" t="inlineStr"/>
      <c r="X1373" s="5" t="inlineStr"/>
      <c r="Y1373" s="5" t="inlineStr"/>
      <c r="Z1373" s="6" t="inlineStr"/>
      <c r="AA1373" s="5" t="inlineStr"/>
      <c r="AB1373" s="5" t="inlineStr">
        <is>
          <t>hat-hekim, meslek-memur</t>
        </is>
      </c>
      <c r="AC1373" s="5" t="inlineStr"/>
      <c r="AD1373" s="5" t="inlineStr">
        <is>
          <t>Rahat</t>
        </is>
      </c>
      <c r="AE1373" s="5" t="inlineStr"/>
      <c r="AF1373" s="5" t="inlineStr"/>
      <c r="AG1373" s="5" t="inlineStr"/>
      <c r="AH1373" s="5" t="inlineStr"/>
      <c r="AI1373" s="5" t="inlineStr"/>
      <c r="AJ1373" s="5" t="inlineStr"/>
    </row>
    <row r="1374">
      <c r="A1374" s="5" t="inlineStr">
        <is>
          <t>b6-hekimlik-yolu</t>
        </is>
      </c>
      <c r="B1374" s="5" t="n">
        <v>4</v>
      </c>
      <c r="C1374" s="6" t="inlineStr">
        <is>
          <t>Öte Diyar'da hekimlik yap</t>
        </is>
      </c>
      <c r="D1374" s="5" t="inlineStr">
        <is>
          <t>Akıl</t>
        </is>
      </c>
      <c r="E1374" s="5" t="inlineStr">
        <is>
          <t>Zor</t>
        </is>
      </c>
      <c r="F1374" s="5" t="inlineStr"/>
      <c r="G1374" s="6" t="inlineStr"/>
      <c r="H1374" s="6" t="inlineStr">
        <is>
          <t>Dil sınavı, denklik sınavı, bir de mülakat. Hepsini geçtin. Bir kış sabahı Öte Diyar'da bir hastanenin koridorundasın; kimse adını doğru okuyamıyor.</t>
        </is>
      </c>
      <c r="I1374" s="6" t="inlineStr">
        <is>
          <t>Oradaki hastane seni bir yıl içinde uzman yaptı. Memlekete her dönüşünde akrabalar sıraya giriyor; sen de tatildesin, sözde.</t>
        </is>
      </c>
      <c r="J1374" s="6" t="inlineStr">
        <is>
          <t>Denklik sınavı olmadı. Mecburi hizmete gittin. Öte Diyar'ın broşürü acil servis masanın altında.</t>
        </is>
      </c>
      <c r="K1374" s="6" t="inlineStr">
        <is>
          <t>Dil sınavında hasta rolündeki jüri üyesine “Geçmiş olsun” diyecekken başsağlığı diledin. Jüri bir an sustu, sonra kendi nabzını yokladı. Mecburi hizmete gittin; orada herkes seni anlıyor, en azından.</t>
        </is>
      </c>
      <c r="L1374" s="6" t="inlineStr"/>
      <c r="M1374" s="5" t="inlineStr"/>
      <c r="N1374" s="5" t="inlineStr"/>
      <c r="O1374" s="6" t="inlineStr"/>
      <c r="P1374" s="6" t="inlineStr"/>
      <c r="Q1374" s="5" t="inlineStr"/>
      <c r="R1374" s="5" t="inlineStr"/>
      <c r="S1374" s="5" t="inlineStr"/>
      <c r="T1374" s="5" t="inlineStr"/>
      <c r="U1374" s="5" t="inlineStr"/>
      <c r="V1374" s="5" t="inlineStr">
        <is>
          <t>hat-hekim, hat-goc, meslek-beyazyaka</t>
        </is>
      </c>
      <c r="W1374" s="5" t="inlineStr"/>
      <c r="X1374" s="5" t="inlineStr"/>
      <c r="Y1374" s="5" t="inlineStr"/>
      <c r="Z1374" s="6" t="inlineStr"/>
      <c r="AA1374" s="5" t="inlineStr">
        <is>
          <t>Varlı +1, Şen -1, Yalçın -1</t>
        </is>
      </c>
      <c r="AB1374" s="5" t="inlineStr">
        <is>
          <t>hat-hekim, meslek-memur</t>
        </is>
      </c>
      <c r="AC1374" s="5" t="inlineStr"/>
      <c r="AD1374" s="5" t="inlineStr">
        <is>
          <t>Rahat</t>
        </is>
      </c>
      <c r="AE1374" s="5" t="inlineStr"/>
      <c r="AF1374" s="5" t="inlineStr"/>
      <c r="AG1374" s="5" t="inlineStr"/>
      <c r="AH1374" s="5" t="inlineStr">
        <is>
          <t>Akıl 34</t>
        </is>
      </c>
      <c r="AI1374" s="5" t="inlineStr"/>
      <c r="AJ1374" s="5" t="inlineStr"/>
    </row>
    <row r="1375">
      <c r="A1375" s="5" t="inlineStr">
        <is>
          <t>b6-polis-devriye</t>
        </is>
      </c>
      <c r="B1375" s="5" t="n">
        <v>1</v>
      </c>
      <c r="C1375" s="6" t="inlineStr">
        <is>
          <t>Kıdemlinin dediğini yap</t>
        </is>
      </c>
      <c r="D1375" s="5" t="inlineStr"/>
      <c r="E1375" s="5" t="inlineStr"/>
      <c r="F1375" s="5" t="inlineStr">
        <is>
          <t>Dayanıklılık +1, Sosyal Radar +1</t>
        </is>
      </c>
      <c r="G1375" s="6" t="inlineStr">
        <is>
          <t>Kıdemli iki manavı ayırdı, bir kasa domatesi ikiye böldü, işi bitirdi. Sana döndü: “Bu işin yarısı domates bölmektir.” Diğer yarısını sormadın.</t>
        </is>
      </c>
      <c r="H1375" s="6" t="inlineStr"/>
      <c r="I1375" s="6" t="inlineStr"/>
      <c r="J1375" s="6" t="inlineStr"/>
      <c r="K1375" s="6" t="inlineStr"/>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c r="AI1375" s="5" t="inlineStr"/>
      <c r="AJ1375" s="5" t="inlineStr"/>
    </row>
    <row r="1376">
      <c r="A1376" s="5" t="inlineStr">
        <is>
          <t>b6-polis-devriye</t>
        </is>
      </c>
      <c r="B1376" s="5" t="n">
        <v>2</v>
      </c>
      <c r="C1376" s="6" t="inlineStr">
        <is>
          <t>Kavgayı sen çöz</t>
        </is>
      </c>
      <c r="D1376" s="5" t="inlineStr">
        <is>
          <t>Cesaret</t>
        </is>
      </c>
      <c r="E1376" s="5" t="inlineStr">
        <is>
          <t>Orta</t>
        </is>
      </c>
      <c r="F1376" s="5" t="inlineStr"/>
      <c r="G1376" s="6" t="inlineStr"/>
      <c r="H1376" s="6" t="inlineStr">
        <is>
          <t>İki manavı aynı masaya oturttun, domatesleri tarttırdın. Kavga bir kiloluk fark yüzündenmiş; kantar bozukmuş. Kantarı değiştirdiler; seni de çarşıda tanıdılar.</t>
        </is>
      </c>
      <c r="I1376" s="6" t="inlineStr">
        <is>
          <t>Manavlar barıştı, sana da birer kasa domates yolladılar. Reddettin; karakolda herkes o hafta salata yedi, isimsiz bağış olarak.</t>
        </is>
      </c>
      <c r="J1376" s="6" t="inlineStr">
        <is>
          <t>Kavgayı çözdün sandın; sen gidince yeniden başladı. Bu sefer kantarla.</t>
        </is>
      </c>
      <c r="K1376" s="6" t="inlineStr">
        <is>
          <t>Araya girdin; ilk domates ensene, ikincisi şapkana geldi. Karakola salata gibi döndün. Ertesi sabah dolabında bir kasa domates vardı; üstünde “Hoş geldin Domates” yazıyordu.</t>
        </is>
      </c>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c r="AI1376" s="5" t="inlineStr">
        <is>
          <t>Domates</t>
        </is>
      </c>
      <c r="AJ1376" s="5" t="inlineStr"/>
    </row>
    <row r="1377">
      <c r="A1377" s="5" t="inlineStr">
        <is>
          <t>b6-polis-devriye</t>
        </is>
      </c>
      <c r="B1377" s="5" t="n">
        <v>3</v>
      </c>
      <c r="C1377" s="6" t="inlineStr">
        <is>
          <t>Kıdemliye usulü hatırlat</t>
        </is>
      </c>
      <c r="D1377" s="5" t="inlineStr">
        <is>
          <t>Cesaret</t>
        </is>
      </c>
      <c r="E1377" s="5" t="inlineStr">
        <is>
          <t>Zor</t>
        </is>
      </c>
      <c r="F1377" s="5" t="inlineStr"/>
      <c r="G1377" s="6" t="inlineStr"/>
      <c r="H1377" s="6" t="inlineStr">
        <is>
          <t>Tutanak tuttun, ifade aldın, usulü işlettin. Kıdemli söylenerek imzaladı; akşam amire “Bu çocuk iyi” dedi.</t>
        </is>
      </c>
      <c r="I1377" s="6" t="inlineStr">
        <is>
          <t>Tuttuğun tutanak karakolda örnek diye dolaştırıldı. Amir seni bir sonraki eğitime yazdı; kıdemli de sana çay ısmarladı, isteksizce.</t>
        </is>
      </c>
      <c r="J1377" s="6" t="inlineStr">
        <is>
          <t>Kıdemli seni dinledi ve telsizi açtı: skor soruyordu. Tutanak cebinde kaldı.</t>
        </is>
      </c>
      <c r="K1377" s="6" t="inlineStr">
        <is>
          <t>Kıdemli seni bütün karakola “Kitap” diye tanıttı. Bir hafta boyunca herkes sana çay ocağında usul sordu; çaya kaç şeker atılacağı dahil.</t>
        </is>
      </c>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is>
          <t>Cesaret 28</t>
        </is>
      </c>
      <c r="AI1377" s="5" t="inlineStr"/>
      <c r="AJ1377" s="5" t="inlineStr"/>
    </row>
    <row r="1378">
      <c r="A1378" s="5" t="inlineStr">
        <is>
          <t>b6-yargi-kurs</t>
        </is>
      </c>
      <c r="B1378" s="5" t="n">
        <v>1</v>
      </c>
      <c r="C1378" s="6" t="inlineStr">
        <is>
          <t>Not al, sus, izle</t>
        </is>
      </c>
      <c r="D1378" s="5" t="inlineStr"/>
      <c r="E1378" s="5" t="inlineStr"/>
      <c r="F1378" s="5" t="inlineStr">
        <is>
          <t>Akıl +1, Sosyal Radar +1</t>
        </is>
      </c>
      <c r="G1378" s="6" t="inlineStr">
        <is>
          <t>Üç saat not aldın. Kıdemli sonunda sana döndü: “Ne gördün?” “Ceviz” dedin. Kıdemli güldü: “Doğru. Ama asıl dava ceviz değil.”</t>
        </is>
      </c>
      <c r="H1378" s="6" t="inlineStr"/>
      <c r="I1378" s="6" t="inlineStr"/>
      <c r="J1378" s="6" t="inlineStr"/>
      <c r="K1378" s="6" t="inlineStr"/>
      <c r="L1378" s="6" t="inlineStr"/>
      <c r="M1378" s="5" t="inlineStr"/>
      <c r="N1378" s="5" t="inlineStr"/>
      <c r="O1378" s="6" t="inlineStr"/>
      <c r="P1378" s="6" t="inlineStr"/>
      <c r="Q1378" s="5" t="inlineStr"/>
      <c r="R1378" s="5" t="inlineStr"/>
      <c r="S1378" s="5" t="inlineStr"/>
      <c r="T1378" s="5" t="inlineStr"/>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c r="AI1378" s="5" t="inlineStr"/>
      <c r="AJ1378" s="5" t="inlineStr"/>
    </row>
    <row r="1379">
      <c r="A1379" s="5" t="inlineStr">
        <is>
          <t>b6-yargi-kurs</t>
        </is>
      </c>
      <c r="B1379" s="5" t="n">
        <v>2</v>
      </c>
      <c r="C1379" s="6" t="inlineStr">
        <is>
          <t>Keşif için ağaca gitmeyi öner</t>
        </is>
      </c>
      <c r="D1379" s="5" t="inlineStr">
        <is>
          <t>Cesaret</t>
        </is>
      </c>
      <c r="E1379" s="5" t="inlineStr">
        <is>
          <t>Orta</t>
        </is>
      </c>
      <c r="F1379" s="5" t="inlineStr"/>
      <c r="G1379" s="6" t="inlineStr"/>
      <c r="H1379" s="6" t="inlineStr">
        <is>
          <t>Keşfe gittiniz. Ağacın dalı gerçekten sınırı geçiyor; ama kökü de öbür tarafı. Dava ikiye bölündü, komşular hâlâ konuşmuyor ama ceviz topluyor.</t>
        </is>
      </c>
      <c r="I1379" s="6" t="inlineStr">
        <is>
          <t>Keşifte iki komşu ağacın altında çocukken birlikte oynadıklarını hatırladı. Dava düştü. Kıdemli, “Senden olur” dedi.</t>
        </is>
      </c>
      <c r="J1379" s="6" t="inlineStr">
        <is>
          <t>Keşfe gittiniz; ağaç kesilmişti. Dava artık bir kütük davası.</t>
        </is>
      </c>
      <c r="K1379" s="6" t="inlineStr">
        <is>
          <t>Keşifte ceviz başına düştü. Tutanağa “Mahkeme heyetine ceviz isabet etmiştir” yazıldı; adın dipnotta.</t>
        </is>
      </c>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c r="AI1379" s="5" t="inlineStr"/>
      <c r="AJ1379" s="5" t="inlineStr"/>
    </row>
    <row r="1380">
      <c r="A1380" s="5" t="inlineStr">
        <is>
          <t>b6-yargi-kurs</t>
        </is>
      </c>
      <c r="B1380" s="5" t="n">
        <v>3</v>
      </c>
      <c r="C1380" s="6" t="inlineStr">
        <is>
          <t>Kararı kıdemliden önce tahmin et</t>
        </is>
      </c>
      <c r="D1380" s="5" t="inlineStr">
        <is>
          <t>Akıl</t>
        </is>
      </c>
      <c r="E1380" s="5" t="inlineStr">
        <is>
          <t>Zor</t>
        </is>
      </c>
      <c r="F1380" s="5" t="inlineStr"/>
      <c r="G1380" s="6" t="inlineStr"/>
      <c r="H1380" s="6" t="inlineStr">
        <is>
          <t>Tahminin tuttu. Kıdemli karar metnini yazarken senin cümlelerinden birini kullandı. Adını anmadı; adaylar anılmaz.</t>
        </is>
      </c>
      <c r="I1380" s="6" t="inlineStr">
        <is>
          <t>Tahminin öyle isabetliydi ki kıdemli bir sonraki dosyayı sana verdi: “Taslağı sen yaz.” Taslak neredeyse hiç değişmedi.</t>
        </is>
      </c>
      <c r="J1380" s="6" t="inlineStr">
        <is>
          <t>Tahmin tutmadı. Kıdemli kararı okuduğunda senin notlarındaki cümlenin tam tersini okudu.</t>
        </is>
      </c>
      <c r="K1380" s="6" t="inlineStr">
        <is>
          <t>Tahminini koridorda yüksek sesle söyledin. Davalı komşu duydu, içeri girip kıdemliye sordu: “Karar çıkmış, siz niye hâlâ okuyorsunuz?” Duruşma bir saat uzadı; kıdemli o bir saat sana hiç bakmadı.</t>
        </is>
      </c>
      <c r="L1380" s="6" t="inlineStr"/>
      <c r="M1380" s="5" t="inlineStr"/>
      <c r="N1380" s="5" t="inlineStr"/>
      <c r="O1380" s="6" t="inlineStr"/>
      <c r="P1380" s="6" t="inlineStr"/>
      <c r="Q1380" s="5" t="inlineStr"/>
      <c r="R1380" s="5" t="inlineStr"/>
      <c r="S1380" s="5" t="inlineStr"/>
      <c r="T1380" s="5" t="inlineStr">
        <is>
          <t>Mevzuat Kalkanı</t>
        </is>
      </c>
      <c r="U1380" s="5" t="inlineStr"/>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is>
          <t>Akıl 32</t>
        </is>
      </c>
      <c r="AI1380" s="5" t="inlineStr"/>
      <c r="AJ1380" s="5" t="inlineStr"/>
    </row>
    <row r="1381">
      <c r="A1381" s="5" t="inlineStr">
        <is>
          <t>b6-hekim-ilk-nobet</t>
        </is>
      </c>
      <c r="B1381" s="5" t="n">
        <v>1</v>
      </c>
      <c r="C1381" s="6" t="inlineStr">
        <is>
          <t>Önce amcaya çay ver</t>
        </is>
      </c>
      <c r="D1381" s="5" t="inlineStr"/>
      <c r="E1381" s="5" t="inlineStr"/>
      <c r="F1381" s="5" t="inlineStr">
        <is>
          <t>İtibar +1</t>
        </is>
      </c>
      <c r="G1381" s="6" t="inlineStr">
        <is>
          <t>Amcaya çay verdin. Amca çayı içti, iyileşti; aslında sadece yalnızmış. Diğer altı hastaya bakarken amca kapıda nöbet tuttu.</t>
        </is>
      </c>
      <c r="H1381" s="6" t="inlineStr"/>
      <c r="I1381" s="6" t="inlineStr"/>
      <c r="J1381" s="6" t="inlineStr"/>
      <c r="K1381" s="6" t="inlineStr"/>
      <c r="L1381" s="6" t="inlineStr"/>
      <c r="M1381" s="5" t="inlineStr"/>
      <c r="N1381" s="5" t="inlineStr"/>
      <c r="O1381" s="6" t="inlineStr"/>
      <c r="P1381" s="6" t="inlineStr"/>
      <c r="Q1381" s="5" t="inlineStr"/>
      <c r="R1381" s="5" t="inlineStr"/>
      <c r="S1381" s="5" t="inlineStr"/>
      <c r="T1381" s="5" t="inlineStr"/>
      <c r="U1381" s="5" t="inlineStr"/>
      <c r="V1381" s="5" t="inlineStr"/>
      <c r="W1381" s="5" t="inlineStr"/>
      <c r="X1381" s="5" t="inlineStr"/>
      <c r="Y1381" s="5" t="inlineStr"/>
      <c r="Z1381" s="6" t="inlineStr"/>
      <c r="AA1381" s="5" t="inlineStr"/>
      <c r="AB1381" s="5" t="inlineStr"/>
      <c r="AC1381" s="5" t="inlineStr"/>
      <c r="AD1381" s="5" t="inlineStr"/>
      <c r="AE1381" s="5" t="inlineStr"/>
      <c r="AF1381" s="5" t="inlineStr"/>
      <c r="AG1381" s="5" t="inlineStr"/>
      <c r="AH1381" s="5" t="inlineStr"/>
      <c r="AI1381" s="5" t="inlineStr"/>
      <c r="AJ1381" s="5" t="inlineStr"/>
    </row>
    <row r="1382">
      <c r="A1382" s="5" t="inlineStr">
        <is>
          <t>b6-hekim-ilk-nobet</t>
        </is>
      </c>
      <c r="B1382" s="5" t="n">
        <v>2</v>
      </c>
      <c r="C1382" s="6" t="inlineStr">
        <is>
          <t>Sırayı aciliyete göre diz</t>
        </is>
      </c>
      <c r="D1382" s="5" t="inlineStr">
        <is>
          <t>Akıl</t>
        </is>
      </c>
      <c r="E1382" s="5" t="inlineStr">
        <is>
          <t>Orta</t>
        </is>
      </c>
      <c r="F1382" s="5" t="inlineStr"/>
      <c r="G1382" s="6" t="inlineStr"/>
      <c r="H1382" s="6" t="inlineStr">
        <is>
          <t>Hastaları doğru sıraya dizdin. Sabaha kadar kimse beklediği için kötüleşmedi. Başhemşire sana ilk kez adınla hitap etti.</t>
        </is>
      </c>
      <c r="I1382" s="6" t="inlineStr">
        <is>
          <t>Sabah vizitinde hoca nöbet defterine baktı ve bir kelime yazdı: “Düzgün.” Tıpta bundan büyük iltifat yok.</t>
        </is>
      </c>
      <c r="J1382" s="6" t="inlineStr">
        <is>
          <t>Sırayı dizdin ama “internette okudum” hastası sırayı üç kez bozdu. Sabah yorgundun; ama herkes hayattaydı.</t>
        </is>
      </c>
      <c r="K1382" s="6" t="inlineStr">
        <is>
          <t>Dosyaları karıştırdın; kaygılı hastaya ağrı kesici, ağrılı hastaya sakinleştirici önerdin. İkisi de iyi hissetti. Hoca hissetmedi.</t>
        </is>
      </c>
      <c r="L1382" s="6" t="inlineStr"/>
      <c r="M1382" s="5" t="inlineStr"/>
      <c r="N1382" s="5" t="inlineStr"/>
      <c r="O1382" s="6" t="inlineStr"/>
      <c r="P1382" s="6" t="inlineStr"/>
      <c r="Q1382" s="5" t="inlineStr"/>
      <c r="R1382" s="5" t="inlineStr"/>
      <c r="S1382" s="5" t="inlineStr"/>
      <c r="T1382" s="5" t="inlineStr">
        <is>
          <t>Gözüne Uyku Girmez</t>
        </is>
      </c>
      <c r="U1382" s="5" t="inlineStr"/>
      <c r="V1382" s="5" t="inlineStr"/>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c r="AI1382" s="5" t="inlineStr"/>
      <c r="AJ1382" s="5" t="inlineStr"/>
    </row>
    <row r="1383">
      <c r="A1383" s="5" t="inlineStr">
        <is>
          <t>b6-hekim-ilk-nobet</t>
        </is>
      </c>
      <c r="B1383" s="5" t="n">
        <v>3</v>
      </c>
      <c r="C1383" s="6" t="inlineStr">
        <is>
          <t>“İnternette okudum” hastasını ikna et</t>
        </is>
      </c>
      <c r="D1383" s="5" t="inlineStr">
        <is>
          <t>Çene</t>
        </is>
      </c>
      <c r="E1383" s="5" t="inlineStr">
        <is>
          <t>Zor</t>
        </is>
      </c>
      <c r="F1383" s="5" t="inlineStr"/>
      <c r="G1383" s="6" t="inlineStr"/>
      <c r="H1383" s="6" t="inlineStr">
        <is>
          <t>Hastaya internetin neyi yanlış okuduğunu anlattın. Hasta sana teşekkür etti ve bir daha arama motoruna değil sana soracağını söyledi. Numaranı istedi; vermedin.</t>
        </is>
      </c>
      <c r="I1383" s="6" t="inlineStr">
        <is>
          <t>Hasta öyle ikna oldu ki kendi forumunda senin hakkında övgü yazdı. Ertesi hafta acile üç kişi “O doktoru” soruyordu.</t>
        </is>
      </c>
      <c r="J1383" s="6" t="inlineStr">
        <is>
          <t>Hasta telefonunu uzattı: “Ama burada başka yazıyor.” Sabaha kadar tartıştınız. Taburcu olurken yorum yazdı: “Doktor kibar ama internetten habersiz.”</t>
        </is>
      </c>
      <c r="K1383" s="6" t="inlineStr">
        <is>
          <t>Hastayı ikna edemedin; o seni ikna etti. Sabaha karşı bir an kendi semptomlarını aradın.</t>
        </is>
      </c>
      <c r="L1383" s="6" t="inlineStr"/>
      <c r="M1383" s="5" t="inlineStr"/>
      <c r="N1383" s="5" t="inlineStr"/>
      <c r="O1383" s="6" t="inlineStr"/>
      <c r="P1383" s="6" t="inlineStr"/>
      <c r="Q1383" s="5" t="inlineStr"/>
      <c r="R1383" s="5" t="inlineStr"/>
      <c r="S1383" s="5" t="inlineStr"/>
      <c r="T1383" s="5" t="inlineStr"/>
      <c r="U1383" s="5" t="inlineStr"/>
      <c r="V1383" s="5" t="inlineStr"/>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c r="AI1383" s="5" t="inlineStr"/>
      <c r="AJ1383" s="5" t="inlineStr"/>
    </row>
    <row r="1384">
      <c r="A1384" s="5" t="inlineStr">
        <is>
          <t>b6-cete-paravan</t>
        </is>
      </c>
      <c r="B1384" s="5" t="n">
        <v>1</v>
      </c>
      <c r="C1384" s="6" t="inlineStr">
        <is>
          <t>Doğru defteri aç, gerisini abiye bırak</t>
        </is>
      </c>
      <c r="D1384" s="5" t="inlineStr"/>
      <c r="E1384" s="5" t="inlineStr"/>
      <c r="F1384" s="5" t="inlineStr">
        <is>
          <t>Pişkinlik +1, Dayanıklılık +1</t>
        </is>
      </c>
      <c r="G1384" s="6" t="inlineStr">
        <is>
          <t>Müfettiş vergi defterine baktı, bir çay içti, bir araba yıkattı; parasını ödedi. Abi akşam aradı: “Öğreniyorsun.” Neyi öğrendiğini düşünmek istemiyorsun.</t>
        </is>
      </c>
      <c r="H1384" s="6" t="inlineStr"/>
      <c r="I1384" s="6" t="inlineStr"/>
      <c r="J1384" s="6" t="inlineStr"/>
      <c r="K1384" s="6" t="inlineStr"/>
      <c r="L1384" s="6" t="inlineStr"/>
      <c r="M1384" s="5" t="inlineStr"/>
      <c r="N1384" s="5" t="inlineStr"/>
      <c r="O1384" s="6" t="inlineStr"/>
      <c r="P1384" s="6" t="inlineStr"/>
      <c r="Q1384" s="5" t="inlineStr"/>
      <c r="R1384" s="5" t="inlineStr"/>
      <c r="S1384" s="5" t="inlineStr"/>
      <c r="T1384" s="5" t="inlineStr"/>
      <c r="U1384" s="5" t="inlineStr"/>
      <c r="V1384" s="5" t="inlineStr"/>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c r="AI1384" s="5" t="inlineStr"/>
      <c r="AJ1384" s="5" t="inlineStr"/>
    </row>
    <row r="1385">
      <c r="A1385" s="5" t="inlineStr">
        <is>
          <t>b6-cete-paravan</t>
        </is>
      </c>
      <c r="B1385" s="5" t="n">
        <v>2</v>
      </c>
      <c r="C1385" s="6" t="inlineStr">
        <is>
          <t>Oto yıkamayı gerçekten oto yıkama yap</t>
        </is>
      </c>
      <c r="D1385" s="5" t="inlineStr">
        <is>
          <t>Akıl</t>
        </is>
      </c>
      <c r="E1385" s="5" t="inlineStr">
        <is>
          <t>Zor</t>
        </is>
      </c>
      <c r="F1385" s="5" t="inlineStr"/>
      <c r="G1385" s="6" t="inlineStr"/>
      <c r="H1385" s="6" t="inlineStr">
        <is>
          <t>Köpüklü yıkama, iç temizlik, jant parlatma. Üç ayda gerçek müşteri geldi. Abinin defteri inceldi, seninki kalınlaştı.</t>
        </is>
      </c>
      <c r="I1385" s="6" t="inlineStr">
        <is>
          <t>Dükkân o kadar iyi işledi ki abi bile arabasını getirdi; üstelik ödedi. Mahallede artık “Abinin adamı” değil, “Yıkamacı” diye biliniyorsun.</t>
        </is>
      </c>
      <c r="J1385" s="6" t="inlineStr">
        <is>
          <t>Gerçek müşteriler geldi ama abinin müşterileri de gelmeye devam etti. İki defter şimdi üç oldu.</t>
        </is>
      </c>
      <c r="K1385" s="6" t="inlineStr">
        <is>
          <t>Gerçek bir yıkama yaparken abinin arabasının bagajını açtın. Ne gördüğünü söylemeyeceksin; abi de sana söylememeni söyledi.</t>
        </is>
      </c>
      <c r="L1385" s="6" t="inlineStr"/>
      <c r="M1385" s="5" t="inlineStr"/>
      <c r="N1385" s="5" t="inlineStr"/>
      <c r="O1385" s="6" t="inlineStr"/>
      <c r="P1385" s="6" t="inlineStr"/>
      <c r="Q1385" s="5" t="inlineStr"/>
      <c r="R1385" s="5" t="inlineStr"/>
      <c r="S1385" s="5" t="inlineStr"/>
      <c r="T1385" s="5" t="inlineStr"/>
      <c r="U1385" s="5" t="inlineStr"/>
      <c r="V1385" s="5" t="inlineStr">
        <is>
          <t>abiden-koptu</t>
        </is>
      </c>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c r="AI1385" s="5" t="inlineStr"/>
      <c r="AJ1385" s="5" t="inlineStr"/>
    </row>
    <row r="1386">
      <c r="A1386" s="5" t="inlineStr">
        <is>
          <t>b6-cete-paravan</t>
        </is>
      </c>
      <c r="B1386" s="5" t="n">
        <v>3</v>
      </c>
      <c r="C1386" s="6" t="inlineStr">
        <is>
          <t>Abinin defterini kendine sakla</t>
        </is>
      </c>
      <c r="D1386" s="5" t="inlineStr">
        <is>
          <t>Kurnazlık</t>
        </is>
      </c>
      <c r="E1386" s="5" t="inlineStr">
        <is>
          <t>Çok Zor</t>
        </is>
      </c>
      <c r="F1386" s="5" t="inlineStr"/>
      <c r="G1386" s="6" t="inlineStr"/>
      <c r="H1386" s="6" t="inlineStr">
        <is>
          <t>Abinin defterinin bir fotokopisini aldın ve bir kasaya koydun. Kasanın anahtarı ayakkabında. Artık abi senin için değil, sen abi için bir sigortasın.</t>
        </is>
      </c>
      <c r="I1386" s="6" t="inlineStr">
        <is>
          <t>Fotokopiyi gören tek kişi abinin rakibiydi; seni yemeğe çağırdı. Şimdi iki abinin masasına birden oturan tek kişisin. İki tarafa da aynı gülümsemeyi yapıyorsun; yanakların yoruldu.</t>
        </is>
      </c>
      <c r="J1386" s="6" t="inlineStr">
        <is>
          <t>Fotokopi makinesi kâğıt sıkıştırdı. Defterin üç sayfası makinenin içinde kaldı. Makine artık bir delil.</t>
        </is>
      </c>
      <c r="K1386" s="6" t="inlineStr">
        <is>
          <t>Abi, fotokopi kuyruğunda arkanda duruyordu. “Bir tane de bana çek” dedi. O günden sonra oto yıkamada kamera var.</t>
        </is>
      </c>
      <c r="L1386" s="6" t="inlineStr"/>
      <c r="M1386" s="5" t="inlineStr"/>
      <c r="N1386" s="5" t="inlineStr"/>
      <c r="O1386" s="6" t="inlineStr"/>
      <c r="P1386" s="6" t="inlineStr"/>
      <c r="Q1386" s="5" t="inlineStr"/>
      <c r="R1386" s="5" t="inlineStr"/>
      <c r="S1386" s="5" t="inlineStr"/>
      <c r="T1386" s="5" t="inlineStr"/>
      <c r="U1386" s="5" t="inlineStr"/>
      <c r="V1386" s="5" t="inlineStr">
        <is>
          <t>abiye-karsi-sigorta</t>
        </is>
      </c>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c r="AI1386" s="5" t="inlineStr"/>
      <c r="AJ1386" s="5" t="inlineStr"/>
    </row>
    <row r="1387">
      <c r="A1387" s="5" t="inlineStr">
        <is>
          <t>b6-sohret-ilk-rol</t>
        </is>
      </c>
      <c r="B1387" s="5" t="n">
        <v>1</v>
      </c>
      <c r="C1387" s="6" t="inlineStr">
        <is>
          <t>On beşinci tekrarı çek, sesini çıkarma</t>
        </is>
      </c>
      <c r="D1387" s="5" t="inlineStr"/>
      <c r="E1387" s="5" t="inlineStr"/>
      <c r="F1387" s="5" t="inlineStr">
        <is>
          <t>Dayanıklılık +1</t>
        </is>
      </c>
      <c r="G1387" s="6" t="inlineStr">
        <is>
          <t>On beşinci tekrarda yönetmen “Tamam” dedi. Sonra aynı sahneyi başka açıdan on dört kez daha çektiniz. Hesabı kimse ödemedi.</t>
        </is>
      </c>
      <c r="H1387" s="6" t="inlineStr"/>
      <c r="I1387" s="6" t="inlineStr"/>
      <c r="J1387" s="6" t="inlineStr"/>
      <c r="K1387" s="6" t="inlineStr"/>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c r="AI1387" s="5" t="inlineStr"/>
      <c r="AJ1387" s="5" t="inlineStr"/>
    </row>
    <row r="1388">
      <c r="A1388" s="5" t="inlineStr">
        <is>
          <t>b6-sohret-ilk-rol</t>
        </is>
      </c>
      <c r="B1388" s="5" t="n">
        <v>2</v>
      </c>
      <c r="C1388" s="6" t="inlineStr">
        <is>
          <t>Repliğe bir doğaçlama ekle</t>
        </is>
      </c>
      <c r="D1388" s="5" t="inlineStr">
        <is>
          <t>Pişkinlik</t>
        </is>
      </c>
      <c r="E1388" s="5" t="inlineStr">
        <is>
          <t>Zor</t>
        </is>
      </c>
      <c r="F1388" s="5" t="inlineStr"/>
      <c r="G1388" s="6" t="inlineStr"/>
      <c r="H1388" s="6" t="inlineStr">
        <is>
          <t>“Hesap lütfen… bir de sizin telefonunuz.” Yönetmen güldü, sahne kaldı. Dizide ikinci bölümde de varsın.</t>
        </is>
      </c>
      <c r="I1388" s="6" t="inlineStr">
        <is>
          <t>Doğaçlama sosyal medyada kısa video oldu. İki milyon izlenme; herkes kafedeki genci soruyor. Menajerin yok; artık lazım.</t>
        </is>
      </c>
      <c r="J1388" s="6" t="inlineStr">
        <is>
          <t>Doğaçlamanı kimse sevmedi. Sahne kurgu masasında kesildi; dizide sadece ensen var.</t>
        </is>
      </c>
      <c r="K1388" s="6" t="inlineStr">
        <is>
          <t>Doğaçlama yaparken başrol oyuncusunun repliğini söyledin. Başrol seni o günden beri tanımıyor, bilerek.</t>
        </is>
      </c>
      <c r="L1388" s="6" t="inlineStr"/>
      <c r="M1388" s="5" t="inlineStr"/>
      <c r="N1388" s="5" t="inlineStr"/>
      <c r="O1388" s="6" t="inlineStr"/>
      <c r="P1388" s="6" t="inlineStr"/>
      <c r="Q1388" s="5" t="inlineStr"/>
      <c r="R1388" s="5" t="inlineStr"/>
      <c r="S1388" s="5" t="inlineStr"/>
      <c r="T1388" s="5" t="inlineStr"/>
      <c r="U1388" s="5" t="inlineStr"/>
      <c r="V1388" s="5" t="inlineStr">
        <is>
          <t>serbest-viral-oldu</t>
        </is>
      </c>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c r="AI1388" s="5" t="inlineStr"/>
      <c r="AJ1388" s="5" t="inlineStr"/>
    </row>
    <row r="1389">
      <c r="A1389" s="5" t="inlineStr">
        <is>
          <t>b6-sohret-ilk-rol</t>
        </is>
      </c>
      <c r="B1389" s="5" t="n">
        <v>3</v>
      </c>
      <c r="C1389" s="6" t="inlineStr">
        <is>
          <t>Başrolün yanına otur, sohbet et</t>
        </is>
      </c>
      <c r="D1389" s="5" t="inlineStr">
        <is>
          <t>Sosyal Radar</t>
        </is>
      </c>
      <c r="E1389" s="5" t="inlineStr">
        <is>
          <t>Orta</t>
        </is>
      </c>
      <c r="F1389" s="5" t="inlineStr"/>
      <c r="G1389" s="6" t="inlineStr"/>
      <c r="H1389" s="6" t="inlineStr">
        <is>
          <t>Başrol oyuncusu seninle kahve içti. Sete girişin ertesi gün bir karavanla yapıldı; karavan senin değil ama kapısını açabiliyorsun.</t>
        </is>
      </c>
      <c r="I1389" s="6" t="inlineStr">
        <is>
          <t>Başrol seni menajerine tanıttı. Menajer ilk bakışta “Yüzün bir şey diyor” dedi. Ne dediğini henüz söylemedi.</t>
        </is>
      </c>
      <c r="J1389" s="6" t="inlineStr">
        <is>
          <t>Başrol oyuncusu kulaklığını çıkarmadı. Sohbet tek taraflı oldu; sen bunu da bir sahne sandın.</t>
        </is>
      </c>
      <c r="K1389" s="6" t="inlineStr">
        <is>
          <t>Başrolün kahvesini gömleğine döktün; sahne kahve lekeli gömlekle çekildi. Ertesi gün sete “Kahve dökülmez” tabelası asıldı. Altına biri küçük harflerle senin adını yazmıştı.</t>
        </is>
      </c>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c r="AI1389" s="5" t="inlineStr"/>
      <c r="AJ1389" s="5" t="inlineStr"/>
    </row>
    <row r="1390">
      <c r="A1390" s="5" t="inlineStr">
        <is>
          <t>b6-koy-ilk-hasat</t>
        </is>
      </c>
      <c r="B1390" s="5" t="n">
        <v>1</v>
      </c>
      <c r="C1390" s="6" t="inlineStr">
        <is>
          <t>Komisyoncuya ver, işi bitir</t>
        </is>
      </c>
      <c r="D1390" s="5" t="inlineStr"/>
      <c r="E1390" s="5" t="inlineStr"/>
      <c r="F1390" s="5" t="inlineStr">
        <is>
          <t>Dayanıklılık +1</t>
        </is>
      </c>
      <c r="G1390" s="6" t="inlineStr">
        <is>
          <t>Komisyoncu kamyonla geldi, domatesleri tarttı, fiyatı söyledi, gitti. Aynı domatesler üç gün sonra şehirde dört katına satıldı. Deden “Hep böyleydi” dedi.</t>
        </is>
      </c>
      <c r="H1390" s="6" t="inlineStr"/>
      <c r="I1390" s="6" t="inlineStr"/>
      <c r="J1390" s="6" t="inlineStr"/>
      <c r="K1390" s="6" t="inlineStr"/>
      <c r="L1390" s="6" t="inlineStr"/>
      <c r="M1390" s="5" t="inlineStr"/>
      <c r="N1390" s="5" t="inlineStr"/>
      <c r="O1390" s="6" t="inlineStr"/>
      <c r="P1390" s="6" t="inlineStr"/>
      <c r="Q1390" s="5" t="inlineStr"/>
      <c r="R1390" s="5" t="inlineStr"/>
      <c r="S1390" s="5" t="inlineStr"/>
      <c r="T1390" s="5" t="inlineStr"/>
      <c r="U1390" s="5" t="inlineStr"/>
      <c r="V1390" s="5" t="inlineStr"/>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c r="AI1390" s="5" t="inlineStr"/>
      <c r="AJ1390" s="5" t="inlineStr"/>
    </row>
    <row r="1391">
      <c r="A1391" s="5" t="inlineStr">
        <is>
          <t>b6-koy-ilk-hasat</t>
        </is>
      </c>
      <c r="B1391" s="5" t="n">
        <v>2</v>
      </c>
      <c r="C1391" s="6" t="inlineStr">
        <is>
          <t>Şehirde pazara kendin taşı</t>
        </is>
      </c>
      <c r="D1391" s="5" t="inlineStr">
        <is>
          <t>Dayanıklılık</t>
        </is>
      </c>
      <c r="E1391" s="5" t="inlineStr">
        <is>
          <t>Zor</t>
        </is>
      </c>
      <c r="F1391" s="5" t="inlineStr"/>
      <c r="G1391" s="6" t="inlineStr"/>
      <c r="H1391" s="6" t="inlineStr">
        <is>
          <t>Sabah dörtte yola çıktın, altıda tezgâhı kurdun, öğlen bitirdin. Kazandığın para komisyoncunun verdiğinin üç katı. Belin de üç kat ağrıyor.</t>
        </is>
      </c>
      <c r="I1391" s="6" t="inlineStr">
        <is>
          <t>Pazardaki müşteriler seni “Köylü Genç” diye çağırmaya başladı. Hafta sonları kuyruk var; domates sırası.</t>
        </is>
      </c>
      <c r="J1391" s="6" t="inlineStr">
        <is>
          <t>Pazara gittin ama tezgâh yerin yoktu. Kaldırımda sattın, zabıta seni kaldırdı. Domatesler sana kaldı; salata çok.</t>
        </is>
      </c>
      <c r="K1391" s="6" t="inlineStr">
        <is>
          <t>Traktör yolda, tam köprünün üstünde bozuldu. Arkanda kilometrelerce korna; domatesleri yol kenarına indirip kamyonculara sattın, fiyatı onlar söyledi. Akşam deden traktörü çekiciyle getirtti, sana tek şey dedi: “Kontağın püf noktası buydu işte.”</t>
        </is>
      </c>
      <c r="L1391" s="6" t="inlineStr"/>
      <c r="M1391" s="5" t="inlineStr"/>
      <c r="N1391" s="5" t="inlineStr"/>
      <c r="O1391" s="6" t="inlineStr"/>
      <c r="P1391" s="6" t="inlineStr"/>
      <c r="Q1391" s="5" t="inlineStr"/>
      <c r="R1391" s="5" t="inlineStr"/>
      <c r="S1391" s="5" t="inlineStr"/>
      <c r="T1391" s="5" t="inlineStr"/>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c r="AI1391" s="5" t="inlineStr"/>
      <c r="AJ1391" s="5" t="inlineStr"/>
    </row>
    <row r="1392">
      <c r="A1392" s="5" t="inlineStr">
        <is>
          <t>b6-koy-ilk-hasat</t>
        </is>
      </c>
      <c r="B1392" s="5" t="n">
        <v>3</v>
      </c>
      <c r="C1392" s="6" t="inlineStr">
        <is>
          <t>Domatesleri internetten sat</t>
        </is>
      </c>
      <c r="D1392" s="5" t="inlineStr">
        <is>
          <t>Kurnazlık</t>
        </is>
      </c>
      <c r="E1392" s="5" t="inlineStr">
        <is>
          <t>Orta</t>
        </is>
      </c>
      <c r="F1392" s="5" t="inlineStr"/>
      <c r="G1392" s="6" t="inlineStr"/>
      <c r="H1392" s="6" t="inlineStr">
        <is>
          <t>Domateslerin fotoğrafını çektin, “Köyden sofraya” yazdın. Şehirden sipariş yağdı. Kargo pahalı ama domatesin fiyatı daha pahalı.</t>
        </is>
      </c>
      <c r="I1392" s="6" t="inlineStr">
        <is>
          <t>Siparişler o kadar arttı ki komşu köylülerin domateslerini de satmaya başladın. Köyde artık sana “Aracı” diyorlar; ama kibarca.</t>
        </is>
      </c>
      <c r="J1392" s="6" t="inlineStr">
        <is>
          <t>Siparişler geldi, kargo gecikti. Domatesler müşterilere salça olarak ulaştı. Yorumlar karışık.</t>
        </is>
      </c>
      <c r="K1392" s="6" t="inlineStr">
        <is>
          <t>Fotoğraftaki domatesler internetten bulduğun bir görselmiş. Bir müşteri iki fotoğrafı yan yana paylaştı: “Beklenti / gerçek.” Deden de paylaştı; domatesini beğendiler sandı.</t>
        </is>
      </c>
      <c r="L1392" s="6" t="inlineStr"/>
      <c r="M1392" s="5" t="inlineStr"/>
      <c r="N1392" s="5" t="inlineStr"/>
      <c r="O1392" s="6" t="inlineStr"/>
      <c r="P1392" s="6" t="inlineStr"/>
      <c r="Q1392" s="5" t="inlineStr"/>
      <c r="R1392" s="5" t="inlineStr"/>
      <c r="S1392" s="5" t="inlineStr"/>
      <c r="T1392" s="5" t="inlineStr"/>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c r="AI1392" s="5" t="inlineStr"/>
      <c r="AJ1392" s="5" t="inlineStr"/>
    </row>
    <row r="1393">
      <c r="A1393" s="5" t="inlineStr">
        <is>
          <t>b6-usta-kendi-tezgahi</t>
        </is>
      </c>
      <c r="B1393" s="5" t="n">
        <v>1</v>
      </c>
      <c r="C1393" s="6" t="inlineStr">
        <is>
          <t>Ustanı ara, sor</t>
        </is>
      </c>
      <c r="D1393" s="5" t="inlineStr"/>
      <c r="E1393" s="5" t="inlineStr"/>
      <c r="F1393" s="5" t="inlineStr">
        <is>
          <t>İtibar +1, Sosyal Radar +1</t>
        </is>
      </c>
      <c r="G1393" s="6" t="inlineStr">
        <is>
          <t>Ustan telefonda sesi dinledi: “Triger.” Haklıydı. Taksici sana teşekkür etti; ustana da bir kutu lokum götürdü. Hesap böyle kapanır.</t>
        </is>
      </c>
      <c r="H1393" s="6" t="inlineStr"/>
      <c r="I1393" s="6" t="inlineStr"/>
      <c r="J1393" s="6" t="inlineStr"/>
      <c r="K1393" s="6" t="inlineStr"/>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c r="AI1393" s="5" t="inlineStr"/>
      <c r="AJ1393" s="5" t="inlineStr"/>
    </row>
    <row r="1394">
      <c r="A1394" s="5" t="inlineStr">
        <is>
          <t>b6-usta-kendi-tezgahi</t>
        </is>
      </c>
      <c r="B1394" s="5" t="n">
        <v>2</v>
      </c>
      <c r="C1394" s="6" t="inlineStr">
        <is>
          <t>Sesi kendin bul</t>
        </is>
      </c>
      <c r="D1394" s="5" t="inlineStr">
        <is>
          <t>Akıl</t>
        </is>
      </c>
      <c r="E1394" s="5" t="inlineStr">
        <is>
          <t>Orta</t>
        </is>
      </c>
      <c r="F1394" s="5" t="inlineStr"/>
      <c r="G1394" s="6" t="inlineStr"/>
      <c r="H1394" s="6" t="inlineStr">
        <is>
          <t>Kaputu açtın, dinledin, buldun. Taksici arabayı çalıştırdığında ses yoktu. Taksi durağında adın bir hafta içinde yayıldı.</t>
        </is>
      </c>
      <c r="I1394" s="6" t="inlineStr">
        <is>
          <t>Sesi buldun, bir de taksicinin fark etmediği ikinci arızayı. Taksi durağı artık sana geliyor; sanayide kıskananlar da.</t>
        </is>
      </c>
      <c r="J1394" s="6" t="inlineStr">
        <is>
          <t>Üç parça söktün, ses devam etti. Dördüncüyü sökünce ses durdu, araba da durdu.</t>
        </is>
      </c>
      <c r="K1394" s="6" t="inlineStr">
        <is>
          <t>Parçayı yanlış taktın. Ses değişti: “Vıyyy, sonra tık tık tık.” Taksici bunu da kaydetti.</t>
        </is>
      </c>
      <c r="L1394" s="6" t="inlineStr"/>
      <c r="M1394" s="5" t="inlineStr"/>
      <c r="N1394" s="5" t="inlineStr"/>
      <c r="O1394" s="6" t="inlineStr"/>
      <c r="P1394" s="6" t="inlineStr"/>
      <c r="Q1394" s="5" t="inlineStr"/>
      <c r="R1394" s="5" t="inlineStr"/>
      <c r="S1394" s="5" t="inlineStr"/>
      <c r="T1394" s="5" t="inlineStr">
        <is>
          <t>Kilit Kırıcı</t>
        </is>
      </c>
      <c r="U1394" s="5" t="inlineStr"/>
      <c r="V1394" s="5" t="inlineStr"/>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c r="AI1394" s="5" t="inlineStr"/>
      <c r="AJ1394" s="5" t="inlineStr"/>
    </row>
    <row r="1395">
      <c r="A1395" s="5" t="inlineStr">
        <is>
          <t>b6-usta-kendi-tezgahi</t>
        </is>
      </c>
      <c r="B1395" s="5" t="n">
        <v>3</v>
      </c>
      <c r="C1395" s="6" t="inlineStr">
        <is>
          <t>Pazarlıkla işi büyüt</t>
        </is>
      </c>
      <c r="D1395" s="5" t="inlineStr">
        <is>
          <t>Çene</t>
        </is>
      </c>
      <c r="E1395" s="5" t="inlineStr">
        <is>
          <t>Orta</t>
        </is>
      </c>
      <c r="F1395" s="5" t="inlineStr"/>
      <c r="G1395" s="6" t="inlineStr"/>
      <c r="H1395" s="6" t="inlineStr">
        <is>
          <t>Taksiciye bütün durağın bakımını önerdin. Taksici telsizi açtı: “Beyler, sanayide yeni bir usta var, eli hafif.” Ertesi sabah kapında dört taksi vardı; biri sadece çay içmeye gelmişti.</t>
        </is>
      </c>
      <c r="I1395" s="6" t="inlineStr">
        <is>
          <t>Durak kabul etti, bir de karşı durak. Dükkânın önünde sabah taksi kuyruğu var; sanayinin en kalabalık kapısı senin.</t>
        </is>
      </c>
      <c r="J1395" s="6" t="inlineStr">
        <is>
          <t>Taksici “Önce bunu yap, sonra konuşuruz” dedi. Konuşmak hâlâ sırada.</t>
        </is>
      </c>
      <c r="K1395" s="6" t="inlineStr">
        <is>
          <t>Pazarlıkta öyle indirim yaptın ki bütün durak geldi, karşı durak da. Sabah yedide kapında on taksi, akşam kasada çay parası. Annen telefonda “İşler nasıl?” diye soruyor. Çok.</t>
        </is>
      </c>
      <c r="L1395" s="6" t="inlineStr"/>
      <c r="M1395" s="5" t="inlineStr"/>
      <c r="N1395" s="5" t="inlineStr"/>
      <c r="O1395" s="6" t="inlineStr"/>
      <c r="P1395" s="6" t="inlineStr"/>
      <c r="Q1395" s="5" t="inlineStr"/>
      <c r="R1395" s="5" t="inlineStr"/>
      <c r="S1395" s="5" t="inlineStr"/>
      <c r="T1395" s="5" t="inlineStr"/>
      <c r="U1395" s="5" t="inlineStr"/>
      <c r="V1395" s="5" t="inlineStr"/>
      <c r="W1395" s="5" t="inlineStr"/>
      <c r="X1395" s="5" t="inlineStr"/>
      <c r="Y1395" s="5" t="inlineStr"/>
      <c r="Z1395" s="6" t="inlineStr"/>
      <c r="AA1395" s="5" t="inlineStr"/>
      <c r="AB1395" s="5" t="inlineStr"/>
      <c r="AC1395" s="5" t="inlineStr"/>
      <c r="AD1395" s="5" t="inlineStr"/>
      <c r="AE1395" s="5" t="inlineStr"/>
      <c r="AF1395" s="5" t="inlineStr"/>
      <c r="AG1395" s="5" t="inlineStr"/>
      <c r="AH1395" s="5" t="inlineStr"/>
      <c r="AI1395" s="5" t="inlineStr"/>
      <c r="AJ1395" s="5" t="inlineStr"/>
    </row>
    <row r="1396">
      <c r="A1396" s="5" t="inlineStr">
        <is>
          <t>b6-dolandirici-ilk-is</t>
        </is>
      </c>
      <c r="B1396" s="5" t="n">
        <v>1</v>
      </c>
      <c r="C1396" s="6" t="inlineStr">
        <is>
          <t>Telefonu kapat, bu kişiyi arama</t>
        </is>
      </c>
      <c r="D1396" s="5" t="inlineStr"/>
      <c r="E1396" s="5" t="inlineStr"/>
      <c r="F1396" s="5" t="inlineStr">
        <is>
          <t>İtibar +1</t>
        </is>
      </c>
      <c r="G1396" s="6" t="inlineStr">
        <is>
          <t>Telefonu kapattın. Bütün gün posterdeki “Başarı” yazısına baktın. Akşam anneni aradın; sebepsizce. Annen de sebebini sormadı.</t>
        </is>
      </c>
      <c r="H1396" s="6" t="inlineStr"/>
      <c r="I1396" s="6" t="inlineStr"/>
      <c r="J1396" s="6" t="inlineStr"/>
      <c r="K1396" s="6" t="inlineStr"/>
      <c r="L1396" s="6" t="inlineStr"/>
      <c r="M1396" s="5" t="inlineStr"/>
      <c r="N1396" s="5" t="inlineStr"/>
      <c r="O1396" s="6" t="inlineStr"/>
      <c r="P1396" s="6" t="inlineStr"/>
      <c r="Q1396" s="5" t="inlineStr"/>
      <c r="R1396" s="5" t="inlineStr"/>
      <c r="S1396" s="5" t="inlineStr"/>
      <c r="T1396" s="5" t="inlineStr"/>
      <c r="U1396" s="5" t="inlineStr">
        <is>
          <t>vicdan-sesi</t>
        </is>
      </c>
      <c r="V1396" s="5" t="inlineStr"/>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c r="AI1396" s="5" t="inlineStr"/>
      <c r="AJ1396" s="5" t="inlineStr"/>
    </row>
    <row r="1397">
      <c r="A1397" s="5" t="inlineStr">
        <is>
          <t>b6-dolandirici-ilk-is</t>
        </is>
      </c>
      <c r="B1397" s="5" t="n">
        <v>2</v>
      </c>
      <c r="C1397" s="6" t="inlineStr">
        <is>
          <t>Senaryoyu oku, kapat</t>
        </is>
      </c>
      <c r="D1397" s="5" t="inlineStr">
        <is>
          <t>Pişkinlik</t>
        </is>
      </c>
      <c r="E1397" s="5" t="inlineStr">
        <is>
          <t>Zor</t>
        </is>
      </c>
      <c r="F1397" s="5" t="inlineStr"/>
      <c r="G1397" s="6" t="inlineStr"/>
      <c r="H1397" s="6" t="inlineStr">
        <is>
          <t>Senaryoyu okudun, öğretmen “Düşüneyim” dedi, sonra aradı: “Tamam.” Ayın en büyük satışı senin. Posterin altında fotoğrafın asılı.</t>
        </is>
      </c>
      <c r="I1397" s="6" t="inlineStr">
        <is>
          <t>Öğretmen iki arkadaşını da önerdi. Ayın rekoru kırıldı. Kutlamada herkes sana kadeh kaldırdı; kimse öğretmenin adını söylemedi.</t>
        </is>
      </c>
      <c r="J1397" s="6" t="inlineStr">
        <is>
          <t>Öğretmen senaryonun ortasında durdu: “Evladım, sen bu işi sevmiyorsun.” Kapattı. Haklıydı.</t>
        </is>
      </c>
      <c r="K1397" s="6" t="inlineStr">
        <is>
          <t>Öğretmen konuşmayı kaydetmiş ve yerel bir tüketici grubuna göndermiş. Sesin bir haber sitesinde. Adın yok; sesin var.</t>
        </is>
      </c>
      <c r="L1397" s="6" t="inlineStr"/>
      <c r="M1397" s="5" t="inlineStr"/>
      <c r="N1397" s="5" t="inlineStr"/>
      <c r="O1397" s="6" t="inlineStr"/>
      <c r="P1397" s="6" t="inlineStr"/>
      <c r="Q1397" s="5" t="inlineStr"/>
      <c r="R1397" s="5" t="inlineStr"/>
      <c r="S1397" s="5" t="inlineStr"/>
      <c r="T1397" s="5" t="inlineStr"/>
      <c r="U1397" s="5" t="inlineStr"/>
      <c r="V1397" s="5" t="inlineStr"/>
      <c r="W1397" s="5" t="inlineStr">
        <is>
          <t>ifsa-oldu</t>
        </is>
      </c>
      <c r="X1397" s="5" t="inlineStr"/>
      <c r="Y1397" s="5" t="inlineStr"/>
      <c r="Z1397" s="6" t="inlineStr"/>
      <c r="AA1397" s="5" t="inlineStr"/>
      <c r="AB1397" s="5" t="inlineStr"/>
      <c r="AC1397" s="5" t="inlineStr"/>
      <c r="AD1397" s="5" t="inlineStr"/>
      <c r="AE1397" s="5" t="inlineStr"/>
      <c r="AF1397" s="5" t="inlineStr"/>
      <c r="AG1397" s="5" t="inlineStr"/>
      <c r="AH1397" s="5" t="inlineStr"/>
      <c r="AI1397" s="5" t="inlineStr"/>
      <c r="AJ1397" s="5" t="inlineStr"/>
    </row>
    <row r="1398">
      <c r="A1398" s="5" t="inlineStr">
        <is>
          <t>b6-dolandirici-ilk-is</t>
        </is>
      </c>
      <c r="B1398" s="5" t="n">
        <v>3</v>
      </c>
      <c r="C1398" s="6" t="inlineStr">
        <is>
          <t>Ona gerçek bir tavsiye ver</t>
        </is>
      </c>
      <c r="D1398" s="5" t="inlineStr">
        <is>
          <t>Akıl</t>
        </is>
      </c>
      <c r="E1398" s="5" t="inlineStr">
        <is>
          <t>Orta</t>
        </is>
      </c>
      <c r="F1398" s="5" t="inlineStr"/>
      <c r="G1398" s="6" t="inlineStr"/>
      <c r="H1398" s="6" t="inlineStr">
        <is>
          <t>Öğretmene birikimini devlet tahviline koymasını söyledin. Teşekkür etti. Patron kaydı dinledi ve seni “eğitim”e aldı.</t>
        </is>
      </c>
      <c r="I1398" s="6" t="inlineStr">
        <is>
          <t>Öğretmen sana öyle güvendi ki emekliler çay bahçesindeki bütün masayı sana yolladı; hepsine aynı dürüst tavsiyeyi verdin. Akşam annen “Bugün ne sattın?” dedi. “Hiçbir şey” dedin; ilk kez gururla.</t>
        </is>
      </c>
      <c r="J1398" s="6" t="inlineStr">
        <is>
          <t>Tavsiyeni verdin, öğretmen anlamadı. Patron anladı. Bir hafta ücretsiz izne çıkarıldın.</t>
        </is>
      </c>
      <c r="K1398" s="6" t="inlineStr">
        <is>
          <t>Gerçek tavsiyeyi kayıtlı hattan verdin. Patron seni kovdu, öğretmen seni aradı: “İyi misin evladım?”</t>
        </is>
      </c>
      <c r="L1398" s="6" t="inlineStr"/>
      <c r="M1398" s="5" t="inlineStr"/>
      <c r="N1398" s="5" t="inlineStr"/>
      <c r="O1398" s="6" t="inlineStr"/>
      <c r="P1398" s="6" t="inlineStr"/>
      <c r="Q1398" s="5" t="inlineStr"/>
      <c r="R1398" s="5" t="inlineStr"/>
      <c r="S1398" s="5" t="inlineStr"/>
      <c r="T1398" s="5" t="inlineStr"/>
      <c r="U1398" s="5" t="inlineStr"/>
      <c r="V1398" s="5" t="inlineStr">
        <is>
          <t>vicdan-sesi</t>
        </is>
      </c>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c r="AI1398" s="5" t="inlineStr"/>
      <c r="AJ1398" s="5" t="inlineStr"/>
    </row>
    <row r="1399">
      <c r="A1399" s="5" t="inlineStr">
        <is>
          <t>b6-girisim-sunumu</t>
        </is>
      </c>
      <c r="B1399" s="5" t="n">
        <v>1</v>
      </c>
      <c r="C1399" s="6" t="inlineStr">
        <is>
          <t>Dürüst ol: “Henüz müşterimiz yok”</t>
        </is>
      </c>
      <c r="D1399" s="5" t="inlineStr"/>
      <c r="E1399" s="5" t="inlineStr"/>
      <c r="F1399" s="5" t="inlineStr">
        <is>
          <t>İtibar +1, Cesaret +1</t>
        </is>
      </c>
      <c r="G1399" s="6" t="inlineStr">
        <is>
          <t>Dürüstlüğün salonu şaşırttı. Yatırımcılardan biri telefonu bıraktı: “İlk kez biri bunu söyledi.” Para vermedi ama akıl verdi; ücretsiz ve bol.</t>
        </is>
      </c>
      <c r="H1399" s="6" t="inlineStr"/>
      <c r="I1399" s="6" t="inlineStr"/>
      <c r="J1399" s="6" t="inlineStr"/>
      <c r="K1399" s="6" t="inlineStr"/>
      <c r="L1399" s="6" t="inlineStr"/>
      <c r="M1399" s="5" t="inlineStr"/>
      <c r="N1399" s="5" t="inlineStr"/>
      <c r="O1399" s="6" t="inlineStr"/>
      <c r="P1399" s="6" t="inlineStr"/>
      <c r="Q1399" s="5" t="inlineStr"/>
      <c r="R1399" s="5" t="inlineStr"/>
      <c r="S1399" s="5" t="inlineStr"/>
      <c r="T1399" s="5" t="inlineStr"/>
      <c r="U1399" s="5" t="inlineStr"/>
      <c r="V1399" s="5" t="inlineStr"/>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c r="AI1399" s="5" t="inlineStr"/>
      <c r="AJ1399" s="5" t="inlineStr"/>
    </row>
    <row r="1400">
      <c r="A1400" s="5" t="inlineStr">
        <is>
          <t>b6-girisim-sunumu</t>
        </is>
      </c>
      <c r="B1400" s="5" t="n">
        <v>2</v>
      </c>
      <c r="C1400" s="6" t="inlineStr">
        <is>
          <t>Rakamları “iyimser” göster</t>
        </is>
      </c>
      <c r="D1400" s="5" t="inlineStr">
        <is>
          <t>Pişkinlik</t>
        </is>
      </c>
      <c r="E1400" s="5" t="inlineStr">
        <is>
          <t>Zor</t>
        </is>
      </c>
      <c r="F1400" s="5" t="inlineStr"/>
      <c r="G1400" s="6" t="inlineStr"/>
      <c r="H1400" s="6" t="inlineStr">
        <is>
          <t>Grafik yukarı gidiyordu; biraz fazla yukarı. Yatırımcılar ikna oldu. O gece grafiği yatağının karşısına astın. Sabah ilk sen ona baktın, sonra o sana.</t>
        </is>
      </c>
      <c r="I1400" s="6" t="inlineStr">
        <is>
          <t>Bir yatırımcı hemen imza attı, diğer ikisi de kaçırmamak için. Şirketin değeri bir sabahta ikiye katlandı; sen hâlâ aynı sandalyedesin.</t>
        </is>
      </c>
      <c r="J1400" s="6" t="inlineStr">
        <is>
          <t>Yatırımcılardan biri grafiğin eksenini sordu. Eksen yoktu. Toplantı kısa sürdü.</t>
        </is>
      </c>
      <c r="K1400" s="6" t="inlineStr">
        <is>
          <t>Yatırımcılardan biri geçen ay aynı grafiği başka bir girişimden görmüştü. Aynı şablondu. Salonda bir sessizlik oldu; senin sessizliğin.</t>
        </is>
      </c>
      <c r="L1400" s="6" t="inlineStr"/>
      <c r="M1400" s="5" t="inlineStr"/>
      <c r="N1400" s="5" t="inlineStr"/>
      <c r="O1400" s="6" t="inlineStr"/>
      <c r="P1400" s="6" t="inlineStr"/>
      <c r="Q1400" s="5" t="inlineStr"/>
      <c r="R1400" s="5" t="inlineStr"/>
      <c r="S1400" s="5" t="inlineStr"/>
      <c r="T1400" s="5" t="inlineStr"/>
      <c r="U1400" s="5" t="inlineStr"/>
      <c r="V1400" s="5" t="inlineStr">
        <is>
          <t>borclu</t>
        </is>
      </c>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c r="AI1400" s="5" t="inlineStr"/>
      <c r="AJ1400" s="5" t="inlineStr"/>
    </row>
    <row r="1401">
      <c r="A1401" s="5" t="inlineStr">
        <is>
          <t>b6-girisim-sunumu</t>
        </is>
      </c>
      <c r="B1401" s="5" t="n">
        <v>3</v>
      </c>
      <c r="C1401" s="6" t="inlineStr">
        <is>
          <t>Ürünü canlı göster</t>
        </is>
      </c>
      <c r="D1401" s="5" t="inlineStr">
        <is>
          <t>Akıl</t>
        </is>
      </c>
      <c r="E1401" s="5" t="inlineStr">
        <is>
          <t>Orta</t>
        </is>
      </c>
      <c r="F1401" s="5" t="inlineStr"/>
      <c r="G1401" s="6" t="inlineStr"/>
      <c r="H1401" s="6" t="inlineStr">
        <is>
          <t>Ürün çalıştı. Yatırımcılar ilk kez başlarını kaldırdı. Birisi “Tekrar göster” dedi; bir daha çalıştı.</t>
        </is>
      </c>
      <c r="I1401" s="6" t="inlineStr">
        <is>
          <t>Canlı gösterimde yatırımcılardan biri ürünü kendi telefonunda denedi ve sunumun ortasında kullanmaya başladı. Anlaşma o akşam yapıldı.</t>
        </is>
      </c>
      <c r="J1401" s="6" t="inlineStr">
        <is>
          <t>Ürün yavaş açıldı. Açılırken bir fıkra anlattın. Fıkra ürünü kurtarmadı.</t>
        </is>
      </c>
      <c r="K1401" s="6" t="inlineStr">
        <is>
          <t>Ürün canlı gösterimde çöktü; ekranda test için yazdığın mesaj belirdi: “Bu yatırımcılar bir şey anlamaz.” Okudular. Üçü de.</t>
        </is>
      </c>
      <c r="L1401" s="6" t="inlineStr"/>
      <c r="M1401" s="5" t="inlineStr"/>
      <c r="N1401" s="5" t="inlineStr"/>
      <c r="O1401" s="6" t="inlineStr"/>
      <c r="P1401" s="6" t="inlineStr"/>
      <c r="Q1401" s="5" t="inlineStr"/>
      <c r="R1401" s="5" t="inlineStr"/>
      <c r="S1401" s="5" t="inlineStr"/>
      <c r="T1401" s="5" t="inlineStr"/>
      <c r="U1401" s="5" t="inlineStr"/>
      <c r="V1401" s="5" t="inlineStr"/>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c r="AI1401" s="5" t="inlineStr"/>
      <c r="AJ1401" s="5" t="inlineStr"/>
    </row>
    <row r="1402">
      <c r="A1402" s="5" t="inlineStr">
        <is>
          <t>b6-goc-ilk-kira</t>
        </is>
      </c>
      <c r="B1402" s="5" t="n">
        <v>1</v>
      </c>
      <c r="C1402" s="6" t="inlineStr">
        <is>
          <t>Hepsini oku, imzala</t>
        </is>
      </c>
      <c r="D1402" s="5" t="inlineStr"/>
      <c r="E1402" s="5" t="inlineStr"/>
      <c r="F1402" s="5" t="inlineStr">
        <is>
          <t>Akıl +1, Dayanıklılık +1</t>
        </is>
      </c>
      <c r="G1402" s="6" t="inlineStr">
        <is>
          <t>Otuz dört sayfayı okudun. Çöpü dört renge ayırıyorsun; komşuların beş. Balkon var ama mangal yok; annen bunu hâlâ kabullenmedi.</t>
        </is>
      </c>
      <c r="H1402" s="6" t="inlineStr"/>
      <c r="I1402" s="6" t="inlineStr"/>
      <c r="J1402" s="6" t="inlineStr"/>
      <c r="K1402" s="6" t="inlineStr"/>
      <c r="L1402" s="6" t="inlineStr"/>
      <c r="M1402" s="5" t="inlineStr"/>
      <c r="N1402" s="5" t="inlineStr"/>
      <c r="O1402" s="6" t="inlineStr"/>
      <c r="P1402" s="6" t="inlineStr"/>
      <c r="Q1402" s="5" t="inlineStr"/>
      <c r="R1402" s="5" t="inlineStr"/>
      <c r="S1402" s="5" t="inlineStr"/>
      <c r="T1402" s="5" t="inlineStr"/>
      <c r="U1402" s="5" t="inlineStr"/>
      <c r="V1402" s="5" t="inlineStr"/>
      <c r="W1402" s="5" t="inlineStr"/>
      <c r="X1402" s="5" t="inlineStr"/>
      <c r="Y1402" s="5" t="inlineStr"/>
      <c r="Z1402" s="6" t="inlineStr"/>
      <c r="AA1402" s="5" t="inlineStr"/>
      <c r="AB1402" s="5" t="inlineStr"/>
      <c r="AC1402" s="5" t="inlineStr"/>
      <c r="AD1402" s="5" t="inlineStr"/>
      <c r="AE1402" s="5" t="inlineStr"/>
      <c r="AF1402" s="5" t="inlineStr"/>
      <c r="AG1402" s="5" t="inlineStr"/>
      <c r="AH1402" s="5" t="inlineStr"/>
      <c r="AI1402" s="5" t="inlineStr"/>
      <c r="AJ1402" s="5" t="inlineStr"/>
    </row>
    <row r="1403">
      <c r="A1403" s="5" t="inlineStr">
        <is>
          <t>b6-goc-ilk-kira</t>
        </is>
      </c>
      <c r="B1403" s="5" t="n">
        <v>2</v>
      </c>
      <c r="C1403" s="6" t="inlineStr">
        <is>
          <t>Memleketten gelenlerle ev tut</t>
        </is>
      </c>
      <c r="D1403" s="5" t="inlineStr">
        <is>
          <t>Sosyal Radar</t>
        </is>
      </c>
      <c r="E1403" s="5" t="inlineStr">
        <is>
          <t>Orta</t>
        </is>
      </c>
      <c r="F1403" s="5" t="inlineStr"/>
      <c r="G1403" s="6" t="inlineStr"/>
      <c r="H1403" s="6" t="inlineStr">
        <is>
          <t>Üç Makaryalı, bir apartman dairesi. Evde çay hiç bitmiyor, bayramlar kalabalık. Öte Diyar'ın ortasında küçük bir mahalle kurdunuz.</t>
        </is>
      </c>
      <c r="I1403" s="6" t="inlineStr">
        <is>
          <t>Ev öyle sevildi ki bütün Makaryalılar pazar kahvaltısına geliyor; menemen tavası iki kez büyüdü. Ev sahibi bir pazar şikâyete geldi; kalktığında ince belli bardağı parmak uçlarıyla tutmayı öğrenmişti.</t>
        </is>
      </c>
      <c r="J1403" s="6" t="inlineStr">
        <is>
          <t>Ev tuttunuz; ev arkadaşlarından biri her gece memleketi aradı, hoparlörden. Uyku artık bir lüks.</t>
        </is>
      </c>
      <c r="K1403" s="6" t="inlineStr">
        <is>
          <t>Ev arkadaşları balkonda mangal yaktı. Sözleşmenin yirminci sayfası devreye girdi. Hepiniz yeni ev arıyorsunuz.</t>
        </is>
      </c>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c r="AI1403" s="5" t="inlineStr"/>
      <c r="AJ1403" s="5" t="inlineStr"/>
    </row>
    <row r="1404">
      <c r="A1404" s="5" t="inlineStr">
        <is>
          <t>b6-goc-ilk-kira</t>
        </is>
      </c>
      <c r="B1404" s="5" t="n">
        <v>3</v>
      </c>
      <c r="C1404" s="6" t="inlineStr">
        <is>
          <t>Yerel mahallede tek başına yaşa</t>
        </is>
      </c>
      <c r="D1404" s="5" t="inlineStr">
        <is>
          <t>Cesaret</t>
        </is>
      </c>
      <c r="E1404" s="5" t="inlineStr">
        <is>
          <t>Zor</t>
        </is>
      </c>
      <c r="F1404" s="5" t="inlineStr"/>
      <c r="G1404" s="6" t="inlineStr"/>
      <c r="H1404" s="6" t="inlineStr">
        <is>
          <t>Tek Makaryalı sensin; komşular önce çekindi, sonra kapını çaldı. Şimdi apartmanın yaz şenliğinde senin baklavan var.</t>
        </is>
      </c>
      <c r="I1404" s="6" t="inlineStr">
        <is>
          <t>Komşuların seni öyle benimsedi ki apartman yönetimine seçildin. Aidat tahsil ediyorsun; bir dilde, iki aksanla.</t>
        </is>
      </c>
      <c r="J1404" s="6" t="inlineStr">
        <is>
          <t>Komşular kibar: asansörde selam veriyor, kapıyı tutuyor. Bütün kış kimse kapını çalmadı. Memlekette kapının çalınmadığı tek bir gün olmazdı.</t>
        </is>
      </c>
      <c r="K1404" s="6" t="inlineStr">
        <is>
          <t>Komşunun çöpünü yanlış renge attın. Ertesi sabah poşet kapının önündeydi; üstüne bir not yapıştırılmış, notta bir de çizim: hangi kutu, hangi el. Apartman toplantısında herkes sana çöp ayrıştırmayı yeniden anlattı; sırayla.</t>
        </is>
      </c>
      <c r="L1404" s="6" t="inlineStr"/>
      <c r="M1404" s="5" t="inlineStr"/>
      <c r="N1404" s="5" t="inlineStr"/>
      <c r="O1404" s="6" t="inlineStr"/>
      <c r="P1404" s="6" t="inlineStr"/>
      <c r="Q1404" s="5" t="inlineStr"/>
      <c r="R1404" s="5" t="inlineStr"/>
      <c r="S1404" s="5" t="inlineStr"/>
      <c r="T1404" s="5" t="inlineStr">
        <is>
          <t>İki Dilli Rüya</t>
        </is>
      </c>
      <c r="U1404" s="5" t="inlineStr"/>
      <c r="V1404" s="5" t="inlineStr"/>
      <c r="W1404" s="5" t="inlineStr"/>
      <c r="X1404" s="5" t="inlineStr"/>
      <c r="Y1404" s="5" t="n">
        <v>2</v>
      </c>
      <c r="Z1404" s="6" t="inlineStr">
        <is>
          <t>Gurbette yerel mahallede ilk gece, tanımadığı sokakta yolu karşıya geçerken. Sokak adını sonradan öğrendi.</t>
        </is>
      </c>
      <c r="AA1404" s="5" t="inlineStr"/>
      <c r="AB1404" s="5" t="inlineStr"/>
      <c r="AC1404" s="5" t="inlineStr"/>
      <c r="AD1404" s="5" t="inlineStr"/>
      <c r="AE1404" s="5" t="inlineStr"/>
      <c r="AF1404" s="5" t="inlineStr"/>
      <c r="AG1404" s="5" t="inlineStr"/>
      <c r="AH1404" s="5" t="inlineStr"/>
      <c r="AI1404" s="5" t="inlineStr"/>
      <c r="AJ1404" s="5" t="inlineStr"/>
    </row>
    <row r="1405">
      <c r="A1405" s="5" t="inlineStr">
        <is>
          <t>b7-polis-asayis</t>
        </is>
      </c>
      <c r="B1405" s="5" t="n">
        <v>1</v>
      </c>
      <c r="C1405" s="6" t="inlineStr">
        <is>
          <t>Kayıtları baştan tara</t>
        </is>
      </c>
      <c r="D1405" s="5" t="inlineStr"/>
      <c r="E1405" s="5" t="inlineStr"/>
      <c r="F1405" s="5" t="inlineStr">
        <is>
          <t>Akıl +1, Dayanıklılık +1</t>
        </is>
      </c>
      <c r="G1405" s="6" t="inlineStr">
        <is>
          <t>Üç gece kayıt taradın. Bisikletlerin hepsi aynı saatte kaybolmuş: pazar kurulurken. Dosyayı amire verdin; amir “Pazarı mı gözaltına alalım?” dedi.</t>
        </is>
      </c>
      <c r="H1405" s="6" t="inlineStr"/>
      <c r="I1405" s="6" t="inlineStr"/>
      <c r="J1405" s="6" t="inlineStr"/>
      <c r="K1405" s="6" t="inlineStr"/>
      <c r="L1405" s="6" t="inlineStr"/>
      <c r="M1405" s="5" t="inlineStr"/>
      <c r="N1405" s="5" t="inlineStr"/>
      <c r="O1405" s="6" t="inlineStr"/>
      <c r="P1405" s="6" t="inlineStr"/>
      <c r="Q1405" s="5" t="inlineStr"/>
      <c r="R1405" s="5" t="inlineStr"/>
      <c r="S1405" s="5" t="inlineStr"/>
      <c r="T1405" s="5" t="inlineStr"/>
      <c r="U1405" s="5" t="inlineStr"/>
      <c r="V1405" s="5" t="inlineStr"/>
      <c r="W1405" s="5" t="inlineStr"/>
      <c r="X1405" s="5" t="inlineStr"/>
      <c r="Y1405" s="5" t="inlineStr"/>
      <c r="Z1405" s="6" t="inlineStr"/>
      <c r="AA1405" s="5" t="inlineStr"/>
      <c r="AB1405" s="5" t="inlineStr"/>
      <c r="AC1405" s="5" t="inlineStr"/>
      <c r="AD1405" s="5" t="inlineStr"/>
      <c r="AE1405" s="5" t="inlineStr"/>
      <c r="AF1405" s="5" t="inlineStr"/>
      <c r="AG1405" s="5" t="inlineStr"/>
      <c r="AH1405" s="5" t="inlineStr"/>
      <c r="AI1405" s="5" t="inlineStr"/>
      <c r="AJ1405" s="5" t="inlineStr"/>
    </row>
    <row r="1406">
      <c r="A1406" s="5" t="inlineStr">
        <is>
          <t>b7-polis-asayis</t>
        </is>
      </c>
      <c r="B1406" s="5" t="n">
        <v>2</v>
      </c>
      <c r="C1406" s="6" t="inlineStr">
        <is>
          <t>Simitçiyle dost ol</t>
        </is>
      </c>
      <c r="D1406" s="5" t="inlineStr">
        <is>
          <t>Sosyal Radar</t>
        </is>
      </c>
      <c r="E1406" s="5" t="inlineStr">
        <is>
          <t>Orta</t>
        </is>
      </c>
      <c r="F1406" s="5" t="inlineStr"/>
      <c r="G1406" s="6" t="inlineStr"/>
      <c r="H1406" s="6" t="inlineStr">
        <is>
          <t>Bir hafta her sabah simit aldın. Sekizinci gün simitçi fısıldadı: “Kırmızı kamyonet.” Bisikletler bir depoda bulundu; simitçi de artık senin adamın.</t>
        </is>
      </c>
      <c r="I1406" s="6" t="inlineStr">
        <is>
          <t>Simitçi kamyoneti de verdi, şoförün yeğeninin düğün tarihini de. Hepsini düğünde topladınız; pasta kesilmeden.</t>
        </is>
      </c>
      <c r="J1406" s="6" t="inlineStr">
        <is>
          <t>Bir hafta simit aldın, simitçi tek kelime etmedi. Dosya kapanmadı; sen iki kilo aldın.</t>
        </is>
      </c>
      <c r="K1406" s="6" t="inlineStr">
        <is>
          <t>Simitçiye fazla soru sordun. Ertesi sabah tezgâhına bir yazı asmıştı: “Polise simit yok.” Bütün mahalle yazının önünde fotoğraf çektirdi; bisikletler de bir daha görünmedi.</t>
        </is>
      </c>
      <c r="L1406" s="6" t="inlineStr"/>
      <c r="M1406" s="5" t="inlineStr"/>
      <c r="N1406" s="5" t="inlineStr"/>
      <c r="O1406" s="6" t="inlineStr"/>
      <c r="P1406" s="6" t="inlineStr"/>
      <c r="Q1406" s="5" t="inlineStr"/>
      <c r="R1406" s="5" t="inlineStr"/>
      <c r="S1406" s="5" t="inlineStr"/>
      <c r="T1406" s="5" t="inlineStr"/>
      <c r="U1406" s="5" t="inlineStr"/>
      <c r="V1406" s="5" t="inlineStr">
        <is>
          <t>polis-muhbir</t>
        </is>
      </c>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c r="AI1406" s="5" t="inlineStr"/>
      <c r="AJ1406" s="5" t="inlineStr"/>
    </row>
    <row r="1407">
      <c r="A1407" s="5" t="inlineStr">
        <is>
          <t>b7-polis-asayis</t>
        </is>
      </c>
      <c r="B1407" s="5" t="n">
        <v>3</v>
      </c>
      <c r="C1407" s="6" t="inlineStr">
        <is>
          <t>Pazar sabahı pusu kur</t>
        </is>
      </c>
      <c r="D1407" s="5" t="inlineStr">
        <is>
          <t>Cesaret</t>
        </is>
      </c>
      <c r="E1407" s="5" t="inlineStr">
        <is>
          <t>Zor</t>
        </is>
      </c>
      <c r="F1407" s="5" t="inlineStr"/>
      <c r="G1407" s="6" t="inlineStr"/>
      <c r="H1407" s="6" t="inlineStr">
        <is>
          <t>Pazar sabahı bir tentenin arkasında dört saat bekledin. Kamyonet geldi, sen çıktın, şoför teslim oldu. Elinde hâlâ bir demet maydanoz vardı.</t>
        </is>
      </c>
      <c r="I1407" s="6" t="inlineStr">
        <is>
          <t>Pusu öyle kusursuzdu ki şoför seni pazarcı sanıp kamyoneti sana emanet etti. Dosya ve kamyonet aynı gün teslim.</t>
        </is>
      </c>
      <c r="J1407" s="6" t="inlineStr">
        <is>
          <t>Dört saat bekledin; kamyonet o hafta gelmedi. Tente sahibi sana iki kasa limon sattı; nasıl olduğunu anlamadın.</t>
        </is>
      </c>
      <c r="K1407" s="6" t="inlineStr">
        <is>
          <t>Yanlış tentenin arkasına saklandın; tente çöktü. Kamyonet önünden geçti, şoför el salladı.</t>
        </is>
      </c>
      <c r="L1407" s="6" t="inlineStr"/>
      <c r="M1407" s="5" t="inlineStr"/>
      <c r="N1407" s="5" t="inlineStr"/>
      <c r="O1407" s="6" t="inlineStr"/>
      <c r="P1407" s="6" t="inlineStr"/>
      <c r="Q1407" s="5" t="inlineStr"/>
      <c r="R1407" s="5" t="inlineStr"/>
      <c r="S1407" s="5" t="inlineStr"/>
      <c r="T1407" s="5" t="inlineStr">
        <is>
          <t>Nöbet Disiplini</t>
        </is>
      </c>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is>
          <t>Cesaret 30</t>
        </is>
      </c>
      <c r="AI1407" s="5" t="inlineStr"/>
      <c r="AJ1407" s="5" t="inlineStr"/>
    </row>
    <row r="1408">
      <c r="A1408" s="5" t="inlineStr">
        <is>
          <t>b7-polis-komiserlik</t>
        </is>
      </c>
      <c r="B1408" s="5" t="n">
        <v>1</v>
      </c>
      <c r="C1408" s="6" t="inlineStr">
        <is>
          <t>Üçünün de ifadesini al</t>
        </is>
      </c>
      <c r="D1408" s="5" t="inlineStr"/>
      <c r="E1408" s="5" t="inlineStr"/>
      <c r="F1408" s="5" t="inlineStr">
        <is>
          <t>Sosyal Radar +1, Dayanıklılık +1</t>
        </is>
      </c>
      <c r="G1408" s="6" t="inlineStr">
        <is>
          <t>Dokuz saat ifade aldın. Üçü birbirini gösterdi, sonra hep birlikte seni. Dosyayı “faili meçhul pasta” diye kapattın; tutanakta krema lekesi var.</t>
        </is>
      </c>
      <c r="H1408" s="6" t="inlineStr"/>
      <c r="I1408" s="6" t="inlineStr"/>
      <c r="J1408" s="6" t="inlineStr"/>
      <c r="K1408" s="6" t="inlineStr"/>
      <c r="L1408" s="6" t="inlineStr"/>
      <c r="M1408" s="5" t="inlineStr"/>
      <c r="N1408" s="5" t="inlineStr"/>
      <c r="O1408" s="6" t="inlineStr"/>
      <c r="P1408" s="6" t="inlineStr"/>
      <c r="Q1408" s="5" t="inlineStr"/>
      <c r="R1408" s="5" t="inlineStr"/>
      <c r="S1408" s="5" t="inlineStr"/>
      <c r="T1408" s="5" t="inlineStr"/>
      <c r="U1408" s="5" t="inlineStr"/>
      <c r="V1408" s="5" t="inlineStr"/>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c r="AI1408" s="5" t="inlineStr"/>
      <c r="AJ1408" s="5" t="inlineStr"/>
    </row>
    <row r="1409">
      <c r="A1409" s="5" t="inlineStr">
        <is>
          <t>b7-polis-komiserlik</t>
        </is>
      </c>
      <c r="B1409" s="5" t="n">
        <v>2</v>
      </c>
      <c r="C1409" s="6" t="inlineStr">
        <is>
          <t>Pastacının dükkânını ara</t>
        </is>
      </c>
      <c r="D1409" s="5" t="inlineStr">
        <is>
          <t>Cesaret</t>
        </is>
      </c>
      <c r="E1409" s="5" t="inlineStr">
        <is>
          <t>Orta</t>
        </is>
      </c>
      <c r="F1409" s="5" t="inlineStr"/>
      <c r="G1409" s="6" t="inlineStr"/>
      <c r="H1409" s="6" t="inlineStr">
        <is>
          <t>Dükkânın arkasında pastayı buldun; üstünde gelinle damadın adı hâlâ duruyordu. Pastacı itiraf etti: “Parası ödenmedi, pastamı geri aldım.” Damadın annesi karakolda ilk kez sustu.</t>
        </is>
      </c>
      <c r="I1409" s="6" t="inlineStr">
        <is>
          <t>Pastayı da faturayı da buldun, iki anneyi pastacıyla barıştırdın. Düğün bir hafta sonra yeniden yapıldı; masan pastanın hemen yanında.</t>
        </is>
      </c>
      <c r="J1409" s="6" t="inlineStr">
        <is>
          <t>Dükkânda yalnızca un buldun. Pastacı seni kapıya kadar geçirip bir kurabiye verdi. Delil değil, ikram.</t>
        </is>
      </c>
      <c r="K1409" s="6" t="inlineStr">
        <is>
          <t>Aramada yanlış kapıyı açıp soğuk hava deposunda kaldın. Seni pastacı çıkardı; tutanağa kurtarıcının adını yazdın.</t>
        </is>
      </c>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c r="AI1409" s="5" t="inlineStr"/>
      <c r="AJ1409" s="5" t="inlineStr"/>
    </row>
    <row r="1410">
      <c r="A1410" s="5" t="inlineStr">
        <is>
          <t>b7-polis-komiserlik</t>
        </is>
      </c>
      <c r="B1410" s="5" t="n">
        <v>3</v>
      </c>
      <c r="C1410" s="6" t="inlineStr">
        <is>
          <t>Yüzlerini oku, blöf yap</t>
        </is>
      </c>
      <c r="D1410" s="5" t="inlineStr">
        <is>
          <t>Sosyal Radar</t>
        </is>
      </c>
      <c r="E1410" s="5" t="inlineStr">
        <is>
          <t>Zor</t>
        </is>
      </c>
      <c r="F1410" s="5" t="inlineStr"/>
      <c r="G1410" s="6" t="inlineStr"/>
      <c r="H1410" s="6" t="inlineStr">
        <is>
          <t>“Pastacı her şeyi anlattı” dedin. Damadın annesi atıldı: “Yalan, ben sadece sakladım!” Dosya on dakikada kapandı; ekip seni ilk kez alkışladı.</t>
        </is>
      </c>
      <c r="I1410" s="6" t="inlineStr">
        <is>
          <t>Blöfün öyle tuttu ki üç şüpheli birbirinin payını itiraf etti; hepsi tutarlı. Amir “Bunun gözünden hiçbir şey kaçmıyor” deyip seni dedektif kursuna yazdı.</t>
        </is>
      </c>
      <c r="J1410" s="6" t="inlineStr">
        <is>
          <t>Blöf yaptın, kimse yutmadı. Gelinin annesi sana “Evladım, sen evli misin?” diye sordu; sorgu el değiştirdi.</t>
        </is>
      </c>
      <c r="K1410" s="6" t="inlineStr">
        <is>
          <t>Blöfün ortasında kendi yüzün kızardı. Üç şüpheli aynı anda sustu, sonra aynı anda güldü. Karakolda adın “Pancar.”</t>
        </is>
      </c>
      <c r="L1410" s="6" t="inlineStr">
        <is>
          <t>Blöf yarıya kadar tuttu. Damadın annesi bir şey diyecekti, gelinin annesi elini tuttu. Dosya bir hafta daha açık.</t>
        </is>
      </c>
      <c r="M1410" s="5" t="inlineStr">
        <is>
          <t>lie</t>
        </is>
      </c>
      <c r="N1410" s="5" t="inlineStr">
        <is>
          <t>Sorgu Odası</t>
        </is>
      </c>
      <c r="O1410" s="6" t="inlineStr">
        <is>
          <t>Söylediklerini aklında tut; sorulara çelişmeden cevap ver.</t>
        </is>
      </c>
      <c r="P1410" s="6" t="inlineStr">
        <is>
          <t>{"who": "Şüpheli", "facts": ["Pastacı her şeyi anlattı.", "Gelinin annesi pastaya hiç dokunmadı.", "Damadın annesi mutfaktaydı."], "qs": [{"q": "Pastacı ne anlattı?", "o": ["Her şeyi; sen de anlat.", "Hiçbir şey.", "Bilmiyorum."]}, {"q": "Gelinin annesi pastaya dokundu mu?", "o": ["Hiç dokunmadı, dedim ya.", "Dokundu.", "Bilmiyorum."]}, {"q": "Damadın annesi neredeydi?", "o": ["Mutfaktaydı.", "Salonda.", "Bahçede."]}]}</t>
        </is>
      </c>
      <c r="Q1410" s="5" t="inlineStr"/>
      <c r="R1410" s="5" t="inlineStr"/>
      <c r="S1410" s="5" t="inlineStr"/>
      <c r="T1410" s="5" t="inlineStr">
        <is>
          <t>Odayı Okur</t>
        </is>
      </c>
      <c r="U1410" s="5" t="inlineStr"/>
      <c r="V1410" s="5" t="inlineStr">
        <is>
          <t>polis-yuz-okur</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c r="AI1410" s="5" t="inlineStr">
        <is>
          <t>Pancar</t>
        </is>
      </c>
      <c r="AJ1410" s="5" t="inlineStr"/>
    </row>
    <row r="1411">
      <c r="A1411" s="5" t="inlineStr">
        <is>
          <t>b7-polis-ekip</t>
        </is>
      </c>
      <c r="B1411" s="5" t="n">
        <v>1</v>
      </c>
      <c r="C1411" s="6" t="inlineStr">
        <is>
          <t>Kısa tut, işe dön</t>
        </is>
      </c>
      <c r="D1411" s="5" t="inlineStr"/>
      <c r="E1411" s="5" t="inlineStr"/>
      <c r="F1411" s="5" t="inlineStr">
        <is>
          <t>Cesaret +1, Sosyal Radar +1</t>
        </is>
      </c>
      <c r="G1411" s="6" t="inlineStr">
        <is>
          <t>“Herkes işinin başına” dedin, toplantı iki dakika sürdü. Ekip bunu sevdi. Kedi de; masanı resmen işgal etti.</t>
        </is>
      </c>
      <c r="H1411" s="6" t="inlineStr"/>
      <c r="I1411" s="6" t="inlineStr"/>
      <c r="J1411" s="6" t="inlineStr"/>
      <c r="K1411" s="6" t="inlineStr"/>
      <c r="L1411" s="6" t="inlineStr"/>
      <c r="M1411" s="5" t="inlineStr"/>
      <c r="N1411" s="5" t="inlineStr"/>
      <c r="O1411" s="6" t="inlineStr"/>
      <c r="P1411" s="6" t="inlineStr"/>
      <c r="Q1411" s="5" t="inlineStr"/>
      <c r="R1411" s="5" t="inlineStr"/>
      <c r="S1411" s="5" t="inlineStr"/>
      <c r="T1411" s="5" t="inlineStr"/>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c r="AI1411" s="5" t="inlineStr"/>
      <c r="AJ1411" s="5" t="inlineStr"/>
    </row>
    <row r="1412">
      <c r="A1412" s="5" t="inlineStr">
        <is>
          <t>b7-polis-ekip</t>
        </is>
      </c>
      <c r="B1412" s="5" t="n">
        <v>2</v>
      </c>
      <c r="C1412" s="6" t="inlineStr">
        <is>
          <t>Herkesle tek tek konuş</t>
        </is>
      </c>
      <c r="D1412" s="5" t="inlineStr">
        <is>
          <t>Sosyal Radar</t>
        </is>
      </c>
      <c r="E1412" s="5" t="inlineStr">
        <is>
          <t>Orta</t>
        </is>
      </c>
      <c r="F1412" s="5" t="inlineStr"/>
      <c r="G1412" s="6" t="inlineStr"/>
      <c r="H1412" s="6" t="inlineStr">
        <is>
          <t>Altı polisi tek tek dinledin. Biri tayin, biri izin, biri sadece çay istiyordu. Hepsini çözdün; ekip artık “Amirim” derken gülmüyor.</t>
        </is>
      </c>
      <c r="I1412" s="6" t="inlineStr">
        <is>
          <t>Konuşmalardan sonra ekip sana söz verdi: “Nereye gidersen oraya.” Çaycı bile seninle birlikte tayin istedi.</t>
        </is>
      </c>
      <c r="J1412" s="6" t="inlineStr">
        <is>
          <t>Konuştun ama herkes aynı şeyi istedi: eski amir gibi olmaman. Eski amiri tanımıyorsun.</t>
        </is>
      </c>
      <c r="K1412" s="6" t="inlineStr">
        <is>
          <t>Konuşmaları deftere kısa kısa not ettin: “tembel ama iyi”, “çok konuşuyor”, “kedi?”. Defter kayboldu, üç gün sonra çay ocağında bulundu. O günden beri ekip birbirine senin notlarınla sesleniyor.</t>
        </is>
      </c>
      <c r="L1412" s="6" t="inlineStr"/>
      <c r="M1412" s="5" t="inlineStr"/>
      <c r="N1412" s="5" t="inlineStr"/>
      <c r="O1412" s="6" t="inlineStr"/>
      <c r="P1412" s="6" t="inlineStr"/>
      <c r="Q1412" s="5" t="inlineStr"/>
      <c r="R1412" s="5" t="inlineStr"/>
      <c r="S1412" s="5" t="inlineStr"/>
      <c r="T1412" s="5" t="inlineStr"/>
      <c r="U1412" s="5" t="inlineStr"/>
      <c r="V1412" s="5" t="inlineStr">
        <is>
          <t>polis-sadik-ekip</t>
        </is>
      </c>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c r="AI1412" s="5" t="inlineStr"/>
      <c r="AJ1412" s="5" t="inlineStr"/>
    </row>
    <row r="1413">
      <c r="A1413" s="5" t="inlineStr">
        <is>
          <t>b7-polis-ekip</t>
        </is>
      </c>
      <c r="B1413" s="5" t="n">
        <v>3</v>
      </c>
      <c r="C1413" s="6" t="inlineStr">
        <is>
          <t>Tozlu bir dosyayı ekiple kapat</t>
        </is>
      </c>
      <c r="D1413" s="5" t="inlineStr">
        <is>
          <t>Cesaret</t>
        </is>
      </c>
      <c r="E1413" s="5" t="inlineStr">
        <is>
          <t>Zor</t>
        </is>
      </c>
      <c r="F1413" s="5" t="inlineStr"/>
      <c r="G1413" s="6" t="inlineStr"/>
      <c r="H1413" s="6" t="inlineStr">
        <is>
          <t>Aylardır açık kalan jant kapağı dosyasını bir haftada kapattınız. Şüpheli kapakları çalmıyormuş; parlatıp geri takıyormuş, ücretsiz.</t>
        </is>
      </c>
      <c r="I1413" s="6" t="inlineStr">
        <is>
          <t>Dosya kapandı, emniyet bülteninde ekip fotoğrafınız çıktı. Kedi de karede; bülten en çok onu konuştu.</t>
        </is>
      </c>
      <c r="J1413" s="6" t="inlineStr">
        <is>
          <t>Dosya kapanmadı ama ekip bir haftayı birlikte geçirdi. Artık herkes birbirinin çayını biliyor.</t>
        </is>
      </c>
      <c r="K1413" s="6" t="inlineStr">
        <is>
          <t>Baskını yanlış adrese yaptınız; ev sahibi size börek ikram etti. Tutanağa börekli bir özür girdi.</t>
        </is>
      </c>
      <c r="L1413" s="6" t="inlineStr"/>
      <c r="M1413" s="5" t="inlineStr"/>
      <c r="N1413" s="5" t="inlineStr"/>
      <c r="O1413" s="6" t="inlineStr"/>
      <c r="P1413" s="6" t="inlineStr"/>
      <c r="Q1413" s="5" t="inlineStr"/>
      <c r="R1413" s="5" t="inlineStr"/>
      <c r="S1413" s="5" t="inlineStr"/>
      <c r="T1413" s="5" t="inlineStr">
        <is>
          <t>Gözüne Uyku Girmez</t>
        </is>
      </c>
      <c r="U1413" s="5" t="inlineStr"/>
      <c r="V1413" s="5" t="inlineStr"/>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c r="AI1413" s="5" t="inlineStr"/>
      <c r="AJ1413" s="5" t="inlineStr"/>
    </row>
    <row r="1414">
      <c r="A1414" s="5" t="inlineStr">
        <is>
          <t>b8-polis-mudurluk</t>
        </is>
      </c>
      <c r="B1414" s="5" t="n">
        <v>1</v>
      </c>
      <c r="C1414" s="6" t="inlineStr">
        <is>
          <t>Dosyanı anlat, abartma</t>
        </is>
      </c>
      <c r="D1414" s="5" t="inlineStr"/>
      <c r="E1414" s="5" t="inlineStr"/>
      <c r="F1414" s="5" t="inlineStr">
        <is>
          <t>Akıl +1, İtibar +1</t>
        </is>
      </c>
      <c r="G1414" s="6" t="inlineStr">
        <is>
          <t>Yaptıklarını sade sade anlattın. Başkan “Az konuşan polis az bulunur” diye not aldı. Kadro bu dönem başkasına gitti; not dosyanda kaldı.</t>
        </is>
      </c>
      <c r="H1414" s="6" t="inlineStr"/>
      <c r="I1414" s="6" t="inlineStr"/>
      <c r="J1414" s="6" t="inlineStr"/>
      <c r="K1414" s="6" t="inlineStr"/>
      <c r="L1414" s="6" t="inlineStr"/>
      <c r="M1414" s="5" t="inlineStr"/>
      <c r="N1414" s="5" t="inlineStr"/>
      <c r="O1414" s="6" t="inlineStr"/>
      <c r="P1414" s="6" t="inlineStr"/>
      <c r="Q1414" s="5" t="inlineStr"/>
      <c r="R1414" s="5" t="inlineStr"/>
      <c r="S1414" s="5" t="inlineStr"/>
      <c r="T1414" s="5" t="inlineStr"/>
      <c r="U1414" s="5" t="inlineStr"/>
      <c r="V1414" s="5" t="inlineStr"/>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c r="AI1414" s="5" t="inlineStr"/>
      <c r="AJ1414" s="5" t="inlineStr"/>
    </row>
    <row r="1415">
      <c r="A1415" s="5" t="inlineStr">
        <is>
          <t>b8-polis-mudurluk</t>
        </is>
      </c>
      <c r="B1415" s="5" t="n">
        <v>2</v>
      </c>
      <c r="C1415" s="6" t="inlineStr">
        <is>
          <t>Kurulun havasını oku</t>
        </is>
      </c>
      <c r="D1415" s="5" t="inlineStr">
        <is>
          <t>Sosyal Radar</t>
        </is>
      </c>
      <c r="E1415" s="5" t="inlineStr">
        <is>
          <t>Orta</t>
        </is>
      </c>
      <c r="F1415" s="5" t="inlineStr"/>
      <c r="G1415" s="6" t="inlineStr"/>
      <c r="H1415" s="6" t="inlineStr">
        <is>
          <t>Kurulda biri balıkçı, biri torun sahibi, biri emekliliğe altı ay. Her birine kendi dilinden cevap verdin. Emniyet müdürü oldun; ilk tebrik vantilatörden.</t>
        </is>
      </c>
      <c r="I1415" s="6" t="inlineStr">
        <is>
          <t>Mülakat sohbete, sohbet balık tarifine döndü. Müdür oldun; başkan hâlâ arayıp tarifi soruyor.</t>
        </is>
      </c>
      <c r="J1415" s="6" t="inlineStr">
        <is>
          <t>Havayı okudun ama yanlış sayfadan: balıkçıya torun, torunluya balık anlattın. Kadro başkasına gitti.</t>
        </is>
      </c>
      <c r="K1415" s="6" t="inlineStr">
        <is>
          <t>Başkana “Sizi bir yerden tanıyorum” dedin. Tanıyormuşsun: yirmi yıl önce ona park cezası yazmışsın. Mülakat orada bitti.</t>
        </is>
      </c>
      <c r="L1415" s="6" t="inlineStr"/>
      <c r="M1415" s="5" t="inlineStr"/>
      <c r="N1415" s="5" t="inlineStr"/>
      <c r="O1415" s="6" t="inlineStr"/>
      <c r="P1415" s="6" t="inlineStr"/>
      <c r="Q1415" s="5" t="inlineStr"/>
      <c r="R1415" s="5" t="inlineStr"/>
      <c r="S1415" s="5" t="inlineStr"/>
      <c r="T1415" s="5" t="inlineStr"/>
      <c r="U1415" s="5" t="inlineStr"/>
      <c r="V1415" s="5" t="inlineStr">
        <is>
          <t>polis-mudur</t>
        </is>
      </c>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c r="AI1415" s="5" t="inlineStr"/>
      <c r="AJ1415" s="5" t="inlineStr"/>
    </row>
    <row r="1416">
      <c r="A1416" s="5" t="inlineStr">
        <is>
          <t>b8-polis-mudurluk</t>
        </is>
      </c>
      <c r="B1416" s="5" t="n">
        <v>3</v>
      </c>
      <c r="C1416" s="6" t="inlineStr">
        <is>
          <t>Teşkilatın aksayan yanlarını söyle</t>
        </is>
      </c>
      <c r="D1416" s="5" t="inlineStr">
        <is>
          <t>Cesaret</t>
        </is>
      </c>
      <c r="E1416" s="5" t="inlineStr">
        <is>
          <t>Zor</t>
        </is>
      </c>
      <c r="F1416" s="5" t="inlineStr"/>
      <c r="G1416" s="6" t="inlineStr"/>
      <c r="H1416" s="6" t="inlineStr">
        <is>
          <t>Kurula tek tek anlattın: bozuk telsizler, eski araçlar, çay ocağının sigortası. Sessizlik oldu. Müdür oldun; ilk iş sigortayı değiştirdin.</t>
        </is>
      </c>
      <c r="I1416" s="6" t="inlineStr">
        <is>
          <t>Konuşman öyle yerindeydi ki kurul raporuna aynen girdi. Müdür oldun; bütün karakolların telsizi yenilendi, maç skoru daha net duyuluyor.</t>
        </is>
      </c>
      <c r="J1416" s="6" t="inlineStr">
        <is>
          <t>Söyledin; kurul not aldı, kadroyu da daha az konuşan birine verdi. Telsizler bozuk, sen yerindesin.</t>
        </is>
      </c>
      <c r="K1416" s="6" t="inlineStr">
        <is>
          <t>Konuşurken çay ocağını örnek verdin; başkanın kayınbiraderi o ocağı kurmuş. Kadro gitti, çay da acılaştı.</t>
        </is>
      </c>
      <c r="L1416" s="6" t="inlineStr"/>
      <c r="M1416" s="5" t="inlineStr"/>
      <c r="N1416" s="5" t="inlineStr"/>
      <c r="O1416" s="6" t="inlineStr"/>
      <c r="P1416" s="6" t="inlineStr"/>
      <c r="Q1416" s="5" t="inlineStr"/>
      <c r="R1416" s="5" t="inlineStr"/>
      <c r="S1416" s="5" t="inlineStr"/>
      <c r="T1416" s="5" t="inlineStr">
        <is>
          <t>Son Sözü Söyler</t>
        </is>
      </c>
      <c r="U1416" s="5" t="inlineStr"/>
      <c r="V1416" s="5" t="inlineStr">
        <is>
          <t>polis-mudur</t>
        </is>
      </c>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c r="AI1416" s="5" t="inlineStr"/>
      <c r="AJ1416" s="5" t="inlineStr"/>
    </row>
    <row r="1417">
      <c r="A1417" s="5" t="inlineStr">
        <is>
          <t>b8-polis-mudurluk</t>
        </is>
      </c>
      <c r="B1417" s="5" t="n">
        <v>4</v>
      </c>
      <c r="C1417" s="6" t="inlineStr">
        <is>
          <t>Kurulun yüzünden soruları oku</t>
        </is>
      </c>
      <c r="D1417" s="5" t="inlineStr">
        <is>
          <t>Sosyal Radar</t>
        </is>
      </c>
      <c r="E1417" s="5" t="inlineStr">
        <is>
          <t>Kolay</t>
        </is>
      </c>
      <c r="F1417" s="5" t="inlineStr"/>
      <c r="G1417" s="6" t="inlineStr"/>
      <c r="H1417" s="6" t="inlineStr">
        <is>
          <t>Soruları sorulmadan önce yüzlerinden okudun; cevaplar hazırdı. Müdür oldun. Başkan çıkışta sordu: “Beni de okudun mu?” Okumuştun.</t>
        </is>
      </c>
      <c r="I1417" s="6" t="inlineStr">
        <is>
          <t>Beş kişiyi de okudun, beşinin de kafasındaki adayı sen oldun. Müdürlük kararı aynı gün çıktı; vantilatör de kapandı.</t>
        </is>
      </c>
      <c r="J1417" s="6" t="inlineStr">
        <is>
          <t>Yüzleri okudun ama başkan gözlüğünü hiç çıkarmadı. Kadro bu dönem başkasına gitti.</t>
        </is>
      </c>
      <c r="K1417" s="6" t="inlineStr">
        <is>
          <t>Başkanın yüzünü o kadar dikkatle okudun ki başkan sonunda dayanamadı: “Evladım, sorgu odasında değiliz.” Kurul güldü, kadro gitti. Dosyana bir not düştüler: “Bakışları sert.”</t>
        </is>
      </c>
      <c r="L1417" s="6" t="inlineStr"/>
      <c r="M1417" s="5" t="inlineStr"/>
      <c r="N1417" s="5" t="inlineStr"/>
      <c r="O1417" s="6" t="inlineStr"/>
      <c r="P1417" s="6" t="inlineStr"/>
      <c r="Q1417" s="5" t="inlineStr"/>
      <c r="R1417" s="5" t="inlineStr">
        <is>
          <t>polis-yuz-okur</t>
        </is>
      </c>
      <c r="S1417" s="5" t="inlineStr"/>
      <c r="T1417" s="5" t="inlineStr"/>
      <c r="U1417" s="5" t="inlineStr"/>
      <c r="V1417" s="5" t="inlineStr">
        <is>
          <t>polis-mudur</t>
        </is>
      </c>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c r="AI1417" s="5" t="inlineStr"/>
      <c r="AJ1417" s="5" t="inlineStr"/>
    </row>
    <row r="1418">
      <c r="A1418" s="5" t="inlineStr">
        <is>
          <t>b8-polis-teftis</t>
        </is>
      </c>
      <c r="B1418" s="5" t="n">
        <v>1</v>
      </c>
      <c r="C1418" s="6" t="inlineStr">
        <is>
          <t>Arşivi aç, çay koy, bekle</t>
        </is>
      </c>
      <c r="D1418" s="5" t="inlineStr"/>
      <c r="E1418" s="5" t="inlineStr"/>
      <c r="F1418" s="5" t="inlineStr">
        <is>
          <t>İtibar +1, Dayanıklılık +1</t>
        </is>
      </c>
      <c r="G1418" s="6" t="inlineStr">
        <is>
          <t>Arşivi açtın, müfettişe çay koydun, bekledin. Üç hafta sürdü. Rapor tek bir eksik buldu: çay ocağının ruhsatı.</t>
        </is>
      </c>
      <c r="H1418" s="6" t="inlineStr"/>
      <c r="I1418" s="6" t="inlineStr"/>
      <c r="J1418" s="6" t="inlineStr"/>
      <c r="K1418" s="6" t="inlineStr"/>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c r="AI1418" s="5" t="inlineStr"/>
      <c r="AJ1418" s="5" t="inlineStr"/>
    </row>
    <row r="1419">
      <c r="A1419" s="5" t="inlineStr">
        <is>
          <t>b8-polis-teftis</t>
        </is>
      </c>
      <c r="B1419" s="5" t="n">
        <v>2</v>
      </c>
      <c r="C1419" s="6" t="inlineStr">
        <is>
          <t>Eksiklerini önce sen söyle</t>
        </is>
      </c>
      <c r="D1419" s="5" t="inlineStr">
        <is>
          <t>Cesaret</t>
        </is>
      </c>
      <c r="E1419" s="5" t="inlineStr">
        <is>
          <t>Orta</t>
        </is>
      </c>
      <c r="F1419" s="5" t="inlineStr"/>
      <c r="G1419" s="6" t="inlineStr"/>
      <c r="H1419" s="6" t="inlineStr">
        <is>
          <t>Müfettiş sormadan eksiklerini listeledin. Müfettiş listeye bir madde ekledi, raporu kısalttı. Giderken kapıda döndü: “İki hafta kazandırdınız, komiserim.” İlk gülümsemesiydi.</t>
        </is>
      </c>
      <c r="I1419" s="6" t="inlineStr">
        <is>
          <t>Listen öyle dürüsttü ki müfettiş onu başka karakollara örnek diye gönderdi. Başka karakollar sana kızgın.</t>
        </is>
      </c>
      <c r="J1419" s="6" t="inlineStr">
        <is>
          <t>Eksiklerini tek tek saydın. Müfettiş başını kaldırmadan “Bunları biliyordum” dedi, sonra ekledi: “Altıncıyı bilmiyordum, teşekkürler.”</t>
        </is>
      </c>
      <c r="K1419" s="6" t="inlineStr">
        <is>
          <t>Eksik listen o kadar uzun çıktı ki müfettiş iki hafta fazla kaldı. Karakol seni affetmedi; çaycı hariç.</t>
        </is>
      </c>
      <c r="L1419" s="6" t="inlineStr"/>
      <c r="M1419" s="5" t="inlineStr"/>
      <c r="N1419" s="5" t="inlineStr"/>
      <c r="O1419" s="6" t="inlineStr"/>
      <c r="P1419" s="6" t="inlineStr"/>
      <c r="Q1419" s="5" t="inlineStr"/>
      <c r="R1419" s="5" t="inlineStr"/>
      <c r="S1419" s="5" t="inlineStr"/>
      <c r="T1419" s="5" t="inlineStr"/>
      <c r="U1419" s="5" t="inlineStr"/>
      <c r="V1419" s="5" t="inlineStr"/>
      <c r="W1419" s="5" t="inlineStr"/>
      <c r="X1419" s="5" t="inlineStr"/>
      <c r="Y1419" s="5" t="inlineStr"/>
      <c r="Z1419" s="6" t="inlineStr"/>
      <c r="AA1419" s="5" t="inlineStr"/>
      <c r="AB1419" s="5" t="inlineStr"/>
      <c r="AC1419" s="5" t="inlineStr"/>
      <c r="AD1419" s="5" t="inlineStr"/>
      <c r="AE1419" s="5" t="inlineStr"/>
      <c r="AF1419" s="5" t="inlineStr"/>
      <c r="AG1419" s="5" t="inlineStr"/>
      <c r="AH1419" s="5" t="inlineStr"/>
      <c r="AI1419" s="5" t="inlineStr"/>
      <c r="AJ1419" s="5" t="inlineStr"/>
    </row>
    <row r="1420">
      <c r="A1420" s="5" t="inlineStr">
        <is>
          <t>b8-polis-teftis</t>
        </is>
      </c>
      <c r="B1420" s="5" t="n">
        <v>3</v>
      </c>
      <c r="C1420" s="6" t="inlineStr">
        <is>
          <t>Müfettişin neyi aradığını sez</t>
        </is>
      </c>
      <c r="D1420" s="5" t="inlineStr">
        <is>
          <t>Sosyal Radar</t>
        </is>
      </c>
      <c r="E1420" s="5" t="inlineStr">
        <is>
          <t>Orta</t>
        </is>
      </c>
      <c r="F1420" s="5" t="inlineStr"/>
      <c r="G1420" s="6" t="inlineStr"/>
      <c r="H1420" s="6" t="inlineStr">
        <is>
          <t>Müfettişin iki kez aynı klasöre döndüğünü fark ettin, klasörü önceden düzenlemiştin. Rapor temiz çıktı; müfettiş ilk kez gülümsedi, yarım.</t>
        </is>
      </c>
      <c r="I1420" s="6" t="inlineStr">
        <is>
          <t>Klasörü açtığında her şey yerindeydi; en üstte de bir not: “Çayınız arkada, şekeri iki.” Müfettiş teftişi iki günde bitirdi. Giderken çay bardağını kendisi yıkayıp bıraktı.</t>
        </is>
      </c>
      <c r="J1420" s="6" t="inlineStr">
        <is>
          <t>Sezdin ama yanlış klasörü düzenledin. Müfettiş düzenlemediğin tek klasörü açtı.</t>
        </is>
      </c>
      <c r="K1420" s="6" t="inlineStr">
        <is>
          <t>Müfettişin aradığını sezdin ve yüksek sesle söyledin. Müfettiş “Ben öyle bir şey aramıyordum” dedi; o andan sonra aradı.</t>
        </is>
      </c>
      <c r="L1420" s="6" t="inlineStr"/>
      <c r="M1420" s="5" t="inlineStr"/>
      <c r="N1420" s="5" t="inlineStr"/>
      <c r="O1420" s="6" t="inlineStr"/>
      <c r="P1420" s="6" t="inlineStr"/>
      <c r="Q1420" s="5" t="inlineStr"/>
      <c r="R1420" s="5" t="inlineStr"/>
      <c r="S1420" s="5" t="inlineStr"/>
      <c r="T1420" s="5" t="inlineStr"/>
      <c r="U1420" s="5" t="inlineStr"/>
      <c r="V1420" s="5" t="inlineStr"/>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c r="AI1420" s="5" t="inlineStr"/>
      <c r="AJ1420" s="5" t="inlineStr"/>
    </row>
    <row r="1421">
      <c r="A1421" s="5" t="inlineStr">
        <is>
          <t>b8-polis-teftis</t>
        </is>
      </c>
      <c r="B1421" s="5" t="n">
        <v>4</v>
      </c>
      <c r="C1421" s="6" t="inlineStr">
        <is>
          <t>Eski zarfın izini sil</t>
        </is>
      </c>
      <c r="D1421" s="5" t="inlineStr">
        <is>
          <t>Kurnazlık</t>
        </is>
      </c>
      <c r="E1421" s="5" t="inlineStr">
        <is>
          <t>Zor</t>
        </is>
      </c>
      <c r="F1421" s="5" t="inlineStr"/>
      <c r="G1421" s="6" t="inlineStr"/>
      <c r="H1421" s="6" t="inlineStr">
        <is>
          <t>O yılın klasörü bir su baskınında ıslanmış. Kurusun diye kaloriferin üstüne bıraktın; kuruyunca okunmaz oldu. Müfettiş “Talihsiz” dedi.</t>
        </is>
      </c>
      <c r="I1421" s="6" t="inlineStr">
        <is>
          <t>İz silmene gerek kalmadı: zarfı veren adam çoktan Öte Diyar'a taşınmış, dosyası da onunla. On üç yıl sonra ilk kez deliksiz uyudun.</t>
        </is>
      </c>
      <c r="J1421" s="6" t="inlineStr">
        <is>
          <t>Klasörü aradın ama müfettiş senden önce bulmuştu. Hiçbir şey sormadı; sadece bir not aldı. Uykuların kısaldı.</t>
        </is>
      </c>
      <c r="K1421" s="6" t="inlineStr">
        <is>
          <t>Klasörü gece almaya gittin; müfettiş arşivde kitap okuyordu. Konuşmanız kısa sürdü, dava uzun.</t>
        </is>
      </c>
      <c r="L1421" s="6" t="inlineStr"/>
      <c r="M1421" s="5" t="inlineStr"/>
      <c r="N1421" s="5" t="inlineStr"/>
      <c r="O1421" s="6" t="inlineStr"/>
      <c r="P1421" s="6" t="inlineStr"/>
      <c r="Q1421" s="5" t="inlineStr"/>
      <c r="R1421" s="5" t="inlineStr">
        <is>
          <t>zarf-aldi</t>
        </is>
      </c>
      <c r="S1421" s="5" t="inlineStr"/>
      <c r="T1421" s="5" t="inlineStr"/>
      <c r="U1421" s="5" t="inlineStr"/>
      <c r="V1421" s="5" t="inlineStr"/>
      <c r="W1421" s="5" t="inlineStr">
        <is>
          <t>hapis</t>
        </is>
      </c>
      <c r="X1421" s="5" t="inlineStr"/>
      <c r="Y1421" s="5" t="inlineStr"/>
      <c r="Z1421" s="6" t="inlineStr"/>
      <c r="AA1421" s="5" t="inlineStr"/>
      <c r="AB1421" s="5" t="inlineStr"/>
      <c r="AC1421" s="5" t="inlineStr"/>
      <c r="AD1421" s="5" t="inlineStr"/>
      <c r="AE1421" s="5" t="inlineStr"/>
      <c r="AF1421" s="5" t="inlineStr"/>
      <c r="AG1421" s="5" t="inlineStr"/>
      <c r="AH1421" s="5" t="inlineStr"/>
      <c r="AI1421" s="5" t="inlineStr"/>
      <c r="AJ1421" s="5" t="inlineStr"/>
    </row>
    <row r="1422">
      <c r="A1422" s="5" t="inlineStr">
        <is>
          <t>b9-polis-veda</t>
        </is>
      </c>
      <c r="B1422" s="5" t="n">
        <v>1</v>
      </c>
      <c r="C1422" s="6" t="inlineStr">
        <is>
          <t>Kısa bir teşekkür et</t>
        </is>
      </c>
      <c r="D1422" s="5" t="inlineStr"/>
      <c r="E1422" s="5" t="inlineStr"/>
      <c r="F1422" s="5" t="inlineStr">
        <is>
          <t>İtibar +1, Sosyal Radar +1</t>
        </is>
      </c>
      <c r="G1422" s="6" t="inlineStr">
        <is>
          <t>“Sağ olun” dedin, kürsüden indin. Tören planlanandan yirmi dakika erken bitti; en büyük alkışı bu aldı.</t>
        </is>
      </c>
      <c r="H1422" s="6" t="inlineStr"/>
      <c r="I1422" s="6" t="inlineStr"/>
      <c r="J1422" s="6" t="inlineStr"/>
      <c r="K1422" s="6" t="inlineStr"/>
      <c r="L1422" s="6" t="inlineStr"/>
      <c r="M1422" s="5" t="inlineStr"/>
      <c r="N1422" s="5" t="inlineStr"/>
      <c r="O1422" s="6" t="inlineStr"/>
      <c r="P1422" s="6" t="inlineStr"/>
      <c r="Q1422" s="5" t="inlineStr"/>
      <c r="R1422" s="5" t="inlineStr"/>
      <c r="S1422" s="5" t="inlineStr"/>
      <c r="T1422" s="5" t="inlineStr"/>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c r="AI1422" s="5" t="inlineStr"/>
      <c r="AJ1422" s="5" t="inlineStr"/>
    </row>
    <row r="1423">
      <c r="A1423" s="5" t="inlineStr">
        <is>
          <t>b9-polis-veda</t>
        </is>
      </c>
      <c r="B1423" s="5" t="n">
        <v>2</v>
      </c>
      <c r="C1423" s="6" t="inlineStr">
        <is>
          <t>Otuz yılı anlat</t>
        </is>
      </c>
      <c r="D1423" s="5" t="inlineStr">
        <is>
          <t>Çene</t>
        </is>
      </c>
      <c r="E1423" s="5" t="inlineStr">
        <is>
          <t>Orta</t>
        </is>
      </c>
      <c r="F1423" s="5" t="inlineStr"/>
      <c r="G1423" s="6" t="inlineStr"/>
      <c r="H1423" s="6" t="inlineStr">
        <is>
          <t>Domatesli ilk devriyeden son teftişe kadar anlattın. Beş dakika yirmi oldu ama kimse saate bakmadı. Plaketi alırken salon ayaktaydı.</t>
        </is>
      </c>
      <c r="I1423" s="6" t="inlineStr">
        <is>
          <t>Anlattıkların öyle tuttu ki tören kaydı eğitimde gösterilmeye başladı. Yeni polisler seni “Domates Hikâyesi” diye tanıyor.</t>
        </is>
      </c>
      <c r="J1423" s="6" t="inlineStr">
        <is>
          <t>Anlatmaya başladın, yarısında bir isim unuttun, sonra bir yıl. Konuşma yarım kaldı; alkış tam.</t>
        </is>
      </c>
      <c r="K1423" s="6" t="inlineStr">
        <is>
          <t>Mikrofon yirminci dakikada kapandı; sen kırkıncıya kadar konuştun. Son yirmi dakikayı yalnızca ön sıra duydu; ön sırada da teşkilatın en sağır emeklisi oturuyordu, her cümleye 'Ne?' diyerek.</t>
        </is>
      </c>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c r="AI1423" s="5" t="inlineStr"/>
      <c r="AJ1423" s="5" t="inlineStr"/>
    </row>
    <row r="1424">
      <c r="A1424" s="5" t="inlineStr">
        <is>
          <t>b9-polis-veda</t>
        </is>
      </c>
      <c r="B1424" s="5" t="n">
        <v>3</v>
      </c>
      <c r="C1424" s="6" t="inlineStr">
        <is>
          <t>Son bir dosyayı kapat</t>
        </is>
      </c>
      <c r="D1424" s="5" t="inlineStr">
        <is>
          <t>Cesaret</t>
        </is>
      </c>
      <c r="E1424" s="5" t="inlineStr">
        <is>
          <t>Zor</t>
        </is>
      </c>
      <c r="F1424" s="5" t="inlineStr"/>
      <c r="G1424" s="6" t="inlineStr"/>
      <c r="H1424" s="6" t="inlineStr">
        <is>
          <t>Törenden bir gün önce yıllardır açık duran kayıp bisiklet dosyasını kapattın. Bisiklet bir bodrumdaymış; sahibi artık dede, torununa verdi.</t>
        </is>
      </c>
      <c r="I1424" s="6" t="inlineStr">
        <is>
          <t>Son dosyayı kapattın, üstüne bir de kayıp kediyi buldun. Tören ertelendi; önce kedi sahibine teslim edildi, alkışla.</t>
        </is>
      </c>
      <c r="J1424" s="6" t="inlineStr">
        <is>
          <t>Dosyayı açtın, bir gün uğraştın, kapatamadın. Masana bıraktın; halefin açacak, belki onun halefi.</t>
        </is>
      </c>
      <c r="K1424" s="6" t="inlineStr">
        <is>
          <t>Son baskında bodruma indin, kapı arkandan kilitlendi. Törene çilingirle geldin; plaketi çilingir tuttu.</t>
        </is>
      </c>
      <c r="L1424" s="6" t="inlineStr"/>
      <c r="M1424" s="5" t="inlineStr"/>
      <c r="N1424" s="5" t="inlineStr"/>
      <c r="O1424" s="6" t="inlineStr"/>
      <c r="P1424" s="6" t="inlineStr"/>
      <c r="Q1424" s="5" t="inlineStr"/>
      <c r="R1424" s="5" t="inlineStr"/>
      <c r="S1424" s="5" t="inlineStr"/>
      <c r="T1424" s="5" t="inlineStr">
        <is>
          <t>Kendine Gülebilir</t>
        </is>
      </c>
      <c r="U1424" s="5" t="inlineStr"/>
      <c r="V1424" s="5" t="inlineStr"/>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c r="AI1424" s="5" t="inlineStr"/>
      <c r="AJ1424" s="5" t="inlineStr"/>
    </row>
    <row r="1425">
      <c r="A1425" s="5" t="inlineStr">
        <is>
          <t>b7-yargi-horoz</t>
        </is>
      </c>
      <c r="B1425" s="5" t="n">
        <v>1</v>
      </c>
      <c r="C1425" s="6" t="inlineStr">
        <is>
          <t>Uzlaşmaya gönder</t>
        </is>
      </c>
      <c r="D1425" s="5" t="inlineStr"/>
      <c r="E1425" s="5" t="inlineStr"/>
      <c r="F1425" s="5" t="inlineStr">
        <is>
          <t>İtibar +1, Sosyal Radar +1</t>
        </is>
      </c>
      <c r="G1425" s="6" t="inlineStr">
        <is>
          <t>Tarafları uzlaşmaya gönderdin. Horozun sahibi komşuya kulak tıkacı hediye etti, barıştılar. Horoz uzlaşmayı imzalamadı.</t>
        </is>
      </c>
      <c r="H1425" s="6" t="inlineStr"/>
      <c r="I1425" s="6" t="inlineStr"/>
      <c r="J1425" s="6" t="inlineStr"/>
      <c r="K1425" s="6" t="inlineStr"/>
      <c r="L1425" s="6" t="inlineStr"/>
      <c r="M1425" s="5" t="inlineStr"/>
      <c r="N1425" s="5" t="inlineStr"/>
      <c r="O1425" s="6" t="inlineStr"/>
      <c r="P1425" s="6" t="inlineStr"/>
      <c r="Q1425" s="5" t="inlineStr"/>
      <c r="R1425" s="5" t="inlineStr"/>
      <c r="S1425" s="5" t="inlineStr"/>
      <c r="T1425" s="5" t="inlineStr"/>
      <c r="U1425" s="5" t="inlineStr"/>
      <c r="V1425" s="5" t="inlineStr"/>
      <c r="W1425" s="5" t="inlineStr"/>
      <c r="X1425" s="5" t="inlineStr"/>
      <c r="Y1425" s="5" t="inlineStr"/>
      <c r="Z1425" s="6" t="inlineStr"/>
      <c r="AA1425" s="5" t="inlineStr"/>
      <c r="AB1425" s="5" t="inlineStr"/>
      <c r="AC1425" s="5" t="inlineStr"/>
      <c r="AD1425" s="5" t="inlineStr"/>
      <c r="AE1425" s="5" t="inlineStr"/>
      <c r="AF1425" s="5" t="inlineStr"/>
      <c r="AG1425" s="5" t="inlineStr"/>
      <c r="AH1425" s="5" t="inlineStr"/>
      <c r="AI1425" s="5" t="inlineStr"/>
      <c r="AJ1425" s="5" t="inlineStr"/>
    </row>
    <row r="1426">
      <c r="A1426" s="5" t="inlineStr">
        <is>
          <t>b7-yargi-horoz</t>
        </is>
      </c>
      <c r="B1426" s="5" t="n">
        <v>2</v>
      </c>
      <c r="C1426" s="6" t="inlineStr">
        <is>
          <t>Horozu bilirkişiye incelet</t>
        </is>
      </c>
      <c r="D1426" s="5" t="inlineStr">
        <is>
          <t>Akıl</t>
        </is>
      </c>
      <c r="E1426" s="5" t="inlineStr">
        <is>
          <t>Orta</t>
        </is>
      </c>
      <c r="F1426" s="5" t="inlineStr"/>
      <c r="G1426" s="6" t="inlineStr"/>
      <c r="H1426" s="6" t="inlineStr">
        <is>
          <t>Bilirkişi bir hafta dinledi: horoz dörtte değil, dördü on geçe ötüyormuş. Kararını o on dakikanın üstüne kurdun; bir hukuk dergisi yayımladı.</t>
        </is>
      </c>
      <c r="I1426" s="6" t="inlineStr">
        <is>
          <t>Karar öyle titiz çıktı ki fakültede ders oldu. Herkes “Horoz Kararı” diyor; horozun adı hiç geçmiyor, senin adın her yerde.</t>
        </is>
      </c>
      <c r="J1426" s="6" t="inlineStr">
        <is>
          <t>Bilirkişi geldiğinde horoz bir hafta boyunca tek kez ötmedi. Dava ertelendi; horoz ertesi sabah dörtte kaldığı yerden devam etti.</t>
        </is>
      </c>
      <c r="K1426" s="6" t="inlineStr">
        <is>
          <t>Bilirkişi horoz yerine komşunun kendi çalar saatini kaydetmiş. Rapor salonda okundu; komşu kıpkırmızı, sen daha kırmızı.</t>
        </is>
      </c>
      <c r="L1426" s="6" t="inlineStr"/>
      <c r="M1426" s="5" t="inlineStr"/>
      <c r="N1426" s="5" t="inlineStr"/>
      <c r="O1426" s="6" t="inlineStr"/>
      <c r="P1426" s="6" t="inlineStr"/>
      <c r="Q1426" s="5" t="inlineStr"/>
      <c r="R1426" s="5" t="inlineStr"/>
      <c r="S1426" s="5" t="inlineStr"/>
      <c r="T1426" s="5" t="inlineStr"/>
      <c r="U1426" s="5" t="inlineStr"/>
      <c r="V1426" s="5" t="inlineStr">
        <is>
          <t>yargi-horoz-karari</t>
        </is>
      </c>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c r="AI1426" s="5" t="inlineStr"/>
      <c r="AJ1426" s="5" t="inlineStr"/>
    </row>
    <row r="1427">
      <c r="A1427" s="5" t="inlineStr">
        <is>
          <t>b7-yargi-horoz</t>
        </is>
      </c>
      <c r="B1427" s="5" t="n">
        <v>3</v>
      </c>
      <c r="C1427" s="6" t="inlineStr">
        <is>
          <t>Duruşmayı sabah dörtte yap</t>
        </is>
      </c>
      <c r="D1427" s="5" t="inlineStr">
        <is>
          <t>Cesaret</t>
        </is>
      </c>
      <c r="E1427" s="5" t="inlineStr">
        <is>
          <t>Zor</t>
        </is>
      </c>
      <c r="F1427" s="5" t="inlineStr"/>
      <c r="G1427" s="6" t="inlineStr"/>
      <c r="H1427" s="6" t="inlineStr">
        <is>
          <t>Salonu sabah dörtte açtın. Horoz tam vaktinde öttü, komşu haklı çıktı, kümese kalın bir duvar örüldü. Kasaba bu duruşmayı yıllarca anlattı.</t>
        </is>
      </c>
      <c r="I1427" s="6" t="inlineStr">
        <is>
          <t>Sabah dörtte herkes geldi. Horoz öttü, ardından kasabanın bütün horozları; davacı da davalı da kahkahayı bastı. Kasaba o sabah karar verdi: horozlar beşte kalkacak. Horozlara soran olmadı.</t>
        </is>
      </c>
      <c r="J1427" s="6" t="inlineStr">
        <is>
          <t>Sabah dörtte salonda yalnızca sen, zabıt kâtibi ve horoz vardı. Taraflar uyuyakalmış. Horoz haklıydı.</t>
        </is>
      </c>
      <c r="K1427" s="6" t="inlineStr">
        <is>
          <t>Sabah dörtte geldin, salon kilitli. Anahtar kâtipte, kâtip uykuda. Kapının önünde horozu dinledin; ikna oldun.</t>
        </is>
      </c>
      <c r="L1427" s="6" t="inlineStr"/>
      <c r="M1427" s="5" t="inlineStr"/>
      <c r="N1427" s="5" t="inlineStr"/>
      <c r="O1427" s="6" t="inlineStr"/>
      <c r="P1427" s="6" t="inlineStr"/>
      <c r="Q1427" s="5" t="inlineStr"/>
      <c r="R1427" s="5" t="inlineStr"/>
      <c r="S1427" s="5" t="inlineStr"/>
      <c r="T1427" s="5" t="inlineStr">
        <is>
          <t>Nöbet Disiplini</t>
        </is>
      </c>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c r="AI1427" s="5" t="inlineStr"/>
      <c r="AJ1427" s="5" t="inlineStr"/>
    </row>
    <row r="1428">
      <c r="A1428" s="5" t="inlineStr">
        <is>
          <t>b7-yargi-aidat</t>
        </is>
      </c>
      <c r="B1428" s="5" t="n">
        <v>1</v>
      </c>
      <c r="C1428" s="6" t="inlineStr">
        <is>
          <t>Sırayla, dosya dosya ilerle</t>
        </is>
      </c>
      <c r="D1428" s="5" t="inlineStr"/>
      <c r="E1428" s="5" t="inlineStr"/>
      <c r="F1428" s="5" t="inlineStr">
        <is>
          <t>Akıl +1, Dayanıklılık +1</t>
        </is>
      </c>
      <c r="G1428" s="6" t="inlineStr">
        <is>
          <t>Her sabah on dosya okudun, altı ayda iki yüz dosya kapattın. Aidat davası iki yüz birinci sıradaydı. Apartman yöneticisi haberi alınca adliyeye teşekkür etmeye geldi; beş kat merdiven çıkarak, alışkanlıktan.</t>
        </is>
      </c>
      <c r="H1428" s="6" t="inlineStr"/>
      <c r="I1428" s="6" t="inlineStr"/>
      <c r="J1428" s="6" t="inlineStr"/>
      <c r="K1428" s="6" t="inlineStr"/>
      <c r="L1428" s="6" t="inlineStr"/>
      <c r="M1428" s="5" t="inlineStr"/>
      <c r="N1428" s="5" t="inlineStr"/>
      <c r="O1428" s="6" t="inlineStr"/>
      <c r="P1428" s="6" t="inlineStr"/>
      <c r="Q1428" s="5" t="inlineStr"/>
      <c r="R1428" s="5" t="inlineStr"/>
      <c r="S1428" s="5" t="inlineStr"/>
      <c r="T1428" s="5" t="inlineStr"/>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c r="AI1428" s="5" t="inlineStr"/>
      <c r="AJ1428" s="5" t="inlineStr"/>
    </row>
    <row r="1429">
      <c r="A1429" s="5" t="inlineStr">
        <is>
          <t>b7-yargi-aidat</t>
        </is>
      </c>
      <c r="B1429" s="5" t="n">
        <v>2</v>
      </c>
      <c r="C1429" s="6" t="inlineStr">
        <is>
          <t>Aidat davasını öne al</t>
        </is>
      </c>
      <c r="D1429" s="5" t="inlineStr">
        <is>
          <t>Akıl</t>
        </is>
      </c>
      <c r="E1429" s="5" t="inlineStr">
        <is>
          <t>Orta</t>
        </is>
      </c>
      <c r="F1429" s="5" t="inlineStr"/>
      <c r="G1429" s="6" t="inlineStr"/>
      <c r="H1429" s="6" t="inlineStr">
        <is>
          <t>Yönetici on bir yıldır aynı toplantı tutanağını fotokopiyle çoğaltmış. Davayı iki celsede bitirdin. Asansör tamir edildi; ilk binen sen oldun.</t>
        </is>
      </c>
      <c r="I1429" s="6" t="inlineStr">
        <is>
          <t>Kararın öyle net çıktı ki şehirdeki altı aidat davası kendiliğinden uzlaştı. Koridorda sana “Aidat Hâkimi” diyorlar; iltifat mı, bilmiyorsun.</t>
        </is>
      </c>
      <c r="J1429" s="6" t="inlineStr">
        <is>
          <t>Dosyayı açtın, içinden başka bir apartmanın dosyası çıktı. Asıl dosya kayıp. On bir yıl, on iki olacak.</t>
        </is>
      </c>
      <c r="K1429" s="6" t="inlineStr">
        <is>
          <t>Keşif için apartmana gittin, asansöre bindin. Asansör bozuktu; iki saat kaldın. Ara kararı içeriden, sesli verdin.</t>
        </is>
      </c>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c r="AI1429" s="5" t="inlineStr"/>
      <c r="AJ1429" s="5" t="inlineStr"/>
    </row>
    <row r="1430">
      <c r="A1430" s="5" t="inlineStr">
        <is>
          <t>b7-yargi-aidat</t>
        </is>
      </c>
      <c r="B1430" s="5" t="n">
        <v>3</v>
      </c>
      <c r="C1430" s="6" t="inlineStr">
        <is>
          <t>Kırk daireyi aynı masaya oturt</t>
        </is>
      </c>
      <c r="D1430" s="5" t="inlineStr">
        <is>
          <t>İtibar</t>
        </is>
      </c>
      <c r="E1430" s="5" t="inlineStr">
        <is>
          <t>Zor</t>
        </is>
      </c>
      <c r="F1430" s="5" t="inlineStr"/>
      <c r="G1430" s="6" t="inlineStr"/>
      <c r="H1430" s="6" t="inlineStr">
        <is>
          <t>Kırk daire sakinini aynı salona sığdırdın. Üç saat bağırıştılar, sonra biri çay getirdi. Borç ikiye bölündü, asansör üçe.</t>
        </is>
      </c>
      <c r="I1430" s="6" t="inlineStr">
        <is>
          <t>Toplantı bir apartman barışına döndü; yaz sonunda sana mangal davetiyesi geldi. Hâkimler gitmez, gitmedin. Davetiye çerçevede.</t>
        </is>
      </c>
      <c r="J1430" s="6" t="inlineStr">
        <is>
          <t>Taraflar masaya oturdu, sonra masadan kalktı, sonra masa hakkında dava açtı.</t>
        </is>
      </c>
      <c r="K1430" s="6" t="inlineStr">
        <is>
          <t>Uzlaşma toplantısında yönetici seçimi yapıldı ve sen seçildin. Görevden çekildin; aidat makbuzları hâlâ sana geliyor.</t>
        </is>
      </c>
      <c r="L1430" s="6" t="inlineStr"/>
      <c r="M1430" s="5" t="inlineStr"/>
      <c r="N1430" s="5" t="inlineStr"/>
      <c r="O1430" s="6" t="inlineStr"/>
      <c r="P1430" s="6" t="inlineStr"/>
      <c r="Q1430" s="5" t="inlineStr"/>
      <c r="R1430" s="5" t="inlineStr"/>
      <c r="S1430" s="5" t="inlineStr"/>
      <c r="T1430" s="5" t="inlineStr">
        <is>
          <t>Mevzuat Kalkanı</t>
        </is>
      </c>
      <c r="U1430" s="5" t="inlineStr"/>
      <c r="V1430" s="5" t="inlineStr"/>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is>
          <t>İtibar 33</t>
        </is>
      </c>
      <c r="AI1430" s="5" t="inlineStr"/>
      <c r="AJ1430" s="5" t="inlineStr"/>
    </row>
    <row r="1431">
      <c r="A1431" s="5" t="inlineStr">
        <is>
          <t>b7-yargi-kedi</t>
        </is>
      </c>
      <c r="B1431" s="5" t="n">
        <v>1</v>
      </c>
      <c r="C1431" s="6" t="inlineStr">
        <is>
          <t>Dönüşümlü bakım kararı ver</t>
        </is>
      </c>
      <c r="D1431" s="5" t="inlineStr"/>
      <c r="E1431" s="5" t="inlineStr"/>
      <c r="F1431" s="5" t="inlineStr">
        <is>
          <t>İtibar +1, Akıl +1</t>
        </is>
      </c>
      <c r="G1431" s="6" t="inlineStr">
        <is>
          <t>Hafta içi Pamuk, hafta sonu Paşa kararı verdin. Kedi iki ismi de umursamadı; iki kap mamayı da boş bırakmadı.</t>
        </is>
      </c>
      <c r="H1431" s="6" t="inlineStr"/>
      <c r="I1431" s="6" t="inlineStr"/>
      <c r="J1431" s="6" t="inlineStr"/>
      <c r="K1431" s="6" t="inlineStr"/>
      <c r="L1431" s="6" t="inlineStr"/>
      <c r="M1431" s="5" t="inlineStr"/>
      <c r="N1431" s="5" t="inlineStr"/>
      <c r="O1431" s="6" t="inlineStr"/>
      <c r="P1431" s="6" t="inlineStr"/>
      <c r="Q1431" s="5" t="inlineStr"/>
      <c r="R1431" s="5" t="inlineStr"/>
      <c r="S1431" s="5" t="inlineStr"/>
      <c r="T1431" s="5" t="inlineStr"/>
      <c r="U1431" s="5" t="inlineStr"/>
      <c r="V1431" s="5" t="inlineStr"/>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c r="AI1431" s="5" t="inlineStr"/>
      <c r="AJ1431" s="5" t="inlineStr"/>
    </row>
    <row r="1432">
      <c r="A1432" s="5" t="inlineStr">
        <is>
          <t>b7-yargi-kedi</t>
        </is>
      </c>
      <c r="B1432" s="5" t="n">
        <v>2</v>
      </c>
      <c r="C1432" s="6" t="inlineStr">
        <is>
          <t>Kediyi ortaya bırak, seçsin</t>
        </is>
      </c>
      <c r="D1432" s="5" t="inlineStr">
        <is>
          <t>Sosyal Radar</t>
        </is>
      </c>
      <c r="E1432" s="5" t="inlineStr">
        <is>
          <t>Orta</t>
        </is>
      </c>
      <c r="F1432" s="5" t="inlineStr"/>
      <c r="G1432" s="6" t="inlineStr"/>
      <c r="H1432" s="6" t="inlineStr">
        <is>
          <t>Kedi önce birine, sonra öbürüne gitti, sonra ikisinin arasına yattı. Ortak velayete karar verdin; komşular aynı bankta oturmaya başladı.</t>
        </is>
      </c>
      <c r="I1432" s="6" t="inlineStr">
        <is>
          <t>Kedi iki komşunun arasına oturup ikisinin elini birden patiledi. Salon sustu. O akşam iki komşu birlikte mama almaya gitti.</t>
        </is>
      </c>
      <c r="J1432" s="6" t="inlineStr">
        <is>
          <t>Kedi ikisine de gitmedi, mübaşirin kucağına atladı. Dava ertelendi; kedi geçici olarak mübaşirde.</t>
        </is>
      </c>
      <c r="K1432" s="6" t="inlineStr">
        <is>
          <t>Kedi kürsüye atladı, mürekkebi devirdi, kararın üstünden yürüdü. Karar patili çıktı; üst mahkeme geri gönderdi. Gerekçe: “İmza okunmuyor.”</t>
        </is>
      </c>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c r="AI1432" s="5" t="inlineStr"/>
      <c r="AJ1432" s="5" t="inlineStr"/>
    </row>
    <row r="1433">
      <c r="A1433" s="5" t="inlineStr">
        <is>
          <t>b7-yargi-kedi</t>
        </is>
      </c>
      <c r="B1433" s="5" t="n">
        <v>3</v>
      </c>
      <c r="C1433" s="6" t="inlineStr">
        <is>
          <t>Veteriner kayıtlarını getirt</t>
        </is>
      </c>
      <c r="D1433" s="5" t="inlineStr">
        <is>
          <t>Akıl</t>
        </is>
      </c>
      <c r="E1433" s="5" t="inlineStr">
        <is>
          <t>Zor</t>
        </is>
      </c>
      <c r="F1433" s="5" t="inlineStr"/>
      <c r="G1433" s="6" t="inlineStr"/>
      <c r="H1433" s="6" t="inlineStr">
        <is>
          <t>Kayıtlara göre aşıya hep biri götürmüş, mamayı hep öbürü almış. Gerekçeli ortak velayet kararı yazdın. Mübaşir kediyi teslim ederken iç çekti: “Ben de alışmıştım.”</t>
        </is>
      </c>
      <c r="I1433" s="6" t="inlineStr">
        <is>
          <t>Gerekçen öyle sağlam çıktı ki şehirdeki bütün kedi davaları senin kararına bakılarak çözülüyor. Adliye kedileri sana selam veriyor.</t>
        </is>
      </c>
      <c r="J1433" s="6" t="inlineStr">
        <is>
          <t>Kayıtlar geldi; kedi iki farklı isimle iki farklı veterinere gitmiş. Dosya iki kat kalınlaştı.</t>
        </is>
      </c>
      <c r="K1433" s="6" t="inlineStr">
        <is>
          <t>Kayıtları okurken fark ettin: kedi aslında üçüncü bir komşuda da kalıyormuş. Dava üç taraflı oldu, sen iki kat yorgun.</t>
        </is>
      </c>
      <c r="L1433" s="6" t="inlineStr"/>
      <c r="M1433" s="5" t="inlineStr"/>
      <c r="N1433" s="5" t="inlineStr"/>
      <c r="O1433" s="6" t="inlineStr"/>
      <c r="P1433" s="6" t="inlineStr"/>
      <c r="Q1433" s="5" t="inlineStr"/>
      <c r="R1433" s="5" t="inlineStr"/>
      <c r="S1433" s="5" t="inlineStr"/>
      <c r="T1433" s="5" t="inlineStr">
        <is>
          <t>Ukala Ama Haklı</t>
        </is>
      </c>
      <c r="U1433" s="5" t="inlineStr"/>
      <c r="V1433" s="5" t="inlineStr">
        <is>
          <t>yargi-kedi-karari</t>
        </is>
      </c>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is>
          <t>Akıl 34</t>
        </is>
      </c>
      <c r="AI1433" s="5" t="inlineStr"/>
      <c r="AJ1433" s="5" t="inlineStr"/>
    </row>
    <row r="1434">
      <c r="A1434" s="5" t="inlineStr">
        <is>
          <t>b8-yargi-yuksek</t>
        </is>
      </c>
      <c r="B1434" s="5" t="n">
        <v>1</v>
      </c>
      <c r="C1434" s="6" t="inlineStr">
        <is>
          <t>Sade klasörü sun</t>
        </is>
      </c>
      <c r="D1434" s="5" t="inlineStr"/>
      <c r="E1434" s="5" t="inlineStr"/>
      <c r="F1434" s="5" t="inlineStr">
        <is>
          <t>Akıl +1, İtibar +1</t>
        </is>
      </c>
      <c r="G1434" s="6" t="inlineStr">
        <is>
          <t>Sade, sağlam kararlarını sundun. Kurul beğendi ama seçmedi: “Bir dahaki sefere.” Dosyan sıraya girdi; sıra uzun.</t>
        </is>
      </c>
      <c r="H1434" s="6" t="inlineStr"/>
      <c r="I1434" s="6" t="inlineStr"/>
      <c r="J1434" s="6" t="inlineStr"/>
      <c r="K1434" s="6" t="inlineStr"/>
      <c r="L1434" s="6" t="inlineStr"/>
      <c r="M1434" s="5" t="inlineStr"/>
      <c r="N1434" s="5" t="inlineStr"/>
      <c r="O1434" s="6" t="inlineStr"/>
      <c r="P1434" s="6" t="inlineStr"/>
      <c r="Q1434" s="5" t="inlineStr"/>
      <c r="R1434" s="5" t="inlineStr"/>
      <c r="S1434" s="5" t="inlineStr"/>
      <c r="T1434" s="5" t="inlineStr"/>
      <c r="U1434" s="5" t="inlineStr"/>
      <c r="V1434" s="5" t="inlineStr"/>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c r="AI1434" s="5" t="inlineStr"/>
      <c r="AJ1434" s="5" t="inlineStr"/>
    </row>
    <row r="1435">
      <c r="A1435" s="5" t="inlineStr">
        <is>
          <t>b8-yargi-yuksek</t>
        </is>
      </c>
      <c r="B1435" s="5" t="n">
        <v>2</v>
      </c>
      <c r="C1435" s="6" t="inlineStr">
        <is>
          <t>Tuhaf davaları anlat</t>
        </is>
      </c>
      <c r="D1435" s="5" t="inlineStr">
        <is>
          <t>Çene</t>
        </is>
      </c>
      <c r="E1435" s="5" t="inlineStr">
        <is>
          <t>Orta</t>
        </is>
      </c>
      <c r="F1435" s="5" t="inlineStr"/>
      <c r="G1435" s="6" t="inlineStr"/>
      <c r="H1435" s="6" t="inlineStr">
        <is>
          <t>Horoz, aidat, kedi... Kurul güldü, sonra düşündü: hukuk en küçük davada da hukuktu. Üye seçildin.</t>
        </is>
      </c>
      <c r="I1435" s="6" t="inlineStr">
        <is>
          <t>Kurul o kadar etkilendi ki seni oy birliğiyle seçti. Başkan açılış konuşmasında kedi davandan söz etti; adını yanlış söyledi ama.</t>
        </is>
      </c>
      <c r="J1435" s="6" t="inlineStr">
        <is>
          <t>Kurul güldü, güldü, sonra bir sonraki adaya geçti. Hikâyelerin koridora yayıldı; koltuk yayılmadı.</t>
        </is>
      </c>
      <c r="K1435" s="6" t="inlineStr">
        <is>
          <t>Kedi davasını anlatırken Pamuk ile Paşa'yı karıştırdın. Kurul başkanı telefonunu çıkarıp iki kedisinin fotoğrafını gösterdi: “Adlarını sizin kararınızdan koydum. Bu Paşa.” Sen ona Pamuk demiştin. Seçilemedin.</t>
        </is>
      </c>
      <c r="L1435" s="6" t="inlineStr"/>
      <c r="M1435" s="5" t="inlineStr"/>
      <c r="N1435" s="5" t="inlineStr"/>
      <c r="O1435" s="6" t="inlineStr"/>
      <c r="P1435" s="6" t="inlineStr"/>
      <c r="Q1435" s="5" t="inlineStr"/>
      <c r="R1435" s="5" t="inlineStr"/>
      <c r="S1435" s="5" t="inlineStr"/>
      <c r="T1435" s="5" t="inlineStr"/>
      <c r="U1435" s="5" t="inlineStr"/>
      <c r="V1435" s="5" t="inlineStr">
        <is>
          <t>yargi-yuksek</t>
        </is>
      </c>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c r="AI1435" s="5" t="inlineStr"/>
      <c r="AJ1435" s="5" t="inlineStr"/>
    </row>
    <row r="1436">
      <c r="A1436" s="5" t="inlineStr">
        <is>
          <t>b8-yargi-yuksek</t>
        </is>
      </c>
      <c r="B1436" s="5" t="n">
        <v>3</v>
      </c>
      <c r="C1436" s="6" t="inlineStr">
        <is>
          <t>Bozulan kararlarını da anlat</t>
        </is>
      </c>
      <c r="D1436" s="5" t="inlineStr">
        <is>
          <t>İtibar</t>
        </is>
      </c>
      <c r="E1436" s="5" t="inlineStr">
        <is>
          <t>Zor</t>
        </is>
      </c>
      <c r="F1436" s="5" t="inlineStr"/>
      <c r="G1436" s="6" t="inlineStr"/>
      <c r="H1436" s="6" t="inlineStr">
        <is>
          <t>Bozulan kararlarını ve neden bozulduklarını anlattın. Kurul bunu hiçbir adaydan duymamıştı. Üye seçildin; ilk dosyan başkasının hatası.</t>
        </is>
      </c>
      <c r="I1436" s="6" t="inlineStr">
        <is>
          <t>Kurul dürüstlüğünü öyle sevdi ki seni seçti ve konuşmanı yeni hâkimlere okuttu. Artık bütün adaylar hatalarını anlatıyor; senin kadar iyi değil.</t>
        </is>
      </c>
      <c r="J1436" s="6" t="inlineStr">
        <is>
          <t>Hatalarını anlattın; kurul dinledi ve hatasız görünen bir adayı seçti. Sen yerinde kaldın, vicdanın hafifledi.</t>
        </is>
      </c>
      <c r="K1436" s="6" t="inlineStr">
        <is>
          <t>Hatalarını anlatmaya başladın; liste uzadı. Kurul başkanı saatine baktı: “Doğrularınızı bir dahaki sefere dinleriz.” Bir dahaki sefer dört yıl sonra.</t>
        </is>
      </c>
      <c r="L1436" s="6" t="inlineStr"/>
      <c r="M1436" s="5" t="inlineStr"/>
      <c r="N1436" s="5" t="inlineStr"/>
      <c r="O1436" s="6" t="inlineStr"/>
      <c r="P1436" s="6" t="inlineStr"/>
      <c r="Q1436" s="5" t="inlineStr"/>
      <c r="R1436" s="5" t="inlineStr"/>
      <c r="S1436" s="5" t="inlineStr"/>
      <c r="T1436" s="5" t="inlineStr">
        <is>
          <t>Kendine Gülebilir</t>
        </is>
      </c>
      <c r="U1436" s="5" t="inlineStr"/>
      <c r="V1436" s="5" t="inlineStr">
        <is>
          <t>yargi-yuksek</t>
        </is>
      </c>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is>
          <t>İtibar 35</t>
        </is>
      </c>
      <c r="AI1436" s="5" t="inlineStr"/>
      <c r="AJ1436" s="5" t="inlineStr"/>
    </row>
    <row r="1437">
      <c r="A1437" s="5" t="inlineStr">
        <is>
          <t>b8-yargi-yuksek</t>
        </is>
      </c>
      <c r="B1437" s="5" t="n">
        <v>4</v>
      </c>
      <c r="C1437" s="6" t="inlineStr">
        <is>
          <t>Horoz Kararı'nı öne çıkar</t>
        </is>
      </c>
      <c r="D1437" s="5" t="inlineStr">
        <is>
          <t>Akıl</t>
        </is>
      </c>
      <c r="E1437" s="5" t="inlineStr">
        <is>
          <t>Kolay</t>
        </is>
      </c>
      <c r="F1437" s="5" t="inlineStr"/>
      <c r="G1437" s="6" t="inlineStr"/>
      <c r="H1437" s="6" t="inlineStr">
        <is>
          <t>Kurulun yarısı Horoz Kararı'nı fakültede okumuş. Biri “Horozcu hâkim bu mu?” diye fısıldadı. Üye seçildin; ilk günün sabah dörtte başladı.</t>
        </is>
      </c>
      <c r="I1437" s="6" t="inlineStr">
        <is>
          <t>Kurul başkanı Horoz Kararı'nın çerçeveli bir kopyasını getirmişti; imzalamanı istedi. Oy birliğiyle üye seçildin.</t>
        </is>
      </c>
      <c r="J1437" s="6" t="inlineStr">
        <is>
          <t>Horoz Kararı'nı herkes biliyordu ama kurul “Başka ne yaptınız?” diye sordu. Cevabın horozdan kısa sürdü.</t>
        </is>
      </c>
      <c r="K1437" s="6" t="inlineStr">
        <is>
          <t>Kararı anlatırken horoz taklidi yaptın. Salon güldü, kurul gülmedi. Dosyan sıranın sonuna gitti.</t>
        </is>
      </c>
      <c r="L1437" s="6" t="inlineStr"/>
      <c r="M1437" s="5" t="inlineStr"/>
      <c r="N1437" s="5" t="inlineStr"/>
      <c r="O1437" s="6" t="inlineStr"/>
      <c r="P1437" s="6" t="inlineStr"/>
      <c r="Q1437" s="5" t="inlineStr"/>
      <c r="R1437" s="5" t="inlineStr">
        <is>
          <t>yargi-horoz-karari</t>
        </is>
      </c>
      <c r="S1437" s="5" t="inlineStr"/>
      <c r="T1437" s="5" t="inlineStr"/>
      <c r="U1437" s="5" t="inlineStr"/>
      <c r="V1437" s="5" t="inlineStr">
        <is>
          <t>yargi-yuksek</t>
        </is>
      </c>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c r="AI1437" s="5" t="inlineStr"/>
      <c r="AJ1437" s="5" t="inlineStr"/>
    </row>
    <row r="1438">
      <c r="A1438" s="5" t="inlineStr">
        <is>
          <t>b8-yargi-denetim</t>
        </is>
      </c>
      <c r="B1438" s="5" t="n">
        <v>1</v>
      </c>
      <c r="C1438" s="6" t="inlineStr">
        <is>
          <t>Her soruya dosyayla cevap ver</t>
        </is>
      </c>
      <c r="D1438" s="5" t="inlineStr"/>
      <c r="E1438" s="5" t="inlineStr"/>
      <c r="F1438" s="5" t="inlineStr">
        <is>
          <t>Akıl +1, Dayanıklılık +1</t>
        </is>
      </c>
      <c r="G1438" s="6" t="inlineStr">
        <is>
          <t>Her soruya dosyadan bir sayfa gösterdin. İnceleme üç hafta sürdü. Raporda tek eleştiri: “Gerekçeler gereğinden uzun.”</t>
        </is>
      </c>
      <c r="H1438" s="6" t="inlineStr"/>
      <c r="I1438" s="6" t="inlineStr"/>
      <c r="J1438" s="6" t="inlineStr"/>
      <c r="K1438" s="6" t="inlineStr"/>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c r="AI1438" s="5" t="inlineStr"/>
      <c r="AJ1438" s="5" t="inlineStr"/>
    </row>
    <row r="1439">
      <c r="A1439" s="5" t="inlineStr">
        <is>
          <t>b8-yargi-denetim</t>
        </is>
      </c>
      <c r="B1439" s="5" t="n">
        <v>2</v>
      </c>
      <c r="C1439" s="6" t="inlineStr">
        <is>
          <t>Kalın dosyayı birlikte oku</t>
        </is>
      </c>
      <c r="D1439" s="5" t="inlineStr">
        <is>
          <t>Akıl</t>
        </is>
      </c>
      <c r="E1439" s="5" t="inlineStr">
        <is>
          <t>Orta</t>
        </is>
      </c>
      <c r="F1439" s="5" t="inlineStr"/>
      <c r="G1439" s="6" t="inlineStr"/>
      <c r="H1439" s="6" t="inlineStr">
        <is>
          <t>Kalın dosyayı müfettişle sayfa sayfa okudun; her kararın bir gerekçesi vardı. Müfettiş dosyayı kapattı: “Temiz.”</t>
        </is>
      </c>
      <c r="I1439" s="6" t="inlineStr">
        <is>
          <t>Dosyayı öyle anlattın ki müfettiş kendi notlarını silip senin gerekçeni rapora kopyaladı. Raporun en iyi sayfası senin; altında onun imzası.</t>
        </is>
      </c>
      <c r="J1439" s="6" t="inlineStr">
        <is>
          <t>Okudunuz ama müfettiş üçüncü sayfada takıldı, bir daha çıkamadı. İnceleme bir ay uzadı.</t>
        </is>
      </c>
      <c r="K1439" s="6" t="inlineStr">
        <is>
          <t>Kalın dosyayı okurken kendi el yazını çözemedin. Müfettiş de çözemedi. Raporda “okunaksız gerekçe” notu var.</t>
        </is>
      </c>
      <c r="L1439" s="6" t="inlineStr"/>
      <c r="M1439" s="5" t="inlineStr"/>
      <c r="N1439" s="5" t="inlineStr"/>
      <c r="O1439" s="6" t="inlineStr"/>
      <c r="P1439" s="6" t="inlineStr"/>
      <c r="Q1439" s="5" t="inlineStr"/>
      <c r="R1439" s="5" t="inlineStr"/>
      <c r="S1439" s="5" t="inlineStr"/>
      <c r="T1439" s="5" t="inlineStr"/>
      <c r="U1439" s="5" t="inlineStr"/>
      <c r="V1439" s="5" t="inlineStr"/>
      <c r="W1439" s="5" t="inlineStr"/>
      <c r="X1439" s="5" t="inlineStr"/>
      <c r="Y1439" s="5" t="inlineStr"/>
      <c r="Z1439" s="6" t="inlineStr"/>
      <c r="AA1439" s="5" t="inlineStr"/>
      <c r="AB1439" s="5" t="inlineStr"/>
      <c r="AC1439" s="5" t="inlineStr"/>
      <c r="AD1439" s="5" t="inlineStr"/>
      <c r="AE1439" s="5" t="inlineStr"/>
      <c r="AF1439" s="5" t="inlineStr"/>
      <c r="AG1439" s="5" t="inlineStr"/>
      <c r="AH1439" s="5" t="inlineStr"/>
      <c r="AI1439" s="5" t="inlineStr"/>
      <c r="AJ1439" s="5" t="inlineStr"/>
    </row>
    <row r="1440">
      <c r="A1440" s="5" t="inlineStr">
        <is>
          <t>b8-yargi-denetim</t>
        </is>
      </c>
      <c r="B1440" s="5" t="n">
        <v>3</v>
      </c>
      <c r="C1440" s="6" t="inlineStr">
        <is>
          <t>Müfettişin endişesini sez</t>
        </is>
      </c>
      <c r="D1440" s="5" t="inlineStr">
        <is>
          <t>Sosyal Radar</t>
        </is>
      </c>
      <c r="E1440" s="5" t="inlineStr">
        <is>
          <t>Orta</t>
        </is>
      </c>
      <c r="F1440" s="5" t="inlineStr"/>
      <c r="G1440" s="6" t="inlineStr"/>
      <c r="H1440" s="6" t="inlineStr">
        <is>
          <t>Müfettişin derdinin senin kararların değil, koridordaki dosya yığını olduğunu anladın. Birlikte saydınız: dört bin iki yüz. Müfettiş raporuna seni değil, koridoru yazdı.</t>
        </is>
      </c>
      <c r="I1440" s="6" t="inlineStr">
        <is>
          <t>Müfettişle birlikte yazdığınız rapor adliyeye üç yeni hâkim kazandırdı. Müfettiş giderken kapıda döndü: “Yıllardır ilk kez biri bana hâlimi sordu.”</t>
        </is>
      </c>
      <c r="J1440" s="6" t="inlineStr">
        <is>
          <t>“Yorgun görünüyorsunuz” dedin. Müfettiş gözlüğünün üstünden baktı: “Soruları ben soruyorum.” Ve sordu; on dört gün boyunca.</t>
        </is>
      </c>
      <c r="K1440" s="6" t="inlineStr">
        <is>
          <t>Müfettişe hâlini hatırını sordun; müfettiş bunu baskı saydı ve tutanağa yazdı. Hatır sormak da dosyaya girdi.</t>
        </is>
      </c>
      <c r="L1440" s="6" t="inlineStr"/>
      <c r="M1440" s="5" t="inlineStr"/>
      <c r="N1440" s="5" t="inlineStr"/>
      <c r="O1440" s="6" t="inlineStr"/>
      <c r="P1440" s="6" t="inlineStr"/>
      <c r="Q1440" s="5" t="inlineStr"/>
      <c r="R1440" s="5" t="inlineStr"/>
      <c r="S1440" s="5" t="inlineStr"/>
      <c r="T1440" s="5" t="inlineStr"/>
      <c r="U1440" s="5" t="inlineStr"/>
      <c r="V1440" s="5" t="inlineStr"/>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c r="AI1440" s="5" t="inlineStr"/>
      <c r="AJ1440" s="5" t="inlineStr"/>
    </row>
    <row r="1441">
      <c r="A1441" s="5" t="inlineStr">
        <is>
          <t>b8-yargi-denetim</t>
        </is>
      </c>
      <c r="B1441" s="5" t="n">
        <v>4</v>
      </c>
      <c r="C1441" s="6" t="inlineStr">
        <is>
          <t>Kalın dosyayı sessizce geri çek</t>
        </is>
      </c>
      <c r="D1441" s="5" t="inlineStr">
        <is>
          <t>Kurnazlık</t>
        </is>
      </c>
      <c r="E1441" s="5" t="inlineStr">
        <is>
          <t>Zor</t>
        </is>
      </c>
      <c r="F1441" s="5" t="inlineStr"/>
      <c r="G1441" s="6" t="inlineStr"/>
      <c r="H1441" s="6" t="inlineStr">
        <is>
          <t>Dosyayı “eksik evrak” diye kaleme geri gönderdin. Kalem dosyayı başka bir rafa koydu; o raf, adliyenin unuttuğu raf.</t>
        </is>
      </c>
      <c r="I1441" s="6" t="inlineStr">
        <is>
          <t>Dosya geri çekildi, sonra adliye taşındı, sonra dosya yeni binaya hiç gelmedi. Yıllardır ilk kez rahat nefes aldın.</t>
        </is>
      </c>
      <c r="J1441" s="6" t="inlineStr">
        <is>
          <t>Dosyayı geri çekmeye çalıştın; kalem müdürü “Müfettiş istedi, veremem” dedi. Dosya masada kaldı; sen de karşısında, ter içinde.</t>
        </is>
      </c>
      <c r="K1441" s="6" t="inlineStr">
        <is>
          <t>Dosyayı akşam çantana koydun; çıkışta güvenlik kontrolü yeni başlamıştı. Soruşturma o gece açıldı.</t>
        </is>
      </c>
      <c r="L1441" s="6" t="inlineStr"/>
      <c r="M1441" s="5" t="inlineStr"/>
      <c r="N1441" s="5" t="inlineStr"/>
      <c r="O1441" s="6" t="inlineStr"/>
      <c r="P1441" s="6" t="inlineStr"/>
      <c r="Q1441" s="5" t="inlineStr"/>
      <c r="R1441" s="5" t="inlineStr">
        <is>
          <t>yargi-leke</t>
        </is>
      </c>
      <c r="S1441" s="5" t="inlineStr"/>
      <c r="T1441" s="5" t="inlineStr"/>
      <c r="U1441" s="5" t="inlineStr"/>
      <c r="V1441" s="5" t="inlineStr"/>
      <c r="W1441" s="5" t="inlineStr">
        <is>
          <t>hapis</t>
        </is>
      </c>
      <c r="X1441" s="5" t="inlineStr"/>
      <c r="Y1441" s="5" t="inlineStr"/>
      <c r="Z1441" s="6" t="inlineStr"/>
      <c r="AA1441" s="5" t="inlineStr"/>
      <c r="AB1441" s="5" t="inlineStr"/>
      <c r="AC1441" s="5" t="inlineStr"/>
      <c r="AD1441" s="5" t="inlineStr"/>
      <c r="AE1441" s="5" t="inlineStr"/>
      <c r="AF1441" s="5" t="inlineStr"/>
      <c r="AG1441" s="5" t="inlineStr"/>
      <c r="AH1441" s="5" t="inlineStr"/>
      <c r="AI1441" s="5" t="inlineStr"/>
      <c r="AJ1441" s="5" t="inlineStr"/>
    </row>
    <row r="1442">
      <c r="A1442" s="5" t="inlineStr">
        <is>
          <t>b9-yargi-ceviz</t>
        </is>
      </c>
      <c r="B1442" s="5" t="n">
        <v>1</v>
      </c>
      <c r="C1442" s="6" t="inlineStr">
        <is>
          <t>Kararı yaz, cübbeyi as</t>
        </is>
      </c>
      <c r="D1442" s="5" t="inlineStr"/>
      <c r="E1442" s="5" t="inlineStr"/>
      <c r="F1442" s="5" t="inlineStr">
        <is>
          <t>Akıl +1, İtibar +1</t>
        </is>
      </c>
      <c r="G1442" s="6" t="inlineStr">
        <is>
          <t>Otuz beş yıllık davaya iki sayfalık bir karar yazdın, cübbeni astın. Çıkarken kapında bir torba ceviz vardı; kimden, yazmıyor.</t>
        </is>
      </c>
      <c r="H1442" s="6" t="inlineStr"/>
      <c r="I1442" s="6" t="inlineStr"/>
      <c r="J1442" s="6" t="inlineStr"/>
      <c r="K1442" s="6" t="inlineStr"/>
      <c r="L1442" s="6" t="inlineStr"/>
      <c r="M1442" s="5" t="inlineStr"/>
      <c r="N1442" s="5" t="inlineStr"/>
      <c r="O1442" s="6" t="inlineStr"/>
      <c r="P1442" s="6" t="inlineStr"/>
      <c r="Q1442" s="5" t="inlineStr"/>
      <c r="R1442" s="5" t="inlineStr"/>
      <c r="S1442" s="5" t="inlineStr"/>
      <c r="T1442" s="5" t="inlineStr"/>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c r="AI1442" s="5" t="inlineStr"/>
      <c r="AJ1442" s="5" t="inlineStr"/>
    </row>
    <row r="1443">
      <c r="A1443" s="5" t="inlineStr">
        <is>
          <t>b9-yargi-ceviz</t>
        </is>
      </c>
      <c r="B1443" s="5" t="n">
        <v>2</v>
      </c>
      <c r="C1443" s="6" t="inlineStr">
        <is>
          <t>Torunları ağacın altında buluştur</t>
        </is>
      </c>
      <c r="D1443" s="5" t="inlineStr">
        <is>
          <t>İtibar</t>
        </is>
      </c>
      <c r="E1443" s="5" t="inlineStr">
        <is>
          <t>Orta</t>
        </is>
      </c>
      <c r="F1443" s="5" t="inlineStr"/>
      <c r="G1443" s="6" t="inlineStr"/>
      <c r="H1443" s="6" t="inlineStr">
        <is>
          <t>İki torunu ağacın altında buluşturdun. Dedelerinin aynı ağaçtan düştüğünü öğrendiler; ikisinin de. Dava geri çekildi, ağacın altına bank kondu.</t>
        </is>
      </c>
      <c r="I1443" s="6" t="inlineStr">
        <is>
          <t>Torunlar ağacın altında tanıştı, sonra bir daha tanıştı, sonra nişanlandı. Düğüne seni de çağırdılar; ceviz dağıtıldı.</t>
        </is>
      </c>
      <c r="J1443" s="6" t="inlineStr">
        <is>
          <t>Torunlar ağacın altında dedeleri gibi kavga etti. Kin de ağaç gibi köklüymüş. Kararı sen verdin, mecburen.</t>
        </is>
      </c>
      <c r="K1443" s="6" t="inlineStr">
        <is>
          <t>Keşifte ceviz başına düştü. Otuz beş yıl önceki tutanak da aynı cümleyle bitiyordu; kâtip ikisini yan yana dosyaladı.</t>
        </is>
      </c>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c r="AI1443" s="5" t="inlineStr"/>
      <c r="AJ1443" s="5" t="inlineStr"/>
    </row>
    <row r="1444">
      <c r="A1444" s="5" t="inlineStr">
        <is>
          <t>b9-yargi-ceviz</t>
        </is>
      </c>
      <c r="B1444" s="5" t="n">
        <v>3</v>
      </c>
      <c r="C1444" s="6" t="inlineStr">
        <is>
          <t>Son kararına bir paragraf ekle</t>
        </is>
      </c>
      <c r="D1444" s="5" t="inlineStr">
        <is>
          <t>Akıl</t>
        </is>
      </c>
      <c r="E1444" s="5" t="inlineStr">
        <is>
          <t>Zor</t>
        </is>
      </c>
      <c r="F1444" s="5" t="inlineStr"/>
      <c r="G1444" s="6" t="inlineStr"/>
      <c r="H1444" s="6" t="inlineStr">
        <is>
          <t>Kararın sonuna bir paragraf ekledin: ağaç yüz yıl yaşar, kin bir ömür; hangisini miras bırakacağınıza siz karar verin. Paragraf fakülte kitabına girdi.</t>
        </is>
      </c>
      <c r="I1444" s="6" t="inlineStr">
        <is>
          <t>Paragraf öyle sevildi ki kasabada ağacın altına taşa kazındı. Taraflar her okuyuşta biraz utanıyor, biraz ceviz topluyor.</t>
        </is>
      </c>
      <c r="J1444" s="6" t="inlineStr">
        <is>
          <t>Paragrafı yazdın, sildin, yeniden yazdın. Karar çıktı; paragraf çekmecende kaldı.</t>
        </is>
      </c>
      <c r="K1444" s="6" t="inlineStr">
        <is>
          <t>Paragraf öyle uzadı ki karar iki cilt oldu. Taraflar ikinci cildin ortasında ağacın altında buluştu ve birlikte şikâyet etti: senden. Otuz beş yıl sonra ilk kez aynı taraftalar.</t>
        </is>
      </c>
      <c r="L1444" s="6" t="inlineStr"/>
      <c r="M1444" s="5" t="inlineStr"/>
      <c r="N1444" s="5" t="inlineStr"/>
      <c r="O1444" s="6" t="inlineStr"/>
      <c r="P1444" s="6" t="inlineStr"/>
      <c r="Q1444" s="5" t="inlineStr"/>
      <c r="R1444" s="5" t="inlineStr"/>
      <c r="S1444" s="5" t="inlineStr"/>
      <c r="T1444" s="5" t="inlineStr">
        <is>
          <t>Bahçe Filozofu</t>
        </is>
      </c>
      <c r="U1444" s="5" t="inlineStr"/>
      <c r="V1444" s="5" t="inlineStr"/>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c r="AI1444" s="5" t="inlineStr"/>
      <c r="AJ1444" s="5" t="inlineStr"/>
    </row>
    <row r="1445">
      <c r="A1445" s="5" t="inlineStr">
        <is>
          <t>b7-hekim-ilce</t>
        </is>
      </c>
      <c r="B1445" s="5" t="n">
        <v>1</v>
      </c>
      <c r="C1445" s="6" t="inlineStr">
        <is>
          <t>Kapıya mesai saatini as</t>
        </is>
      </c>
      <c r="D1445" s="5" t="inlineStr"/>
      <c r="E1445" s="5" t="inlineStr"/>
      <c r="F1445" s="5" t="inlineStr">
        <is>
          <t>Dayanıklılık +1, Akıl +1</t>
        </is>
      </c>
      <c r="G1445" s="6" t="inlineStr">
        <is>
          <t>Kapıya mesai saatlerini yazan bir tabela astın. Ertesi gün tabelanın altına biri ekleme yapmış: “Acilse evine gidin.” Adresin de yazılı.</t>
        </is>
      </c>
      <c r="H1445" s="6" t="inlineStr"/>
      <c r="I1445" s="6" t="inlineStr"/>
      <c r="J1445" s="6" t="inlineStr"/>
      <c r="K1445" s="6" t="inlineStr"/>
      <c r="L1445" s="6" t="inlineStr"/>
      <c r="M1445" s="5" t="inlineStr"/>
      <c r="N1445" s="5" t="inlineStr"/>
      <c r="O1445" s="6" t="inlineStr"/>
      <c r="P1445" s="6" t="inlineStr"/>
      <c r="Q1445" s="5" t="inlineStr"/>
      <c r="R1445" s="5" t="inlineStr"/>
      <c r="S1445" s="5" t="inlineStr"/>
      <c r="T1445" s="5" t="inlineStr"/>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c r="AI1445" s="5" t="inlineStr"/>
      <c r="AJ1445" s="5" t="inlineStr"/>
    </row>
    <row r="1446">
      <c r="A1446" s="5" t="inlineStr">
        <is>
          <t>b7-hekim-ilce</t>
        </is>
      </c>
      <c r="B1446" s="5" t="n">
        <v>2</v>
      </c>
      <c r="C1446" s="6" t="inlineStr">
        <is>
          <t>Pazar yerine sağlık masası kur</t>
        </is>
      </c>
      <c r="D1446" s="5" t="inlineStr">
        <is>
          <t>Dayanıklılık</t>
        </is>
      </c>
      <c r="E1446" s="5" t="inlineStr">
        <is>
          <t>Orta</t>
        </is>
      </c>
      <c r="F1446" s="5" t="inlineStr"/>
      <c r="G1446" s="6" t="inlineStr"/>
      <c r="H1446" s="6" t="inlineStr">
        <is>
          <t>Pazarın ortasına masa kurdun, akşama kadar tansiyon ölçtün. Karşılığında domates, peynir, bir kavanoz reçel. İlçe seni evlat bildi.</t>
        </is>
      </c>
      <c r="I1446" s="6" t="inlineStr">
        <is>
          <t>Pazar masası öyle tuttu ki ilçe dergisi kapak yaptı: “Bizim Doktor.” Başhekim kıskandı; başhekim sensin.</t>
        </is>
      </c>
      <c r="J1446" s="6" t="inlineStr">
        <is>
          <t>Masa kurdun; herkes kendi tansiyonunu değil, bir akrabasının tahlilini getirdi. Akşama kadar başkalarının kâğıdını okudun.</t>
        </is>
      </c>
      <c r="K1446" s="6" t="inlineStr">
        <is>
          <t>Pazarcılar masanı tezgâh sandı, zabıta da. Akşama kadar domates tarttın; işgaliye cezasını ilçenin tek doktoru ödedi.</t>
        </is>
      </c>
      <c r="L1446" s="6" t="inlineStr"/>
      <c r="M1446" s="5" t="inlineStr"/>
      <c r="N1446" s="5" t="inlineStr"/>
      <c r="O1446" s="6" t="inlineStr"/>
      <c r="P1446" s="6" t="inlineStr"/>
      <c r="Q1446" s="5" t="inlineStr"/>
      <c r="R1446" s="5" t="inlineStr"/>
      <c r="S1446" s="5" t="inlineStr"/>
      <c r="T1446" s="5" t="inlineStr"/>
      <c r="U1446" s="5" t="inlineStr"/>
      <c r="V1446" s="5" t="inlineStr">
        <is>
          <t>hekim-ilce-sevgisi</t>
        </is>
      </c>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c r="AI1446" s="5" t="inlineStr"/>
      <c r="AJ1446" s="5" t="inlineStr"/>
    </row>
    <row r="1447">
      <c r="A1447" s="5" t="inlineStr">
        <is>
          <t>b7-hekim-ilce</t>
        </is>
      </c>
      <c r="B1447" s="5" t="n">
        <v>3</v>
      </c>
      <c r="C1447" s="6" t="inlineStr">
        <is>
          <t>Aile grubuna kural koy</t>
        </is>
      </c>
      <c r="D1447" s="5" t="inlineStr">
        <is>
          <t>Pişkinlik</t>
        </is>
      </c>
      <c r="E1447" s="5" t="inlineStr">
        <is>
          <t>Zor</t>
        </is>
      </c>
      <c r="F1447" s="5" t="inlineStr"/>
      <c r="G1447" s="6" t="inlineStr"/>
      <c r="H1447" s="6" t="inlineStr">
        <is>
          <t>Gruba yazdın: “Fotoğraf değil, randevu.” Grup iki gün sustu. Üçüncü gün teyzen randevu aldı; dizinin fotoğrafını da getirdi, kâğıda basılı.</t>
        </is>
      </c>
      <c r="I1447" s="6" t="inlineStr">
        <is>
          <t>Kuralın tuttu; grup artık yalnızca bayram mesajı atıyor. Bir amcan telefonuna seni “Grubun Bekçisi” diye kaydetmiş.</t>
        </is>
      </c>
      <c r="J1447" s="6" t="inlineStr">
        <is>
          <t>Kuralı yazdın. Bir dakika sonra bir kuzen sordu: “Bu kural dizler için de geçerli mi?”</t>
        </is>
      </c>
      <c r="K1447" s="6" t="inlineStr">
        <is>
          <t>Kuralı yanlışlıkla ilçe muhtarlar grubuna attın. Muhtarlar artık randevuyla konuşuyor; seninle bile.</t>
        </is>
      </c>
      <c r="L1447" s="6" t="inlineStr"/>
      <c r="M1447" s="5" t="inlineStr"/>
      <c r="N1447" s="5" t="inlineStr"/>
      <c r="O1447" s="6" t="inlineStr"/>
      <c r="P1447" s="6" t="inlineStr"/>
      <c r="Q1447" s="5" t="inlineStr"/>
      <c r="R1447" s="5" t="inlineStr"/>
      <c r="S1447" s="5" t="inlineStr"/>
      <c r="T1447" s="5" t="inlineStr">
        <is>
          <t>Son Sözü Söyler</t>
        </is>
      </c>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c r="AI1447" s="5" t="inlineStr"/>
      <c r="AJ1447" s="5" t="inlineStr"/>
    </row>
    <row r="1448">
      <c r="A1448" s="5" t="inlineStr">
        <is>
          <t>b7-hekim-uzmanlik</t>
        </is>
      </c>
      <c r="B1448" s="5" t="n">
        <v>1</v>
      </c>
      <c r="C1448" s="6" t="inlineStr">
        <is>
          <t>“Bakıp söyleyeceğim” de</t>
        </is>
      </c>
      <c r="D1448" s="5" t="inlineStr"/>
      <c r="E1448" s="5" t="inlineStr"/>
      <c r="F1448" s="5" t="inlineStr">
        <is>
          <t>İtibar +1, Akıl +1</t>
        </is>
      </c>
      <c r="G1448" s="6" t="inlineStr">
        <is>
          <t>“Emin değilim hocam, bakıp söyleyeceğim” dedin. Hoca bir an sustu: “Bunu diyen üçüncü asistansın. Öbür ikisi profesör oldu.”</t>
        </is>
      </c>
      <c r="H1448" s="6" t="inlineStr"/>
      <c r="I1448" s="6" t="inlineStr"/>
      <c r="J1448" s="6" t="inlineStr"/>
      <c r="K1448" s="6" t="inlineStr"/>
      <c r="L1448" s="6" t="inlineStr"/>
      <c r="M1448" s="5" t="inlineStr"/>
      <c r="N1448" s="5" t="inlineStr"/>
      <c r="O1448" s="6" t="inlineStr"/>
      <c r="P1448" s="6" t="inlineStr"/>
      <c r="Q1448" s="5" t="inlineStr"/>
      <c r="R1448" s="5" t="inlineStr"/>
      <c r="S1448" s="5" t="inlineStr"/>
      <c r="T1448" s="5" t="inlineStr"/>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c r="AI1448" s="5" t="inlineStr"/>
      <c r="AJ1448" s="5" t="inlineStr"/>
    </row>
    <row r="1449">
      <c r="A1449" s="5" t="inlineStr">
        <is>
          <t>b7-hekim-uzmanlik</t>
        </is>
      </c>
      <c r="B1449" s="5" t="n">
        <v>2</v>
      </c>
      <c r="C1449" s="6" t="inlineStr">
        <is>
          <t>Ayırıcı tanıları sırala</t>
        </is>
      </c>
      <c r="D1449" s="5" t="inlineStr">
        <is>
          <t>Akıl</t>
        </is>
      </c>
      <c r="E1449" s="5" t="inlineStr">
        <is>
          <t>Orta</t>
        </is>
      </c>
      <c r="F1449" s="5" t="inlineStr"/>
      <c r="G1449" s="6" t="inlineStr"/>
      <c r="H1449" s="6" t="inlineStr">
        <is>
          <t>Dokuz ihtimal saydın, sekizini tek tek eledin. Hoca başını salladı. Hasta da salladı; o da ikna olmuş.</t>
        </is>
      </c>
      <c r="I1449" s="6" t="inlineStr">
        <is>
          <t>Sıralamayı bitirdiğinde hoca seni makale ekibine yazdı. Hasta da taburcu olurken elini sıktı: “Hocadan çok sen anlattın.”</t>
        </is>
      </c>
      <c r="J1449" s="6" t="inlineStr">
        <is>
          <t>Sekiz ihtimal saydın, dokuzuncuyu unuttun. Hoca dokuzuncuyu söyledi. Doğrusu oymuş.</t>
        </is>
      </c>
      <c r="K1449" s="6" t="inlineStr">
        <is>
          <t>Ayırıcı tanıları eksiksiz saydın, ama yan yataktaki hastanın. Teyze nazikçe düzeltti: “Evladım, ben o değilim. O yandaki.” Otuz kişi aynı anda yan yatağa döndü.</t>
        </is>
      </c>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is>
          <t>Akıl 33</t>
        </is>
      </c>
      <c r="AI1449" s="5" t="inlineStr">
        <is>
          <t>Yan Yatak</t>
        </is>
      </c>
      <c r="AJ1449" s="5" t="inlineStr"/>
    </row>
    <row r="1450">
      <c r="A1450" s="5" t="inlineStr">
        <is>
          <t>b7-hekim-uzmanlik</t>
        </is>
      </c>
      <c r="B1450" s="5" t="n">
        <v>3</v>
      </c>
      <c r="C1450" s="6" t="inlineStr">
        <is>
          <t>Uykusuz ama dimdik cevap ver</t>
        </is>
      </c>
      <c r="D1450" s="5" t="inlineStr">
        <is>
          <t>Dayanıklılık</t>
        </is>
      </c>
      <c r="E1450" s="5" t="inlineStr">
        <is>
          <t>Zor</t>
        </is>
      </c>
      <c r="F1450" s="5" t="inlineStr"/>
      <c r="G1450" s="6" t="inlineStr"/>
      <c r="H1450" s="6" t="inlineStr">
        <is>
          <t>Otuz altı saatlik uykusuzlukla cümleleri sendelemeden dizdin. Vizit bitince koridorda ayakta uyudun; kimse fark etmedi.</t>
        </is>
      </c>
      <c r="I1450" s="6" t="inlineStr">
        <is>
          <t>Cevabın kusursuzdu; hoca “Bu çocuk hiç uyumuyor mu?” diye sordu, övgü olarak. Ertesi ay baş asistan oldun; daha da az uyuyacaksın.</t>
        </is>
      </c>
      <c r="J1450" s="6" t="inlineStr">
        <is>
          <t>Cevabın ortasında bir kelime aradın, bulamadın. Hoca kelimeyi söyledi; sen de ekledin: “Aynen.”</t>
        </is>
      </c>
      <c r="K1450" s="6" t="inlineStr">
        <is>
          <t>Cevap verirken gözlerin kapandı. Uyandığında vizit iki oda ilerdeydi; hasta üstüne battaniye örtmüştü.</t>
        </is>
      </c>
      <c r="L1450" s="6" t="inlineStr"/>
      <c r="M1450" s="5" t="inlineStr"/>
      <c r="N1450" s="5" t="inlineStr"/>
      <c r="O1450" s="6" t="inlineStr"/>
      <c r="P1450" s="6" t="inlineStr"/>
      <c r="Q1450" s="5" t="inlineStr"/>
      <c r="R1450" s="5" t="inlineStr"/>
      <c r="S1450" s="5" t="inlineStr"/>
      <c r="T1450" s="5" t="inlineStr">
        <is>
          <t>Nöbet Disiplini</t>
        </is>
      </c>
      <c r="U1450" s="5" t="inlineStr"/>
      <c r="V1450" s="5" t="inlineStr"/>
      <c r="W1450" s="5" t="inlineStr"/>
      <c r="X1450" s="5" t="inlineStr"/>
      <c r="Y1450" s="5" t="inlineStr"/>
      <c r="Z1450" s="6" t="inlineStr"/>
      <c r="AA1450" s="5" t="inlineStr"/>
      <c r="AB1450" s="5" t="inlineStr"/>
      <c r="AC1450" s="5" t="inlineStr"/>
      <c r="AD1450" s="5" t="inlineStr"/>
      <c r="AE1450" s="5" t="inlineStr"/>
      <c r="AF1450" s="5" t="inlineStr"/>
      <c r="AG1450" s="5" t="inlineStr"/>
      <c r="AH1450" s="5" t="inlineStr"/>
      <c r="AI1450" s="5" t="inlineStr"/>
      <c r="AJ1450" s="5" t="inlineStr"/>
    </row>
    <row r="1451">
      <c r="A1451" s="5" t="inlineStr">
        <is>
          <t>b7-hekim-hasta-yakini</t>
        </is>
      </c>
      <c r="B1451" s="5" t="n">
        <v>1</v>
      </c>
      <c r="C1451" s="6" t="inlineStr">
        <is>
          <t>Saat beşte tek bilgilendirme yap</t>
        </is>
      </c>
      <c r="D1451" s="5" t="inlineStr"/>
      <c r="E1451" s="5" t="inlineStr"/>
      <c r="F1451" s="5" t="inlineStr">
        <is>
          <t>Dayanıklılık +1, Sosyal Radar +1</t>
        </is>
      </c>
      <c r="G1451" s="6" t="inlineStr">
        <is>
          <t>Saat beşte koridorda tek bir bilgilendirme yaptın. On bir kişi dinledi, on ikincisi hoparlörden. Sonra hepsi tek tek gelip aynı soruyu sordu.</t>
        </is>
      </c>
      <c r="H1451" s="6" t="inlineStr"/>
      <c r="I1451" s="6" t="inlineStr"/>
      <c r="J1451" s="6" t="inlineStr"/>
      <c r="K1451" s="6" t="inlineStr"/>
      <c r="L1451" s="6" t="inlineStr"/>
      <c r="M1451" s="5" t="inlineStr"/>
      <c r="N1451" s="5" t="inlineStr"/>
      <c r="O1451" s="6" t="inlineStr"/>
      <c r="P1451" s="6" t="inlineStr"/>
      <c r="Q1451" s="5" t="inlineStr"/>
      <c r="R1451" s="5" t="inlineStr"/>
      <c r="S1451" s="5" t="inlineStr"/>
      <c r="T1451" s="5" t="inlineStr"/>
      <c r="U1451" s="5" t="inlineStr"/>
      <c r="V1451" s="5" t="inlineStr"/>
      <c r="W1451" s="5" t="inlineStr"/>
      <c r="X1451" s="5" t="inlineStr"/>
      <c r="Y1451" s="5" t="inlineStr"/>
      <c r="Z1451" s="6" t="inlineStr"/>
      <c r="AA1451" s="5" t="inlineStr"/>
      <c r="AB1451" s="5" t="inlineStr"/>
      <c r="AC1451" s="5" t="inlineStr"/>
      <c r="AD1451" s="5" t="inlineStr"/>
      <c r="AE1451" s="5" t="inlineStr"/>
      <c r="AF1451" s="5" t="inlineStr"/>
      <c r="AG1451" s="5" t="inlineStr"/>
      <c r="AH1451" s="5" t="inlineStr"/>
      <c r="AI1451" s="5" t="inlineStr"/>
      <c r="AJ1451" s="5" t="inlineStr"/>
    </row>
    <row r="1452">
      <c r="A1452" s="5" t="inlineStr">
        <is>
          <t>b7-hekim-hasta-yakini</t>
        </is>
      </c>
      <c r="B1452" s="5" t="n">
        <v>2</v>
      </c>
      <c r="C1452" s="6" t="inlineStr">
        <is>
          <t>Aileden bir sözcü seç</t>
        </is>
      </c>
      <c r="D1452" s="5" t="inlineStr">
        <is>
          <t>Akıl</t>
        </is>
      </c>
      <c r="E1452" s="5" t="inlineStr">
        <is>
          <t>Orta</t>
        </is>
      </c>
      <c r="F1452" s="5" t="inlineStr"/>
      <c r="G1452" s="6" t="inlineStr"/>
      <c r="H1452" s="6" t="inlineStr">
        <is>
          <t>Aileden en sakin olanı sözcü yaptın. Bilgi ondan ötekilere aktı, koridor boşaldı. Sözcü de artık ailenin küçük doktoru.</t>
        </is>
      </c>
      <c r="I1452" s="6" t="inlineStr">
        <is>
          <t>Sözcü öyle iyi çıktı ki servis bu usulü bütün hasta aileleri için kural yaptı. Amca taburcu olurken sana değil sözcüye teşekkür etti.</t>
        </is>
      </c>
      <c r="J1452" s="6" t="inlineStr">
        <is>
          <t>Sözcüyü seçtin; öbür on kişi sözcüye güvenmedi. Artık on bir kişi artı bir sözcü var.</t>
        </is>
      </c>
      <c r="K1452" s="6" t="inlineStr">
        <is>
          <t>Sözcü seçtiğin kişi aileden değilmiş, yan odadaki hastanın yeğeniymiş. Bir saat boyunca iki aileye birbirinin amcasını anlattı. Akşam yan odanın ailesi senin hastan için helva kavurmaya başlamıştı; amca o sırada çorbasını içiyordu.</t>
        </is>
      </c>
      <c r="L1452" s="6" t="inlineStr"/>
      <c r="M1452" s="5" t="inlineStr"/>
      <c r="N1452" s="5" t="inlineStr"/>
      <c r="O1452" s="6" t="inlineStr"/>
      <c r="P1452" s="6" t="inlineStr"/>
      <c r="Q1452" s="5" t="inlineStr"/>
      <c r="R1452" s="5" t="inlineStr"/>
      <c r="S1452" s="5" t="inlineStr"/>
      <c r="T1452" s="5" t="inlineStr"/>
      <c r="U1452" s="5" t="inlineStr"/>
      <c r="V1452" s="5" t="inlineStr">
        <is>
          <t>hekim-sozcu-usulu</t>
        </is>
      </c>
      <c r="W1452" s="5" t="inlineStr"/>
      <c r="X1452" s="5" t="inlineStr"/>
      <c r="Y1452" s="5" t="inlineStr"/>
      <c r="Z1452" s="6" t="inlineStr"/>
      <c r="AA1452" s="5" t="inlineStr"/>
      <c r="AB1452" s="5" t="inlineStr"/>
      <c r="AC1452" s="5" t="inlineStr"/>
      <c r="AD1452" s="5" t="inlineStr"/>
      <c r="AE1452" s="5" t="inlineStr"/>
      <c r="AF1452" s="5" t="inlineStr"/>
      <c r="AG1452" s="5" t="inlineStr"/>
      <c r="AH1452" s="5" t="inlineStr"/>
      <c r="AI1452" s="5" t="inlineStr"/>
      <c r="AJ1452" s="5" t="inlineStr"/>
    </row>
    <row r="1453">
      <c r="A1453" s="5" t="inlineStr">
        <is>
          <t>b7-hekim-hasta-yakini</t>
        </is>
      </c>
      <c r="B1453" s="5" t="n">
        <v>3</v>
      </c>
      <c r="C1453" s="6" t="inlineStr">
        <is>
          <t>Nöbet sonrası herkese tek tek dön</t>
        </is>
      </c>
      <c r="D1453" s="5" t="inlineStr">
        <is>
          <t>Dayanıklılık</t>
        </is>
      </c>
      <c r="E1453" s="5" t="inlineStr">
        <is>
          <t>Zor</t>
        </is>
      </c>
      <c r="F1453" s="5" t="inlineStr"/>
      <c r="G1453" s="6" t="inlineStr"/>
      <c r="H1453" s="6" t="inlineStr">
        <is>
          <t>Nöbetten çıkıp on iki kişiyi tek tek aradın. Sabaha karşı sonuncusu teşekkür etti. Uyumadın ama koridor sana bir hafta tatlı getirdi.</t>
        </is>
      </c>
      <c r="I1453" s="6" t="inlineStr">
        <is>
          <t>On iki telefonun hepsi teşekkürle bitti. Taburcu günü amca koridordaki on bir yakınına seni gösterdi: “Bu doktor beni sizden iyi tanıyor.”</t>
        </is>
      </c>
      <c r="J1453" s="6" t="inlineStr">
        <is>
          <t>Aramaya başladın; dördüncüde uyuyakaldın. Kalan sekiz kişi sabah hep birlikte geldi.</t>
        </is>
      </c>
      <c r="K1453" s="6" t="inlineStr">
        <is>
          <t>Aramaları yaptın ama yanlış listeden; başka bir hastanın yakınlarını bilgilendirdin. Onlar da çok memnun kaldı, ne yazık ki.</t>
        </is>
      </c>
      <c r="L1453" s="6" t="inlineStr"/>
      <c r="M1453" s="5" t="inlineStr"/>
      <c r="N1453" s="5" t="inlineStr"/>
      <c r="O1453" s="6" t="inlineStr"/>
      <c r="P1453" s="6" t="inlineStr"/>
      <c r="Q1453" s="5" t="inlineStr"/>
      <c r="R1453" s="5" t="inlineStr"/>
      <c r="S1453" s="5" t="inlineStr"/>
      <c r="T1453" s="5" t="inlineStr">
        <is>
          <t>Gözüne Uyku Girmez</t>
        </is>
      </c>
      <c r="U1453" s="5" t="inlineStr"/>
      <c r="V1453" s="5" t="inlineStr"/>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c r="AI1453" s="5" t="inlineStr"/>
      <c r="AJ1453" s="5" t="inlineStr"/>
    </row>
    <row r="1454">
      <c r="A1454" s="5" t="inlineStr">
        <is>
          <t>b8-hekim-profesorluk</t>
        </is>
      </c>
      <c r="B1454" s="5" t="n">
        <v>1</v>
      </c>
      <c r="C1454" s="6" t="inlineStr">
        <is>
          <t>Makaleyi hafta sonları yaz</t>
        </is>
      </c>
      <c r="D1454" s="5" t="inlineStr"/>
      <c r="E1454" s="5" t="inlineStr"/>
      <c r="F1454" s="5" t="inlineStr">
        <is>
          <t>Akıl +1, Dayanıklılık +1</t>
        </is>
      </c>
      <c r="G1454" s="6" t="inlineStr">
        <is>
          <t>Üç ay hafta sonu yazdın. Makale bitti; jüri bir sonraki döneme kaldı. Aile grubuna “Değişen bir şey yok” yazdın; doğruydu.</t>
        </is>
      </c>
      <c r="H1454" s="6" t="inlineStr"/>
      <c r="I1454" s="6" t="inlineStr"/>
      <c r="J1454" s="6" t="inlineStr"/>
      <c r="K1454" s="6" t="inlineStr"/>
      <c r="L1454" s="6" t="inlineStr"/>
      <c r="M1454" s="5" t="inlineStr"/>
      <c r="N1454" s="5" t="inlineStr"/>
      <c r="O1454" s="6" t="inlineStr"/>
      <c r="P1454" s="6" t="inlineStr"/>
      <c r="Q1454" s="5" t="inlineStr"/>
      <c r="R1454" s="5" t="inlineStr"/>
      <c r="S1454" s="5" t="inlineStr"/>
      <c r="T1454" s="5" t="inlineStr"/>
      <c r="U1454" s="5" t="inlineStr"/>
      <c r="V1454" s="5" t="inlineStr"/>
      <c r="W1454" s="5" t="inlineStr"/>
      <c r="X1454" s="5" t="inlineStr"/>
      <c r="Y1454" s="5" t="inlineStr"/>
      <c r="Z1454" s="6" t="inlineStr"/>
      <c r="AA1454" s="5" t="inlineStr"/>
      <c r="AB1454" s="5" t="inlineStr"/>
      <c r="AC1454" s="5" t="inlineStr"/>
      <c r="AD1454" s="5" t="inlineStr"/>
      <c r="AE1454" s="5" t="inlineStr"/>
      <c r="AF1454" s="5" t="inlineStr"/>
      <c r="AG1454" s="5" t="inlineStr"/>
      <c r="AH1454" s="5" t="inlineStr"/>
      <c r="AI1454" s="5" t="inlineStr"/>
      <c r="AJ1454" s="5" t="inlineStr"/>
    </row>
    <row r="1455">
      <c r="A1455" s="5" t="inlineStr">
        <is>
          <t>b8-hekim-profesorluk</t>
        </is>
      </c>
      <c r="B1455" s="5" t="n">
        <v>2</v>
      </c>
      <c r="C1455" s="6" t="inlineStr">
        <is>
          <t>Asistanlarla ortak çalış</t>
        </is>
      </c>
      <c r="D1455" s="5" t="inlineStr">
        <is>
          <t>Sosyal Radar</t>
        </is>
      </c>
      <c r="E1455" s="5" t="inlineStr">
        <is>
          <t>Orta</t>
        </is>
      </c>
      <c r="F1455" s="5" t="inlineStr"/>
      <c r="G1455" s="6" t="inlineStr"/>
      <c r="H1455" s="6" t="inlineStr">
        <is>
          <t>Dört asistana birer bölüm verdin, akşamları birleştirdiniz. Makale zamanında çıktı; profesör oldun. Asistanlar da ilk makalelerini kazandı.</t>
        </is>
      </c>
      <c r="I1455" s="6" t="inlineStr">
        <is>
          <t>Ekip öyle uyumlu çalıştı ki bir makale yerine iki çıktı. Jüri seni oy birliğiyle profesör yaptı; asistanlar pasta aldı, üstünde senin adın yanlış.</t>
        </is>
      </c>
      <c r="J1455" s="6" t="inlineStr">
        <is>
          <t>Asistanlar bölümleri yazdı ama her biri ayrı bir dille. Birleştirmek üç ay daha sürdü; jüri bekleyemedi.</t>
        </is>
      </c>
      <c r="K1455" s="6" t="inlineStr">
        <is>
          <t>Asistanlardan biri makaleyi kendi adıyla bir dergiye yollamış. Dergi kabul etti. Tebrik ettin, dişlerini sıkarak.</t>
        </is>
      </c>
      <c r="L1455" s="6" t="inlineStr"/>
      <c r="M1455" s="5" t="inlineStr"/>
      <c r="N1455" s="5" t="inlineStr"/>
      <c r="O1455" s="6" t="inlineStr"/>
      <c r="P1455" s="6" t="inlineStr"/>
      <c r="Q1455" s="5" t="inlineStr"/>
      <c r="R1455" s="5" t="inlineStr"/>
      <c r="S1455" s="5" t="inlineStr"/>
      <c r="T1455" s="5" t="inlineStr"/>
      <c r="U1455" s="5" t="inlineStr"/>
      <c r="V1455" s="5" t="inlineStr">
        <is>
          <t>hekim-profesor</t>
        </is>
      </c>
      <c r="W1455" s="5" t="inlineStr"/>
      <c r="X1455" s="5" t="inlineStr"/>
      <c r="Y1455" s="5" t="inlineStr"/>
      <c r="Z1455" s="6" t="inlineStr"/>
      <c r="AA1455" s="5" t="inlineStr"/>
      <c r="AB1455" s="5" t="inlineStr"/>
      <c r="AC1455" s="5" t="inlineStr"/>
      <c r="AD1455" s="5" t="inlineStr"/>
      <c r="AE1455" s="5" t="inlineStr"/>
      <c r="AF1455" s="5" t="inlineStr"/>
      <c r="AG1455" s="5" t="inlineStr"/>
      <c r="AH1455" s="5" t="inlineStr"/>
      <c r="AI1455" s="5" t="inlineStr"/>
      <c r="AJ1455" s="5" t="inlineStr"/>
    </row>
    <row r="1456">
      <c r="A1456" s="5" t="inlineStr">
        <is>
          <t>b8-hekim-profesorluk</t>
        </is>
      </c>
      <c r="B1456" s="5" t="n">
        <v>3</v>
      </c>
      <c r="C1456" s="6" t="inlineStr">
        <is>
          <t>Tek başına büyük çalışmayı bitir</t>
        </is>
      </c>
      <c r="D1456" s="5" t="inlineStr">
        <is>
          <t>Akıl</t>
        </is>
      </c>
      <c r="E1456" s="5" t="inlineStr">
        <is>
          <t>Zor</t>
        </is>
      </c>
      <c r="F1456" s="5" t="inlineStr"/>
      <c r="G1456" s="6" t="inlineStr"/>
      <c r="H1456" s="6" t="inlineStr">
        <is>
          <t>Üç ay gece gündüz çalıştın, büyük çalışmayı tek başına bitirdin. Jüri sorularını beş dakikada bitirdi; profesör oldun.</t>
        </is>
      </c>
      <c r="I1456" s="6" t="inlineStr">
        <is>
          <t>Çalışma yurt dışı bir dergide çıktı, Öte Diyar'dan bir hoca bile tebrik yazdı. Profesör oldun; aile grubu da “Artık bedava muayene mi?” diye sordu.</t>
        </is>
      </c>
      <c r="J1456" s="6" t="inlineStr">
        <is>
          <t>Çalışma bitti ama bir istatistik hatası çıktı. Düzeltmek bir dönem sürdü; jüri seni bir sonraki takvime yazdı.</t>
        </is>
      </c>
      <c r="K1456" s="6" t="inlineStr">
        <is>
          <t>Bütün verileri tek bilgisayarda tuttun. Asistan bilgisayarın üstüne çay döktü. Çalışmaya sıfırdan başladın; asistan o günden beri çayını karton bardakta içiyor.</t>
        </is>
      </c>
      <c r="L1456" s="6" t="inlineStr"/>
      <c r="M1456" s="5" t="inlineStr"/>
      <c r="N1456" s="5" t="inlineStr"/>
      <c r="O1456" s="6" t="inlineStr"/>
      <c r="P1456" s="6" t="inlineStr"/>
      <c r="Q1456" s="5" t="inlineStr"/>
      <c r="R1456" s="5" t="inlineStr"/>
      <c r="S1456" s="5" t="inlineStr"/>
      <c r="T1456" s="5" t="inlineStr">
        <is>
          <t>Ukala Ama Haklı</t>
        </is>
      </c>
      <c r="U1456" s="5" t="inlineStr"/>
      <c r="V1456" s="5" t="inlineStr">
        <is>
          <t>hekim-profesor</t>
        </is>
      </c>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is>
          <t>Akıl 37</t>
        </is>
      </c>
      <c r="AI1456" s="5" t="inlineStr"/>
      <c r="AJ1456" s="5" t="inlineStr"/>
    </row>
    <row r="1457">
      <c r="A1457" s="5" t="inlineStr">
        <is>
          <t>b8-hekim-profesorluk</t>
        </is>
      </c>
      <c r="B1457" s="5" t="n">
        <v>4</v>
      </c>
      <c r="C1457" s="6" t="inlineStr">
        <is>
          <t>Kliniğin yıllık verisini topla</t>
        </is>
      </c>
      <c r="D1457" s="5" t="inlineStr">
        <is>
          <t>Dayanıklılık</t>
        </is>
      </c>
      <c r="E1457" s="5" t="inlineStr">
        <is>
          <t>Kolay</t>
        </is>
      </c>
      <c r="F1457" s="5" t="inlineStr"/>
      <c r="G1457" s="6" t="inlineStr"/>
      <c r="H1457" s="6" t="inlineStr">
        <is>
          <t>Klinik şefi olarak on yıllık veriye zaten sahiptin. Bir ayda topladın, iki ayda yazdın. Jüri toplanmadan profesör oldun.</t>
        </is>
      </c>
      <c r="I1457" s="6" t="inlineStr">
        <is>
          <t>Verin öyle zengin çıktı ki üç makale birden yazdın. Jüri “Bu kadarı fazla” dedi, yine de profesör yaptı.</t>
        </is>
      </c>
      <c r="J1457" s="6" t="inlineStr">
        <is>
          <t>Verileri topladın ama arşivin yarısı eski kâğıt dosyalardaymış. Jüri tarihine yetişemedin.</t>
        </is>
      </c>
      <c r="K1457" s="6" t="inlineStr">
        <is>
          <t>Arşivde en üst raftaki klasöre uzandın; raf seninle birlikte devrildi. Üç gün kâğıt topladın. Jüriye makale yetişmedi ama arşiv hiç bu kadar düzenli olmamıştı; başhemşire sana teşekkür kartı yazdı.</t>
        </is>
      </c>
      <c r="L1457" s="6" t="inlineStr"/>
      <c r="M1457" s="5" t="inlineStr"/>
      <c r="N1457" s="5" t="inlineStr"/>
      <c r="O1457" s="6" t="inlineStr"/>
      <c r="P1457" s="6" t="inlineStr"/>
      <c r="Q1457" s="5" t="inlineStr"/>
      <c r="R1457" s="5" t="inlineStr">
        <is>
          <t>klinik-sefi</t>
        </is>
      </c>
      <c r="S1457" s="5" t="inlineStr"/>
      <c r="T1457" s="5" t="inlineStr"/>
      <c r="U1457" s="5" t="inlineStr"/>
      <c r="V1457" s="5" t="inlineStr">
        <is>
          <t>hekim-profesor</t>
        </is>
      </c>
      <c r="W1457" s="5" t="inlineStr"/>
      <c r="X1457" s="5" t="inlineStr"/>
      <c r="Y1457" s="5" t="inlineStr"/>
      <c r="Z1457" s="6" t="inlineStr"/>
      <c r="AA1457" s="5" t="inlineStr"/>
      <c r="AB1457" s="5" t="inlineStr"/>
      <c r="AC1457" s="5" t="inlineStr"/>
      <c r="AD1457" s="5" t="inlineStr"/>
      <c r="AE1457" s="5" t="inlineStr"/>
      <c r="AF1457" s="5" t="inlineStr"/>
      <c r="AG1457" s="5" t="inlineStr"/>
      <c r="AH1457" s="5" t="inlineStr"/>
      <c r="AI1457" s="5" t="inlineStr"/>
      <c r="AJ1457" s="5" t="inlineStr"/>
    </row>
    <row r="1458">
      <c r="A1458" s="5" t="inlineStr">
        <is>
          <t>b8-hekim-aile-grubu</t>
        </is>
      </c>
      <c r="B1458" s="5" t="n">
        <v>1</v>
      </c>
      <c r="C1458" s="6" t="inlineStr">
        <is>
          <t>Hepsine “Hastaneye gel” yaz</t>
        </is>
      </c>
      <c r="D1458" s="5" t="inlineStr"/>
      <c r="E1458" s="5" t="inlineStr"/>
      <c r="F1458" s="5" t="inlineStr">
        <is>
          <t>İtibar +1, Dayanıklılık +1</t>
        </is>
      </c>
      <c r="G1458" s="6" t="inlineStr">
        <is>
          <t>Hepsine aynı cevabı yazdın: “Hastaneye gel.” Ertesi gün poliklinik kapında sekiz akraba; biri kek getirmiş, kimse randevu almamış.</t>
        </is>
      </c>
      <c r="H1458" s="6" t="inlineStr"/>
      <c r="I1458" s="6" t="inlineStr"/>
      <c r="J1458" s="6" t="inlineStr"/>
      <c r="K1458" s="6" t="inlineStr"/>
      <c r="L1458" s="6" t="inlineStr"/>
      <c r="M1458" s="5" t="inlineStr"/>
      <c r="N1458" s="5" t="inlineStr"/>
      <c r="O1458" s="6" t="inlineStr"/>
      <c r="P1458" s="6" t="inlineStr"/>
      <c r="Q1458" s="5" t="inlineStr"/>
      <c r="R1458" s="5" t="inlineStr"/>
      <c r="S1458" s="5" t="inlineStr"/>
      <c r="T1458" s="5" t="inlineStr"/>
      <c r="U1458" s="5" t="inlineStr"/>
      <c r="V1458" s="5" t="inlineStr"/>
      <c r="W1458" s="5" t="inlineStr"/>
      <c r="X1458" s="5" t="inlineStr"/>
      <c r="Y1458" s="5" t="inlineStr"/>
      <c r="Z1458" s="6" t="inlineStr"/>
      <c r="AA1458" s="5" t="inlineStr"/>
      <c r="AB1458" s="5" t="inlineStr"/>
      <c r="AC1458" s="5" t="inlineStr"/>
      <c r="AD1458" s="5" t="inlineStr"/>
      <c r="AE1458" s="5" t="inlineStr"/>
      <c r="AF1458" s="5" t="inlineStr"/>
      <c r="AG1458" s="5" t="inlineStr"/>
      <c r="AH1458" s="5" t="inlineStr"/>
      <c r="AI1458" s="5" t="inlineStr"/>
      <c r="AJ1458" s="5" t="inlineStr"/>
    </row>
    <row r="1459">
      <c r="A1459" s="5" t="inlineStr">
        <is>
          <t>b8-hekim-aile-grubu</t>
        </is>
      </c>
      <c r="B1459" s="5" t="n">
        <v>2</v>
      </c>
      <c r="C1459" s="6" t="inlineStr">
        <is>
          <t>Haftalık soru-cevap saati aç</t>
        </is>
      </c>
      <c r="D1459" s="5" t="inlineStr">
        <is>
          <t>Çene</t>
        </is>
      </c>
      <c r="E1459" s="5" t="inlineStr">
        <is>
          <t>Orta</t>
        </is>
      </c>
      <c r="F1459" s="5" t="inlineStr"/>
      <c r="G1459" s="6" t="inlineStr"/>
      <c r="H1459" s="6" t="inlineStr">
        <is>
          <t>Her pazar akşamı bir saat soru-cevap açtın; gerisi yasak. Grup kurala uydu. Pazar akşamları aile artık seni dinlemek için toplanıyor.</t>
        </is>
      </c>
      <c r="I1459" s="6" t="inlineStr">
        <is>
          <t>Pazar saati sevildi: yengenin komşusu, kuzenin kayınpederi, eniştenin berberi de gruba katıldı. Pazar akşamı dokuzda kimse dizi açmıyor; herkes telefonun başında seni bekliyor.</t>
        </is>
      </c>
      <c r="J1459" s="6" t="inlineStr">
        <is>
          <t>Soru-cevap saati açtın; sorular saat dışında da geldi, bu sefer “Saatin dışında ama...” diye başlayarak.</t>
        </is>
      </c>
      <c r="K1459" s="6" t="inlineStr">
        <is>
          <t>İlk soru-cevap saatinde kırk kişi aynı anda yazdı; telefonun ısındı, kapandı. Grupta üç saat “Doktora bir şey oldu” paniği yaşandı. Halan ambulans çağırmış; adresi senin hastanen.</t>
        </is>
      </c>
      <c r="L1459" s="6" t="inlineStr"/>
      <c r="M1459" s="5" t="inlineStr"/>
      <c r="N1459" s="5" t="inlineStr"/>
      <c r="O1459" s="6" t="inlineStr"/>
      <c r="P1459" s="6" t="inlineStr"/>
      <c r="Q1459" s="5" t="inlineStr"/>
      <c r="R1459" s="5" t="inlineStr"/>
      <c r="S1459" s="5" t="inlineStr"/>
      <c r="T1459" s="5" t="inlineStr"/>
      <c r="U1459" s="5" t="inlineStr"/>
      <c r="V1459" s="5" t="inlineStr"/>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c r="AI1459" s="5" t="inlineStr"/>
      <c r="AJ1459" s="5" t="inlineStr"/>
    </row>
    <row r="1460">
      <c r="A1460" s="5" t="inlineStr">
        <is>
          <t>b8-hekim-aile-grubu</t>
        </is>
      </c>
      <c r="B1460" s="5" t="n">
        <v>3</v>
      </c>
      <c r="C1460" s="6" t="inlineStr">
        <is>
          <t>Aile grubuna da sözcü seç</t>
        </is>
      </c>
      <c r="D1460" s="5" t="inlineStr">
        <is>
          <t>Sosyal Radar</t>
        </is>
      </c>
      <c r="E1460" s="5" t="inlineStr">
        <is>
          <t>Kolay</t>
        </is>
      </c>
      <c r="F1460" s="5" t="inlineStr"/>
      <c r="G1460" s="6" t="inlineStr"/>
      <c r="H1460" s="6" t="inlineStr">
        <is>
          <t>Hastanedeki sözcü usulünü aileye uyguladın: sorular önce kuzenine gidiyor, o süzüp sana getiriyor. Günde yüz mesaj, üçe indi.</t>
        </is>
      </c>
      <c r="I1460" s="6" t="inlineStr">
        <is>
          <t>Kuzenin sözcülükte öyle ustalaştı ki artık yarı doktor gibi konuşuyor. Aile ona soruyor, o sana; sen de sonunda uyuyorsun.</t>
        </is>
      </c>
      <c r="J1460" s="6" t="inlineStr">
        <is>
          <t>Sözcüyü seçtin; halan yine sana yazdı: “Kuzenine sordum, sen de bir bak.” Artık her soru iki kez geliyor.</t>
        </is>
      </c>
      <c r="K1460" s="6" t="inlineStr">
        <is>
          <t>Sözcü seçtiğin kuzen ilk gün kendi teşhisini koymaya başladı. Şimdi iki doktorlu bir grubunuz var; biri değil.</t>
        </is>
      </c>
      <c r="L1460" s="6" t="inlineStr"/>
      <c r="M1460" s="5" t="inlineStr"/>
      <c r="N1460" s="5" t="inlineStr"/>
      <c r="O1460" s="6" t="inlineStr"/>
      <c r="P1460" s="6" t="inlineStr"/>
      <c r="Q1460" s="5" t="inlineStr"/>
      <c r="R1460" s="5" t="inlineStr">
        <is>
          <t>hekim-sozcu-usulu</t>
        </is>
      </c>
      <c r="S1460" s="5" t="inlineStr"/>
      <c r="T1460" s="5" t="inlineStr"/>
      <c r="U1460" s="5" t="inlineStr"/>
      <c r="V1460" s="5" t="inlineStr"/>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c r="AI1460" s="5" t="inlineStr"/>
      <c r="AJ1460" s="5" t="inlineStr"/>
    </row>
    <row r="1461">
      <c r="A1461" s="5" t="inlineStr">
        <is>
          <t>b8-hekim-aile-grubu</t>
        </is>
      </c>
      <c r="B1461" s="5" t="n">
        <v>4</v>
      </c>
      <c r="C1461" s="6" t="inlineStr">
        <is>
          <t>Grubu sessize al</t>
        </is>
      </c>
      <c r="D1461" s="5" t="inlineStr">
        <is>
          <t>Pişkinlik</t>
        </is>
      </c>
      <c r="E1461" s="5" t="inlineStr">
        <is>
          <t>Zor</t>
        </is>
      </c>
      <c r="F1461" s="5" t="inlineStr"/>
      <c r="G1461" s="6" t="inlineStr"/>
      <c r="H1461" s="6" t="inlineStr">
        <is>
          <t>Grubu sessize aldın. Üç gün kimse fark etmedi; dördüncü gün teyzen hastaneye gelip seni buldu: “Görmüyor musun?” Görmüyordun, rahattın.</t>
        </is>
      </c>
      <c r="I1461" s="6" t="inlineStr">
        <is>
          <t>Sessize aldın ve kimse fark etmedi. Grup kendi kendine bir ay yaşadı; sen sadece bayramda bir mesaj attın, tüm aile duygulandı.</t>
        </is>
      </c>
      <c r="J1461" s="6" t="inlineStr">
        <is>
          <t>Sessize aldın ama bir saat sonra dayanamayıp açtın. Kırk yeni mesaj, biri dizin fotoğrafı.</t>
        </is>
      </c>
      <c r="K1461" s="6" t="inlineStr">
        <is>
          <t>Sessize alırken yanlışlıkla gruptan çıktın. Ekranda tek satır belirdi: “Doktor gruptan ayrıldı.” Yarım saatte annen ağlayarak aradı; bir saat sonra teyzen börekle kapındaydı: “Biz sana ne yaptık?”</t>
        </is>
      </c>
      <c r="L1461" s="6" t="inlineStr"/>
      <c r="M1461" s="5" t="inlineStr"/>
      <c r="N1461" s="5" t="inlineStr"/>
      <c r="O1461" s="6" t="inlineStr"/>
      <c r="P1461" s="6" t="inlineStr"/>
      <c r="Q1461" s="5" t="inlineStr"/>
      <c r="R1461" s="5" t="inlineStr"/>
      <c r="S1461" s="5" t="inlineStr"/>
      <c r="T1461" s="5" t="inlineStr">
        <is>
          <t>Sessize Alma Ustası</t>
        </is>
      </c>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c r="AI1461" s="5" t="inlineStr"/>
      <c r="AJ1461" s="5" t="inlineStr"/>
    </row>
    <row r="1462">
      <c r="A1462" s="5" t="inlineStr">
        <is>
          <t>b9-hekim-son-vizit</t>
        </is>
      </c>
      <c r="B1462" s="5" t="n">
        <v>1</v>
      </c>
      <c r="C1462" s="6" t="inlineStr">
        <is>
          <t>Bir asistana fikrini sor</t>
        </is>
      </c>
      <c r="D1462" s="5" t="inlineStr"/>
      <c r="E1462" s="5" t="inlineStr"/>
      <c r="F1462" s="5" t="inlineStr">
        <is>
          <t>Akıl +1, İtibar +1</t>
        </is>
      </c>
      <c r="G1462" s="6" t="inlineStr">
        <is>
          <t>Bir asistana döndün: “Bu hastada ne düşünüyorsun?” “Emin değilim hocam, bakıp söyleyeceğim” dedi. Gülümsedin; bu da profesör olur.</t>
        </is>
      </c>
      <c r="H1462" s="6" t="inlineStr"/>
      <c r="I1462" s="6" t="inlineStr"/>
      <c r="J1462" s="6" t="inlineStr"/>
      <c r="K1462" s="6" t="inlineStr"/>
      <c r="L1462" s="6" t="inlineStr"/>
      <c r="M1462" s="5" t="inlineStr"/>
      <c r="N1462" s="5" t="inlineStr"/>
      <c r="O1462" s="6" t="inlineStr"/>
      <c r="P1462" s="6" t="inlineStr"/>
      <c r="Q1462" s="5" t="inlineStr"/>
      <c r="R1462" s="5" t="inlineStr"/>
      <c r="S1462" s="5" t="inlineStr"/>
      <c r="T1462" s="5" t="inlineStr"/>
      <c r="U1462" s="5" t="inlineStr"/>
      <c r="V1462" s="5" t="inlineStr"/>
      <c r="W1462" s="5" t="inlineStr"/>
      <c r="X1462" s="5" t="inlineStr"/>
      <c r="Y1462" s="5" t="inlineStr"/>
      <c r="Z1462" s="6" t="inlineStr"/>
      <c r="AA1462" s="5" t="inlineStr"/>
      <c r="AB1462" s="5" t="inlineStr"/>
      <c r="AC1462" s="5" t="inlineStr"/>
      <c r="AD1462" s="5" t="inlineStr"/>
      <c r="AE1462" s="5" t="inlineStr"/>
      <c r="AF1462" s="5" t="inlineStr"/>
      <c r="AG1462" s="5" t="inlineStr"/>
      <c r="AH1462" s="5" t="inlineStr"/>
      <c r="AI1462" s="5" t="inlineStr"/>
      <c r="AJ1462" s="5" t="inlineStr"/>
    </row>
    <row r="1463">
      <c r="A1463" s="5" t="inlineStr">
        <is>
          <t>b9-hekim-son-vizit</t>
        </is>
      </c>
      <c r="B1463" s="5" t="n">
        <v>2</v>
      </c>
      <c r="C1463" s="6" t="inlineStr">
        <is>
          <t>Hastayla uzun uzun sohbet et</t>
        </is>
      </c>
      <c r="D1463" s="5" t="inlineStr">
        <is>
          <t>İtibar</t>
        </is>
      </c>
      <c r="E1463" s="5" t="inlineStr">
        <is>
          <t>Orta</t>
        </is>
      </c>
      <c r="F1463" s="5" t="inlineStr"/>
      <c r="G1463" s="6" t="inlineStr"/>
      <c r="H1463" s="6" t="inlineStr">
        <is>
          <t>Vizit durdu; hastayla torunlarından, bahçesinden konuştun. Asistanlar not aldı; sonra neden not aldıklarını anladılar.</t>
        </is>
      </c>
      <c r="I1463" s="6" t="inlineStr">
        <is>
          <t>Hasta seni bahçesine davet etti, asistanları da. Taburcu olduğu pazar yirmi bir kişi bir bahçede kiraz topladı; hasta en tepedeydi.</t>
        </is>
      </c>
      <c r="J1463" s="6" t="inlineStr">
        <is>
          <t>Sohbete başladın; hasta uykuya daldı. Asistanlar sessizce bekledi. Son vizit en sessiz vizitin oldu.</t>
        </is>
      </c>
      <c r="K1463" s="6" t="inlineStr">
        <is>
          <t>Hastaya hayatını anlattın, sonra kendi hayatını. Hasta sonunda sana “Siz iyi misiniz hocam?” diye sordu.</t>
        </is>
      </c>
      <c r="L1463" s="6" t="inlineStr"/>
      <c r="M1463" s="5" t="inlineStr"/>
      <c r="N1463" s="5" t="inlineStr"/>
      <c r="O1463" s="6" t="inlineStr"/>
      <c r="P1463" s="6" t="inlineStr"/>
      <c r="Q1463" s="5" t="inlineStr"/>
      <c r="R1463" s="5" t="inlineStr"/>
      <c r="S1463" s="5" t="inlineStr"/>
      <c r="T1463" s="5" t="inlineStr"/>
      <c r="U1463" s="5" t="inlineStr"/>
      <c r="V1463" s="5" t="inlineStr"/>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c r="AI1463" s="5" t="inlineStr"/>
      <c r="AJ1463" s="5" t="inlineStr"/>
    </row>
    <row r="1464">
      <c r="A1464" s="5" t="inlineStr">
        <is>
          <t>b9-hekim-son-vizit</t>
        </is>
      </c>
      <c r="B1464" s="5" t="n">
        <v>3</v>
      </c>
      <c r="C1464" s="6" t="inlineStr">
        <is>
          <t>Son bir zor vakayı çöz</t>
        </is>
      </c>
      <c r="D1464" s="5" t="inlineStr">
        <is>
          <t>Akıl</t>
        </is>
      </c>
      <c r="E1464" s="5" t="inlineStr">
        <is>
          <t>Zor</t>
        </is>
      </c>
      <c r="F1464" s="5" t="inlineStr"/>
      <c r="G1464" s="6" t="inlineStr"/>
      <c r="H1464" s="6" t="inlineStr">
        <is>
          <t>Kimsenin çözemediği bir vakayı yatak başında on dakikada bağladın. Asistanlar alkışlamak istedi; hastanede alkış olmaz, yerlerinde kıpırdandılar.</t>
        </is>
      </c>
      <c r="I1464" s="6" t="inlineStr">
        <is>
          <t>Vakayı çözdün, hasta ertesi hafta taburcu oldu. Olgu sunumu asistanların ilk makalesi oldu; teşekkür kısmı bir sayfa.</t>
        </is>
      </c>
      <c r="J1464" s="6" t="inlineStr">
        <is>
          <t>Vakayı çözemedin; bir asistan çözdü. Onu tebrik ettin. İçinden de biraz kendini.</t>
        </is>
      </c>
      <c r="K1464" s="6" t="inlineStr">
        <is>
          <t>Vakayı çözerken eski bir bilgiyi yeni sandın. En genç asistan nazikçe düzeltti. Emekliliğin tam vaktinde geldi.</t>
        </is>
      </c>
      <c r="L1464" s="6" t="inlineStr"/>
      <c r="M1464" s="5" t="inlineStr"/>
      <c r="N1464" s="5" t="inlineStr"/>
      <c r="O1464" s="6" t="inlineStr"/>
      <c r="P1464" s="6" t="inlineStr"/>
      <c r="Q1464" s="5" t="inlineStr"/>
      <c r="R1464" s="5" t="inlineStr"/>
      <c r="S1464" s="5" t="inlineStr"/>
      <c r="T1464" s="5" t="inlineStr">
        <is>
          <t>Ukala Ama Haklı</t>
        </is>
      </c>
      <c r="U1464" s="5" t="inlineStr"/>
      <c r="V1464" s="5" t="inlineStr"/>
      <c r="W1464" s="5" t="inlineStr"/>
      <c r="X1464" s="5" t="inlineStr"/>
      <c r="Y1464" s="5" t="inlineStr"/>
      <c r="Z1464" s="6" t="inlineStr"/>
      <c r="AA1464" s="5" t="inlineStr"/>
      <c r="AB1464" s="5" t="inlineStr"/>
      <c r="AC1464" s="5" t="inlineStr"/>
      <c r="AD1464" s="5" t="inlineStr"/>
      <c r="AE1464" s="5" t="inlineStr"/>
      <c r="AF1464" s="5" t="inlineStr"/>
      <c r="AG1464" s="5" t="inlineStr"/>
      <c r="AH1464" s="5" t="inlineStr"/>
      <c r="AI1464" s="5" t="inlineStr"/>
      <c r="AJ1464" s="5" t="inlineStr"/>
    </row>
    <row r="1465">
      <c r="A1465" s="5" t="inlineStr">
        <is>
          <t>k10-polis</t>
        </is>
      </c>
      <c r="B1465" s="5" t="n">
        <v>1</v>
      </c>
      <c r="C1465" s="6" t="inlineStr">
        <is>
          <t>Zarfı reddet</t>
        </is>
      </c>
      <c r="D1465" s="5" t="inlineStr"/>
      <c r="E1465" s="5" t="inlineStr"/>
      <c r="F1465" s="5" t="inlineStr">
        <is>
          <t>İtibar +1, Cesaret +1</t>
        </is>
      </c>
      <c r="G1465" s="6" t="inlineStr">
        <is>
          <t>Zarfı fincanla birlikte adama geri yolladın, üstüne tutanak tuttun. Çaycı fincanı geri götürürken fısıldadı: “Bu karakolda çok çay taşıdım, zarfı ilk kez geri taşıyorum.”</t>
        </is>
      </c>
      <c r="H1465" s="6" t="inlineStr"/>
      <c r="I1465" s="6" t="inlineStr"/>
      <c r="J1465" s="6" t="inlineStr"/>
      <c r="K1465" s="6" t="inlineStr"/>
      <c r="L1465" s="6" t="inlineStr"/>
      <c r="M1465" s="5" t="inlineStr"/>
      <c r="N1465" s="5" t="inlineStr"/>
      <c r="O1465" s="6" t="inlineStr"/>
      <c r="P1465" s="6" t="inlineStr"/>
      <c r="Q1465" s="5" t="inlineStr"/>
      <c r="R1465" s="5" t="inlineStr"/>
      <c r="S1465" s="5" t="inlineStr"/>
      <c r="T1465" s="5" t="inlineStr"/>
      <c r="U1465" s="5" t="inlineStr"/>
      <c r="V1465" s="5" t="inlineStr"/>
      <c r="W1465" s="5" t="inlineStr"/>
      <c r="X1465" s="5" t="inlineStr"/>
      <c r="Y1465" s="5" t="inlineStr"/>
      <c r="Z1465" s="6" t="inlineStr"/>
      <c r="AA1465" s="5" t="inlineStr"/>
      <c r="AB1465" s="5" t="inlineStr"/>
      <c r="AC1465" s="5" t="inlineStr"/>
      <c r="AD1465" s="5" t="inlineStr"/>
      <c r="AE1465" s="5" t="inlineStr"/>
      <c r="AF1465" s="5" t="inlineStr"/>
      <c r="AG1465" s="5" t="inlineStr"/>
      <c r="AH1465" s="5" t="inlineStr"/>
      <c r="AI1465" s="5" t="inlineStr"/>
      <c r="AJ1465" s="5" t="inlineStr"/>
    </row>
    <row r="1466">
      <c r="A1466" s="5" t="inlineStr">
        <is>
          <t>k10-polis</t>
        </is>
      </c>
      <c r="B1466" s="5" t="n">
        <v>2</v>
      </c>
      <c r="C1466" s="6" t="inlineStr">
        <is>
          <t>Zarfı al</t>
        </is>
      </c>
      <c r="D1466" s="5" t="inlineStr">
        <is>
          <t>Kurnazlık</t>
        </is>
      </c>
      <c r="E1466" s="5" t="inlineStr">
        <is>
          <t>Zor</t>
        </is>
      </c>
      <c r="F1466" s="5" t="inlineStr"/>
      <c r="G1466" s="6" t="inlineStr"/>
      <c r="H1466" s="6" t="inlineStr">
        <is>
          <t>Zarfı çekmeceye koydun, dosya yavaşladı, kimse bir şey sormadı. Evde yeni bir koltuk var; oturunca biraz batıyor.</t>
        </is>
      </c>
      <c r="I1466" s="6" t="inlineStr">
        <is>
          <t>Zarf sessizce geldi, sessizce eridi; müteahhit bile unuttu. Hayatın rahat. Vicdanın ara sıra kapıyı çalıyor, açmıyorsun.</t>
        </is>
      </c>
      <c r="J1466" s="6" t="inlineStr">
        <is>
          <t>Zarfı koyduğun çekmece, iç denetimin o hafta açtığı ilk çekmeceymiş. Nezarethaneyi bu sefer içeriden gördün.</t>
        </is>
      </c>
      <c r="K1466" s="6" t="inlineStr">
        <is>
          <t>Zarfı sayarken kamera açıktı; kamerayı sen taktırmıştın, geçen yıl. Dava kısa sürdü, ceza uzun.</t>
        </is>
      </c>
      <c r="L1466" s="6" t="inlineStr"/>
      <c r="M1466" s="5" t="inlineStr"/>
      <c r="N1466" s="5" t="inlineStr"/>
      <c r="O1466" s="6" t="inlineStr"/>
      <c r="P1466" s="6" t="inlineStr"/>
      <c r="Q1466" s="5" t="inlineStr"/>
      <c r="R1466" s="5" t="inlineStr"/>
      <c r="S1466" s="5" t="inlineStr"/>
      <c r="T1466" s="5" t="inlineStr"/>
      <c r="U1466" s="5" t="inlineStr"/>
      <c r="V1466" s="5" t="inlineStr">
        <is>
          <t>zarf-aldi</t>
        </is>
      </c>
      <c r="W1466" s="5" t="inlineStr"/>
      <c r="X1466" s="5" t="inlineStr"/>
      <c r="Y1466" s="5" t="inlineStr"/>
      <c r="Z1466" s="6" t="inlineStr"/>
      <c r="AA1466" s="5" t="inlineStr"/>
      <c r="AB1466" s="5" t="inlineStr">
        <is>
          <t>hapis</t>
        </is>
      </c>
      <c r="AC1466" s="5" t="inlineStr"/>
      <c r="AD1466" s="5" t="inlineStr">
        <is>
          <t>Rahat</t>
        </is>
      </c>
      <c r="AE1466" s="5" t="inlineStr"/>
      <c r="AF1466" s="5" t="inlineStr"/>
      <c r="AG1466" s="5" t="inlineStr"/>
      <c r="AH1466" s="5" t="inlineStr"/>
      <c r="AI1466" s="5" t="inlineStr"/>
      <c r="AJ1466" s="5" t="inlineStr"/>
    </row>
    <row r="1467">
      <c r="A1467" s="5" t="inlineStr">
        <is>
          <t>k10-polis</t>
        </is>
      </c>
      <c r="B1467" s="5" t="n">
        <v>3</v>
      </c>
      <c r="C1467" s="6" t="inlineStr">
        <is>
          <t>Karşı tarafa geç</t>
        </is>
      </c>
      <c r="D1467" s="5" t="inlineStr">
        <is>
          <t>Kurnazlık</t>
        </is>
      </c>
      <c r="E1467" s="5" t="inlineStr">
        <is>
          <t>Zor</t>
        </is>
      </c>
      <c r="F1467" s="5" t="inlineStr"/>
      <c r="G1467" s="6" t="inlineStr"/>
      <c r="H1467" s="6" t="inlineStr">
        <is>
          <t>Zarfı değil, teklifin tamamını aldın: rozeti bırakıp müteahhidin “güvenlik danışmanı” oldun. Maaş üç katı; eski ekibin selamı kesti.</t>
        </is>
      </c>
      <c r="I1467" s="6" t="inlineStr">
        <is>
          <t>Rozeti bıraktın, müteahhidin sağ kolu oldun. Arabalar, ofis, adını fısıldayan adamlar. Annen telefonu açmıyor.</t>
        </is>
      </c>
      <c r="J1467" s="6" t="inlineStr">
        <is>
          <t>İstifa dilekçeni yazdın ama müteahhidin adamı ortadan kayboldu. Rozet hâlâ sende; artık her adımını bir üst makam izliyor.</t>
        </is>
      </c>
      <c r="K1467" s="6" t="inlineStr">
        <is>
          <t>Müteahhidin adamı numaranı telefonuna “Karakol – Zarf” diye kaydetmiş. Telefon iç denetimin elinde açıldı. İstifan kabul edilmedi; çayını artık amirin getiriyor, gözünü senden ayırmadan.</t>
        </is>
      </c>
      <c r="L1467" s="6" t="inlineStr"/>
      <c r="M1467" s="5" t="inlineStr"/>
      <c r="N1467" s="5" t="inlineStr"/>
      <c r="O1467" s="6" t="inlineStr"/>
      <c r="P1467" s="6" t="inlineStr"/>
      <c r="Q1467" s="5" t="inlineStr"/>
      <c r="R1467" s="5" t="inlineStr"/>
      <c r="S1467" s="5" t="inlineStr"/>
      <c r="T1467" s="5" t="inlineStr"/>
      <c r="U1467" s="5" t="inlineStr"/>
      <c r="V1467" s="5" t="inlineStr">
        <is>
          <t>-hat-dolandirici, -hat-girisimci, -hat-goc, -hat-hekim, -hat-koy, -hat-polis, -hat-politika, -hat-sohret, -hat-usta, -hat-yargi, -meslek-beyazyaka, -meslek-memur, -meslek-serbest, hat-cete, meslek-esnaf</t>
        </is>
      </c>
      <c r="W1467" s="5" t="inlineStr"/>
      <c r="X1467" s="5" t="inlineStr"/>
      <c r="Y1467" s="5" t="inlineStr"/>
      <c r="Z1467" s="6" t="inlineStr"/>
      <c r="AA1467" s="5" t="inlineStr">
        <is>
          <t>hepsi -1</t>
        </is>
      </c>
      <c r="AB1467" s="5" t="inlineStr">
        <is>
          <t>polis-gozetim</t>
        </is>
      </c>
      <c r="AC1467" s="5" t="inlineStr"/>
      <c r="AD1467" s="5" t="inlineStr">
        <is>
          <t>Rahat</t>
        </is>
      </c>
      <c r="AE1467" s="5" t="inlineStr"/>
      <c r="AF1467" s="5" t="inlineStr"/>
      <c r="AG1467" s="5" t="inlineStr"/>
      <c r="AH1467" s="5" t="inlineStr"/>
      <c r="AI1467" s="5" t="inlineStr"/>
      <c r="AJ1467" s="5" t="inlineStr"/>
    </row>
    <row r="1468">
      <c r="A1468" s="5" t="inlineStr">
        <is>
          <t>k10-polis</t>
        </is>
      </c>
      <c r="B1468" s="5" t="n">
        <v>4</v>
      </c>
      <c r="C1468" s="6" t="inlineStr">
        <is>
          <t>İhbar et</t>
        </is>
      </c>
      <c r="D1468" s="5" t="inlineStr">
        <is>
          <t>Cesaret</t>
        </is>
      </c>
      <c r="E1468" s="5" t="inlineStr">
        <is>
          <t>Zor</t>
        </is>
      </c>
      <c r="F1468" s="5" t="inlineStr"/>
      <c r="G1468" s="6" t="inlineStr"/>
      <c r="H1468" s="6" t="inlineStr">
        <is>
          <t>Zarfı delil torbasına koyup başsavcılığa götürdün. Müteahhit, üç memur ve bir fincan gözaltında. Haberlerde adın geçti; ertesi gün bir parti kapını çaldı: “Aday olur musun?”</t>
        </is>
      </c>
      <c r="I1468" s="6" t="inlineStr">
        <is>
          <t>Haberlerde yüzün, karakolun önünde kalabalık. Bir parti seni listenin başına yazdı. Rozetini çerçeveletip salona astın; annen misafirlere önce onu gösteriyor, sonra seni.</t>
        </is>
      </c>
      <c r="J1468" s="6" t="inlineStr">
        <is>
          <t>İhbar ettin; dosya bir masadan öbürüne, sonra hiçbir masaya gitti. Bir ay sonra tayinin çıktı: haritada ilk kez gördüğün bir ilçe. Rozet hâlâ sende.</t>
        </is>
      </c>
      <c r="K1468" s="6" t="inlineStr">
        <is>
          <t>İhbarın ertesi günü müteahhidin kuzeni amirin oldu. Tayinin uzak bir dağ ilçesine; karakolun tek aracı bir traktör.</t>
        </is>
      </c>
      <c r="L1468" s="6" t="inlineStr"/>
      <c r="M1468" s="5" t="inlineStr"/>
      <c r="N1468" s="5" t="inlineStr"/>
      <c r="O1468" s="6" t="inlineStr"/>
      <c r="P1468" s="6" t="inlineStr"/>
      <c r="Q1468" s="5" t="inlineStr"/>
      <c r="R1468" s="5" t="inlineStr"/>
      <c r="S1468" s="5" t="inlineStr"/>
      <c r="T1468" s="5" t="inlineStr"/>
      <c r="U1468" s="5" t="inlineStr"/>
      <c r="V1468" s="5" t="inlineStr">
        <is>
          <t>-hat-cete, -hat-dolandirici, -hat-girisimci, -hat-goc, -hat-hekim, -hat-koy, -hat-polis, -hat-sohret, -hat-usta, -hat-yargi, -meslek-beyazyaka, -meslek-esnaf, -meslek-memur, -meslek-serbest, hat-politika</t>
        </is>
      </c>
      <c r="W1468" s="5" t="inlineStr"/>
      <c r="X1468" s="5" t="inlineStr"/>
      <c r="Y1468" s="5" t="inlineStr"/>
      <c r="Z1468" s="6" t="inlineStr"/>
      <c r="AA1468" s="5" t="inlineStr"/>
      <c r="AB1468" s="5" t="inlineStr">
        <is>
          <t>polis-surgun</t>
        </is>
      </c>
      <c r="AC1468" s="5" t="inlineStr"/>
      <c r="AD1468" s="5" t="inlineStr"/>
      <c r="AE1468" s="5" t="inlineStr"/>
      <c r="AF1468" s="5" t="inlineStr"/>
      <c r="AG1468" s="5" t="inlineStr"/>
      <c r="AH1468" s="5" t="inlineStr">
        <is>
          <t>Cesaret 32</t>
        </is>
      </c>
      <c r="AI1468" s="5" t="inlineStr"/>
      <c r="AJ1468" s="5" t="inlineStr"/>
    </row>
    <row r="1469">
      <c r="A1469" s="5" t="inlineStr">
        <is>
          <t>k10-yargi</t>
        </is>
      </c>
      <c r="B1469" s="5" t="n">
        <v>1</v>
      </c>
      <c r="C1469" s="6" t="inlineStr">
        <is>
          <t>Dosyaya göre karar ver</t>
        </is>
      </c>
      <c r="D1469" s="5" t="inlineStr"/>
      <c r="E1469" s="5" t="inlineStr"/>
      <c r="F1469" s="5" t="inlineStr">
        <is>
          <t>Akıl +1, İtibar +1</t>
        </is>
      </c>
      <c r="G1469" s="6" t="inlineStr">
        <is>
          <t>Dosyayı okudun, bilirkişiyi dinledin, kararı verdin: çınar da park da kalıyor. Telefonun bir hafta çaldı, sonra sustu. Ay sonunda adliyeye bir zarf geldi: parktaki çocukların resmi. Kocaman bir ağaç, altında cübbeli biri.</t>
        </is>
      </c>
      <c r="H1469" s="6" t="inlineStr"/>
      <c r="I1469" s="6" t="inlineStr"/>
      <c r="J1469" s="6" t="inlineStr"/>
      <c r="K1469" s="6" t="inlineStr"/>
      <c r="L1469" s="6" t="inlineStr"/>
      <c r="M1469" s="5" t="inlineStr"/>
      <c r="N1469" s="5" t="inlineStr"/>
      <c r="O1469" s="6" t="inlineStr"/>
      <c r="P1469" s="6" t="inlineStr"/>
      <c r="Q1469" s="5" t="inlineStr"/>
      <c r="R1469" s="5" t="inlineStr"/>
      <c r="S1469" s="5" t="inlineStr"/>
      <c r="T1469" s="5" t="inlineStr"/>
      <c r="U1469" s="5" t="inlineStr"/>
      <c r="V1469" s="5" t="inlineStr"/>
      <c r="W1469" s="5" t="inlineStr"/>
      <c r="X1469" s="5" t="inlineStr"/>
      <c r="Y1469" s="5" t="inlineStr"/>
      <c r="Z1469" s="6" t="inlineStr"/>
      <c r="AA1469" s="5" t="inlineStr"/>
      <c r="AB1469" s="5" t="inlineStr"/>
      <c r="AC1469" s="5" t="inlineStr"/>
      <c r="AD1469" s="5" t="inlineStr"/>
      <c r="AE1469" s="5" t="inlineStr"/>
      <c r="AF1469" s="5" t="inlineStr"/>
      <c r="AG1469" s="5" t="inlineStr"/>
      <c r="AH1469" s="5" t="inlineStr"/>
      <c r="AI1469" s="5" t="inlineStr"/>
      <c r="AJ1469" s="5" t="inlineStr"/>
    </row>
    <row r="1470">
      <c r="A1470" s="5" t="inlineStr">
        <is>
          <t>k10-yargi</t>
        </is>
      </c>
      <c r="B1470" s="5" t="n">
        <v>2</v>
      </c>
      <c r="C1470" s="6" t="inlineStr">
        <is>
          <t>Baskıya boyun eğ</t>
        </is>
      </c>
      <c r="D1470" s="5" t="inlineStr">
        <is>
          <t>Kurnazlık</t>
        </is>
      </c>
      <c r="E1470" s="5" t="inlineStr">
        <is>
          <t>Zor</t>
        </is>
      </c>
      <c r="F1470" s="5" t="inlineStr"/>
      <c r="G1470" s="6" t="inlineStr"/>
      <c r="H1470" s="6" t="inlineStr">
        <is>
          <t>Kararı istedikleri gibi yazdın, gerekçeyi kimsenin okumayacağı kadar uzattın. Çınar gitti; sana şehir dışında bir yazlık kaldı, kimin adına olduğu belirsiz.</t>
        </is>
      </c>
      <c r="I1470" s="6" t="inlineStr">
        <is>
          <t>Karar sessizce kesinleşti, kimse itiraz etmedi. Yazlığın denize bakıyor. Çınarın yerinde bir otopark; oraya hiç park etmiyorsun.</t>
        </is>
      </c>
      <c r="J1470" s="6" t="inlineStr">
        <is>
          <t>Kararı yazdın; ertesi gün mesajların bir gazetede çıktı. Önce kurul dinledi, sonra savcılık. Cübbe askıda, sen içeride.</t>
        </is>
      </c>
      <c r="K1470" s="6" t="inlineStr">
        <is>
          <t>Mesajları sileyim derken adliyenin ortak grubuna ilettin. Soruşturma bir öğleden sonrada bitti.</t>
        </is>
      </c>
      <c r="L1470" s="6" t="inlineStr"/>
      <c r="M1470" s="5" t="inlineStr"/>
      <c r="N1470" s="5" t="inlineStr"/>
      <c r="O1470" s="6" t="inlineStr"/>
      <c r="P1470" s="6" t="inlineStr"/>
      <c r="Q1470" s="5" t="inlineStr"/>
      <c r="R1470" s="5" t="inlineStr"/>
      <c r="S1470" s="5" t="inlineStr"/>
      <c r="T1470" s="5" t="inlineStr"/>
      <c r="U1470" s="5" t="inlineStr"/>
      <c r="V1470" s="5" t="inlineStr">
        <is>
          <t>yargi-leke</t>
        </is>
      </c>
      <c r="W1470" s="5" t="inlineStr"/>
      <c r="X1470" s="5" t="inlineStr"/>
      <c r="Y1470" s="5" t="inlineStr"/>
      <c r="Z1470" s="6" t="inlineStr"/>
      <c r="AA1470" s="5" t="inlineStr"/>
      <c r="AB1470" s="5" t="inlineStr">
        <is>
          <t>hapis</t>
        </is>
      </c>
      <c r="AC1470" s="5" t="inlineStr"/>
      <c r="AD1470" s="5" t="inlineStr">
        <is>
          <t>Rahat</t>
        </is>
      </c>
      <c r="AE1470" s="5" t="inlineStr"/>
      <c r="AF1470" s="5" t="inlineStr"/>
      <c r="AG1470" s="5" t="inlineStr"/>
      <c r="AH1470" s="5" t="inlineStr"/>
      <c r="AI1470" s="5" t="inlineStr"/>
      <c r="AJ1470" s="5" t="inlineStr"/>
    </row>
    <row r="1471">
      <c r="A1471" s="5" t="inlineStr">
        <is>
          <t>k10-yargi</t>
        </is>
      </c>
      <c r="B1471" s="5" t="n">
        <v>3</v>
      </c>
      <c r="C1471" s="6" t="inlineStr">
        <is>
          <t>Cübbeyi bırak, avukat ol</t>
        </is>
      </c>
      <c r="D1471" s="5" t="inlineStr">
        <is>
          <t>Çene</t>
        </is>
      </c>
      <c r="E1471" s="5" t="inlineStr">
        <is>
          <t>Orta</t>
        </is>
      </c>
      <c r="F1471" s="5" t="inlineStr"/>
      <c r="G1471" s="6" t="inlineStr"/>
      <c r="H1471" s="6" t="inlineStr">
        <is>
          <t>Dosyadan çekilip istifanı verdin, bir hukuk bürosu açtın. İlk müvekkilin çınarı savunan mahalle derneği; ücret bir kasa ceviz. Sonrakiler nakit ödüyor.</t>
        </is>
      </c>
      <c r="I1471" s="6" t="inlineStr">
        <is>
          <t>Büronun kapısında sıra var; hâkimken tanıdığın herkes davasını sana getiriyor. Tabelada “Eski Hâkim” yazıyor; müşteri ona geliyor.</t>
        </is>
      </c>
      <c r="J1471" s="6" t="inlineStr">
        <is>
          <t>İstifa dilekçeni yazdın ama baro kaydın aylarca sürecekti. Dilekçeyi çekmeceye koydun; cübbe hâlâ üstünde.</t>
        </is>
      </c>
      <c r="K1471" s="6" t="inlineStr">
        <is>
          <t>Büro kiraladın, tabela astırdın, istifa dilekçesini vermeyi unuttun. Hâkimken avukat tabelası asmanın bir disiplin cezası varmış. Tabela indi, sen kaldın.</t>
        </is>
      </c>
      <c r="L1471" s="6" t="inlineStr"/>
      <c r="M1471" s="5" t="inlineStr"/>
      <c r="N1471" s="5" t="inlineStr"/>
      <c r="O1471" s="6" t="inlineStr"/>
      <c r="P1471" s="6" t="inlineStr"/>
      <c r="Q1471" s="5" t="inlineStr"/>
      <c r="R1471" s="5" t="inlineStr"/>
      <c r="S1471" s="5" t="inlineStr"/>
      <c r="T1471" s="5" t="inlineStr"/>
      <c r="U1471" s="5" t="inlineStr"/>
      <c r="V1471" s="5" t="inlineStr">
        <is>
          <t>-hat-cete, -hat-dolandirici, -hat-girisimci, -hat-goc, -hat-hekim, -hat-koy, -hat-polis, -hat-politika, -hat-sohret, -hat-usta, -hat-yargi, -meslek-esnaf, -meslek-memur, -meslek-serbest, meslek-beyazyaka</t>
        </is>
      </c>
      <c r="W1471" s="5" t="inlineStr"/>
      <c r="X1471" s="5" t="inlineStr"/>
      <c r="Y1471" s="5" t="inlineStr"/>
      <c r="Z1471" s="6" t="inlineStr"/>
      <c r="AA1471" s="5" t="inlineStr"/>
      <c r="AB1471" s="5" t="inlineStr"/>
      <c r="AC1471" s="5" t="inlineStr"/>
      <c r="AD1471" s="5" t="inlineStr">
        <is>
          <t>Rahat</t>
        </is>
      </c>
      <c r="AE1471" s="5" t="inlineStr"/>
      <c r="AF1471" s="5" t="inlineStr"/>
      <c r="AG1471" s="5" t="inlineStr"/>
      <c r="AH1471" s="5" t="inlineStr">
        <is>
          <t>Çene 38</t>
        </is>
      </c>
      <c r="AI1471" s="5" t="inlineStr"/>
      <c r="AJ1471" s="5" t="inlineStr"/>
    </row>
    <row r="1472">
      <c r="A1472" s="5" t="inlineStr">
        <is>
          <t>k10-yargi</t>
        </is>
      </c>
      <c r="B1472" s="5" t="n">
        <v>4</v>
      </c>
      <c r="C1472" s="6" t="inlineStr">
        <is>
          <t>Siyasete atıl</t>
        </is>
      </c>
      <c r="D1472" s="5" t="inlineStr">
        <is>
          <t>Çene</t>
        </is>
      </c>
      <c r="E1472" s="5" t="inlineStr">
        <is>
          <t>Zor</t>
        </is>
      </c>
      <c r="F1472" s="5" t="inlineStr"/>
      <c r="G1472" s="6" t="inlineStr"/>
      <c r="H1472" s="6" t="inlineStr">
        <is>
          <t>Çınar kararını verdin, ertesi gün cübbeni astın. Mahalle seni omuzlarda taşıdı, bir parti de listesinin başına. Makarya Meclisi'nin kapısı aralandı.</t>
        </is>
      </c>
      <c r="I1472" s="6" t="inlineStr">
        <is>
          <t>“Çınarı Kurtaran Hâkim” diye afişlere çıktın. Parti seni aday yaptı, anketler seni ilk sıraya yazdı. Cübbe dolapta, naftalinle.</t>
        </is>
      </c>
      <c r="J1472" s="6" t="inlineStr">
        <is>
          <t>Parti seni aday yapmayı düşündü, bir anket yaptı, düşünmekten vazgeçti. Cübbe hâlâ üstünde, çınar hâlâ yerinde.</t>
        </is>
      </c>
      <c r="K1472" s="6" t="inlineStr">
        <is>
          <t>Adaylık konuşmanı adliye merdivenlerinde yaptın; kurul da dinledi. Aday olamadın; iki ay maaş kesintisiyle cübbeye döndün.</t>
        </is>
      </c>
      <c r="L1472" s="6" t="inlineStr"/>
      <c r="M1472" s="5" t="inlineStr"/>
      <c r="N1472" s="5" t="inlineStr"/>
      <c r="O1472" s="6" t="inlineStr"/>
      <c r="P1472" s="6" t="inlineStr"/>
      <c r="Q1472" s="5" t="inlineStr"/>
      <c r="R1472" s="5" t="inlineStr"/>
      <c r="S1472" s="5" t="inlineStr"/>
      <c r="T1472" s="5" t="inlineStr"/>
      <c r="U1472" s="5" t="inlineStr"/>
      <c r="V1472" s="5" t="inlineStr">
        <is>
          <t>-hat-cete, -hat-dolandirici, -hat-girisimci, -hat-goc, -hat-hekim, -hat-koy, -hat-polis, -hat-sohret, -hat-usta, -hat-yargi, -meslek-beyazyaka, -meslek-esnaf, -meslek-memur, -meslek-serbest, hat-politika</t>
        </is>
      </c>
      <c r="W1472" s="5" t="inlineStr"/>
      <c r="X1472" s="5" t="inlineStr"/>
      <c r="Y1472" s="5" t="inlineStr"/>
      <c r="Z1472" s="6" t="inlineStr"/>
      <c r="AA1472" s="5" t="inlineStr"/>
      <c r="AB1472" s="5" t="inlineStr"/>
      <c r="AC1472" s="5" t="inlineStr"/>
      <c r="AD1472" s="5" t="inlineStr"/>
      <c r="AE1472" s="5" t="inlineStr"/>
      <c r="AF1472" s="5" t="inlineStr"/>
      <c r="AG1472" s="5" t="inlineStr"/>
      <c r="AH1472" s="5" t="inlineStr">
        <is>
          <t>Çene 42</t>
        </is>
      </c>
      <c r="AI1472" s="5" t="inlineStr"/>
      <c r="AJ1472" s="5" t="inlineStr"/>
    </row>
    <row r="1473">
      <c r="A1473" s="5" t="inlineStr">
        <is>
          <t>k10-hekim</t>
        </is>
      </c>
      <c r="B1473" s="5" t="n">
        <v>1</v>
      </c>
      <c r="C1473" s="6" t="inlineStr">
        <is>
          <t>Klinik şefliğine oyna</t>
        </is>
      </c>
      <c r="D1473" s="5" t="inlineStr">
        <is>
          <t>Akıl</t>
        </is>
      </c>
      <c r="E1473" s="5" t="inlineStr">
        <is>
          <t>Zor</t>
        </is>
      </c>
      <c r="F1473" s="5" t="inlineStr"/>
      <c r="G1473" s="6" t="inlineStr"/>
      <c r="H1473" s="6" t="inlineStr">
        <is>
          <t>Sınava üç ay çalıştın: nöbetten sonra, nöbetten önce. Şef oldun; odan pencereli, telefonun susmuyor.</t>
        </is>
      </c>
      <c r="I1473" s="6" t="inlineStr">
        <is>
          <t>Sınavda en yüksek puan senin. İlk gün servis seni alkışla karşıladı; ikinci gün aynı servis sana yirmi dilekçe verdi.</t>
        </is>
      </c>
      <c r="J1473" s="6" t="inlineStr">
        <is>
          <t>Sınavdan iki puanla kaldın. Şef, senden bir yıl sonra uzman olan meslektaşın oldu. Sana çay getirdi, saygıyla.</t>
        </is>
      </c>
      <c r="K1473" s="6" t="inlineStr">
        <is>
          <t>Sınava nöbetten çıkıp girdin, ilk soruda uyuyakaldın. Gözetmen omzuna dokununca refleksle “Serumu tak, tansiyonu ölç” dedin. Salon güldü; kâğıdında yalnızca adın var.</t>
        </is>
      </c>
      <c r="L1473" s="6" t="inlineStr"/>
      <c r="M1473" s="5" t="inlineStr"/>
      <c r="N1473" s="5" t="inlineStr"/>
      <c r="O1473" s="6" t="inlineStr"/>
      <c r="P1473" s="6" t="inlineStr"/>
      <c r="Q1473" s="5" t="inlineStr"/>
      <c r="R1473" s="5" t="inlineStr"/>
      <c r="S1473" s="5" t="inlineStr"/>
      <c r="T1473" s="5" t="inlineStr"/>
      <c r="U1473" s="5" t="inlineStr"/>
      <c r="V1473" s="5" t="inlineStr">
        <is>
          <t>klinik-sefi</t>
        </is>
      </c>
      <c r="W1473" s="5" t="inlineStr"/>
      <c r="X1473" s="5" t="inlineStr"/>
      <c r="Y1473" s="5" t="inlineStr"/>
      <c r="Z1473" s="6" t="inlineStr"/>
      <c r="AA1473" s="5" t="inlineStr"/>
      <c r="AB1473" s="5" t="inlineStr"/>
      <c r="AC1473" s="5" t="inlineStr"/>
      <c r="AD1473" s="5" t="inlineStr">
        <is>
          <t>Rahat</t>
        </is>
      </c>
      <c r="AE1473" s="5" t="inlineStr"/>
      <c r="AF1473" s="5" t="inlineStr"/>
      <c r="AG1473" s="5" t="inlineStr"/>
      <c r="AH1473" s="5" t="inlineStr">
        <is>
          <t>Akıl 36</t>
        </is>
      </c>
      <c r="AI1473" s="5" t="inlineStr"/>
      <c r="AJ1473" s="5" t="inlineStr"/>
    </row>
    <row r="1474">
      <c r="A1474" s="5" t="inlineStr">
        <is>
          <t>k10-hekim</t>
        </is>
      </c>
      <c r="B1474" s="5" t="n">
        <v>2</v>
      </c>
      <c r="C1474" s="6" t="inlineStr">
        <is>
          <t>Kendi kliniğini aç</t>
        </is>
      </c>
      <c r="D1474" s="5" t="inlineStr">
        <is>
          <t>Kurnazlık</t>
        </is>
      </c>
      <c r="E1474" s="5" t="inlineStr">
        <is>
          <t>Zor</t>
        </is>
      </c>
      <c r="F1474" s="5" t="inlineStr"/>
      <c r="G1474" s="6" t="inlineStr"/>
      <c r="H1474" s="6" t="inlineStr">
        <is>
          <t>Yatırımcıyla anlaştın, sözleşmeyi satır satır okudun, tabelayı sen seçtin. Klinik açıldı; bekleme salonunda yedi akraba, hepsi indirim bekliyor.</t>
        </is>
      </c>
      <c r="I1474" s="6" t="inlineStr">
        <is>
          <t>Klinik ilk yılında şube açtı. Hastanedeki eski hocan randevu almak için seni aradı; sekreterin onu bekletti.</t>
        </is>
      </c>
      <c r="J1474" s="6" t="inlineStr">
        <is>
          <t>Yatırımcı sözleşmenin son sayfasında kliniğe kendi köpeğinin adını vermiş. Masadan kalktın; hastanedeki kadron hâlâ senin.</t>
        </is>
      </c>
      <c r="K1474" s="6" t="inlineStr">
        <is>
          <t>Bir imza kalmışken yatırımcı ortadan kayboldu, kiraladığın yer düğün salonu oldu. Hastaneye döndün; nöbet listesi seni bekliyordu.</t>
        </is>
      </c>
      <c r="L1474" s="6" t="inlineStr"/>
      <c r="M1474" s="5" t="inlineStr"/>
      <c r="N1474" s="5" t="inlineStr"/>
      <c r="O1474" s="6" t="inlineStr"/>
      <c r="P1474" s="6" t="inlineStr"/>
      <c r="Q1474" s="5" t="inlineStr"/>
      <c r="R1474" s="5" t="inlineStr"/>
      <c r="S1474" s="5" t="inlineStr"/>
      <c r="T1474" s="5" t="inlineStr"/>
      <c r="U1474" s="5" t="inlineStr"/>
      <c r="V1474" s="5" t="inlineStr">
        <is>
          <t>-hat-cete, -hat-dolandirici, -hat-goc, -hat-hekim, -hat-koy, -hat-polis, -hat-politika, -hat-sohret, -hat-usta, -hat-yargi, -meslek-beyazyaka, -meslek-esnaf, -meslek-memur, hat-girisimci, meslek-serbest</t>
        </is>
      </c>
      <c r="W1474" s="5" t="inlineStr"/>
      <c r="X1474" s="5" t="inlineStr"/>
      <c r="Y1474" s="5" t="inlineStr"/>
      <c r="Z1474" s="6" t="inlineStr"/>
      <c r="AA1474" s="5" t="inlineStr"/>
      <c r="AB1474" s="5" t="inlineStr"/>
      <c r="AC1474" s="5" t="inlineStr">
        <is>
          <t>Orta</t>
        </is>
      </c>
      <c r="AD1474" s="5" t="inlineStr">
        <is>
          <t>Rahat</t>
        </is>
      </c>
      <c r="AE1474" s="5" t="inlineStr"/>
      <c r="AF1474" s="5" t="inlineStr"/>
      <c r="AG1474" s="5" t="inlineStr"/>
      <c r="AH1474" s="5" t="inlineStr"/>
      <c r="AI1474" s="5" t="inlineStr"/>
      <c r="AJ1474" s="5" t="inlineStr"/>
      <c r="AL1474" t="n">
        <v>1</v>
      </c>
    </row>
    <row r="1475">
      <c r="A1475" s="5" t="inlineStr">
        <is>
          <t>k10-hekim</t>
        </is>
      </c>
      <c r="B1475" s="5" t="n">
        <v>3</v>
      </c>
      <c r="C1475" s="6" t="inlineStr">
        <is>
          <t>Televizyon doktoru ol</t>
        </is>
      </c>
      <c r="D1475" s="5" t="inlineStr">
        <is>
          <t>Pişkinlik</t>
        </is>
      </c>
      <c r="E1475" s="5" t="inlineStr">
        <is>
          <t>Zor</t>
        </is>
      </c>
      <c r="F1475" s="5" t="inlineStr"/>
      <c r="G1475" s="6" t="inlineStr"/>
      <c r="H1475" s="6" t="inlineStr">
        <is>
          <t>İlk konukluğunda kameraya baktın, tansiyonu üç cümlede anlattın. Program seni haftada bir değil, her gün istedi. Önlük artık stüdyo askısında.</t>
        </is>
      </c>
      <c r="I1475" s="6" t="inlineStr">
        <is>
          <t>Bir ay sonra kendi programın başladı. Pazarda teyzeler seni ekrandaki gibi selamlıyor, sen de ekrandaki gibi gülümsüyorsun.</t>
        </is>
      </c>
      <c r="J1475" s="6" t="inlineStr">
        <is>
          <t>Canlı yayında sunucu “Hocam, biz de öleceğiz mi?” diye sordu. Dondun. Beş saniye kimse konuşmadı; televizyonda beş saniye bir ömür. Bir daha çağırmadılar.</t>
        </is>
      </c>
      <c r="K1475" s="6" t="inlineStr">
        <is>
          <t>Işıklar altında terledin, pudraladılar, daha çok terledin. Yayın “Terleyen Doktor” diye dolaştı; hastanede hastalar seni oradan tanıyor.</t>
        </is>
      </c>
      <c r="L1475" s="6" t="inlineStr"/>
      <c r="M1475" s="5" t="inlineStr"/>
      <c r="N1475" s="5" t="inlineStr"/>
      <c r="O1475" s="6" t="inlineStr"/>
      <c r="P1475" s="6" t="inlineStr"/>
      <c r="Q1475" s="5" t="inlineStr"/>
      <c r="R1475" s="5" t="inlineStr"/>
      <c r="S1475" s="5" t="inlineStr"/>
      <c r="T1475" s="5" t="inlineStr"/>
      <c r="U1475" s="5" t="inlineStr"/>
      <c r="V1475" s="5" t="inlineStr">
        <is>
          <t>-hat-cete, -hat-dolandirici, -hat-girisimci, -hat-goc, -hat-hekim, -hat-koy, -hat-polis, -hat-politika, -hat-usta, -hat-yargi, -meslek-beyazyaka, -meslek-esnaf, -meslek-memur, hat-sohret, meslek-serbest</t>
        </is>
      </c>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is>
          <t>Pişkinlik 30</t>
        </is>
      </c>
      <c r="AI1475" s="5" t="inlineStr">
        <is>
          <t>Terleyen Doktor</t>
        </is>
      </c>
      <c r="AJ1475" s="5" t="inlineStr"/>
    </row>
    <row r="1476">
      <c r="A1476" s="5" t="inlineStr">
        <is>
          <t>k10-hekim</t>
        </is>
      </c>
      <c r="B1476" s="5" t="n">
        <v>4</v>
      </c>
      <c r="C1476" s="6" t="inlineStr">
        <is>
          <t>Öte Diyar'da hekimlik</t>
        </is>
      </c>
      <c r="D1476" s="5" t="inlineStr">
        <is>
          <t>Akıl</t>
        </is>
      </c>
      <c r="E1476" s="5" t="inlineStr">
        <is>
          <t>Zor</t>
        </is>
      </c>
      <c r="F1476" s="5" t="inlineStr"/>
      <c r="G1476" s="6" t="inlineStr"/>
      <c r="H1476" s="6" t="inlineStr">
        <is>
          <t>Dil, denklik, mülakat: üç kapıyı da geçtin. Öte Diyar'da bir hastanede kimse adını doğru okuyamıyor; maaş bordron ise gayet okunaklı.</t>
        </is>
      </c>
      <c r="I1476" s="6" t="inlineStr">
        <is>
          <t>Öte Diyar'daki hastane seni iki yılda bölüm sorumlusu yaptı. Aile grubu hâlâ diz röntgeni yolluyor; saat farkıyla, gece üçte.</t>
        </is>
      </c>
      <c r="J1476" s="6" t="inlineStr">
        <is>
          <t>Denklik sınavından tek soruyla kaldın. İlan seneye yeniden çıkacak; sen o arada yine burada nöbet tutuyorsun.</t>
        </is>
      </c>
      <c r="K1476" s="6" t="inlineStr">
        <is>
          <t>Sınavda “nöbet” kelimesinin karşılığını aradın; oralarda öyle bir kelime yokmuş. Kâğıt boş kaldı, sen burada kaldın.</t>
        </is>
      </c>
      <c r="L1476" s="6" t="inlineStr"/>
      <c r="M1476" s="5" t="inlineStr"/>
      <c r="N1476" s="5" t="inlineStr"/>
      <c r="O1476" s="6" t="inlineStr"/>
      <c r="P1476" s="6" t="inlineStr"/>
      <c r="Q1476" s="5" t="inlineStr"/>
      <c r="R1476" s="5" t="inlineStr"/>
      <c r="S1476" s="5" t="inlineStr"/>
      <c r="T1476" s="5" t="inlineStr"/>
      <c r="U1476" s="5" t="inlineStr"/>
      <c r="V1476" s="5" t="inlineStr">
        <is>
          <t>-hat-cete, -hat-dolandirici, -hat-girisimci, -hat-hekim, -hat-koy, -hat-polis, -hat-politika, -hat-sohret, -hat-usta, -hat-yargi, -meslek-esnaf, -meslek-memur, -meslek-serbest, hat-goc, meslek-beyazyaka</t>
        </is>
      </c>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c r="AI1476" s="5" t="inlineStr"/>
      <c r="AJ1476" s="5" t="inlineStr"/>
    </row>
    <row r="1477">
      <c r="A1477" s="5" t="inlineStr">
        <is>
          <t>k10-hekim</t>
        </is>
      </c>
      <c r="B1477" s="5" t="n">
        <v>5</v>
      </c>
      <c r="C1477" s="6" t="inlineStr">
        <is>
          <t>Serviste kal, asistanların hocası ol</t>
        </is>
      </c>
      <c r="D1477" s="5" t="inlineStr"/>
      <c r="E1477" s="5" t="inlineStr"/>
      <c r="F1477" s="5" t="inlineStr">
        <is>
          <t>Gönül +1, Dayanıklılık +1</t>
        </is>
      </c>
      <c r="G1477" s="6" t="inlineStr">
        <is>
          <t>Üç teklife de “Sağ olun” dedin. Asistanlar sana “Hocam” demeye başladı; ilk hafta yirmi soru, ikinci hafta yirmi çay. Önlüğün cebinde artık bir hastanın çocuğunun çizdiği resim var.</t>
        </is>
      </c>
      <c r="H1477" s="6" t="inlineStr"/>
      <c r="I1477" s="6" t="inlineStr"/>
      <c r="J1477" s="6" t="inlineStr"/>
      <c r="K1477" s="6" t="inlineStr"/>
      <c r="L1477" s="6" t="inlineStr"/>
      <c r="M1477" s="5" t="inlineStr"/>
      <c r="N1477" s="5" t="inlineStr"/>
      <c r="O1477" s="6" t="inlineStr"/>
      <c r="P1477" s="6" t="inlineStr"/>
      <c r="Q1477" s="5" t="inlineStr"/>
      <c r="R1477" s="5" t="inlineStr"/>
      <c r="S1477" s="5" t="inlineStr"/>
      <c r="T1477" s="5" t="inlineStr"/>
      <c r="U1477" s="5" t="inlineStr"/>
      <c r="V1477" s="5" t="inlineStr"/>
      <c r="W1477" s="5" t="inlineStr"/>
      <c r="X1477" s="5" t="inlineStr"/>
      <c r="Y1477" s="5" t="inlineStr"/>
      <c r="Z1477" s="6" t="inlineStr"/>
      <c r="AA1477" s="5" t="inlineStr"/>
      <c r="AB1477" s="5" t="inlineStr"/>
      <c r="AC1477" s="5" t="inlineStr"/>
      <c r="AD1477" s="5" t="inlineStr"/>
      <c r="AE1477" s="5" t="inlineStr"/>
      <c r="AF1477" s="5" t="inlineStr"/>
      <c r="AG1477" s="5" t="inlineStr"/>
      <c r="AH1477" s="5" t="inlineStr"/>
      <c r="AI1477" s="5" t="inlineStr"/>
      <c r="AJ1477" s="5" t="inlineStr"/>
    </row>
    <row r="1478">
      <c r="A1478" s="5" t="inlineStr">
        <is>
          <t>k10-memur</t>
        </is>
      </c>
      <c r="B1478" s="5" t="n">
        <v>1</v>
      </c>
      <c r="C1478" s="6" t="inlineStr">
        <is>
          <t>Memlekete tayin</t>
        </is>
      </c>
      <c r="D1478" s="5" t="inlineStr"/>
      <c r="E1478" s="5" t="inlineStr"/>
      <c r="F1478" s="5" t="inlineStr">
        <is>
          <t>İtibar +1, Sosyal Radar +1</t>
        </is>
      </c>
      <c r="G1478" s="6" t="inlineStr">
        <is>
          <t>Memleketine döndün. Daire aynı, çay ocağı aynı, müdür ilkokul arkadaşın. İlk gün “Hoş geldin” dedi, ikinci gün çay borcunu hatırlattı.</t>
        </is>
      </c>
      <c r="H1478" s="6" t="inlineStr"/>
      <c r="I1478" s="6" t="inlineStr"/>
      <c r="J1478" s="6" t="inlineStr"/>
      <c r="K1478" s="6" t="inlineStr"/>
      <c r="L1478" s="6" t="inlineStr"/>
      <c r="M1478" s="5" t="inlineStr"/>
      <c r="N1478" s="5" t="inlineStr"/>
      <c r="O1478" s="6" t="inlineStr"/>
      <c r="P1478" s="6" t="inlineStr"/>
      <c r="Q1478" s="5" t="inlineStr"/>
      <c r="R1478" s="5" t="inlineStr"/>
      <c r="S1478" s="5" t="inlineStr"/>
      <c r="T1478" s="5" t="inlineStr"/>
      <c r="U1478" s="5" t="inlineStr"/>
      <c r="V1478" s="5" t="inlineStr"/>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c r="AI1478" s="5" t="inlineStr"/>
      <c r="AJ1478" s="5" t="inlineStr"/>
    </row>
    <row r="1479">
      <c r="A1479" s="5" t="inlineStr">
        <is>
          <t>k10-memur</t>
        </is>
      </c>
      <c r="B1479" s="5" t="n">
        <v>2</v>
      </c>
      <c r="C1479" s="6" t="inlineStr">
        <is>
          <t>Terfiyi seç</t>
        </is>
      </c>
      <c r="D1479" s="5" t="inlineStr">
        <is>
          <t>Akıl</t>
        </is>
      </c>
      <c r="E1479" s="5" t="inlineStr">
        <is>
          <t>Orta</t>
        </is>
      </c>
      <c r="F1479" s="5" t="inlineStr"/>
      <c r="G1479" s="6" t="inlineStr"/>
      <c r="H1479" s="6" t="inlineStr">
        <is>
          <t>Sınavı geçip şube müdürü oldun. Artık bir masan değil bir odan var; odada bir masa, masada başkalarının sana getirdiği kâğıtlar.</t>
        </is>
      </c>
      <c r="I1479" s="6" t="inlineStr">
        <is>
          <t>Sınavı birincilikle geçtin, genel müdürlük seni gözüne kestirdi. Kapında isim tabelası var; harfleri de doğru.</t>
        </is>
      </c>
      <c r="J1479" s="6" t="inlineStr">
        <is>
          <t>Sınavdan bir puanla kaldın. O puanı köy şubesinin mektubunu okurken kaybettiğini düşünüyorsun; köy şubesi biraz daha yaşadı.</t>
        </is>
      </c>
      <c r="K1479" s="6" t="inlineStr">
        <is>
          <t>Sınav salonunu yanlış binada aradın; genel müdürlüğün iki binası varmış. Doğru binaya koşarak girdiğinde gözetmen kâğıtları topluyordu. Seni görünce birini uzattı: “Adını yaz bari, katılmış say.”</t>
        </is>
      </c>
      <c r="L1479" s="6" t="inlineStr"/>
      <c r="M1479" s="5" t="inlineStr"/>
      <c r="N1479" s="5" t="inlineStr"/>
      <c r="O1479" s="6" t="inlineStr"/>
      <c r="P1479" s="6" t="inlineStr"/>
      <c r="Q1479" s="5" t="inlineStr"/>
      <c r="R1479" s="5" t="inlineStr"/>
      <c r="S1479" s="5" t="inlineStr"/>
      <c r="T1479" s="5" t="inlineStr"/>
      <c r="U1479" s="5" t="inlineStr"/>
      <c r="V1479" s="5" t="inlineStr">
        <is>
          <t>memur-terfi</t>
        </is>
      </c>
      <c r="W1479" s="5" t="inlineStr"/>
      <c r="X1479" s="5" t="inlineStr"/>
      <c r="Y1479" s="5" t="inlineStr"/>
      <c r="Z1479" s="6" t="inlineStr"/>
      <c r="AA1479" s="5" t="inlineStr"/>
      <c r="AB1479" s="5" t="inlineStr"/>
      <c r="AC1479" s="5" t="inlineStr"/>
      <c r="AD1479" s="5" t="inlineStr">
        <is>
          <t>Rahat</t>
        </is>
      </c>
      <c r="AE1479" s="5" t="inlineStr"/>
      <c r="AF1479" s="5" t="inlineStr"/>
      <c r="AG1479" s="5" t="inlineStr"/>
      <c r="AH1479" s="5" t="inlineStr">
        <is>
          <t>Akıl 34</t>
        </is>
      </c>
      <c r="AI1479" s="5" t="inlineStr"/>
      <c r="AJ1479" s="5" t="inlineStr"/>
    </row>
    <row r="1480">
      <c r="A1480" s="5" t="inlineStr">
        <is>
          <t>k10-memur</t>
        </is>
      </c>
      <c r="B1480" s="5" t="n">
        <v>3</v>
      </c>
      <c r="C1480" s="6" t="inlineStr">
        <is>
          <t>Köy şubesinde kal</t>
        </is>
      </c>
      <c r="D1480" s="5" t="inlineStr">
        <is>
          <t>İtibar</t>
        </is>
      </c>
      <c r="E1480" s="5" t="inlineStr">
        <is>
          <t>Zor</t>
        </is>
      </c>
      <c r="F1480" s="5" t="inlineStr"/>
      <c r="G1480" s="6" t="inlineStr"/>
      <c r="H1480" s="6" t="inlineStr">
        <is>
          <t>Şube yine de kapandı; sen kapanmadın. Kadroyu bırakıp köyde kaldın. Muhtar sana bir tarla gösterdi: “Memurluk bitti, toprak başladı.”</t>
        </is>
      </c>
      <c r="I1480" s="6" t="inlineStr">
        <is>
          <t>Kadroyu bıraktın, köy seni bağrına bastı. Eski şube binası şimdi kooperatif; müdürü sensin, maaşın domates.</t>
        </is>
      </c>
      <c r="J1480" s="6" t="inlineStr">
        <is>
          <t>Kalmak istedin ama dilekçen üç masada bekledi. Sonunda seni merkeze çektiler. Köyün mektubunu masa camının altına koydun.</t>
        </is>
      </c>
      <c r="K1480" s="6" t="inlineStr">
        <is>
          <t>Kalmak için dilekçe yazdın; köylüler de kırk imza ekledi. Dilekçeyi muhtar götürdü, yanlış müdürlüğe. Sen merkeze atandın; köy şubesinin anahtarı hâlâ cebinde.</t>
        </is>
      </c>
      <c r="L1480" s="6" t="inlineStr"/>
      <c r="M1480" s="5" t="inlineStr"/>
      <c r="N1480" s="5" t="inlineStr"/>
      <c r="O1480" s="6" t="inlineStr"/>
      <c r="P1480" s="6" t="inlineStr"/>
      <c r="Q1480" s="5" t="inlineStr"/>
      <c r="R1480" s="5" t="inlineStr"/>
      <c r="S1480" s="5" t="inlineStr"/>
      <c r="T1480" s="5" t="inlineStr"/>
      <c r="U1480" s="5" t="inlineStr"/>
      <c r="V1480" s="5" t="inlineStr">
        <is>
          <t>-hat-cete, -hat-dolandirici, -hat-girisimci, -hat-goc, -hat-hekim, -hat-polis, -hat-politika, -hat-sohret, -hat-usta, -hat-yargi, -meslek-beyazyaka, -meslek-memur, -meslek-serbest, hat-koy, meslek-esnaf</t>
        </is>
      </c>
      <c r="W1480" s="5" t="inlineStr"/>
      <c r="X1480" s="5" t="inlineStr"/>
      <c r="Y1480" s="5" t="inlineStr"/>
      <c r="Z1480" s="6" t="inlineStr"/>
      <c r="AA1480" s="5" t="inlineStr"/>
      <c r="AB1480" s="5" t="inlineStr"/>
      <c r="AC1480" s="5" t="inlineStr"/>
      <c r="AD1480" s="5" t="inlineStr"/>
      <c r="AE1480" s="5" t="inlineStr"/>
      <c r="AF1480" s="5" t="inlineStr"/>
      <c r="AG1480" s="5" t="inlineStr"/>
      <c r="AH1480" s="5" t="inlineStr"/>
      <c r="AI1480" s="5" t="inlineStr"/>
      <c r="AJ1480" s="5" t="inlineStr"/>
    </row>
    <row r="1481">
      <c r="A1481" s="5" t="inlineStr">
        <is>
          <t>k10-beyazyaka</t>
        </is>
      </c>
      <c r="B1481" s="5" t="n">
        <v>1</v>
      </c>
      <c r="C1481" s="6" t="inlineStr">
        <is>
          <t>Maaş kesintisini kabul et</t>
        </is>
      </c>
      <c r="D1481" s="5" t="inlineStr"/>
      <c r="E1481" s="5" t="inlineStr"/>
      <c r="F1481" s="5" t="inlineStr">
        <is>
          <t>Dayanıklılık +1, Sosyal Radar +1</t>
        </is>
      </c>
      <c r="G1481" s="6" t="inlineStr">
        <is>
          <t>Kesintiyi imzaladın. Masan duruyor, kupan duruyor. Gidenler veda pastası getirdi; en büyük dilimi sana verdiler, acıdıkları belliydi.</t>
        </is>
      </c>
      <c r="H1481" s="6" t="inlineStr"/>
      <c r="I1481" s="6" t="inlineStr"/>
      <c r="J1481" s="6" t="inlineStr"/>
      <c r="K1481" s="6" t="inlineStr"/>
      <c r="L1481" s="6" t="inlineStr"/>
      <c r="M1481" s="5" t="inlineStr"/>
      <c r="N1481" s="5" t="inlineStr"/>
      <c r="O1481" s="6" t="inlineStr"/>
      <c r="P1481" s="6" t="inlineStr"/>
      <c r="Q1481" s="5" t="inlineStr"/>
      <c r="R1481" s="5" t="inlineStr"/>
      <c r="S1481" s="5" t="inlineStr"/>
      <c r="T1481" s="5" t="inlineStr"/>
      <c r="U1481" s="5" t="inlineStr"/>
      <c r="V1481" s="5" t="inlineStr"/>
      <c r="W1481" s="5" t="inlineStr"/>
      <c r="X1481" s="5" t="inlineStr"/>
      <c r="Y1481" s="5" t="inlineStr"/>
      <c r="Z1481" s="6" t="inlineStr"/>
      <c r="AA1481" s="5" t="inlineStr"/>
      <c r="AB1481" s="5" t="inlineStr"/>
      <c r="AC1481" s="5" t="inlineStr"/>
      <c r="AD1481" s="5" t="inlineStr"/>
      <c r="AE1481" s="5" t="inlineStr"/>
      <c r="AF1481" s="5" t="n">
        <v>1</v>
      </c>
      <c r="AG1481" s="5" t="inlineStr"/>
      <c r="AH1481" s="5" t="inlineStr"/>
      <c r="AI1481" s="5" t="inlineStr"/>
      <c r="AJ1481" s="5" t="inlineStr"/>
    </row>
    <row r="1482">
      <c r="A1482" s="5" t="inlineStr">
        <is>
          <t>k10-beyazyaka</t>
        </is>
      </c>
      <c r="B1482" s="5" t="n">
        <v>2</v>
      </c>
      <c r="C1482" s="6" t="inlineStr">
        <is>
          <t>Küçülmeden sağ çık</t>
        </is>
      </c>
      <c r="D1482" s="5" t="inlineStr">
        <is>
          <t>Sosyal Radar</t>
        </is>
      </c>
      <c r="E1482" s="5" t="inlineStr">
        <is>
          <t>Orta</t>
        </is>
      </c>
      <c r="F1482" s="5" t="inlineStr"/>
      <c r="G1482" s="6" t="inlineStr"/>
      <c r="H1482" s="6" t="inlineStr">
        <is>
          <t>Hangi toplantıya girmeyeceğini, hangi sunumda görüneceğini bildin. Kat yarıya indi; sen hâlâ oradasın, üstelik pencere kenarında.</t>
        </is>
      </c>
      <c r="I1482" s="6" t="inlineStr">
        <is>
          <t>Dalgadan hem sağ çıktın hem terfi aldın; boşalan iki masanın işi sana verildi. Maaş bir buçuk, iş üç.</t>
        </is>
      </c>
      <c r="J1482" s="6" t="inlineStr">
        <is>
          <t>Doğru toplantılara girdin ama liste başka bir kattan hazırlanmış. Kutuna saksını, kupanı ve on yılını koydun.</t>
        </is>
      </c>
      <c r="K1482" s="6" t="inlineStr">
        <is>
          <t>Yeniden yapılanma sunumunu sen hazırladın; son slaytta kendi adın vardı. Fark etmeden sundun.</t>
        </is>
      </c>
      <c r="L1482" s="6" t="inlineStr"/>
      <c r="M1482" s="5" t="inlineStr"/>
      <c r="N1482" s="5" t="inlineStr"/>
      <c r="O1482" s="6" t="inlineStr"/>
      <c r="P1482" s="6" t="inlineStr"/>
      <c r="Q1482" s="5" t="inlineStr"/>
      <c r="R1482" s="5" t="inlineStr"/>
      <c r="S1482" s="5" t="inlineStr"/>
      <c r="T1482" s="5" t="inlineStr"/>
      <c r="U1482" s="5" t="inlineStr"/>
      <c r="V1482" s="5" t="inlineStr">
        <is>
          <t>beyazyaka-sag-kaldi</t>
        </is>
      </c>
      <c r="W1482" s="5" t="inlineStr"/>
      <c r="X1482" s="5" t="inlineStr"/>
      <c r="Y1482" s="5" t="inlineStr"/>
      <c r="Z1482" s="6" t="inlineStr"/>
      <c r="AA1482" s="5" t="inlineStr"/>
      <c r="AB1482" s="5" t="inlineStr">
        <is>
          <t>kriz-isten-cikti</t>
        </is>
      </c>
      <c r="AC1482" s="5" t="inlineStr"/>
      <c r="AD1482" s="5" t="inlineStr">
        <is>
          <t>Rahat</t>
        </is>
      </c>
      <c r="AE1482" s="5" t="inlineStr"/>
      <c r="AF1482" s="5" t="inlineStr"/>
      <c r="AG1482" s="5" t="inlineStr"/>
      <c r="AH1482" s="5" t="inlineStr"/>
      <c r="AI1482" s="5" t="inlineStr"/>
      <c r="AJ1482" s="5" t="inlineStr"/>
    </row>
    <row r="1483">
      <c r="A1483" s="5" t="inlineStr">
        <is>
          <t>k10-beyazyaka</t>
        </is>
      </c>
      <c r="B1483" s="5" t="n">
        <v>3</v>
      </c>
      <c r="C1483" s="6" t="inlineStr">
        <is>
          <t>Tazminatla şirket kur</t>
        </is>
      </c>
      <c r="D1483" s="5" t="inlineStr">
        <is>
          <t>Cesaret</t>
        </is>
      </c>
      <c r="E1483" s="5" t="inlineStr">
        <is>
          <t>Zor</t>
        </is>
      </c>
      <c r="F1483" s="5" t="inlineStr"/>
      <c r="G1483" s="6" t="inlineStr"/>
      <c r="H1483" s="6" t="inlineStr">
        <is>
          <t>Tazminatı alıp kapıdan çıktın, ertesi gün şirketini kurdun. Ofisin bir kafenin köşe masası; patron sensin, stajyer de.</t>
        </is>
      </c>
      <c r="I1483" s="6" t="inlineStr">
        <is>
          <t>Şirketin ilk yılında eski işyerin senden hizmet aldı. Faturayı eski müdürüne sen kestin; iki kez okudun.</t>
        </is>
      </c>
      <c r="J1483" s="6" t="inlineStr">
        <is>
          <t>Tazminat hesabını bir daha yaptın; cesaretin hesaba sığmadı. İstifa taslağı taslaklarda kaldı, sen masanda.</t>
        </is>
      </c>
      <c r="K1483" s="6" t="inlineStr">
        <is>
          <t>İnsan kaynaklarına gidip “Ben de gitmek istiyorum” dedin. Listede yokmuşsun; tazminat yalnızca listedekilere. Masana döndün; kutunu çoktan toplamıştın, geri açtın.</t>
        </is>
      </c>
      <c r="L1483" s="6" t="inlineStr"/>
      <c r="M1483" s="5" t="inlineStr"/>
      <c r="N1483" s="5" t="inlineStr"/>
      <c r="O1483" s="6" t="inlineStr"/>
      <c r="P1483" s="6" t="inlineStr"/>
      <c r="Q1483" s="5" t="inlineStr"/>
      <c r="R1483" s="5" t="inlineStr"/>
      <c r="S1483" s="5" t="inlineStr"/>
      <c r="T1483" s="5" t="inlineStr"/>
      <c r="U1483" s="5" t="inlineStr"/>
      <c r="V1483" s="5" t="inlineStr">
        <is>
          <t>-hat-cete, -hat-dolandirici, -hat-goc, -hat-hekim, -hat-koy, -hat-polis, -hat-politika, -hat-sohret, -hat-usta, -hat-yargi, -meslek-beyazyaka, -meslek-esnaf, -meslek-memur, hat-girisimci, meslek-serbest</t>
        </is>
      </c>
      <c r="W1483" s="5" t="inlineStr"/>
      <c r="X1483" s="5" t="inlineStr"/>
      <c r="Y1483" s="5" t="inlineStr"/>
      <c r="Z1483" s="6" t="inlineStr"/>
      <c r="AA1483" s="5" t="inlineStr"/>
      <c r="AB1483" s="5" t="inlineStr"/>
      <c r="AC1483" s="5" t="inlineStr">
        <is>
          <t>Orta</t>
        </is>
      </c>
      <c r="AD1483" s="5" t="inlineStr"/>
      <c r="AE1483" s="5" t="inlineStr"/>
      <c r="AF1483" s="5" t="inlineStr"/>
      <c r="AG1483" s="5" t="inlineStr"/>
      <c r="AH1483" s="5" t="inlineStr"/>
      <c r="AI1483" s="5" t="inlineStr"/>
      <c r="AJ1483" s="5" t="inlineStr"/>
      <c r="AL1483" t="n">
        <v>1</v>
      </c>
    </row>
    <row r="1484">
      <c r="A1484" s="5" t="inlineStr">
        <is>
          <t>k10-beyazyaka</t>
        </is>
      </c>
      <c r="B1484" s="5" t="n">
        <v>4</v>
      </c>
      <c r="C1484" s="6" t="inlineStr">
        <is>
          <t>Öte Diyar ofisine transfer</t>
        </is>
      </c>
      <c r="D1484" s="5" t="inlineStr">
        <is>
          <t>Akıl</t>
        </is>
      </c>
      <c r="E1484" s="5" t="inlineStr">
        <is>
          <t>Zor</t>
        </is>
      </c>
      <c r="F1484" s="5" t="inlineStr"/>
      <c r="G1484" s="6" t="inlineStr"/>
      <c r="H1484" s="6" t="inlineStr">
        <is>
          <t>İç ilana başvurdun, üç tur mülakatı geçtin. Dalga kıyıya vururken sen havalimanındaydın. Öte Diyar ofisinde kahve makinesi bile başka dil konuşuyor.</t>
        </is>
      </c>
      <c r="I1484" s="6" t="inlineStr">
        <is>
          <t>Transferle birlikte bir kademe terfi geldi. Öte Diyar'daki ilk sunumunda kimse slaytlarını anlamadı; herkes alkışladı.</t>
        </is>
      </c>
      <c r="J1484" s="6" t="inlineStr">
        <is>
          <t>Son turda oranın müdürü “Burada kış altı ay” dedi, sen irkildin, o da gördü. Transfer olmadı; sen buradasın, dalga da.</t>
        </is>
      </c>
      <c r="K1484" s="6" t="inlineStr">
        <is>
          <t>Mülakata yanlış saat diliminde bağlandın; karşında boş bir toplantı odası. Transfer yok, bir de “ilgisiz aday” notu var.</t>
        </is>
      </c>
      <c r="L1484" s="6" t="inlineStr"/>
      <c r="M1484" s="5" t="inlineStr"/>
      <c r="N1484" s="5" t="inlineStr"/>
      <c r="O1484" s="6" t="inlineStr"/>
      <c r="P1484" s="6" t="inlineStr"/>
      <c r="Q1484" s="5" t="inlineStr"/>
      <c r="R1484" s="5" t="inlineStr"/>
      <c r="S1484" s="5" t="inlineStr"/>
      <c r="T1484" s="5" t="inlineStr"/>
      <c r="U1484" s="5" t="inlineStr"/>
      <c r="V1484" s="5" t="inlineStr">
        <is>
          <t>-hat-cete, -hat-dolandirici, -hat-girisimci, -hat-hekim, -hat-koy, -hat-polis, -hat-politika, -hat-sohret, -hat-usta, -hat-yargi, -meslek-esnaf, -meslek-memur, -meslek-serbest, hat-goc, meslek-beyazyaka</t>
        </is>
      </c>
      <c r="W1484" s="5" t="inlineStr"/>
      <c r="X1484" s="5" t="inlineStr"/>
      <c r="Y1484" s="5" t="inlineStr"/>
      <c r="Z1484" s="6" t="inlineStr"/>
      <c r="AA1484" s="5" t="inlineStr"/>
      <c r="AB1484" s="5" t="inlineStr"/>
      <c r="AC1484" s="5" t="inlineStr"/>
      <c r="AD1484" s="5" t="inlineStr">
        <is>
          <t>Rahat</t>
        </is>
      </c>
      <c r="AE1484" s="5" t="inlineStr"/>
      <c r="AF1484" s="5" t="inlineStr"/>
      <c r="AG1484" s="5" t="inlineStr"/>
      <c r="AH1484" s="5" t="inlineStr">
        <is>
          <t>Akıl 35</t>
        </is>
      </c>
      <c r="AI1484" s="5" t="inlineStr"/>
      <c r="AJ1484" s="5" t="inlineStr"/>
    </row>
    <row r="1485">
      <c r="A1485" s="5" t="inlineStr">
        <is>
          <t>b7-cete-tahsilat</t>
        </is>
      </c>
      <c r="B1485" s="5" t="n">
        <v>1</v>
      </c>
      <c r="C1485" s="6" t="inlineStr">
        <is>
          <t>Borcu lahmacunla tahsil et</t>
        </is>
      </c>
      <c r="D1485" s="5" t="inlineStr"/>
      <c r="E1485" s="5" t="inlineStr"/>
      <c r="F1485" s="5" t="inlineStr">
        <is>
          <t>Pişkinlik +1, Dayanıklılık +1</t>
        </is>
      </c>
      <c r="G1485" s="6" t="inlineStr">
        <is>
          <t>Üç ayın karşılığı kırk iki lahmacun. Abiye götürdün; abi tek tek saydı, birini yedi, “Eksik” dedi.</t>
        </is>
      </c>
      <c r="H1485" s="6" t="inlineStr"/>
      <c r="I1485" s="6" t="inlineStr"/>
      <c r="J1485" s="6" t="inlineStr"/>
      <c r="K1485" s="6" t="inlineStr"/>
      <c r="L1485" s="6" t="inlineStr"/>
      <c r="M1485" s="5" t="inlineStr"/>
      <c r="N1485" s="5" t="inlineStr"/>
      <c r="O1485" s="6" t="inlineStr"/>
      <c r="P1485" s="6" t="inlineStr"/>
      <c r="Q1485" s="5" t="inlineStr"/>
      <c r="R1485" s="5" t="inlineStr"/>
      <c r="S1485" s="5" t="inlineStr"/>
      <c r="T1485" s="5" t="inlineStr"/>
      <c r="U1485" s="5" t="inlineStr"/>
      <c r="V1485" s="5" t="inlineStr"/>
      <c r="W1485" s="5" t="inlineStr"/>
      <c r="X1485" s="5" t="inlineStr"/>
      <c r="Y1485" s="5" t="inlineStr"/>
      <c r="Z1485" s="6" t="inlineStr"/>
      <c r="AA1485" s="5" t="inlineStr"/>
      <c r="AB1485" s="5" t="inlineStr"/>
      <c r="AC1485" s="5" t="inlineStr"/>
      <c r="AD1485" s="5" t="inlineStr"/>
      <c r="AE1485" s="5" t="inlineStr"/>
      <c r="AF1485" s="5" t="inlineStr"/>
      <c r="AG1485" s="5" t="inlineStr"/>
      <c r="AH1485" s="5" t="inlineStr"/>
      <c r="AI1485" s="5" t="inlineStr"/>
      <c r="AJ1485" s="5" t="inlineStr"/>
    </row>
    <row r="1486">
      <c r="A1486" s="5" t="inlineStr">
        <is>
          <t>b7-cete-tahsilat</t>
        </is>
      </c>
      <c r="B1486" s="5" t="n">
        <v>2</v>
      </c>
      <c r="C1486" s="6" t="inlineStr">
        <is>
          <t>Nurettin'le ödeme planı yap</t>
        </is>
      </c>
      <c r="D1486" s="5" t="inlineStr">
        <is>
          <t>Çene</t>
        </is>
      </c>
      <c r="E1486" s="5" t="inlineStr">
        <is>
          <t>Orta</t>
        </is>
      </c>
      <c r="F1486" s="5" t="inlineStr"/>
      <c r="G1486" s="6" t="inlineStr"/>
      <c r="H1486" s="6" t="inlineStr">
        <is>
          <t>Nurettin her cuma bir miktar bırakacak. Abi planı beğendi; sen de ilk kez bir işi konuşarak bitirdin.</t>
        </is>
      </c>
      <c r="I1486" s="6" t="inlineStr">
        <is>
          <t>Nurettin borcunu kapattı, üstüne tabelasına senin adını yazdırdı: “Tahsilat ortağımız.” Abi tabelayı sökmedi.</t>
        </is>
      </c>
      <c r="J1486" s="6" t="inlineStr">
        <is>
          <t>Nurettin planı dinledi, başını salladı, sana bir ayran ikram etti. Ayranı içtin; plan tezgâhta kaldı.</t>
        </is>
      </c>
      <c r="K1486" s="6" t="inlineStr">
        <is>
          <t>Konuşurken Nurettin'in borcu bir şekilde senin borcuna dönüştü. Nasıl olduğunu ikiniz de anlamadınız; abi anladı.</t>
        </is>
      </c>
      <c r="L1486" s="6" t="inlineStr"/>
      <c r="M1486" s="5" t="inlineStr"/>
      <c r="N1486" s="5" t="inlineStr"/>
      <c r="O1486" s="6" t="inlineStr"/>
      <c r="P1486" s="6" t="inlineStr"/>
      <c r="Q1486" s="5" t="inlineStr"/>
      <c r="R1486" s="5" t="inlineStr"/>
      <c r="S1486" s="5" t="inlineStr"/>
      <c r="T1486" s="5" t="inlineStr"/>
      <c r="U1486" s="5" t="inlineStr"/>
      <c r="V1486" s="5" t="inlineStr"/>
      <c r="W1486" s="5" t="inlineStr">
        <is>
          <t>abiye-borclu</t>
        </is>
      </c>
      <c r="X1486" s="5" t="inlineStr"/>
      <c r="Y1486" s="5" t="inlineStr"/>
      <c r="Z1486" s="6" t="inlineStr"/>
      <c r="AA1486" s="5" t="inlineStr"/>
      <c r="AB1486" s="5" t="inlineStr"/>
      <c r="AC1486" s="5" t="inlineStr"/>
      <c r="AD1486" s="5" t="inlineStr"/>
      <c r="AE1486" s="5" t="inlineStr"/>
      <c r="AF1486" s="5" t="inlineStr"/>
      <c r="AG1486" s="5" t="inlineStr"/>
      <c r="AH1486" s="5" t="inlineStr"/>
      <c r="AI1486" s="5" t="inlineStr"/>
      <c r="AJ1486" s="5" t="inlineStr"/>
    </row>
    <row r="1487">
      <c r="A1487" s="5" t="inlineStr">
        <is>
          <t>b7-cete-tahsilat</t>
        </is>
      </c>
      <c r="B1487" s="5" t="n">
        <v>3</v>
      </c>
      <c r="C1487" s="6" t="inlineStr">
        <is>
          <t>Abiye “Bu adam zaten batık” de</t>
        </is>
      </c>
      <c r="D1487" s="5" t="inlineStr">
        <is>
          <t>Cesaret</t>
        </is>
      </c>
      <c r="E1487" s="5" t="inlineStr">
        <is>
          <t>Zor</t>
        </is>
      </c>
      <c r="F1487" s="5" t="inlineStr"/>
      <c r="G1487" s="6" t="inlineStr"/>
      <c r="H1487" s="6" t="inlineStr">
        <is>
          <t>Abi uzun uzun baktı, sonra Nurettin'in kâğıdını çöpe attı. “Senin gözün var” dedi. Yeni görevin: kimin batık olduğunu önceden söylemek.</t>
        </is>
      </c>
      <c r="I1487" s="6" t="inlineStr">
        <is>
          <t>Tahsilat listesini artık sen hazırlıyorsun. Nurettin her hafta sana bedava ayran gönderiyor; sebebini kimse bilmiyor.</t>
        </is>
      </c>
      <c r="J1487" s="6" t="inlineStr">
        <is>
          <t>Abi “Batık olan da borcunu öder” dedi. Seni kebapçıya geri yolladı; bu sefer iki selamla.</t>
        </is>
      </c>
      <c r="K1487" s="6" t="inlineStr">
        <is>
          <t>Abi Nurettin'in borcunu sana devretti. Artık ayda bir kendi kapına tahsilata geliyorsun.</t>
        </is>
      </c>
      <c r="L1487" s="6" t="inlineStr"/>
      <c r="M1487" s="5" t="inlineStr"/>
      <c r="N1487" s="5" t="inlineStr"/>
      <c r="O1487" s="6" t="inlineStr"/>
      <c r="P1487" s="6" t="inlineStr"/>
      <c r="Q1487" s="5" t="inlineStr"/>
      <c r="R1487" s="5" t="inlineStr"/>
      <c r="S1487" s="5" t="inlineStr"/>
      <c r="T1487" s="5" t="inlineStr">
        <is>
          <t>Odayı Okur</t>
        </is>
      </c>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c r="AI1487" s="5" t="inlineStr"/>
      <c r="AJ1487" s="5" t="inlineStr"/>
    </row>
    <row r="1488">
      <c r="A1488" s="5" t="inlineStr">
        <is>
          <t>b7-cete-tahsilat</t>
        </is>
      </c>
      <c r="B1488" s="5" t="n">
        <v>4</v>
      </c>
      <c r="C1488" s="6" t="inlineStr">
        <is>
          <t>Kasadaki fotokopiyi ima et</t>
        </is>
      </c>
      <c r="D1488" s="5" t="inlineStr"/>
      <c r="E1488" s="5" t="inlineStr"/>
      <c r="F1488" s="5" t="inlineStr">
        <is>
          <t>Kurnazlık +1</t>
        </is>
      </c>
      <c r="G1488" s="6" t="inlineStr">
        <is>
          <t>Kasadan hiç bahsetmedin; yalnızca anahtarlığını parmağında çevirdin. Abi anahtarlığa uzun uzun baktı. Ertesi gün tahsilata başkası gitti; sana oto yıkamanın kasasında oturmak düştü.</t>
        </is>
      </c>
      <c r="H1488" s="6" t="inlineStr"/>
      <c r="I1488" s="6" t="inlineStr"/>
      <c r="J1488" s="6" t="inlineStr"/>
      <c r="K1488" s="6" t="inlineStr"/>
      <c r="L1488" s="6" t="inlineStr"/>
      <c r="M1488" s="5" t="inlineStr"/>
      <c r="N1488" s="5" t="inlineStr"/>
      <c r="O1488" s="6" t="inlineStr"/>
      <c r="P1488" s="6" t="inlineStr"/>
      <c r="Q1488" s="5" t="inlineStr"/>
      <c r="R1488" s="5" t="inlineStr">
        <is>
          <t>abiye-karsi-sigorta</t>
        </is>
      </c>
      <c r="S1488" s="5" t="inlineStr"/>
      <c r="T1488" s="5" t="inlineStr"/>
      <c r="U1488" s="5" t="inlineStr"/>
      <c r="V1488" s="5" t="inlineStr"/>
      <c r="W1488" s="5" t="inlineStr"/>
      <c r="X1488" s="5" t="inlineStr"/>
      <c r="Y1488" s="5" t="inlineStr"/>
      <c r="Z1488" s="6" t="inlineStr"/>
      <c r="AA1488" s="5" t="inlineStr"/>
      <c r="AB1488" s="5" t="inlineStr"/>
      <c r="AC1488" s="5" t="inlineStr"/>
      <c r="AD1488" s="5" t="inlineStr"/>
      <c r="AE1488" s="5" t="inlineStr"/>
      <c r="AF1488" s="5" t="inlineStr"/>
      <c r="AG1488" s="5" t="inlineStr"/>
      <c r="AH1488" s="5" t="inlineStr"/>
      <c r="AI1488" s="5" t="inlineStr"/>
      <c r="AJ1488" s="5" t="inlineStr"/>
    </row>
    <row r="1489">
      <c r="A1489" s="5" t="inlineStr">
        <is>
          <t>b7-cete-tefeci</t>
        </is>
      </c>
      <c r="B1489" s="5" t="n">
        <v>1</v>
      </c>
      <c r="C1489" s="6" t="inlineStr">
        <is>
          <t>Hatır için ver, deftere isim yaz</t>
        </is>
      </c>
      <c r="D1489" s="5" t="inlineStr"/>
      <c r="E1489" s="5" t="inlineStr"/>
      <c r="F1489" s="5" t="inlineStr">
        <is>
          <t>İtibar +1, Sosyal Radar +1</t>
        </is>
      </c>
      <c r="G1489" s="6" t="inlineStr">
        <is>
          <t>Deftere rakam yerine isim yazdın. Paranın yarısı geri geldi, gerisi bayramlarda baklava olarak. Mahalle seni seviyor; kasa sevmiyor.</t>
        </is>
      </c>
      <c r="H1489" s="6" t="inlineStr"/>
      <c r="I1489" s="6" t="inlineStr"/>
      <c r="J1489" s="6" t="inlineStr"/>
      <c r="K1489" s="6" t="inlineStr"/>
      <c r="L1489" s="6" t="inlineStr"/>
      <c r="M1489" s="5" t="inlineStr"/>
      <c r="N1489" s="5" t="inlineStr"/>
      <c r="O1489" s="6" t="inlineStr"/>
      <c r="P1489" s="6" t="inlineStr"/>
      <c r="Q1489" s="5" t="inlineStr"/>
      <c r="R1489" s="5" t="inlineStr"/>
      <c r="S1489" s="5" t="inlineStr"/>
      <c r="T1489" s="5" t="inlineStr"/>
      <c r="U1489" s="5" t="inlineStr"/>
      <c r="V1489" s="5" t="inlineStr"/>
      <c r="W1489" s="5" t="inlineStr"/>
      <c r="X1489" s="5" t="inlineStr"/>
      <c r="Y1489" s="5" t="inlineStr"/>
      <c r="Z1489" s="6" t="inlineStr"/>
      <c r="AA1489" s="5" t="inlineStr"/>
      <c r="AB1489" s="5" t="inlineStr"/>
      <c r="AC1489" s="5" t="inlineStr"/>
      <c r="AD1489" s="5" t="inlineStr"/>
      <c r="AE1489" s="5" t="inlineStr"/>
      <c r="AF1489" s="5" t="inlineStr"/>
      <c r="AG1489" s="5" t="inlineStr"/>
      <c r="AH1489" s="5" t="inlineStr"/>
      <c r="AI1489" s="5" t="inlineStr"/>
      <c r="AJ1489" s="5" t="inlineStr"/>
    </row>
    <row r="1490">
      <c r="A1490" s="5" t="inlineStr">
        <is>
          <t>b7-cete-tefeci</t>
        </is>
      </c>
      <c r="B1490" s="5" t="n">
        <v>2</v>
      </c>
      <c r="C1490" s="6" t="inlineStr">
        <is>
          <t>Mahallenin yarısını deftere yaz</t>
        </is>
      </c>
      <c r="D1490" s="5" t="inlineStr">
        <is>
          <t>Kurnazlık</t>
        </is>
      </c>
      <c r="E1490" s="5" t="inlineStr">
        <is>
          <t>Orta</t>
        </is>
      </c>
      <c r="F1490" s="5" t="inlineStr"/>
      <c r="G1490" s="6" t="inlineStr"/>
      <c r="H1490" s="6" t="inlineStr">
        <is>
          <t>İki yılda mahallenin yarısı deftere girdi. Sokakta herkes selam veriyor; bazıları karşı kaldırıma geçerek.</t>
        </is>
      </c>
      <c r="I1490" s="6" t="inlineStr">
        <is>
          <t>Defter öyle kalınlaştı ki abi bile göz attı: “Bunu ben de yapamazdım.” Kendi adını da gördü, sesini çıkarmadı.</t>
        </is>
      </c>
      <c r="J1490" s="6" t="inlineStr">
        <is>
          <t>Borç verdiğin herkes aynı hafta araba yıkatmayı bıraktı. Kasa boş, köpük makinesi boş, defter dolu.</t>
        </is>
      </c>
      <c r="K1490" s="6" t="inlineStr">
        <is>
          <t>Defteri kovanın yanında unuttun. Çırak hortumu açtı; on iki sayfa borç köpükle birlikte kanala aktı. O hafta mahallede herkes araba yıkatmaya geldi; bahşişler de çok iyiydi.</t>
        </is>
      </c>
      <c r="L1490" s="6" t="inlineStr"/>
      <c r="M1490" s="5" t="inlineStr"/>
      <c r="N1490" s="5" t="inlineStr"/>
      <c r="O1490" s="6" t="inlineStr"/>
      <c r="P1490" s="6" t="inlineStr"/>
      <c r="Q1490" s="5" t="inlineStr"/>
      <c r="R1490" s="5" t="inlineStr"/>
      <c r="S1490" s="5" t="inlineStr"/>
      <c r="T1490" s="5" t="inlineStr"/>
      <c r="U1490" s="5" t="inlineStr"/>
      <c r="V1490" s="5" t="inlineStr">
        <is>
          <t>tefeci-defteri</t>
        </is>
      </c>
      <c r="W1490" s="5" t="inlineStr"/>
      <c r="X1490" s="5" t="inlineStr"/>
      <c r="Y1490" s="5" t="inlineStr"/>
      <c r="Z1490" s="6" t="inlineStr"/>
      <c r="AA1490" s="5" t="inlineStr"/>
      <c r="AB1490" s="5" t="inlineStr"/>
      <c r="AC1490" s="5" t="inlineStr"/>
      <c r="AD1490" s="5" t="inlineStr">
        <is>
          <t>Rahat</t>
        </is>
      </c>
      <c r="AE1490" s="5" t="inlineStr"/>
      <c r="AF1490" s="5" t="inlineStr"/>
      <c r="AG1490" s="5" t="inlineStr"/>
      <c r="AH1490" s="5" t="inlineStr"/>
      <c r="AI1490" s="5" t="inlineStr"/>
      <c r="AJ1490" s="5" t="inlineStr"/>
      <c r="AL1490" t="n">
        <v>1</v>
      </c>
    </row>
    <row r="1491">
      <c r="A1491" s="5" t="inlineStr">
        <is>
          <t>b7-cete-tefeci</t>
        </is>
      </c>
      <c r="B1491" s="5" t="n">
        <v>3</v>
      </c>
      <c r="C1491" s="6" t="inlineStr">
        <is>
          <t>Abinin müşterilerini kendi defterine geçir</t>
        </is>
      </c>
      <c r="D1491" s="5" t="inlineStr">
        <is>
          <t>Cesaret</t>
        </is>
      </c>
      <c r="E1491" s="5" t="inlineStr">
        <is>
          <t>Zor</t>
        </is>
      </c>
      <c r="F1491" s="5" t="inlineStr"/>
      <c r="G1491" s="6" t="inlineStr"/>
      <c r="H1491" s="6" t="inlineStr">
        <is>
          <t>Abinin üç müşterisi artık sana geliyor. Abi fark etti, bir şey demedi; sana yeni bir hesap makinesi gönderdi. Bütün tuşları basıyor.</t>
        </is>
      </c>
      <c r="I1491" s="6" t="inlineStr">
        <is>
          <t>Abinin müşterilerinin yarısı sana geçti. Abi seni yemeğe çağırdı, hesabı sana bıraktı; bu bir terfi sayılır.</t>
        </is>
      </c>
      <c r="J1491" s="6" t="inlineStr">
        <is>
          <t>Müşteriler iki defter arasında kaldı; ikisine de ödemediler. Abi sana bir hafta selam vermedi.</t>
        </is>
      </c>
      <c r="K1491" s="6" t="inlineStr">
        <is>
          <t>Eski müşterilerden biri defterini karakola götürdü; üstünde senin el yazın var. Hâkim yazının güzel olduğunu söyledi, sonra kararı okudu.</t>
        </is>
      </c>
      <c r="L1491" s="6" t="inlineStr"/>
      <c r="M1491" s="5" t="inlineStr"/>
      <c r="N1491" s="5" t="inlineStr"/>
      <c r="O1491" s="6" t="inlineStr"/>
      <c r="P1491" s="6" t="inlineStr"/>
      <c r="Q1491" s="5" t="inlineStr"/>
      <c r="R1491" s="5" t="inlineStr"/>
      <c r="S1491" s="5" t="inlineStr"/>
      <c r="T1491" s="5" t="inlineStr">
        <is>
          <t>Pazarlık Duayeni</t>
        </is>
      </c>
      <c r="U1491" s="5" t="inlineStr"/>
      <c r="V1491" s="5" t="inlineStr">
        <is>
          <t>tefeci-defteri</t>
        </is>
      </c>
      <c r="W1491" s="5" t="inlineStr">
        <is>
          <t>hapis</t>
        </is>
      </c>
      <c r="X1491" s="5" t="inlineStr"/>
      <c r="Y1491" s="5" t="inlineStr"/>
      <c r="Z1491" s="6" t="inlineStr"/>
      <c r="AA1491" s="5" t="inlineStr"/>
      <c r="AB1491" s="5" t="inlineStr"/>
      <c r="AC1491" s="5" t="inlineStr"/>
      <c r="AD1491" s="5" t="inlineStr"/>
      <c r="AE1491" s="5" t="inlineStr"/>
      <c r="AF1491" s="5" t="inlineStr"/>
      <c r="AG1491" s="5" t="inlineStr"/>
      <c r="AH1491" s="5" t="inlineStr">
        <is>
          <t>Cesaret 31</t>
        </is>
      </c>
      <c r="AI1491" s="5" t="inlineStr"/>
      <c r="AJ1491" s="5" t="inlineStr"/>
    </row>
    <row r="1492">
      <c r="A1492" s="5" t="inlineStr">
        <is>
          <t>b7-cete-rakip</t>
        </is>
      </c>
      <c r="B1492" s="5" t="n">
        <v>1</v>
      </c>
      <c r="C1492" s="6" t="inlineStr">
        <is>
          <t>Çay gönder, masaya çağır</t>
        </is>
      </c>
      <c r="D1492" s="5" t="inlineStr"/>
      <c r="E1492" s="5" t="inlineStr"/>
      <c r="F1492" s="5" t="inlineStr">
        <is>
          <t>Sosyal Radar +1, Çene +1</t>
        </is>
      </c>
      <c r="G1492" s="6" t="inlineStr">
        <is>
          <t>Yeğen çayı içti, masaya oturdu, bir saat dinledi. Ertesi gün tabelasındaki fazla harfi söktü. Arada bir sana müşteri gönderiyor.</t>
        </is>
      </c>
      <c r="H1492" s="6" t="inlineStr"/>
      <c r="I1492" s="6" t="inlineStr"/>
      <c r="J1492" s="6" t="inlineStr"/>
      <c r="K1492" s="6" t="inlineStr"/>
      <c r="L1492" s="6" t="inlineStr"/>
      <c r="M1492" s="5" t="inlineStr"/>
      <c r="N1492" s="5" t="inlineStr"/>
      <c r="O1492" s="6" t="inlineStr"/>
      <c r="P1492" s="6" t="inlineStr"/>
      <c r="Q1492" s="5" t="inlineStr"/>
      <c r="R1492" s="5" t="inlineStr"/>
      <c r="S1492" s="5" t="inlineStr"/>
      <c r="T1492" s="5" t="inlineStr"/>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c r="AI1492" s="5" t="inlineStr"/>
      <c r="AJ1492" s="5" t="inlineStr"/>
    </row>
    <row r="1493">
      <c r="A1493" s="5" t="inlineStr">
        <is>
          <t>b7-cete-rakip</t>
        </is>
      </c>
      <c r="B1493" s="5" t="n">
        <v>2</v>
      </c>
      <c r="C1493" s="6" t="inlineStr">
        <is>
          <t>Fiyat savaşına gir</t>
        </is>
      </c>
      <c r="D1493" s="5" t="inlineStr">
        <is>
          <t>Kurnazlık</t>
        </is>
      </c>
      <c r="E1493" s="5" t="inlineStr">
        <is>
          <t>Orta</t>
        </is>
      </c>
      <c r="F1493" s="5" t="inlineStr"/>
      <c r="G1493" s="6" t="inlineStr"/>
      <c r="H1493" s="6" t="inlineStr">
        <is>
          <t>Yıkamayı ucuzlattın, cilayı bedava yaptın. Üç ayda karşı kaldırım kepenk indirdi; sen de bedava cilayı bir türlü kaldıramadın.</t>
        </is>
      </c>
      <c r="I1493" s="6" t="inlineStr">
        <is>
          <t>Yeğen dükkânını kapatıp sana eleman olarak geldi. Çayları o dağıtıyor, seni “Patron” diye çağırıyor.</t>
        </is>
      </c>
      <c r="J1493" s="6" t="inlineStr">
        <is>
          <t>İkiniz de fiyat indirdiniz. Mahallenin arabaları hiç bu kadar temiz, siz hiç bu kadar yorgun olmamıştınız.</t>
        </is>
      </c>
      <c r="K1493" s="6" t="inlineStr">
        <is>
          <t>Savaş öyle kızıştı ki bir gün müşteriye para ödeyerek araba yıkadın. Müşteri ertesi gün yine geldi.</t>
        </is>
      </c>
      <c r="L1493" s="6" t="inlineStr"/>
      <c r="M1493" s="5" t="inlineStr"/>
      <c r="N1493" s="5" t="inlineStr"/>
      <c r="O1493" s="6" t="inlineStr"/>
      <c r="P1493" s="6" t="inlineStr"/>
      <c r="Q1493" s="5" t="inlineStr"/>
      <c r="R1493" s="5" t="inlineStr"/>
      <c r="S1493" s="5" t="inlineStr"/>
      <c r="T1493" s="5" t="inlineStr"/>
      <c r="U1493" s="5" t="inlineStr"/>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c r="AI1493" s="5" t="inlineStr"/>
      <c r="AJ1493" s="5" t="inlineStr"/>
    </row>
    <row r="1494">
      <c r="A1494" s="5" t="inlineStr">
        <is>
          <t>b7-cete-rakip</t>
        </is>
      </c>
      <c r="B1494" s="5" t="n">
        <v>3</v>
      </c>
      <c r="C1494" s="6" t="inlineStr">
        <is>
          <t>Karşıya git, dükkânında yüzleş</t>
        </is>
      </c>
      <c r="D1494" s="5" t="inlineStr">
        <is>
          <t>Cesaret</t>
        </is>
      </c>
      <c r="E1494" s="5" t="inlineStr">
        <is>
          <t>Zor</t>
        </is>
      </c>
      <c r="F1494" s="5" t="inlineStr"/>
      <c r="G1494" s="6" t="inlineStr"/>
      <c r="H1494" s="6" t="inlineStr">
        <is>
          <t>Yeğenin dükkânında bir araba yıkattın, yüksek bahşiş bırakıp çıktın. Mesaj alındı; ertesi hafta tabelasını değiştirdi.</t>
        </is>
      </c>
      <c r="I1494" s="6" t="inlineStr">
        <is>
          <t>Yüzleşme o kadar sakin geçti ki yeğen kira sözleşmesini sana devretti. Artık iki kaldırımda da köpük senin.</t>
        </is>
      </c>
      <c r="J1494" s="6" t="inlineStr">
        <is>
          <t>Yeğen seni tanımadı, sıraya aldı. Kırk dakika bekledin; araban hiç bu kadar parlamamıştı.</t>
        </is>
      </c>
      <c r="K1494" s="6" t="inlineStr">
        <is>
          <t>Yeğen seni tanıdı ve seninle fotoğraf çektirdi: “Rakibimle.” Fotoğraf şimdi onun tabelasında asılı.</t>
        </is>
      </c>
      <c r="L1494" s="6" t="inlineStr"/>
      <c r="M1494" s="5" t="inlineStr"/>
      <c r="N1494" s="5" t="inlineStr"/>
      <c r="O1494" s="6" t="inlineStr"/>
      <c r="P1494" s="6" t="inlineStr"/>
      <c r="Q1494" s="5" t="inlineStr"/>
      <c r="R1494" s="5" t="inlineStr"/>
      <c r="S1494" s="5" t="inlineStr"/>
      <c r="T1494" s="5" t="inlineStr">
        <is>
          <t>Son Sözü Söyler</t>
        </is>
      </c>
      <c r="U1494" s="5" t="inlineStr"/>
      <c r="V1494" s="5" t="inlineStr"/>
      <c r="W1494" s="5" t="inlineStr"/>
      <c r="X1494" s="5" t="inlineStr"/>
      <c r="Y1494" s="5" t="inlineStr"/>
      <c r="Z1494" s="6" t="inlineStr"/>
      <c r="AA1494" s="5" t="inlineStr"/>
      <c r="AB1494" s="5" t="inlineStr"/>
      <c r="AC1494" s="5" t="inlineStr"/>
      <c r="AD1494" s="5" t="inlineStr"/>
      <c r="AE1494" s="5" t="inlineStr"/>
      <c r="AF1494" s="5" t="inlineStr"/>
      <c r="AG1494" s="5" t="inlineStr"/>
      <c r="AH1494" s="5" t="inlineStr"/>
      <c r="AI1494" s="5" t="inlineStr"/>
      <c r="AJ1494" s="5" t="inlineStr"/>
    </row>
    <row r="1495">
      <c r="A1495" s="5" t="inlineStr">
        <is>
          <t>b7-cete-rakip</t>
        </is>
      </c>
      <c r="B1495" s="5" t="n">
        <v>4</v>
      </c>
      <c r="C1495" s="6" t="inlineStr">
        <is>
          <t>Kışla arkadaşlarını çağır</t>
        </is>
      </c>
      <c r="D1495" s="5" t="inlineStr">
        <is>
          <t>Cesaret</t>
        </is>
      </c>
      <c r="E1495" s="5" t="inlineStr">
        <is>
          <t>Orta</t>
        </is>
      </c>
      <c r="F1495" s="5" t="inlineStr"/>
      <c r="G1495" s="6" t="inlineStr"/>
      <c r="H1495" s="6" t="inlineStr">
        <is>
          <t>Üç kışla arkadaşın karşı kaldırıma sandalye çekip bütün gün yalnızca çay içti. Yeğen üçüncü gün pes etti.</t>
        </is>
      </c>
      <c r="I1495" s="6" t="inlineStr">
        <is>
          <t>Arkadaşların yeğeni kışla hikâyeleriyle ikna etti. Karşı dükkân artık senin şuben.</t>
        </is>
      </c>
      <c r="J1495" s="6" t="inlineStr">
        <is>
          <t>Arkadaşların geldi, karşı dükkânda araba yıkatıp gittiler. İndirimliymiş.</t>
        </is>
      </c>
      <c r="K1495" s="6" t="inlineStr">
        <is>
          <t>Arkadaşların karşı kaldırıma oturdu; yeğenin annesi çay getirdi, börek getirdi. Akşama kadar onun dükkânını övdüler. Dördüncü gün biri orada çalışmaya başladı.</t>
        </is>
      </c>
      <c r="L1495" s="6" t="inlineStr"/>
      <c r="M1495" s="5" t="inlineStr"/>
      <c r="N1495" s="5" t="inlineStr"/>
      <c r="O1495" s="6" t="inlineStr"/>
      <c r="P1495" s="6" t="inlineStr"/>
      <c r="Q1495" s="5" t="inlineStr"/>
      <c r="R1495" s="5" t="inlineStr">
        <is>
          <t>kisla-kankasi</t>
        </is>
      </c>
      <c r="S1495" s="5" t="inlineStr"/>
      <c r="T1495" s="5" t="inlineStr"/>
      <c r="U1495" s="5" t="inlineStr"/>
      <c r="V1495" s="5" t="inlineStr"/>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c r="AI1495" s="5" t="inlineStr"/>
      <c r="AJ1495" s="5" t="inlineStr"/>
    </row>
    <row r="1496">
      <c r="A1496" s="5" t="inlineStr">
        <is>
          <t>b8-cete-hatir-masasi</t>
        </is>
      </c>
      <c r="B1496" s="5" t="n">
        <v>1</v>
      </c>
      <c r="C1496" s="6" t="inlineStr">
        <is>
          <t>Yazı tura at</t>
        </is>
      </c>
      <c r="D1496" s="5" t="inlineStr"/>
      <c r="E1496" s="5" t="inlineStr"/>
      <c r="F1496" s="5" t="inlineStr">
        <is>
          <t>Pişkinlik +1, Cesaret +1</t>
        </is>
      </c>
      <c r="G1496" s="6" t="inlineStr">
        <is>
          <t>Parayı attın, masanın altına kaçtı. İki aile beraber eğildi, beraber kalktı; düğünü ortak yapmaya karar verdiler. Halay iki saat sürdü.</t>
        </is>
      </c>
      <c r="H1496" s="6" t="inlineStr"/>
      <c r="I1496" s="6" t="inlineStr"/>
      <c r="J1496" s="6" t="inlineStr"/>
      <c r="K1496" s="6" t="inlineStr"/>
      <c r="L1496" s="6" t="inlineStr"/>
      <c r="M1496" s="5" t="inlineStr"/>
      <c r="N1496" s="5" t="inlineStr"/>
      <c r="O1496" s="6" t="inlineStr"/>
      <c r="P1496" s="6" t="inlineStr"/>
      <c r="Q1496" s="5" t="inlineStr"/>
      <c r="R1496" s="5" t="inlineStr"/>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c r="AI1496" s="5" t="inlineStr"/>
      <c r="AJ1496" s="5" t="inlineStr"/>
    </row>
    <row r="1497">
      <c r="A1497" s="5" t="inlineStr">
        <is>
          <t>b8-cete-hatir-masasi</t>
        </is>
      </c>
      <c r="B1497" s="5" t="n">
        <v>2</v>
      </c>
      <c r="C1497" s="6" t="inlineStr">
        <is>
          <t>İki damadı da dinle</t>
        </is>
      </c>
      <c r="D1497" s="5" t="inlineStr">
        <is>
          <t>Sosyal Radar</t>
        </is>
      </c>
      <c r="E1497" s="5" t="inlineStr">
        <is>
          <t>Orta</t>
        </is>
      </c>
      <c r="F1497" s="5" t="inlineStr"/>
      <c r="G1497" s="6" t="inlineStr"/>
      <c r="H1497" s="6" t="inlineStr">
        <is>
          <t>Damatlardan biri aslında perşembeyi istiyormuş, söylemeye çekiniyormuş. Mesele çay bitmeden çözüldü.</t>
        </is>
      </c>
      <c r="I1497" s="6" t="inlineStr">
        <is>
          <t>Dinledikçe iki ailenin akraba olduğu ortaya çıktı. Düğün birleşti, seni nikâh şahidi yaptılar; iki kez imza attın.</t>
        </is>
      </c>
      <c r="J1497" s="6" t="inlineStr">
        <is>
          <t>Dinledin, dinledin; damatlar birbirini ikna etti, seni değil. Masadan sensiz kalktılar.</t>
        </is>
      </c>
      <c r="K1497" s="6" t="inlineStr">
        <is>
          <t>Bir tarafa hafifçe başını salladın. Öbür kayınpeder gördü, çayını yarım bıraktı, kalktı. O cumartesi iki düğün de yapıldı; ikisinde de senin masan yoktu. Yirmi yıldır ilk kez davetsiz bir cumartesi geçirdin.</t>
        </is>
      </c>
      <c r="L1497" s="6" t="inlineStr"/>
      <c r="M1497" s="5" t="inlineStr"/>
      <c r="N1497" s="5" t="inlineStr"/>
      <c r="O1497" s="6" t="inlineStr"/>
      <c r="P1497" s="6" t="inlineStr"/>
      <c r="Q1497" s="5" t="inlineStr"/>
      <c r="R1497" s="5" t="inlineStr"/>
      <c r="S1497" s="5" t="inlineStr"/>
      <c r="T1497" s="5" t="inlineStr"/>
      <c r="U1497" s="5" t="inlineStr"/>
      <c r="V1497" s="5" t="inlineStr"/>
      <c r="W1497" s="5" t="inlineStr"/>
      <c r="X1497" s="5" t="inlineStr"/>
      <c r="Y1497" s="5" t="inlineStr"/>
      <c r="Z1497" s="6" t="inlineStr"/>
      <c r="AA1497" s="5" t="inlineStr"/>
      <c r="AB1497" s="5" t="inlineStr"/>
      <c r="AC1497" s="5" t="inlineStr"/>
      <c r="AD1497" s="5" t="inlineStr"/>
      <c r="AE1497" s="5" t="inlineStr"/>
      <c r="AF1497" s="5" t="inlineStr"/>
      <c r="AG1497" s="5" t="inlineStr"/>
      <c r="AH1497" s="5" t="inlineStr"/>
      <c r="AI1497" s="5" t="inlineStr"/>
      <c r="AJ1497" s="5" t="inlineStr"/>
    </row>
    <row r="1498">
      <c r="A1498" s="5" t="inlineStr">
        <is>
          <t>b8-cete-hatir-masasi</t>
        </is>
      </c>
      <c r="B1498" s="5" t="n">
        <v>3</v>
      </c>
      <c r="C1498" s="6" t="inlineStr">
        <is>
          <t>Salon sahibini depodan çıkar</t>
        </is>
      </c>
      <c r="D1498" s="5" t="inlineStr">
        <is>
          <t>Kurnazlık</t>
        </is>
      </c>
      <c r="E1498" s="5" t="inlineStr">
        <is>
          <t>Orta</t>
        </is>
      </c>
      <c r="F1498" s="5" t="inlineStr"/>
      <c r="G1498" s="6" t="inlineStr"/>
      <c r="H1498" s="6" t="inlineStr">
        <is>
          <t>Salon sahibi depodan çıktı, ikinci bir salonu olduğunu itiraf etti. Mesele bitti; adam sana bir düğün borçlu.</t>
        </is>
      </c>
      <c r="I1498" s="6" t="inlineStr">
        <is>
          <t>Salon sahibi iki aileye indirim yaptı, sana da salonda ömürlük bir masa ayırdı. Masanın üstünde adın yazıyor.</t>
        </is>
      </c>
      <c r="J1498" s="6" t="inlineStr">
        <is>
          <t>Depoya seslendin; cevap gelmedi. Kapıyı çaldın; içeriden bir ses “Burada kimse yok” dedi.</t>
        </is>
      </c>
      <c r="K1498" s="6" t="inlineStr">
        <is>
          <t>Salon sahibi çıktı ve aynı cumartesiye üçüncü bir aileyi de yazdığını itiraf etti. Üç damat, üç kayınpeder, bir masa. Bütün çayları sen ödedin; üç düğünün hiçbirine çağrılmadın.</t>
        </is>
      </c>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c r="AI1498" s="5" t="inlineStr"/>
      <c r="AJ1498" s="5" t="inlineStr"/>
    </row>
    <row r="1499">
      <c r="A1499" s="5" t="inlineStr">
        <is>
          <t>b8-cete-hatir-masasi</t>
        </is>
      </c>
      <c r="B1499" s="5" t="n">
        <v>4</v>
      </c>
      <c r="C1499" s="6" t="inlineStr">
        <is>
          <t>Komiser dostunu iki düğüne de davet ettir</t>
        </is>
      </c>
      <c r="D1499" s="5" t="inlineStr"/>
      <c r="E1499" s="5" t="inlineStr"/>
      <c r="F1499" s="5" t="inlineStr">
        <is>
          <t>Sosyal Radar +1</t>
        </is>
      </c>
      <c r="G1499" s="6" t="inlineStr">
        <is>
          <t>Komiser iki düğüne de davetli çıktı; hangisine gideceğini sana sordu. “İkisine de git” dedin. Gitti, iki salonda da halaya kalktı; o gece kimse kimseyle kavga etmedi.</t>
        </is>
      </c>
      <c r="H1499" s="6" t="inlineStr"/>
      <c r="I1499" s="6" t="inlineStr"/>
      <c r="J1499" s="6" t="inlineStr"/>
      <c r="K1499" s="6" t="inlineStr"/>
      <c r="L1499" s="6" t="inlineStr"/>
      <c r="M1499" s="5" t="inlineStr"/>
      <c r="N1499" s="5" t="inlineStr"/>
      <c r="O1499" s="6" t="inlineStr"/>
      <c r="P1499" s="6" t="inlineStr"/>
      <c r="Q1499" s="5" t="inlineStr"/>
      <c r="R1499" s="5" t="inlineStr">
        <is>
          <t>komiser-tanidik</t>
        </is>
      </c>
      <c r="S1499" s="5" t="inlineStr"/>
      <c r="T1499" s="5" t="inlineStr"/>
      <c r="U1499" s="5" t="inlineStr"/>
      <c r="V1499" s="5" t="inlineStr"/>
      <c r="W1499" s="5" t="inlineStr"/>
      <c r="X1499" s="5" t="inlineStr"/>
      <c r="Y1499" s="5" t="inlineStr"/>
      <c r="Z1499" s="6" t="inlineStr"/>
      <c r="AA1499" s="5" t="inlineStr"/>
      <c r="AB1499" s="5" t="inlineStr"/>
      <c r="AC1499" s="5" t="inlineStr"/>
      <c r="AD1499" s="5" t="inlineStr"/>
      <c r="AE1499" s="5" t="inlineStr"/>
      <c r="AF1499" s="5" t="inlineStr"/>
      <c r="AG1499" s="5" t="inlineStr"/>
      <c r="AH1499" s="5" t="inlineStr"/>
      <c r="AI1499" s="5" t="inlineStr"/>
      <c r="AJ1499" s="5" t="inlineStr"/>
    </row>
    <row r="1500">
      <c r="A1500" s="5" t="inlineStr">
        <is>
          <t>b8-cete-abinin-emekliligi</t>
        </is>
      </c>
      <c r="B1500" s="5" t="n">
        <v>1</v>
      </c>
      <c r="C1500" s="6" t="inlineStr">
        <is>
          <t>Payını al, işleri yeğene bırak</t>
        </is>
      </c>
      <c r="D1500" s="5" t="inlineStr"/>
      <c r="E1500" s="5" t="inlineStr"/>
      <c r="F1500" s="5" t="inlineStr">
        <is>
          <t>İtibar +1, Dayanıklılık +1</t>
        </is>
      </c>
      <c r="G1500" s="6" t="inlineStr">
        <is>
          <t>Abiye bir tespih, yeğene anahtarları verdin; sen oto yıkamada kaldın. Akşamları kahvede yeğen yanından geçerken soruyor: “Bir isteğin var mı?” Çay istiyorsun, getiriyor. Şimdilik.</t>
        </is>
      </c>
      <c r="H1500" s="6" t="inlineStr"/>
      <c r="I1500" s="6" t="inlineStr"/>
      <c r="J1500" s="6" t="inlineStr"/>
      <c r="K1500" s="6" t="inlineStr"/>
      <c r="L1500" s="6" t="inlineStr"/>
      <c r="M1500" s="5" t="inlineStr"/>
      <c r="N1500" s="5" t="inlineStr"/>
      <c r="O1500" s="6" t="inlineStr"/>
      <c r="P1500" s="6" t="inlineStr"/>
      <c r="Q1500" s="5" t="inlineStr"/>
      <c r="R1500" s="5" t="inlineStr"/>
      <c r="S1500" s="5" t="inlineStr"/>
      <c r="T1500" s="5" t="inlineStr"/>
      <c r="U1500" s="5" t="inlineStr"/>
      <c r="V1500" s="5" t="inlineStr"/>
      <c r="W1500" s="5" t="inlineStr"/>
      <c r="X1500" s="5" t="inlineStr"/>
      <c r="Y1500" s="5" t="inlineStr"/>
      <c r="Z1500" s="6" t="inlineStr"/>
      <c r="AA1500" s="5" t="inlineStr"/>
      <c r="AB1500" s="5" t="inlineStr"/>
      <c r="AC1500" s="5" t="inlineStr"/>
      <c r="AD1500" s="5" t="inlineStr"/>
      <c r="AE1500" s="5" t="inlineStr"/>
      <c r="AF1500" s="5" t="inlineStr"/>
      <c r="AG1500" s="5" t="inlineStr"/>
      <c r="AH1500" s="5" t="inlineStr"/>
      <c r="AI1500" s="5" t="inlineStr"/>
      <c r="AJ1500" s="5" t="inlineStr"/>
    </row>
    <row r="1501">
      <c r="A1501" s="5" t="inlineStr">
        <is>
          <t>b8-cete-abinin-emekliligi</t>
        </is>
      </c>
      <c r="B1501" s="5" t="n">
        <v>2</v>
      </c>
      <c r="C1501" s="6" t="inlineStr">
        <is>
          <t>Yeğenle ortak ol</t>
        </is>
      </c>
      <c r="D1501" s="5" t="inlineStr">
        <is>
          <t>Çene</t>
        </is>
      </c>
      <c r="E1501" s="5" t="inlineStr">
        <is>
          <t>Orta</t>
        </is>
      </c>
      <c r="F1501" s="5" t="inlineStr"/>
      <c r="G1501" s="6" t="inlineStr"/>
      <c r="H1501" s="6" t="inlineStr">
        <is>
          <t>Yeğen rakamları, sen insanları yönetiyorsun. İlk toplantıda anlaştınız; ikincide telefonunu cebine koydu.</t>
        </is>
      </c>
      <c r="I1501" s="6" t="inlineStr">
        <is>
          <t>Yeğen seni öyle sevdi ki kartvizitine “Öğrencisi” yazdırdı. Abi bunu görünce yıllardır ilk kez güldü.</t>
        </is>
      </c>
      <c r="J1501" s="6" t="inlineStr">
        <is>
          <t>Ortaklık sözleşmesini yeğen hazırladı. Üç sayfa; senin adın yalnızca imza yerinde.</t>
        </is>
      </c>
      <c r="K1501" s="6" t="inlineStr">
        <is>
          <t>Ortaklığın ilk ayında yeğen masaları değiştirdi. Kahvedeki yerin artık kapının yanı; cereyan var.</t>
        </is>
      </c>
      <c r="L1501" s="6" t="inlineStr"/>
      <c r="M1501" s="5" t="inlineStr"/>
      <c r="N1501" s="5" t="inlineStr"/>
      <c r="O1501" s="6" t="inlineStr"/>
      <c r="P1501" s="6" t="inlineStr"/>
      <c r="Q1501" s="5" t="inlineStr"/>
      <c r="R1501" s="5" t="inlineStr"/>
      <c r="S1501" s="5" t="inlineStr"/>
      <c r="T1501" s="5" t="inlineStr"/>
      <c r="U1501" s="5" t="inlineStr"/>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c r="AI1501" s="5" t="inlineStr"/>
      <c r="AJ1501" s="5" t="inlineStr"/>
    </row>
    <row r="1502">
      <c r="A1502" s="5" t="inlineStr">
        <is>
          <t>b8-cete-abinin-emekliligi</t>
        </is>
      </c>
      <c r="B1502" s="5" t="n">
        <v>3</v>
      </c>
      <c r="C1502" s="6" t="inlineStr">
        <is>
          <t>Bütün işi tek başına devral</t>
        </is>
      </c>
      <c r="D1502" s="5" t="inlineStr">
        <is>
          <t>Cesaret</t>
        </is>
      </c>
      <c r="E1502" s="5" t="inlineStr">
        <is>
          <t>Zor</t>
        </is>
      </c>
      <c r="F1502" s="5" t="inlineStr"/>
      <c r="G1502" s="6" t="inlineStr"/>
      <c r="H1502" s="6" t="inlineStr">
        <is>
          <t>Abinin defterleri, masaları, kahvedeki pencere kenarı artık senin. Yeğen ilk kez gelip elini öptü; dudakları titriyordu.</t>
        </is>
      </c>
      <c r="I1502" s="6" t="inlineStr">
        <is>
          <t>Devir öyle pürüzsüz oldu ki abi bile sana danışmaya başladı. Bayramda elini öpmeye gelenlerin sırası kapıdan taşıyor.</t>
        </is>
      </c>
      <c r="J1502" s="6" t="inlineStr">
        <is>
          <t>Yeğen ayak diredi, abi araya girdi. İşler ikiye bölündü; masanın yarısı senin, çayın tamamı ortak.</t>
        </is>
      </c>
      <c r="K1502" s="6" t="inlineStr">
        <is>
          <t>Devraldığın defterlerde abinin otuz yıllık hesapları da vardı. Savcılık onları senden önce okudu; şimdi hepsinin sahibi sensin.</t>
        </is>
      </c>
      <c r="L1502" s="6" t="inlineStr"/>
      <c r="M1502" s="5" t="inlineStr"/>
      <c r="N1502" s="5" t="inlineStr"/>
      <c r="O1502" s="6" t="inlineStr"/>
      <c r="P1502" s="6" t="inlineStr"/>
      <c r="Q1502" s="5" t="inlineStr"/>
      <c r="R1502" s="5" t="inlineStr"/>
      <c r="S1502" s="5" t="inlineStr"/>
      <c r="T1502" s="5" t="inlineStr">
        <is>
          <t>Mevzuat Kalkanı</t>
        </is>
      </c>
      <c r="U1502" s="5" t="inlineStr"/>
      <c r="V1502" s="5" t="inlineStr">
        <is>
          <t>mahalle-babasi</t>
        </is>
      </c>
      <c r="W1502" s="5" t="inlineStr">
        <is>
          <t>hapis</t>
        </is>
      </c>
      <c r="X1502" s="5" t="inlineStr"/>
      <c r="Y1502" s="5" t="inlineStr"/>
      <c r="Z1502" s="6" t="inlineStr"/>
      <c r="AA1502" s="5" t="inlineStr"/>
      <c r="AB1502" s="5" t="inlineStr"/>
      <c r="AC1502" s="5" t="inlineStr"/>
      <c r="AD1502" s="5" t="inlineStr">
        <is>
          <t>Zengin</t>
        </is>
      </c>
      <c r="AE1502" s="5" t="inlineStr"/>
      <c r="AF1502" s="5" t="inlineStr"/>
      <c r="AG1502" s="5" t="inlineStr"/>
      <c r="AH1502" s="5" t="inlineStr"/>
      <c r="AI1502" s="5" t="inlineStr"/>
      <c r="AJ1502" s="5" t="inlineStr"/>
    </row>
    <row r="1503">
      <c r="A1503" s="5" t="inlineStr">
        <is>
          <t>b8-cete-abinin-emekliligi</t>
        </is>
      </c>
      <c r="B1503" s="5" t="n">
        <v>4</v>
      </c>
      <c r="C1503" s="6" t="inlineStr">
        <is>
          <t>Fotokopiyi abiye hediye et</t>
        </is>
      </c>
      <c r="D1503" s="5" t="inlineStr"/>
      <c r="E1503" s="5" t="inlineStr"/>
      <c r="F1503" s="5" t="inlineStr">
        <is>
          <t>Kurnazlık +1, İtibar +1</t>
        </is>
      </c>
      <c r="G1503" s="6" t="inlineStr">
        <is>
          <t>Fotokopiyi kurdeleyle paketledin. Abi gözlüğünü takıp bir sayfa okudu, güldü: “Bende aslı bile yok artık.” İkiniz de rahatladınız.</t>
        </is>
      </c>
      <c r="H1503" s="6" t="inlineStr"/>
      <c r="I1503" s="6" t="inlineStr"/>
      <c r="J1503" s="6" t="inlineStr"/>
      <c r="K1503" s="6" t="inlineStr"/>
      <c r="L1503" s="6" t="inlineStr"/>
      <c r="M1503" s="5" t="inlineStr"/>
      <c r="N1503" s="5" t="inlineStr"/>
      <c r="O1503" s="6" t="inlineStr"/>
      <c r="P1503" s="6" t="inlineStr"/>
      <c r="Q1503" s="5" t="inlineStr"/>
      <c r="R1503" s="5" t="inlineStr">
        <is>
          <t>abiye-karsi-sigorta</t>
        </is>
      </c>
      <c r="S1503" s="5" t="inlineStr"/>
      <c r="T1503" s="5" t="inlineStr"/>
      <c r="U1503" s="5" t="inlineStr">
        <is>
          <t>-abiye-karsi-sigorta</t>
        </is>
      </c>
      <c r="V1503" s="5" t="inlineStr"/>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c r="AI1503" s="5" t="inlineStr"/>
      <c r="AJ1503" s="5" t="inlineStr"/>
    </row>
    <row r="1504">
      <c r="A1504" s="5" t="inlineStr">
        <is>
          <t>b9-cete-kahvehane</t>
        </is>
      </c>
      <c r="B1504" s="5" t="n">
        <v>1</v>
      </c>
      <c r="C1504" s="6" t="inlineStr">
        <is>
          <t>Hikâyeyi olduğu gibi anlat</t>
        </is>
      </c>
      <c r="D1504" s="5" t="inlineStr"/>
      <c r="E1504" s="5" t="inlineStr"/>
      <c r="F1504" s="5" t="inlineStr">
        <is>
          <t>İtibar +1, Çene +1</t>
        </is>
      </c>
      <c r="G1504" s="6" t="inlineStr">
        <is>
          <t>Gerçeği anlattın: az para, çok çay, bol köpük. Gençler hayal kırıklığıyla dağıldı; biri kaldı, oto yıkamaya çırak oldu.</t>
        </is>
      </c>
      <c r="H1504" s="6" t="inlineStr"/>
      <c r="I1504" s="6" t="inlineStr"/>
      <c r="J1504" s="6" t="inlineStr"/>
      <c r="K1504" s="6" t="inlineStr"/>
      <c r="L1504" s="6" t="inlineStr"/>
      <c r="M1504" s="5" t="inlineStr"/>
      <c r="N1504" s="5" t="inlineStr"/>
      <c r="O1504" s="6" t="inlineStr"/>
      <c r="P1504" s="6" t="inlineStr"/>
      <c r="Q1504" s="5" t="inlineStr"/>
      <c r="R1504" s="5" t="inlineStr"/>
      <c r="S1504" s="5" t="inlineStr"/>
      <c r="T1504" s="5" t="inlineStr"/>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c r="AI1504" s="5" t="inlineStr"/>
      <c r="AJ1504" s="5" t="inlineStr"/>
    </row>
    <row r="1505">
      <c r="A1505" s="5" t="inlineStr">
        <is>
          <t>b9-cete-kahvehane</t>
        </is>
      </c>
      <c r="B1505" s="5" t="n">
        <v>2</v>
      </c>
      <c r="C1505" s="6" t="inlineStr">
        <is>
          <t>Tavlada meydan oku</t>
        </is>
      </c>
      <c r="D1505" s="5" t="inlineStr">
        <is>
          <t>Kurnazlık</t>
        </is>
      </c>
      <c r="E1505" s="5" t="inlineStr">
        <is>
          <t>Orta</t>
        </is>
      </c>
      <c r="F1505" s="5" t="inlineStr"/>
      <c r="G1505" s="6" t="inlineStr"/>
      <c r="H1505" s="6" t="inlineStr">
        <is>
          <t>Mahallenin en iddialı gencini üç el üst üste yendin. Pulları toplarken “Bu işin yarısı zar, yarısı sabır” dedin; hangi iş, soran olmadı.</t>
        </is>
      </c>
      <c r="I1505" s="6" t="inlineStr">
        <is>
          <t>Mars ettin; genç kalkıp elini öptü. Kahvedeki tavlanın kapağına adın yazıldı; tükenmez kalemle.</t>
        </is>
      </c>
      <c r="J1505" s="6" t="inlineStr">
        <is>
          <t>Genç seni yendi. Pulları toplarken elini uzattı: 'Sağ ol büyüğüm.' Mahallede ilk kez biri sana 'büyüğüm' dedi; mağlubiyetten ağır geldi.</t>
        </is>
      </c>
      <c r="K1505" s="6" t="inlineStr">
        <is>
          <t>Mars olmamak için zarı avucunda tuttun, 'Kaydı' dedin. Genç videoya almış. Akşam mahallenin bütün telefonlarında aynı video dönüyordu; adı tek kelime: 'Kaydı.'</t>
        </is>
      </c>
      <c r="L1505" s="6" t="inlineStr"/>
      <c r="M1505" s="5" t="inlineStr"/>
      <c r="N1505" s="5" t="inlineStr"/>
      <c r="O1505" s="6" t="inlineStr"/>
      <c r="P1505" s="6" t="inlineStr"/>
      <c r="Q1505" s="5" t="inlineStr"/>
      <c r="R1505" s="5" t="inlineStr"/>
      <c r="S1505" s="5" t="inlineStr"/>
      <c r="T1505" s="5" t="inlineStr"/>
      <c r="U1505" s="5" t="inlineStr"/>
      <c r="V1505" s="5" t="inlineStr"/>
      <c r="W1505" s="5" t="inlineStr"/>
      <c r="X1505" s="5" t="inlineStr"/>
      <c r="Y1505" s="5" t="inlineStr"/>
      <c r="Z1505" s="6" t="inlineStr"/>
      <c r="AA1505" s="5" t="inlineStr"/>
      <c r="AB1505" s="5" t="inlineStr"/>
      <c r="AC1505" s="5" t="inlineStr"/>
      <c r="AD1505" s="5" t="inlineStr"/>
      <c r="AE1505" s="5" t="inlineStr"/>
      <c r="AF1505" s="5" t="inlineStr"/>
      <c r="AG1505" s="5" t="inlineStr"/>
      <c r="AH1505" s="5" t="inlineStr"/>
      <c r="AI1505" s="5" t="inlineStr">
        <is>
          <t>Kaydı</t>
        </is>
      </c>
      <c r="AJ1505" s="5" t="inlineStr"/>
    </row>
    <row r="1506">
      <c r="A1506" s="5" t="inlineStr">
        <is>
          <t>b9-cete-kahvehane</t>
        </is>
      </c>
      <c r="B1506" s="5" t="n">
        <v>3</v>
      </c>
      <c r="C1506" s="6" t="inlineStr">
        <is>
          <t>Son bir hatır masası kur</t>
        </is>
      </c>
      <c r="D1506" s="5" t="inlineStr">
        <is>
          <t>Cesaret</t>
        </is>
      </c>
      <c r="E1506" s="5" t="inlineStr">
        <is>
          <t>Zor</t>
        </is>
      </c>
      <c r="F1506" s="5" t="inlineStr"/>
      <c r="G1506" s="6" t="inlineStr"/>
      <c r="H1506" s="6" t="inlineStr">
        <is>
          <t>İki gencin otopark kavgasını çayın ilk yudumunda bitirdin. Birinin arabasını yıkattın, ötekine park ettirdin; mantığını soran olmadı.</t>
        </is>
      </c>
      <c r="I1506" s="6" t="inlineStr">
        <is>
          <t>Kavga bitti, gençler ortak oldu; açtıkları dükkânın adı senin adın. Tabelada bir harf ters; bilerek.</t>
        </is>
      </c>
      <c r="J1506" s="6" t="inlineStr">
        <is>
          <t>Gençler seni dinledi, sonra telefondan bir video açıp kendi aralarında çözdüler. Artık danışman değil, izleyicisin.</t>
        </is>
      </c>
      <c r="K1506" s="6" t="inlineStr">
        <is>
          <t>Araya girerken ikisinin de babasının sana borçlu olduğunu hatırlattın. Kavga bitti; iki aile seni bayram listesinden sildi.</t>
        </is>
      </c>
      <c r="L1506" s="6" t="inlineStr"/>
      <c r="M1506" s="5" t="inlineStr"/>
      <c r="N1506" s="5" t="inlineStr"/>
      <c r="O1506" s="6" t="inlineStr"/>
      <c r="P1506" s="6" t="inlineStr"/>
      <c r="Q1506" s="5" t="inlineStr"/>
      <c r="R1506" s="5" t="inlineStr"/>
      <c r="S1506" s="5" t="inlineStr"/>
      <c r="T1506" s="5" t="inlineStr">
        <is>
          <t>Sözü Senet</t>
        </is>
      </c>
      <c r="U1506" s="5" t="inlineStr"/>
      <c r="V1506" s="5" t="inlineStr"/>
      <c r="W1506" s="5" t="inlineStr"/>
      <c r="X1506" s="5" t="inlineStr"/>
      <c r="Y1506" s="5" t="inlineStr"/>
      <c r="Z1506" s="6" t="inlineStr"/>
      <c r="AA1506" s="5" t="inlineStr"/>
      <c r="AB1506" s="5" t="inlineStr"/>
      <c r="AC1506" s="5" t="inlineStr"/>
      <c r="AD1506" s="5" t="inlineStr"/>
      <c r="AE1506" s="5" t="inlineStr"/>
      <c r="AF1506" s="5" t="inlineStr"/>
      <c r="AG1506" s="5" t="inlineStr"/>
      <c r="AH1506" s="5" t="inlineStr"/>
      <c r="AI1506" s="5" t="inlineStr"/>
      <c r="AJ1506" s="5" t="inlineStr"/>
    </row>
    <row r="1507">
      <c r="A1507" s="5" t="inlineStr">
        <is>
          <t>b7-dolandirici-ilan</t>
        </is>
      </c>
      <c r="B1507" s="5" t="n">
        <v>1</v>
      </c>
      <c r="C1507" s="6" t="inlineStr">
        <is>
          <t>İlanı kaldır, eski buzdolabını sat</t>
        </is>
      </c>
      <c r="D1507" s="5" t="inlineStr"/>
      <c r="E1507" s="5" t="inlineStr"/>
      <c r="F1507" s="5" t="inlineStr">
        <is>
          <t>İtibar +1, Akıl +1</t>
        </is>
      </c>
      <c r="G1507" s="6" t="inlineStr">
        <is>
          <t>Manzarayı kaldırıp gerçek buzdolabını koydun. Alıcı kamyonla geldi, buzdolabını aldı, manzaraya da bir kez baktı; bedavaya.</t>
        </is>
      </c>
      <c r="H1507" s="6" t="inlineStr"/>
      <c r="I1507" s="6" t="inlineStr"/>
      <c r="J1507" s="6" t="inlineStr"/>
      <c r="K1507" s="6" t="inlineStr"/>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c r="AI1507" s="5" t="inlineStr"/>
      <c r="AJ1507" s="5" t="inlineStr"/>
    </row>
    <row r="1508">
      <c r="A1508" s="5" t="inlineStr">
        <is>
          <t>b7-dolandirici-ilan</t>
        </is>
      </c>
      <c r="B1508" s="5" t="n">
        <v>2</v>
      </c>
      <c r="C1508" s="6" t="inlineStr">
        <is>
          <t>Manzarayı “pazar günleri kiralık” yap</t>
        </is>
      </c>
      <c r="D1508" s="5" t="inlineStr">
        <is>
          <t>Pişkinlik</t>
        </is>
      </c>
      <c r="E1508" s="5" t="inlineStr">
        <is>
          <t>Orta</t>
        </is>
      </c>
      <c r="F1508" s="5" t="inlineStr"/>
      <c r="G1508" s="6" t="inlineStr"/>
      <c r="H1508" s="6" t="inlineStr">
        <is>
          <t>Alıcı her pazar balkonuna gelip bir saat denize bakıyor; parasını peşin ödedi. Çekirdek kabukları senin.</t>
        </is>
      </c>
      <c r="I1508" s="6" t="inlineStr">
        <is>
          <t>Alıcı arkadaşlarına da önerdi; pazar günleri balkonda sıra var. Komşu da kendi balkonunda “benzer manzara” açtı.</t>
        </is>
      </c>
      <c r="J1508" s="6" t="inlineStr">
        <is>
          <t>Alıcı balkona çıktı, denize baktı, sana baktı: “Deniz nerede?” Gösterdin; parmak kadar. Gitti.</t>
        </is>
      </c>
      <c r="K1508" s="6" t="inlineStr">
        <is>
          <t>Alıcı ilanı apartman grubuna attı. Artık sana “Manzaracı” diyorlar; yönetici aidata manzara farkı ekledi.</t>
        </is>
      </c>
      <c r="L1508" s="6" t="inlineStr"/>
      <c r="M1508" s="5" t="inlineStr"/>
      <c r="N1508" s="5" t="inlineStr"/>
      <c r="O1508" s="6" t="inlineStr"/>
      <c r="P1508" s="6" t="inlineStr"/>
      <c r="Q1508" s="5" t="inlineStr"/>
      <c r="R1508" s="5" t="inlineStr"/>
      <c r="S1508" s="5" t="inlineStr"/>
      <c r="T1508" s="5" t="inlineStr"/>
      <c r="U1508" s="5" t="inlineStr"/>
      <c r="V1508" s="5" t="inlineStr"/>
      <c r="W1508" s="5" t="inlineStr">
        <is>
          <t>yalanci</t>
        </is>
      </c>
      <c r="X1508" s="5" t="inlineStr"/>
      <c r="Y1508" s="5" t="inlineStr"/>
      <c r="Z1508" s="6" t="inlineStr"/>
      <c r="AA1508" s="5" t="inlineStr"/>
      <c r="AB1508" s="5" t="inlineStr"/>
      <c r="AC1508" s="5" t="inlineStr"/>
      <c r="AD1508" s="5" t="inlineStr"/>
      <c r="AE1508" s="5" t="inlineStr"/>
      <c r="AF1508" s="5" t="inlineStr"/>
      <c r="AG1508" s="5" t="inlineStr"/>
      <c r="AH1508" s="5" t="inlineStr"/>
      <c r="AI1508" s="5" t="inlineStr">
        <is>
          <t>Manzaracı</t>
        </is>
      </c>
      <c r="AJ1508" s="5" t="inlineStr"/>
    </row>
    <row r="1509">
      <c r="A1509" s="5" t="inlineStr">
        <is>
          <t>b7-dolandirici-ilan</t>
        </is>
      </c>
      <c r="B1509" s="5" t="n">
        <v>3</v>
      </c>
      <c r="C1509" s="6" t="inlineStr">
        <is>
          <t>Kamyoncuyu başka işe yönlendir</t>
        </is>
      </c>
      <c r="D1509" s="5" t="inlineStr">
        <is>
          <t>Kurnazlık</t>
        </is>
      </c>
      <c r="E1509" s="5" t="inlineStr">
        <is>
          <t>Orta</t>
        </is>
      </c>
      <c r="F1509" s="5" t="inlineStr"/>
      <c r="G1509" s="6" t="inlineStr"/>
      <c r="H1509" s="6" t="inlineStr">
        <is>
          <t>Kamyoncuyu komşunun taşınmasına yönlendirdin. Komşu memnun, kamyoncu memnun; sen aracılık ücretini aldın. İlk dürüst paran.</t>
        </is>
      </c>
      <c r="I1509" s="6" t="inlineStr">
        <is>
          <t>Kamyoncuyla ortak nakliye ilanı açtınız. İş gerçek, kamyon gerçek; bir tek ilandaki adın uydurma.</t>
        </is>
      </c>
      <c r="J1509" s="6" t="inlineStr">
        <is>
          <t>Kamyoncu seni dinlemedi, balkon korkuluğunu ölçmeye başladı. Şerit metreyle peşinden koştun.</t>
        </is>
      </c>
      <c r="K1509" s="6" t="inlineStr">
        <is>
          <t>Kamyoncu manzarayı sökemeyince balkondaki saksıları yükledi. Nakliye ücretini de sen ödedin.</t>
        </is>
      </c>
      <c r="L1509" s="6" t="inlineStr"/>
      <c r="M1509" s="5" t="inlineStr"/>
      <c r="N1509" s="5" t="inlineStr"/>
      <c r="O1509" s="6" t="inlineStr"/>
      <c r="P1509" s="6" t="inlineStr"/>
      <c r="Q1509" s="5" t="inlineStr"/>
      <c r="R1509" s="5" t="inlineStr"/>
      <c r="S1509" s="5" t="inlineStr"/>
      <c r="T1509" s="5" t="inlineStr"/>
      <c r="U1509" s="5" t="inlineStr"/>
      <c r="V1509" s="5" t="inlineStr"/>
      <c r="W1509" s="5" t="inlineStr"/>
      <c r="X1509" s="5" t="inlineStr"/>
      <c r="Y1509" s="5" t="inlineStr"/>
      <c r="Z1509" s="6" t="inlineStr"/>
      <c r="AA1509" s="5" t="inlineStr"/>
      <c r="AB1509" s="5" t="inlineStr"/>
      <c r="AC1509" s="5" t="inlineStr"/>
      <c r="AD1509" s="5" t="inlineStr"/>
      <c r="AE1509" s="5" t="inlineStr"/>
      <c r="AF1509" s="5" t="inlineStr"/>
      <c r="AG1509" s="5" t="inlineStr"/>
      <c r="AH1509" s="5" t="inlineStr"/>
      <c r="AI1509" s="5" t="inlineStr"/>
      <c r="AJ1509" s="5" t="inlineStr"/>
    </row>
    <row r="1510">
      <c r="A1510" s="5" t="inlineStr">
        <is>
          <t>b7-dolandirici-kurs</t>
        </is>
      </c>
      <c r="B1510" s="5" t="n">
        <v>1</v>
      </c>
      <c r="C1510" s="6" t="inlineStr">
        <is>
          <t>Kürsüye çık: “Kolay para yok”</t>
        </is>
      </c>
      <c r="D1510" s="5" t="inlineStr"/>
      <c r="E1510" s="5" t="inlineStr"/>
      <c r="F1510" s="5" t="inlineStr">
        <is>
          <t>İtibar +1, Cesaret +1</t>
        </is>
      </c>
      <c r="G1510" s="6" t="inlineStr">
        <is>
          <t>“Kolay para yok” dedin, indin. Salon üç saniye sustu, sonra alkışladı; ders buymuş sandılar. Biletleri iade ettin; teyze defterine yalnızca bunu yazdı.</t>
        </is>
      </c>
      <c r="H1510" s="6" t="inlineStr"/>
      <c r="I1510" s="6" t="inlineStr"/>
      <c r="J1510" s="6" t="inlineStr"/>
      <c r="K1510" s="6" t="inlineStr"/>
      <c r="L1510" s="6" t="inlineStr"/>
      <c r="M1510" s="5" t="inlineStr"/>
      <c r="N1510" s="5" t="inlineStr"/>
      <c r="O1510" s="6" t="inlineStr"/>
      <c r="P1510" s="6" t="inlineStr"/>
      <c r="Q1510" s="5" t="inlineStr"/>
      <c r="R1510" s="5" t="inlineStr"/>
      <c r="S1510" s="5" t="inlineStr"/>
      <c r="T1510" s="5" t="inlineStr"/>
      <c r="U1510" s="5" t="inlineStr">
        <is>
          <t>vicdan-sesi</t>
        </is>
      </c>
      <c r="V1510" s="5" t="inlineStr"/>
      <c r="W1510" s="5" t="inlineStr"/>
      <c r="X1510" s="5" t="inlineStr"/>
      <c r="Y1510" s="5" t="inlineStr"/>
      <c r="Z1510" s="6" t="inlineStr"/>
      <c r="AA1510" s="5" t="inlineStr"/>
      <c r="AB1510" s="5" t="inlineStr"/>
      <c r="AC1510" s="5" t="inlineStr"/>
      <c r="AD1510" s="5" t="inlineStr"/>
      <c r="AE1510" s="5" t="inlineStr"/>
      <c r="AF1510" s="5" t="inlineStr"/>
      <c r="AG1510" s="5" t="inlineStr"/>
      <c r="AH1510" s="5" t="inlineStr"/>
      <c r="AI1510" s="5" t="inlineStr"/>
      <c r="AJ1510" s="5" t="inlineStr"/>
    </row>
    <row r="1511">
      <c r="A1511" s="5" t="inlineStr">
        <is>
          <t>b7-dolandirici-kurs</t>
        </is>
      </c>
      <c r="B1511" s="5" t="n">
        <v>2</v>
      </c>
      <c r="C1511" s="6" t="inlineStr">
        <is>
          <t>Sahnede motivasyon yağdır</t>
        </is>
      </c>
      <c r="D1511" s="5" t="inlineStr">
        <is>
          <t>Pişkinlik</t>
        </is>
      </c>
      <c r="E1511" s="5" t="inlineStr">
        <is>
          <t>Zor</t>
        </is>
      </c>
      <c r="F1511" s="5" t="inlineStr"/>
      <c r="G1511" s="6" t="inlineStr"/>
      <c r="H1511" s="6" t="inlineStr">
        <is>
          <t>Üç saat konuştun, hiçbir şey söylemedin, herkes not aldı. Çıkışta imza kuyruğu oluştu; imzaladığın şey kendi fotoğrafın.</t>
        </is>
      </c>
      <c r="I1511" s="6" t="inlineStr">
        <is>
          <t>Salon ayağa kalktı, biri “Hocam!” diye bağırdı. Ertesi hafta iki salon kiraladın; ikincisinde sen yoksun, fotoğrafın var.</t>
        </is>
      </c>
      <c r="J1511" s="6" t="inlineStr">
        <is>
          <t>Motivasyon cümleleri bitti, süre bitmedi. Son saati “Soru var mı?” diyerek geçirdin; soru yoktu.</t>
        </is>
      </c>
      <c r="K1511" s="6" t="inlineStr">
        <is>
          <t>Teyze kursu telefonundan canlı yayınladı. Ertesi gün bir haber sitesinde: “Akademinin içi boş çıktı.” Haberin altına ilk yorumu annen yazdı: “Benim çocuğum öyle değildir.”</t>
        </is>
      </c>
      <c r="L1511" s="6" t="inlineStr"/>
      <c r="M1511" s="5" t="inlineStr"/>
      <c r="N1511" s="5" t="inlineStr"/>
      <c r="O1511" s="6" t="inlineStr"/>
      <c r="P1511" s="6" t="inlineStr"/>
      <c r="Q1511" s="5" t="inlineStr"/>
      <c r="R1511" s="5" t="inlineStr"/>
      <c r="S1511" s="5" t="inlineStr"/>
      <c r="T1511" s="5" t="inlineStr">
        <is>
          <t>Sahne Sever</t>
        </is>
      </c>
      <c r="U1511" s="5" t="inlineStr"/>
      <c r="V1511" s="5" t="inlineStr">
        <is>
          <t>kolay-para-gurusu</t>
        </is>
      </c>
      <c r="W1511" s="5" t="inlineStr">
        <is>
          <t>ifsa-oldu</t>
        </is>
      </c>
      <c r="X1511" s="5" t="inlineStr"/>
      <c r="Y1511" s="5" t="inlineStr"/>
      <c r="Z1511" s="6" t="inlineStr"/>
      <c r="AA1511" s="5" t="inlineStr"/>
      <c r="AB1511" s="5" t="inlineStr"/>
      <c r="AC1511" s="5" t="inlineStr"/>
      <c r="AD1511" s="5" t="inlineStr">
        <is>
          <t>Rahat</t>
        </is>
      </c>
      <c r="AE1511" s="5" t="inlineStr"/>
      <c r="AF1511" s="5" t="inlineStr"/>
      <c r="AG1511" s="5" t="inlineStr"/>
      <c r="AH1511" s="5" t="inlineStr"/>
      <c r="AI1511" s="5" t="inlineStr"/>
      <c r="AJ1511" s="5" t="inlineStr"/>
    </row>
    <row r="1512">
      <c r="A1512" s="5" t="inlineStr">
        <is>
          <t>b7-dolandirici-kurs</t>
        </is>
      </c>
      <c r="B1512" s="5" t="n">
        <v>3</v>
      </c>
      <c r="C1512" s="6" t="inlineStr">
        <is>
          <t>Kursu kameraya çekip sat</t>
        </is>
      </c>
      <c r="D1512" s="5" t="inlineStr">
        <is>
          <t>Kurnazlık</t>
        </is>
      </c>
      <c r="E1512" s="5" t="inlineStr">
        <is>
          <t>Orta</t>
        </is>
      </c>
      <c r="F1512" s="5" t="inlineStr"/>
      <c r="G1512" s="6" t="inlineStr"/>
      <c r="H1512" s="6" t="inlineStr">
        <is>
          <t>Kursu kameraya çektin, internetten sattın. Salon kirası yok, teyze yok, soru yok; yorumların hepsi dört yıldız.</t>
        </is>
      </c>
      <c r="I1512" s="6" t="inlineStr">
        <is>
          <t>Video öyle yayıldı ki biri senin kursunu kopyalayıp satmaya başladı. Kolay parayı senden kolayca aldı.</t>
        </is>
      </c>
      <c r="J1512" s="6" t="inlineStr">
        <is>
          <t>Çekim sırasında pankartın yarısı düştü; geriye “Para Akademisi” kaldı. Fazla ciddi durdu, satmadı.</t>
        </is>
      </c>
      <c r="K1512" s="6" t="inlineStr">
        <is>
          <t>Kamerayı ters tuttun. Üç saatlik kursun tamamı tavan. Yorumlar tavanı beğendi.</t>
        </is>
      </c>
      <c r="L1512" s="6" t="inlineStr"/>
      <c r="M1512" s="5" t="inlineStr"/>
      <c r="N1512" s="5" t="inlineStr"/>
      <c r="O1512" s="6" t="inlineStr"/>
      <c r="P1512" s="6" t="inlineStr"/>
      <c r="Q1512" s="5" t="inlineStr"/>
      <c r="R1512" s="5" t="inlineStr"/>
      <c r="S1512" s="5" t="inlineStr"/>
      <c r="T1512" s="5" t="inlineStr"/>
      <c r="U1512" s="5" t="inlineStr"/>
      <c r="V1512" s="5" t="inlineStr">
        <is>
          <t>kolay-para-gurusu</t>
        </is>
      </c>
      <c r="W1512" s="5" t="inlineStr"/>
      <c r="X1512" s="5" t="inlineStr"/>
      <c r="Y1512" s="5" t="inlineStr"/>
      <c r="Z1512" s="6" t="inlineStr"/>
      <c r="AA1512" s="5" t="inlineStr"/>
      <c r="AB1512" s="5" t="inlineStr"/>
      <c r="AC1512" s="5" t="inlineStr"/>
      <c r="AD1512" s="5" t="inlineStr"/>
      <c r="AE1512" s="5" t="inlineStr"/>
      <c r="AF1512" s="5" t="inlineStr"/>
      <c r="AG1512" s="5" t="inlineStr"/>
      <c r="AH1512" s="5" t="inlineStr"/>
      <c r="AI1512" s="5" t="inlineStr"/>
      <c r="AJ1512" s="5" t="inlineStr"/>
    </row>
    <row r="1513">
      <c r="A1513" s="5" t="inlineStr">
        <is>
          <t>b7-dolandirici-kurs</t>
        </is>
      </c>
      <c r="B1513" s="5" t="n">
        <v>4</v>
      </c>
      <c r="C1513" s="6" t="inlineStr">
        <is>
          <t>Ara verip teyzeyle konuş</t>
        </is>
      </c>
      <c r="D1513" s="5" t="inlineStr">
        <is>
          <t>Sosyal Radar</t>
        </is>
      </c>
      <c r="E1513" s="5" t="inlineStr">
        <is>
          <t>Orta</t>
        </is>
      </c>
      <c r="F1513" s="5" t="inlineStr"/>
      <c r="G1513" s="6" t="inlineStr"/>
      <c r="H1513" s="6" t="inlineStr">
        <is>
          <t>Teyze, telefonu kapattığın emekli öğretmenin arkadaşıymış: “O seni anlatmıştı.” Kursu yarıda kesip teyzeye çay ısmarladın.</t>
        </is>
      </c>
      <c r="I1513" s="6" t="inlineStr">
        <is>
          <t>Teyze kürsüye çıkıp salona gerçek bir birikim dersi verdi. Sen arka sırada not aldın; ilk kez.</t>
        </is>
      </c>
      <c r="J1513" s="6" t="inlineStr">
        <is>
          <t>Teyzeyle konuştun ama salon bekliyordu. Kürsüye döndüğünde ne diyeceğini unutmuştun; kimse fark etmedi.</t>
        </is>
      </c>
      <c r="K1513" s="6" t="inlineStr">
        <is>
          <t>Teyze seni tanıdı, ayağa kalktı: “Sen o telefondaki çocuksun!” Salona döndü: “Arkadaşımı dolandıracaktı, son anda vazgeçti.” Salonun yarısı “Aferin” dedi, yarısı biletini geri istedi. Hepsi aynı anda.</t>
        </is>
      </c>
      <c r="L1513" s="6" t="inlineStr"/>
      <c r="M1513" s="5" t="inlineStr"/>
      <c r="N1513" s="5" t="inlineStr"/>
      <c r="O1513" s="6" t="inlineStr"/>
      <c r="P1513" s="6" t="inlineStr"/>
      <c r="Q1513" s="5" t="inlineStr"/>
      <c r="R1513" s="5" t="inlineStr">
        <is>
          <t>vicdan-sesi</t>
        </is>
      </c>
      <c r="S1513" s="5" t="inlineStr"/>
      <c r="T1513" s="5" t="inlineStr"/>
      <c r="U1513" s="5" t="inlineStr"/>
      <c r="V1513" s="5" t="inlineStr"/>
      <c r="W1513" s="5" t="inlineStr"/>
      <c r="X1513" s="5" t="inlineStr"/>
      <c r="Y1513" s="5" t="inlineStr"/>
      <c r="Z1513" s="6" t="inlineStr"/>
      <c r="AA1513" s="5" t="inlineStr"/>
      <c r="AB1513" s="5" t="inlineStr"/>
      <c r="AC1513" s="5" t="inlineStr"/>
      <c r="AD1513" s="5" t="inlineStr"/>
      <c r="AE1513" s="5" t="inlineStr"/>
      <c r="AF1513" s="5" t="inlineStr"/>
      <c r="AG1513" s="5" t="inlineStr"/>
      <c r="AH1513" s="5" t="inlineStr"/>
      <c r="AI1513" s="5" t="inlineStr"/>
      <c r="AJ1513" s="5" t="inlineStr"/>
    </row>
    <row r="1514">
      <c r="A1514" s="5" t="inlineStr">
        <is>
          <t>b7-dolandirici-kulup</t>
        </is>
      </c>
      <c r="B1514" s="5" t="n">
        <v>1</v>
      </c>
      <c r="C1514" s="6" t="inlineStr">
        <is>
          <t>Kulübü dağıt, kasayı paylaştır</t>
        </is>
      </c>
      <c r="D1514" s="5" t="inlineStr"/>
      <c r="E1514" s="5" t="inlineStr"/>
      <c r="F1514" s="5" t="inlineStr">
        <is>
          <t>İtibar +1, Akıl +1</t>
        </is>
      </c>
      <c r="G1514" s="6" t="inlineStr">
        <is>
          <t>Kasadakini üyelere paylaştırdın; herkese biraz eksik düştü. Kulüp dağıldı, mesaj grubu dağılmadı. Her sabah biri “Günaydın” yazıyor.</t>
        </is>
      </c>
      <c r="H1514" s="6" t="inlineStr"/>
      <c r="I1514" s="6" t="inlineStr"/>
      <c r="J1514" s="6" t="inlineStr"/>
      <c r="K1514" s="6" t="inlineStr"/>
      <c r="L1514" s="6" t="inlineStr"/>
      <c r="M1514" s="5" t="inlineStr"/>
      <c r="N1514" s="5" t="inlineStr"/>
      <c r="O1514" s="6" t="inlineStr"/>
      <c r="P1514" s="6" t="inlineStr"/>
      <c r="Q1514" s="5" t="inlineStr"/>
      <c r="R1514" s="5" t="inlineStr"/>
      <c r="S1514" s="5" t="inlineStr"/>
      <c r="T1514" s="5" t="inlineStr"/>
      <c r="U1514" s="5" t="inlineStr">
        <is>
          <t>paralari-iade</t>
        </is>
      </c>
      <c r="V1514" s="5" t="inlineStr"/>
      <c r="W1514" s="5" t="inlineStr"/>
      <c r="X1514" s="5" t="inlineStr"/>
      <c r="Y1514" s="5" t="inlineStr"/>
      <c r="Z1514" s="6" t="inlineStr"/>
      <c r="AA1514" s="5" t="inlineStr"/>
      <c r="AB1514" s="5" t="inlineStr"/>
      <c r="AC1514" s="5" t="inlineStr"/>
      <c r="AD1514" s="5" t="inlineStr"/>
      <c r="AE1514" s="5" t="inlineStr"/>
      <c r="AF1514" s="5" t="n">
        <v>1</v>
      </c>
      <c r="AG1514" s="5" t="inlineStr"/>
      <c r="AH1514" s="5" t="inlineStr"/>
      <c r="AI1514" s="5" t="inlineStr"/>
      <c r="AJ1514" s="5" t="inlineStr"/>
    </row>
    <row r="1515">
      <c r="A1515" s="5" t="inlineStr">
        <is>
          <t>b7-dolandirici-kulup</t>
        </is>
      </c>
      <c r="B1515" s="5" t="n">
        <v>2</v>
      </c>
      <c r="C1515" s="6" t="inlineStr">
        <is>
          <t>Peçeteyi büyük ekrana yansıt</t>
        </is>
      </c>
      <c r="D1515" s="5" t="inlineStr">
        <is>
          <t>Pişkinlik</t>
        </is>
      </c>
      <c r="E1515" s="5" t="inlineStr">
        <is>
          <t>Orta</t>
        </is>
      </c>
      <c r="F1515" s="5" t="inlineStr"/>
      <c r="G1515" s="6" t="inlineStr"/>
      <c r="H1515" s="6" t="inlineStr">
        <is>
          <t>Peçete dev ekranda bir yatırım tablosuna benzedi. Üyeler güneşe bakıp ikna oldu; toplantı alkışla bitti.</t>
        </is>
      </c>
      <c r="I1515" s="6" t="inlineStr">
        <is>
          <t>Üyelerden biri peçeteyi çerçevelemek için satın aldı. Kulübün bu ayki tek kârı buydu ve fena değildi.</t>
        </is>
      </c>
      <c r="J1515" s="6" t="inlineStr">
        <is>
          <t>Ekran peçetenin arkasını gösterdi: kafenin adı ve bir telefon numarası. Numarayı birkaç kişi kaydetti.</t>
        </is>
      </c>
      <c r="K1515" s="6" t="inlineStr">
        <is>
          <t>Peçetenin köşesinde alışveriş listen vardı. En alttaki satır: “Bavul.” Altı çizili.</t>
        </is>
      </c>
      <c r="L1515" s="6" t="inlineStr"/>
      <c r="M1515" s="5" t="inlineStr"/>
      <c r="N1515" s="5" t="inlineStr"/>
      <c r="O1515" s="6" t="inlineStr"/>
      <c r="P1515" s="6" t="inlineStr"/>
      <c r="Q1515" s="5" t="inlineStr"/>
      <c r="R1515" s="5" t="inlineStr"/>
      <c r="S1515" s="5" t="inlineStr"/>
      <c r="T1515" s="5" t="inlineStr"/>
      <c r="U1515" s="5" t="inlineStr"/>
      <c r="V1515" s="5" t="inlineStr"/>
      <c r="W1515" s="5" t="inlineStr"/>
      <c r="X1515" s="5" t="inlineStr"/>
      <c r="Y1515" s="5" t="inlineStr"/>
      <c r="Z1515" s="6" t="inlineStr"/>
      <c r="AA1515" s="5" t="inlineStr"/>
      <c r="AB1515" s="5" t="inlineStr"/>
      <c r="AC1515" s="5" t="inlineStr"/>
      <c r="AD1515" s="5" t="inlineStr"/>
      <c r="AE1515" s="5" t="inlineStr"/>
      <c r="AF1515" s="5" t="inlineStr"/>
      <c r="AG1515" s="5" t="inlineStr"/>
      <c r="AH1515" s="5" t="inlineStr"/>
      <c r="AI1515" s="5" t="inlineStr"/>
      <c r="AJ1515" s="5" t="inlineStr"/>
    </row>
    <row r="1516">
      <c r="A1516" s="5" t="inlineStr">
        <is>
          <t>b7-dolandirici-kulup</t>
        </is>
      </c>
      <c r="B1516" s="5" t="n">
        <v>3</v>
      </c>
      <c r="C1516" s="6" t="inlineStr">
        <is>
          <t>Büyük bir “yeni fırsat” duyur</t>
        </is>
      </c>
      <c r="D1516" s="5" t="inlineStr">
        <is>
          <t>Kurnazlık</t>
        </is>
      </c>
      <c r="E1516" s="5" t="inlineStr">
        <is>
          <t>Zor</t>
        </is>
      </c>
      <c r="F1516" s="5" t="inlineStr"/>
      <c r="G1516" s="6" t="inlineStr"/>
      <c r="H1516" s="6" t="inlineStr">
        <is>
          <t>Yeni fırsatın adını söyledin; ne olduğunu kimse sormadı, herkes katıldı. Toplantı bitmeden kulübün adı “Altın Dal” oldu.</t>
        </is>
      </c>
      <c r="I1516" s="6" t="inlineStr">
        <is>
          <t>Kafenin sahibi de üye oldu; toplantıların çayı artık bedava. Kulüp büyüdü; neden büyüdüğünü kimse sormuyor.</t>
        </is>
      </c>
      <c r="J1516" s="6" t="inlineStr">
        <is>
          <t>“Yeni fırsat” dediğin anda garson “Bu ay üçüncü” dedi. Üyeler dağıldı; hesap sana kaldı.</t>
        </is>
      </c>
      <c r="K1516" s="6" t="inlineStr">
        <is>
          <t>“Yeni fırsat” dediğin anda üyelerden birinin annesi ayağa kalktı: “Oğlum, bu bizim bakkala da aynı fırsatı anlattı.” Bakkal da üyeymiş; şikâyetçi de o. Bir sonraki toplantı adliye koridorunda.</t>
        </is>
      </c>
      <c r="L1516" s="6" t="inlineStr"/>
      <c r="M1516" s="5" t="inlineStr"/>
      <c r="N1516" s="5" t="inlineStr"/>
      <c r="O1516" s="6" t="inlineStr"/>
      <c r="P1516" s="6" t="inlineStr"/>
      <c r="Q1516" s="5" t="inlineStr"/>
      <c r="R1516" s="5" t="inlineStr"/>
      <c r="S1516" s="5" t="inlineStr"/>
      <c r="T1516" s="5" t="inlineStr">
        <is>
          <t>Tablo Ustası</t>
        </is>
      </c>
      <c r="U1516" s="5" t="inlineStr"/>
      <c r="V1516" s="5" t="inlineStr"/>
      <c r="W1516" s="5" t="inlineStr">
        <is>
          <t>hapis</t>
        </is>
      </c>
      <c r="X1516" s="5" t="inlineStr"/>
      <c r="Y1516" s="5" t="inlineStr"/>
      <c r="Z1516" s="6" t="inlineStr"/>
      <c r="AA1516" s="5" t="inlineStr"/>
      <c r="AB1516" s="5" t="inlineStr"/>
      <c r="AC1516" s="5" t="inlineStr"/>
      <c r="AD1516" s="5" t="inlineStr">
        <is>
          <t>Rahat</t>
        </is>
      </c>
      <c r="AE1516" s="5" t="inlineStr"/>
      <c r="AF1516" s="5" t="inlineStr"/>
      <c r="AG1516" s="5" t="inlineStr"/>
      <c r="AH1516" s="5" t="inlineStr"/>
      <c r="AI1516" s="5" t="inlineStr"/>
      <c r="AJ1516" s="5" t="inlineStr"/>
    </row>
    <row r="1517">
      <c r="A1517" s="5" t="inlineStr">
        <is>
          <t>b8-dolandirici-kitap</t>
        </is>
      </c>
      <c r="B1517" s="5" t="n">
        <v>1</v>
      </c>
      <c r="C1517" s="6" t="inlineStr">
        <is>
          <t>Boş sayfaları “düşünme alanı” diye anlat</t>
        </is>
      </c>
      <c r="D1517" s="5" t="inlineStr"/>
      <c r="E1517" s="5" t="inlineStr"/>
      <c r="F1517" s="5" t="inlineStr">
        <is>
          <t>Pişkinlik +1, Çene +1</t>
        </is>
      </c>
      <c r="G1517" s="6" t="inlineStr">
        <is>
          <t>“O sayfalar okurun kendi yolu” dedin. Sunucu etkilendi, kitap ikinci baskıya girdi. İkinci baskıda boş sayfa sayısı arttı.</t>
        </is>
      </c>
      <c r="H1517" s="6" t="inlineStr"/>
      <c r="I1517" s="6" t="inlineStr"/>
      <c r="J1517" s="6" t="inlineStr"/>
      <c r="K1517" s="6" t="inlineStr"/>
      <c r="L1517" s="6" t="inlineStr"/>
      <c r="M1517" s="5" t="inlineStr"/>
      <c r="N1517" s="5" t="inlineStr"/>
      <c r="O1517" s="6" t="inlineStr"/>
      <c r="P1517" s="6" t="inlineStr"/>
      <c r="Q1517" s="5" t="inlineStr"/>
      <c r="R1517" s="5" t="inlineStr"/>
      <c r="S1517" s="5" t="inlineStr"/>
      <c r="T1517" s="5" t="inlineStr"/>
      <c r="U1517" s="5" t="inlineStr"/>
      <c r="V1517" s="5" t="inlineStr"/>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c r="AI1517" s="5" t="inlineStr"/>
      <c r="AJ1517" s="5" t="inlineStr"/>
    </row>
    <row r="1518">
      <c r="A1518" s="5" t="inlineStr">
        <is>
          <t>b8-dolandirici-kitap</t>
        </is>
      </c>
      <c r="B1518" s="5" t="n">
        <v>2</v>
      </c>
      <c r="C1518" s="6" t="inlineStr">
        <is>
          <t>Yedi yolu canlı yayında uydur</t>
        </is>
      </c>
      <c r="D1518" s="5" t="inlineStr">
        <is>
          <t>Çene</t>
        </is>
      </c>
      <c r="E1518" s="5" t="inlineStr">
        <is>
          <t>Orta</t>
        </is>
      </c>
      <c r="F1518" s="5" t="inlineStr"/>
      <c r="G1518" s="6" t="inlineStr"/>
      <c r="H1518" s="6" t="inlineStr">
        <is>
          <t>Yedi yolu tek tek uydurdun; beşincide sunucu not almaya başladı. Yeni baskıda o yollar var, senin bile hatırlamadığın.</t>
        </is>
      </c>
      <c r="I1518" s="6" t="inlineStr">
        <is>
          <t>Uydurduğun yedinci yol “Erken kalk” oldu. İzleyiciler sabah beşte uyanmaya başladı; kitap tükendi.</t>
        </is>
      </c>
      <c r="J1518" s="6" t="inlineStr">
        <is>
          <t>Üçüncü yolda takıldın, dördüncüyü birincinin tekrarı yaptın. Sunucu “Yedi değil, üç” diye özetledi.</t>
        </is>
      </c>
      <c r="K1518" s="6" t="inlineStr">
        <is>
          <t>Yollardan biri “Borç al, sonra düşün” oldu. Yayından sonra bankalar kitabı tavsiye etti; okurlar etmedi.</t>
        </is>
      </c>
      <c r="L1518" s="6" t="inlineStr"/>
      <c r="M1518" s="5" t="inlineStr"/>
      <c r="N1518" s="5" t="inlineStr"/>
      <c r="O1518" s="6" t="inlineStr"/>
      <c r="P1518" s="6" t="inlineStr"/>
      <c r="Q1518" s="5" t="inlineStr"/>
      <c r="R1518" s="5" t="inlineStr"/>
      <c r="S1518" s="5" t="inlineStr"/>
      <c r="T1518" s="5" t="inlineStr"/>
      <c r="U1518" s="5" t="inlineStr"/>
      <c r="V1518" s="5" t="inlineStr"/>
      <c r="W1518" s="5" t="inlineStr"/>
      <c r="X1518" s="5" t="inlineStr"/>
      <c r="Y1518" s="5" t="inlineStr"/>
      <c r="Z1518" s="6" t="inlineStr"/>
      <c r="AA1518" s="5" t="inlineStr"/>
      <c r="AB1518" s="5" t="inlineStr"/>
      <c r="AC1518" s="5" t="inlineStr"/>
      <c r="AD1518" s="5" t="inlineStr"/>
      <c r="AE1518" s="5" t="inlineStr"/>
      <c r="AF1518" s="5" t="inlineStr"/>
      <c r="AG1518" s="5" t="inlineStr"/>
      <c r="AH1518" s="5" t="inlineStr"/>
      <c r="AI1518" s="5" t="inlineStr"/>
      <c r="AJ1518" s="5" t="inlineStr"/>
    </row>
    <row r="1519">
      <c r="A1519" s="5" t="inlineStr">
        <is>
          <t>b8-dolandirici-kitap</t>
        </is>
      </c>
      <c r="B1519" s="5" t="n">
        <v>3</v>
      </c>
      <c r="C1519" s="6" t="inlineStr">
        <is>
          <t>Reklam arasında sunucuya kurs sat</t>
        </is>
      </c>
      <c r="D1519" s="5" t="inlineStr">
        <is>
          <t>Kurnazlık</t>
        </is>
      </c>
      <c r="E1519" s="5" t="inlineStr">
        <is>
          <t>Orta</t>
        </is>
      </c>
      <c r="F1519" s="5" t="inlineStr"/>
      <c r="G1519" s="6" t="inlineStr"/>
      <c r="H1519" s="6" t="inlineStr">
        <is>
          <t>Reklam arasında sunucuya kursu anlattın; ertesi gün kayıt oldu. Programın bütün ekibi artık öğrencin, kameraman hariç.</t>
        </is>
      </c>
      <c r="I1519" s="6" t="inlineStr">
        <is>
          <t>Sunucu kursu kendi programında övdü. Kameraman da kaydoldu; artık kimse çekmiyor.</t>
        </is>
      </c>
      <c r="J1519" s="6" t="inlineStr">
        <is>
          <t>Sunucu dinledi, “Bizim kanalın da böyle bir kursu var” dedi. Onunki daha pahalıymış.</t>
        </is>
      </c>
      <c r="K1519" s="6" t="inlineStr">
        <is>
          <t>Reklam arası sandığın an canlı yayındaymış. Kursun fiyatını bütün ülke duydu; kayıt olan tek kişi annen.</t>
        </is>
      </c>
      <c r="L1519" s="6" t="inlineStr"/>
      <c r="M1519" s="5" t="inlineStr"/>
      <c r="N1519" s="5" t="inlineStr"/>
      <c r="O1519" s="6" t="inlineStr"/>
      <c r="P1519" s="6" t="inlineStr"/>
      <c r="Q1519" s="5" t="inlineStr"/>
      <c r="R1519" s="5" t="inlineStr"/>
      <c r="S1519" s="5" t="inlineStr"/>
      <c r="T1519" s="5" t="inlineStr"/>
      <c r="U1519" s="5" t="inlineStr"/>
      <c r="V1519" s="5" t="inlineStr"/>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c r="AI1519" s="5" t="inlineStr"/>
      <c r="AJ1519" s="5" t="inlineStr"/>
    </row>
    <row r="1520">
      <c r="A1520" s="5" t="inlineStr">
        <is>
          <t>b8-dolandirici-kitap</t>
        </is>
      </c>
      <c r="B1520" s="5" t="n">
        <v>4</v>
      </c>
      <c r="C1520" s="6" t="inlineStr">
        <is>
          <t>Canlı yayında itiraf et</t>
        </is>
      </c>
      <c r="D1520" s="5" t="inlineStr">
        <is>
          <t>Cesaret</t>
        </is>
      </c>
      <c r="E1520" s="5" t="inlineStr">
        <is>
          <t>Zor</t>
        </is>
      </c>
      <c r="F1520" s="5" t="inlineStr"/>
      <c r="G1520" s="6" t="inlineStr"/>
      <c r="H1520" s="6" t="inlineStr">
        <is>
          <t>“Kolay para yok, kitap da boş” dedin. Stüdyo sustu, telefonlar kilitlendi. Ertesi hafta satışları iade ettin; kitap koleksiyon parçası oldu.</t>
        </is>
      </c>
      <c r="I1520" s="6" t="inlineStr">
        <is>
          <t>İtirafın günün en çok izlenen anı oldu. Sunucu seni her hafta “dürüstlük köşesi”ne çağırıyor; ilk kez gerçek bir işin var.</t>
        </is>
      </c>
      <c r="J1520" s="6" t="inlineStr">
        <is>
          <t>İtirafa başladın, reklam girdi. Dönüşte sunucu konuyu hava durumuna bağladı.</t>
        </is>
      </c>
      <c r="K1520" s="6" t="inlineStr">
        <is>
          <t>Sunucu itirafını da bir satış tekniği sandı. Üçüncü baskıya “İtiraf Bölümü” eklendi; o da boş.</t>
        </is>
      </c>
      <c r="L1520" s="6" t="inlineStr"/>
      <c r="M1520" s="5" t="inlineStr"/>
      <c r="N1520" s="5" t="inlineStr"/>
      <c r="O1520" s="6" t="inlineStr"/>
      <c r="P1520" s="6" t="inlineStr"/>
      <c r="Q1520" s="5" t="inlineStr"/>
      <c r="R1520" s="5" t="inlineStr">
        <is>
          <t>vicdan-sesi</t>
        </is>
      </c>
      <c r="S1520" s="5" t="inlineStr"/>
      <c r="T1520" s="5" t="inlineStr">
        <is>
          <t>Kendine Gülebilir</t>
        </is>
      </c>
      <c r="U1520" s="5" t="inlineStr"/>
      <c r="V1520" s="5" t="inlineStr">
        <is>
          <t>paralari-iade</t>
        </is>
      </c>
      <c r="W1520" s="5" t="inlineStr"/>
      <c r="X1520" s="5" t="inlineStr"/>
      <c r="Y1520" s="5" t="inlineStr"/>
      <c r="Z1520" s="6" t="inlineStr"/>
      <c r="AA1520" s="5" t="inlineStr"/>
      <c r="AB1520" s="5" t="inlineStr"/>
      <c r="AC1520" s="5" t="inlineStr"/>
      <c r="AD1520" s="5" t="inlineStr"/>
      <c r="AE1520" s="5" t="inlineStr"/>
      <c r="AF1520" s="5" t="inlineStr"/>
      <c r="AG1520" s="5" t="inlineStr"/>
      <c r="AH1520" s="5" t="inlineStr"/>
      <c r="AI1520" s="5" t="inlineStr"/>
      <c r="AJ1520" s="5" t="inlineStr"/>
    </row>
    <row r="1521">
      <c r="A1521" s="5" t="inlineStr">
        <is>
          <t>b8-dolandirici-mektup</t>
        </is>
      </c>
      <c r="B1521" s="5" t="n">
        <v>1</v>
      </c>
      <c r="C1521" s="6" t="inlineStr">
        <is>
          <t>Dürüst bir cevap yaz</t>
        </is>
      </c>
      <c r="D1521" s="5" t="inlineStr"/>
      <c r="E1521" s="5" t="inlineStr"/>
      <c r="F1521" s="5" t="inlineStr">
        <is>
          <t>İtibar +2</t>
        </is>
      </c>
      <c r="G1521" s="6" t="inlineStr">
        <is>
          <t>İki sayfa yazdın, üç kez yırttın, dördüncüyü gönderdin. Cevap bir hafta sonra geldi: “Hiç geç değil.” Altında bir reçel tarifi.</t>
        </is>
      </c>
      <c r="H1521" s="6" t="inlineStr"/>
      <c r="I1521" s="6" t="inlineStr"/>
      <c r="J1521" s="6" t="inlineStr"/>
      <c r="K1521" s="6" t="inlineStr"/>
      <c r="L1521" s="6" t="inlineStr"/>
      <c r="M1521" s="5" t="inlineStr"/>
      <c r="N1521" s="5" t="inlineStr"/>
      <c r="O1521" s="6" t="inlineStr"/>
      <c r="P1521" s="6" t="inlineStr"/>
      <c r="Q1521" s="5" t="inlineStr"/>
      <c r="R1521" s="5" t="inlineStr"/>
      <c r="S1521" s="5" t="inlineStr"/>
      <c r="T1521" s="5" t="inlineStr"/>
      <c r="U1521" s="5" t="inlineStr"/>
      <c r="V1521" s="5" t="inlineStr"/>
      <c r="W1521" s="5" t="inlineStr"/>
      <c r="X1521" s="5" t="inlineStr"/>
      <c r="Y1521" s="5" t="inlineStr"/>
      <c r="Z1521" s="6" t="inlineStr"/>
      <c r="AA1521" s="5" t="inlineStr"/>
      <c r="AB1521" s="5" t="inlineStr"/>
      <c r="AC1521" s="5" t="inlineStr"/>
      <c r="AD1521" s="5" t="inlineStr"/>
      <c r="AE1521" s="5" t="inlineStr"/>
      <c r="AF1521" s="5" t="inlineStr"/>
      <c r="AG1521" s="5" t="inlineStr"/>
      <c r="AH1521" s="5" t="inlineStr"/>
      <c r="AI1521" s="5" t="inlineStr"/>
      <c r="AJ1521" s="5" t="inlineStr"/>
    </row>
    <row r="1522">
      <c r="A1522" s="5" t="inlineStr">
        <is>
          <t>b8-dolandirici-mektup</t>
        </is>
      </c>
      <c r="B1522" s="5" t="n">
        <v>2</v>
      </c>
      <c r="C1522" s="6" t="inlineStr">
        <is>
          <t>Herkese parasını geri öde</t>
        </is>
      </c>
      <c r="D1522" s="5" t="inlineStr">
        <is>
          <t>İtibar</t>
        </is>
      </c>
      <c r="E1522" s="5" t="inlineStr">
        <is>
          <t>Orta</t>
        </is>
      </c>
      <c r="F1522" s="5" t="inlineStr"/>
      <c r="G1522" s="6" t="inlineStr"/>
      <c r="H1522" s="6" t="inlineStr">
        <is>
          <t>Eski defterlerden isimleri tek tek buldun, parayı tek tek gönderdin. Hesabın boşaldı; telefonun ilk kez sevinçle çalıyor.</t>
        </is>
      </c>
      <c r="I1522" s="6" t="inlineStr">
        <is>
          <t>Parasını geri alanlardan biri seni işe çağırdı: gerçek bir danışmanlık bürosu. Maaş az ama kimse seni haber sitesinde aramıyor.</t>
        </is>
      </c>
      <c r="J1522" s="6" t="inlineStr">
        <is>
          <t>İsimlerin yarısını buldun; yarısı taşınmış. Kalan paralar bir zarfta, çekmecende. Her gece zarfa bakıp öyle yatıyorsun.</t>
        </is>
      </c>
      <c r="K1522" s="6" t="inlineStr">
        <is>
          <t>İade için açtığın hesabı biri sahte sanıp ihbar etti. Hayatının ilk dürüst işini anlatmak için karakolda üç saat oturdun.</t>
        </is>
      </c>
      <c r="L1522" s="6" t="inlineStr"/>
      <c r="M1522" s="5" t="inlineStr"/>
      <c r="N1522" s="5" t="inlineStr"/>
      <c r="O1522" s="6" t="inlineStr"/>
      <c r="P1522" s="6" t="inlineStr"/>
      <c r="Q1522" s="5" t="inlineStr"/>
      <c r="R1522" s="5" t="inlineStr"/>
      <c r="S1522" s="5" t="inlineStr"/>
      <c r="T1522" s="5" t="inlineStr"/>
      <c r="U1522" s="5" t="inlineStr"/>
      <c r="V1522" s="5" t="inlineStr">
        <is>
          <t>paralari-iade</t>
        </is>
      </c>
      <c r="W1522" s="5" t="inlineStr"/>
      <c r="X1522" s="5" t="inlineStr"/>
      <c r="Y1522" s="5" t="inlineStr"/>
      <c r="Z1522" s="6" t="inlineStr"/>
      <c r="AA1522" s="5" t="inlineStr"/>
      <c r="AB1522" s="5" t="inlineStr"/>
      <c r="AC1522" s="5" t="inlineStr"/>
      <c r="AD1522" s="5" t="inlineStr"/>
      <c r="AE1522" s="5" t="inlineStr"/>
      <c r="AF1522" s="5" t="n">
        <v>1</v>
      </c>
      <c r="AG1522" s="5" t="inlineStr"/>
      <c r="AH1522" s="5" t="inlineStr"/>
      <c r="AI1522" s="5" t="inlineStr"/>
      <c r="AJ1522" s="5" t="inlineStr"/>
    </row>
    <row r="1523">
      <c r="A1523" s="5" t="inlineStr">
        <is>
          <t>b8-dolandirici-mektup</t>
        </is>
      </c>
      <c r="B1523" s="5" t="n">
        <v>3</v>
      </c>
      <c r="C1523" s="6" t="inlineStr">
        <is>
          <t>Öğretmene yeni bir “fırsat” gönder</t>
        </is>
      </c>
      <c r="D1523" s="5" t="inlineStr">
        <is>
          <t>Pişkinlik</t>
        </is>
      </c>
      <c r="E1523" s="5" t="inlineStr">
        <is>
          <t>Zor</t>
        </is>
      </c>
      <c r="F1523" s="5" t="inlineStr"/>
      <c r="G1523" s="6" t="inlineStr"/>
      <c r="H1523" s="6" t="inlineStr">
        <is>
          <t>Cevabına bir broşür ekledin. Öğretmen yazmadı; komşusu aradı, broşürü emekliler kahvesinde dağıtmış. Telefonu kapatınca zarftaki fotoğrafla göz göze geldin, öğretmen ve torunu. Fotoğrafı ters çevirdin.</t>
        </is>
      </c>
      <c r="I1523" s="6" t="inlineStr">
        <is>
          <t>Broşür emekliler derneğine kadar ulaştı. Ayın rekoru kırıldı; mektubu çekmeceye kilitledin, açmıyorsun.</t>
        </is>
      </c>
      <c r="J1523" s="6" t="inlineStr">
        <is>
          <t>Öğretmen broşürü geri gönderdi; kırmızı kalemle düzeltilmiş. Üç yazım hatası ve bir “Yazıklar olsun.”</t>
        </is>
      </c>
      <c r="K1523" s="6" t="inlineStr">
        <is>
          <t>Öğretmen broşürü doğrudan savcılığa göndermiş, kırmızı kalemle düzelterek. Dosyada imla hataların da var.</t>
        </is>
      </c>
      <c r="L1523" s="6" t="inlineStr"/>
      <c r="M1523" s="5" t="inlineStr"/>
      <c r="N1523" s="5" t="inlineStr"/>
      <c r="O1523" s="6" t="inlineStr"/>
      <c r="P1523" s="6" t="inlineStr"/>
      <c r="Q1523" s="5" t="inlineStr"/>
      <c r="R1523" s="5" t="inlineStr"/>
      <c r="S1523" s="5" t="inlineStr"/>
      <c r="T1523" s="5" t="inlineStr"/>
      <c r="U1523" s="5" t="inlineStr"/>
      <c r="V1523" s="5" t="inlineStr"/>
      <c r="W1523" s="5" t="inlineStr">
        <is>
          <t>hapis</t>
        </is>
      </c>
      <c r="X1523" s="5" t="inlineStr"/>
      <c r="Y1523" s="5" t="inlineStr"/>
      <c r="Z1523" s="6" t="inlineStr"/>
      <c r="AA1523" s="5" t="inlineStr"/>
      <c r="AB1523" s="5" t="inlineStr"/>
      <c r="AC1523" s="5" t="inlineStr"/>
      <c r="AD1523" s="5" t="inlineStr">
        <is>
          <t>Rahat</t>
        </is>
      </c>
      <c r="AE1523" s="5" t="inlineStr"/>
      <c r="AF1523" s="5" t="inlineStr"/>
      <c r="AG1523" s="5" t="inlineStr"/>
      <c r="AH1523" s="5" t="inlineStr"/>
      <c r="AI1523" s="5" t="inlineStr"/>
      <c r="AJ1523" s="5" t="inlineStr"/>
    </row>
    <row r="1524">
      <c r="A1524" s="5" t="inlineStr">
        <is>
          <t>b9-dolandirici-son-numara</t>
        </is>
      </c>
      <c r="B1524" s="5" t="n">
        <v>1</v>
      </c>
      <c r="C1524" s="6" t="inlineStr">
        <is>
          <t>Kremin satıcısını kenara çekip uyar</t>
        </is>
      </c>
      <c r="D1524" s="5" t="inlineStr"/>
      <c r="E1524" s="5" t="inlineStr"/>
      <c r="F1524" s="5" t="inlineStr">
        <is>
          <t>İtibar +1, Sosyal Radar +1</t>
        </is>
      </c>
      <c r="G1524" s="6" t="inlineStr">
        <is>
          <t>Satıcıyı kenara çektin: 'Bu işi senden önce ben yaptım, sonunu da gördüm.' Kavanozlarını topladı; giderken sana bir tane hediye bıraktı.</t>
        </is>
      </c>
      <c r="H1524" s="6" t="inlineStr"/>
      <c r="I1524" s="6" t="inlineStr"/>
      <c r="J1524" s="6" t="inlineStr"/>
      <c r="K1524" s="6" t="inlineStr"/>
      <c r="L1524" s="6" t="inlineStr"/>
      <c r="M1524" s="5" t="inlineStr"/>
      <c r="N1524" s="5" t="inlineStr"/>
      <c r="O1524" s="6" t="inlineStr"/>
      <c r="P1524" s="6" t="inlineStr"/>
      <c r="Q1524" s="5" t="inlineStr"/>
      <c r="R1524" s="5" t="inlineStr"/>
      <c r="S1524" s="5" t="inlineStr"/>
      <c r="T1524" s="5" t="inlineStr"/>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c r="AI1524" s="5" t="inlineStr"/>
      <c r="AJ1524" s="5" t="inlineStr"/>
    </row>
    <row r="1525">
      <c r="A1525" s="5" t="inlineStr">
        <is>
          <t>b9-dolandirici-son-numara</t>
        </is>
      </c>
      <c r="B1525" s="5" t="n">
        <v>2</v>
      </c>
      <c r="C1525" s="6" t="inlineStr">
        <is>
          <t>Emeklilere bu işlerin sonunu anlat</t>
        </is>
      </c>
      <c r="D1525" s="5" t="inlineStr">
        <is>
          <t>Çene</t>
        </is>
      </c>
      <c r="E1525" s="5" t="inlineStr">
        <is>
          <t>Orta</t>
        </is>
      </c>
      <c r="F1525" s="5" t="inlineStr"/>
      <c r="G1525" s="6" t="inlineStr"/>
      <c r="H1525" s="6" t="inlineStr">
        <is>
          <t>Hiçbir numaranın nasıl yapıldığını değil, nasıl bittiğini anlattın. Emekliler krem yerine simit aldı.</t>
        </is>
      </c>
      <c r="I1525" s="6" t="inlineStr">
        <is>
          <t>Her salı bankta 'Dikkat Et' sohbeti yapıyorsun. Hayatının ilk dürüst semineri: bilet yok, simit var, dinleyici bankın iki ucundan taşıyor.</t>
        </is>
      </c>
      <c r="J1525" s="6" t="inlineStr">
        <is>
          <t>Anlatırken araya kendi başarılarını da kattın. Emekliler kremi aldı; senin tavsiyenle sandılar.</t>
        </is>
      </c>
      <c r="K1525" s="6" t="inlineStr">
        <is>
          <t>Öyle parladın ki biri sana para uzattı: “Hocam, bizi de bir kulübe yaz.” Kulüp yok; bekleyen var.</t>
        </is>
      </c>
      <c r="L1525" s="6" t="inlineStr"/>
      <c r="M1525" s="5" t="inlineStr"/>
      <c r="N1525" s="5" t="inlineStr"/>
      <c r="O1525" s="6" t="inlineStr"/>
      <c r="P1525" s="6" t="inlineStr"/>
      <c r="Q1525" s="5" t="inlineStr"/>
      <c r="R1525" s="5" t="inlineStr"/>
      <c r="S1525" s="5" t="inlineStr"/>
      <c r="T1525" s="5" t="inlineStr"/>
      <c r="U1525" s="5" t="inlineStr"/>
      <c r="V1525" s="5" t="inlineStr"/>
      <c r="W1525" s="5" t="inlineStr"/>
      <c r="X1525" s="5" t="inlineStr"/>
      <c r="Y1525" s="5" t="inlineStr"/>
      <c r="Z1525" s="6" t="inlineStr"/>
      <c r="AA1525" s="5" t="inlineStr"/>
      <c r="AB1525" s="5" t="inlineStr"/>
      <c r="AC1525" s="5" t="inlineStr"/>
      <c r="AD1525" s="5" t="inlineStr"/>
      <c r="AE1525" s="5" t="inlineStr"/>
      <c r="AF1525" s="5" t="inlineStr"/>
      <c r="AG1525" s="5" t="inlineStr"/>
      <c r="AH1525" s="5" t="inlineStr"/>
      <c r="AI1525" s="5" t="inlineStr"/>
      <c r="AJ1525" s="5" t="inlineStr"/>
    </row>
    <row r="1526">
      <c r="A1526" s="5" t="inlineStr">
        <is>
          <t>b9-dolandirici-son-numara</t>
        </is>
      </c>
      <c r="B1526" s="5" t="n">
        <v>3</v>
      </c>
      <c r="C1526" s="6" t="inlineStr">
        <is>
          <t>Kremi satıcıya geri sat</t>
        </is>
      </c>
      <c r="D1526" s="5" t="inlineStr">
        <is>
          <t>Kurnazlık</t>
        </is>
      </c>
      <c r="E1526" s="5" t="inlineStr">
        <is>
          <t>Zor</t>
        </is>
      </c>
      <c r="F1526" s="5" t="inlineStr"/>
      <c r="G1526" s="6" t="inlineStr"/>
      <c r="H1526" s="6" t="inlineStr">
        <is>
          <t>Satıcının kavanozlarını ucuza alıp ona pahalıya geri sattın. Emekliler alkışladı; kavanozlar hiç açılmadı.</t>
        </is>
      </c>
      <c r="I1526" s="6" t="inlineStr">
        <is>
          <t>Satıcı kavanozları geri alırken senden kurs istedi. Kabul etmedin; kariyerindeki ilk ret.</t>
        </is>
      </c>
      <c r="J1526" s="6" t="inlineStr">
        <is>
          <t>Satıcı pazarlığı anladı, kavanozları sana bıraktı. Balkonunda kırk kavanoz krem var.</t>
        </is>
      </c>
      <c r="K1526" s="6" t="inlineStr">
        <is>
          <t>Pazarlıkta bir kavanozu denedin. Yüzün yeşerdi; emekliler bunu gençlik belirtisi sanıp sıraya girdi.</t>
        </is>
      </c>
      <c r="L1526" s="6" t="inlineStr"/>
      <c r="M1526" s="5" t="inlineStr"/>
      <c r="N1526" s="5" t="inlineStr"/>
      <c r="O1526" s="6" t="inlineStr"/>
      <c r="P1526" s="6" t="inlineStr"/>
      <c r="Q1526" s="5" t="inlineStr"/>
      <c r="R1526" s="5" t="inlineStr"/>
      <c r="S1526" s="5" t="inlineStr"/>
      <c r="T1526" s="5" t="inlineStr">
        <is>
          <t>Pazarlık Duayeni</t>
        </is>
      </c>
      <c r="U1526" s="5" t="inlineStr"/>
      <c r="V1526" s="5" t="inlineStr"/>
      <c r="W1526" s="5" t="inlineStr"/>
      <c r="X1526" s="5" t="inlineStr"/>
      <c r="Y1526" s="5" t="inlineStr"/>
      <c r="Z1526" s="6" t="inlineStr"/>
      <c r="AA1526" s="5" t="inlineStr"/>
      <c r="AB1526" s="5" t="inlineStr"/>
      <c r="AC1526" s="5" t="inlineStr"/>
      <c r="AD1526" s="5" t="inlineStr"/>
      <c r="AE1526" s="5" t="inlineStr"/>
      <c r="AF1526" s="5" t="inlineStr"/>
      <c r="AG1526" s="5" t="inlineStr"/>
      <c r="AH1526" s="5" t="inlineStr"/>
      <c r="AI1526" s="5" t="inlineStr"/>
      <c r="AJ1526" s="5" t="inlineStr"/>
    </row>
    <row r="1527">
      <c r="A1527" s="5" t="inlineStr">
        <is>
          <t>k10-cete</t>
        </is>
      </c>
      <c r="B1527" s="5" t="n">
        <v>1</v>
      </c>
      <c r="C1527" s="6" t="inlineStr">
        <is>
          <t>Büyük işi yap</t>
        </is>
      </c>
      <c r="D1527" s="5" t="inlineStr">
        <is>
          <t>Cesaret</t>
        </is>
      </c>
      <c r="E1527" s="5" t="inlineStr">
        <is>
          <t>Zor</t>
        </is>
      </c>
      <c r="F1527" s="5" t="inlineStr"/>
      <c r="G1527" s="6" t="inlineStr"/>
      <c r="H1527" s="6" t="inlineStr">
        <is>
          <t>İş bitti; nasıl bittiğini kimse anlatmıyor, sen de. Ertesi sabah kahvede senin çayın herkesinkinden önce geldi. Mahalle artık senin.</t>
        </is>
      </c>
      <c r="I1527" s="6" t="inlineStr">
        <is>
          <t>İş öyle temiz bitti ki abi bile nasıl olduğunu sordu. Söylemedin. Mahallenin anahtarı sende; abinin yedeği de.</t>
        </is>
      </c>
      <c r="J1527" s="6" t="inlineStr">
        <is>
          <t>Kapıda bir ekip bekliyordu; haritayı ters tuttuğunu görünce güldüler. Gülüşleri de tutanağa girdi.</t>
        </is>
      </c>
      <c r="K1527" s="6" t="inlineStr">
        <is>
          <t>Baskın sabah altıda geldi. Kapıyı elinde köpük hortumuyla açtın. Tutanakta: “Direnme yok, köpük var.”</t>
        </is>
      </c>
      <c r="L1527" s="6" t="inlineStr"/>
      <c r="M1527" s="5" t="inlineStr"/>
      <c r="N1527" s="5" t="inlineStr"/>
      <c r="O1527" s="6" t="inlineStr"/>
      <c r="P1527" s="6" t="inlineStr"/>
      <c r="Q1527" s="5" t="inlineStr"/>
      <c r="R1527" s="5" t="inlineStr"/>
      <c r="S1527" s="5" t="inlineStr"/>
      <c r="T1527" s="5" t="inlineStr"/>
      <c r="U1527" s="5" t="inlineStr"/>
      <c r="V1527" s="5" t="inlineStr">
        <is>
          <t>mahalle-babasi</t>
        </is>
      </c>
      <c r="W1527" s="5" t="inlineStr">
        <is>
          <t>hapis</t>
        </is>
      </c>
      <c r="X1527" s="5" t="inlineStr"/>
      <c r="Y1527" s="5" t="n">
        <v>2</v>
      </c>
      <c r="Z1527" s="6" t="inlineStr">
        <is>
          <t>Abinin “Büyük iş bu” dediği gece. Haritayı hâlâ ters tutuyordu.</t>
        </is>
      </c>
      <c r="AA1527" s="5" t="inlineStr"/>
      <c r="AB1527" s="5" t="inlineStr">
        <is>
          <t>hapis</t>
        </is>
      </c>
      <c r="AC1527" s="5" t="inlineStr"/>
      <c r="AD1527" s="5" t="inlineStr">
        <is>
          <t>Zengin</t>
        </is>
      </c>
      <c r="AE1527" s="5" t="inlineStr"/>
      <c r="AF1527" s="5" t="inlineStr"/>
      <c r="AG1527" s="5" t="inlineStr"/>
      <c r="AH1527" s="5" t="inlineStr"/>
      <c r="AI1527" s="5" t="inlineStr">
        <is>
          <t>Köpük</t>
        </is>
      </c>
      <c r="AJ1527" s="5" t="inlineStr"/>
    </row>
    <row r="1528">
      <c r="A1528" s="5" t="inlineStr">
        <is>
          <t>k10-cete</t>
        </is>
      </c>
      <c r="B1528" s="5" t="n">
        <v>2</v>
      </c>
      <c r="C1528" s="6" t="inlineStr">
        <is>
          <t>Sessizce çekil, dükkânı gerçekten işlet</t>
        </is>
      </c>
      <c r="D1528" s="5" t="inlineStr"/>
      <c r="E1528" s="5" t="inlineStr"/>
      <c r="F1528" s="5" t="inlineStr">
        <is>
          <t>İtibar +1, Dayanıklılık +1</t>
        </is>
      </c>
      <c r="G1528" s="6" t="inlineStr">
        <is>
          <t>Anahtarı ve tespihi abiye geri uzattın. Ertesi gün yıkamaya gerçek bir fiyat listesi astın. Abi bir hafta küstü, sonra arabasını yıkatmaya geldi; parasını da ödedi.</t>
        </is>
      </c>
      <c r="H1528" s="6" t="inlineStr"/>
      <c r="I1528" s="6" t="inlineStr"/>
      <c r="J1528" s="6" t="inlineStr"/>
      <c r="K1528" s="6" t="inlineStr"/>
      <c r="L1528" s="6" t="inlineStr"/>
      <c r="M1528" s="5" t="inlineStr"/>
      <c r="N1528" s="5" t="inlineStr"/>
      <c r="O1528" s="6" t="inlineStr"/>
      <c r="P1528" s="6" t="inlineStr"/>
      <c r="Q1528" s="5" t="inlineStr"/>
      <c r="R1528" s="5" t="inlineStr"/>
      <c r="S1528" s="5" t="inlineStr"/>
      <c r="T1528" s="5" t="inlineStr"/>
      <c r="U1528" s="5" t="inlineStr">
        <is>
          <t>-hat-cete, -hat-dolandirici, -hat-girisimci, -hat-goc, -hat-hekim, -hat-koy, -hat-polis, -hat-politika, -hat-sohret, -hat-usta, -hat-yargi, -meslek-beyazyaka, -meslek-memur, -meslek-serbest, meslek-esnaf</t>
        </is>
      </c>
      <c r="V1528" s="5" t="inlineStr"/>
      <c r="W1528" s="5" t="inlineStr"/>
      <c r="X1528" s="5" t="inlineStr"/>
      <c r="Y1528" s="5" t="inlineStr"/>
      <c r="Z1528" s="6" t="inlineStr"/>
      <c r="AA1528" s="5" t="inlineStr">
        <is>
          <t>hepsi +1</t>
        </is>
      </c>
      <c r="AB1528" s="5" t="inlineStr"/>
      <c r="AC1528" s="5" t="inlineStr"/>
      <c r="AD1528" s="5" t="inlineStr"/>
      <c r="AE1528" s="5" t="inlineStr"/>
      <c r="AF1528" s="5" t="inlineStr"/>
      <c r="AG1528" s="5" t="inlineStr"/>
      <c r="AH1528" s="5" t="inlineStr"/>
      <c r="AI1528" s="5" t="inlineStr"/>
      <c r="AJ1528" s="5" t="inlineStr"/>
    </row>
    <row r="1529">
      <c r="A1529" s="5" t="inlineStr">
        <is>
          <t>k10-cete</t>
        </is>
      </c>
      <c r="B1529" s="5" t="n">
        <v>3</v>
      </c>
      <c r="C1529" s="6" t="inlineStr">
        <is>
          <t>Muhbir ol</t>
        </is>
      </c>
      <c r="D1529" s="5" t="inlineStr">
        <is>
          <t>Sosyal Radar</t>
        </is>
      </c>
      <c r="E1529" s="5" t="inlineStr">
        <is>
          <t>Zor</t>
        </is>
      </c>
      <c r="F1529" s="5" t="inlineStr"/>
      <c r="G1529" s="6" t="inlineStr"/>
      <c r="H1529" s="6" t="inlineStr">
        <is>
          <t>Komisere her şeyi anlattın. İki ay sonra Öte Diyar'da, yeni bir adla, bir oto yıkamada çalışıyorsun. Köpük aynı köpük.</t>
        </is>
      </c>
      <c r="I1529" s="6" t="inlineStr">
        <is>
          <t>Yeni adın, yeni pasaportun, Öte Diyar'da bir dairen var. Komşular adını söyleyemediği için sana “Sessiz” diyor. Hayatında ilk kez sana tam oturan bir ad taktılar.</t>
        </is>
      </c>
      <c r="J1529" s="6" t="inlineStr">
        <is>
          <t>Komisere anlattın ama anlattıklarında en çok senin adın geçiyordu. Anlaşma olmadı; dosya oldu.</t>
        </is>
      </c>
      <c r="K1529" s="6" t="inlineStr">
        <is>
          <t>Görüşmeyi kahvenin arka odasından telefonla yaptın; abi yan masadaydı. Önce abi küstü, sonra devlet seni misafir etti.</t>
        </is>
      </c>
      <c r="L1529" s="6" t="inlineStr"/>
      <c r="M1529" s="5" t="inlineStr"/>
      <c r="N1529" s="5" t="inlineStr"/>
      <c r="O1529" s="6" t="inlineStr"/>
      <c r="P1529" s="6" t="inlineStr"/>
      <c r="Q1529" s="5" t="inlineStr"/>
      <c r="R1529" s="5" t="inlineStr"/>
      <c r="S1529" s="5" t="inlineStr"/>
      <c r="T1529" s="5" t="inlineStr"/>
      <c r="U1529" s="5" t="inlineStr"/>
      <c r="V1529" s="5" t="inlineStr">
        <is>
          <t>-hat-cete, -hat-dolandirici, -hat-girisimci, -hat-hekim, -hat-koy, -hat-polis, -hat-politika, -hat-sohret, -hat-usta, -hat-yargi, -meslek-esnaf, -meslek-memur, -meslek-serbest, hat-goc, meslek-beyazyaka</t>
        </is>
      </c>
      <c r="W1529" s="5" t="inlineStr">
        <is>
          <t>hapis</t>
        </is>
      </c>
      <c r="X1529" s="5" t="inlineStr"/>
      <c r="Y1529" s="5" t="inlineStr"/>
      <c r="Z1529" s="6" t="inlineStr"/>
      <c r="AA1529" s="5" t="inlineStr"/>
      <c r="AB1529" s="5" t="inlineStr">
        <is>
          <t>hapis</t>
        </is>
      </c>
      <c r="AC1529" s="5" t="inlineStr"/>
      <c r="AD1529" s="5" t="inlineStr"/>
      <c r="AE1529" s="5" t="inlineStr"/>
      <c r="AF1529" s="5" t="inlineStr"/>
      <c r="AG1529" s="5" t="inlineStr"/>
      <c r="AH1529" s="5" t="inlineStr"/>
      <c r="AI1529" s="5" t="inlineStr"/>
      <c r="AJ1529" s="5" t="inlineStr"/>
    </row>
    <row r="1530">
      <c r="A1530" s="5" t="inlineStr">
        <is>
          <t>k10-dolandirici</t>
        </is>
      </c>
      <c r="B1530" s="5" t="n">
        <v>1</v>
      </c>
      <c r="C1530" s="6" t="inlineStr">
        <is>
          <t>Vurgunu yap, Öte Diyar'a kaç</t>
        </is>
      </c>
      <c r="D1530" s="5" t="inlineStr">
        <is>
          <t>Kurnazlık</t>
        </is>
      </c>
      <c r="E1530" s="5" t="inlineStr">
        <is>
          <t>Zor</t>
        </is>
      </c>
      <c r="F1530" s="5" t="inlineStr"/>
      <c r="G1530" s="6" t="inlineStr"/>
      <c r="H1530" s="6" t="inlineStr">
        <is>
          <t>Havalimanında kimse bir şey sormadı. Öte Diyar'da denize bakan küçük bir dairen var. Deniz bu sefer gerçekten deniz.</t>
        </is>
      </c>
      <c r="I1530" s="6" t="inlineStr">
        <is>
          <t>Öte Diyar'da yeni bir isim, yeni bir dil. Komşular seni kitap yazmaya gelmiş biri sanıyor; düzeltmiyorsun. Kitap yok; yatağın altında bir bavul var.</t>
        </is>
      </c>
      <c r="J1530" s="6" t="inlineStr">
        <is>
          <t>Bavulun tartıda on dört kilo fazla çıktı. Fazlayı kulübün kartıyla ödemeye kalktın. Görevli kartın üstündeki adı yüksek sesle okudu: “Altın Yaprak Yatırım Kulübü?” Arkadaki sırada bir üye vardı.</t>
        </is>
      </c>
      <c r="K1530" s="6" t="inlineStr">
        <is>
          <t>Uçağa bindin, kemerini taktın; uçak kalkmadı. Kapıda iki memur bekliyordu; biri kulübün üyesiymiş.</t>
        </is>
      </c>
      <c r="L1530" s="6" t="inlineStr"/>
      <c r="M1530" s="5" t="inlineStr"/>
      <c r="N1530" s="5" t="inlineStr"/>
      <c r="O1530" s="6" t="inlineStr"/>
      <c r="P1530" s="6" t="inlineStr"/>
      <c r="Q1530" s="5" t="inlineStr"/>
      <c r="R1530" s="5" t="inlineStr"/>
      <c r="S1530" s="5" t="inlineStr"/>
      <c r="T1530" s="5" t="inlineStr"/>
      <c r="U1530" s="5" t="inlineStr"/>
      <c r="V1530" s="5" t="inlineStr">
        <is>
          <t>-hat-cete, -hat-dolandirici, -hat-girisimci, -hat-hekim, -hat-koy, -hat-polis, -hat-politika, -hat-sohret, -hat-usta, -hat-yargi, -meslek-esnaf, -meslek-memur, -meslek-serbest, hat-goc, meslek-beyazyaka</t>
        </is>
      </c>
      <c r="W1530" s="5" t="inlineStr">
        <is>
          <t>hapis</t>
        </is>
      </c>
      <c r="X1530" s="5" t="inlineStr"/>
      <c r="Y1530" s="5" t="inlineStr"/>
      <c r="Z1530" s="6" t="inlineStr"/>
      <c r="AA1530" s="5" t="inlineStr"/>
      <c r="AB1530" s="5" t="inlineStr">
        <is>
          <t>hapis</t>
        </is>
      </c>
      <c r="AC1530" s="5" t="inlineStr"/>
      <c r="AD1530" s="5" t="inlineStr">
        <is>
          <t>Rahat</t>
        </is>
      </c>
      <c r="AE1530" s="5" t="inlineStr"/>
      <c r="AF1530" s="5" t="inlineStr"/>
      <c r="AG1530" s="5" t="inlineStr"/>
      <c r="AH1530" s="5" t="inlineStr"/>
      <c r="AI1530" s="5" t="inlineStr"/>
      <c r="AJ1530" s="5" t="inlineStr"/>
    </row>
    <row r="1531">
      <c r="A1531" s="5" t="inlineStr">
        <is>
          <t>k10-dolandirici</t>
        </is>
      </c>
      <c r="B1531" s="5" t="n">
        <v>2</v>
      </c>
      <c r="C1531" s="6" t="inlineStr">
        <is>
          <t>Siyasete sız</t>
        </is>
      </c>
      <c r="D1531" s="5" t="inlineStr">
        <is>
          <t>Pişkinlik</t>
        </is>
      </c>
      <c r="E1531" s="5" t="inlineStr">
        <is>
          <t>Zor</t>
        </is>
      </c>
      <c r="F1531" s="5" t="inlineStr"/>
      <c r="G1531" s="6" t="inlineStr"/>
      <c r="H1531" s="6" t="inlineStr">
        <is>
          <t>Açılış yemeğinde öyle bir konuşma yaptın ki sabah seni ilçe başkan yardımcısı yaptılar. Kulüp üyeleri artık seçmenin.</t>
        </is>
      </c>
      <c r="I1531" s="6" t="inlineStr">
        <is>
          <t>Parti seni aday listesine, üst sıralara yazdı. Afişte gülüyorsun; kulüp üyeleri önünden geçerken durup düşünüyor.</t>
        </is>
      </c>
      <c r="J1531" s="6" t="inlineStr">
        <is>
          <t>Yemekte konuştun ama tatlı servisi başlamıştı; kimse dinlemedi. Kulübe döndün; kasa orada, üyeler de.</t>
        </is>
      </c>
      <c r="K1531" s="6" t="inlineStr">
        <is>
          <t>Konuşmanın ortasında bir kulüp üyesi kalkıp kâr payını sordu. Salon ona alkış tuttu. Ertesi hafta parti onu aday yaptı; ilk bağışı sen yaptın, mecburen.</t>
        </is>
      </c>
      <c r="L1531" s="6" t="inlineStr"/>
      <c r="M1531" s="5" t="inlineStr"/>
      <c r="N1531" s="5" t="inlineStr"/>
      <c r="O1531" s="6" t="inlineStr"/>
      <c r="P1531" s="6" t="inlineStr"/>
      <c r="Q1531" s="5" t="inlineStr"/>
      <c r="R1531" s="5" t="inlineStr"/>
      <c r="S1531" s="5" t="inlineStr"/>
      <c r="T1531" s="5" t="inlineStr">
        <is>
          <t>Plaza Diplomatı</t>
        </is>
      </c>
      <c r="U1531" s="5" t="inlineStr"/>
      <c r="V1531" s="5" t="inlineStr">
        <is>
          <t>-hat-cete, -hat-dolandirici, -hat-girisimci, -hat-goc, -hat-hekim, -hat-koy, -hat-polis, -hat-sohret, -hat-usta, -hat-yargi, -meslek-beyazyaka, -meslek-esnaf, -meslek-memur, -meslek-serbest, hat-politika</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c r="AI1531" s="5" t="inlineStr"/>
      <c r="AJ1531" s="5" t="inlineStr"/>
    </row>
    <row r="1532">
      <c r="A1532" s="5" t="inlineStr">
        <is>
          <t>k10-dolandirici</t>
        </is>
      </c>
      <c r="B1532" s="5" t="n">
        <v>3</v>
      </c>
      <c r="C1532" s="6" t="inlineStr">
        <is>
          <t>Bırak, dürüst iş bul</t>
        </is>
      </c>
      <c r="D1532" s="5" t="inlineStr"/>
      <c r="E1532" s="5" t="inlineStr"/>
      <c r="F1532" s="5" t="inlineStr">
        <is>
          <t>İtibar +2</t>
        </is>
      </c>
      <c r="G1532" s="6" t="inlineStr">
        <is>
          <t>Kasayı üyelere paylaştırıp telefonu açtın. Annen “Sesin iyi geliyor” dedi. Ertesi hafta bir kargo deposunda sabah vardiyasına başladın; paketlerin hepsi gerçek.</t>
        </is>
      </c>
      <c r="H1532" s="6" t="inlineStr"/>
      <c r="I1532" s="6" t="inlineStr"/>
      <c r="J1532" s="6" t="inlineStr"/>
      <c r="K1532" s="6" t="inlineStr"/>
      <c r="L1532" s="6" t="inlineStr"/>
      <c r="M1532" s="5" t="inlineStr"/>
      <c r="N1532" s="5" t="inlineStr"/>
      <c r="O1532" s="6" t="inlineStr"/>
      <c r="P1532" s="6" t="inlineStr"/>
      <c r="Q1532" s="5" t="inlineStr"/>
      <c r="R1532" s="5" t="inlineStr"/>
      <c r="S1532" s="5" t="inlineStr"/>
      <c r="T1532" s="5" t="inlineStr"/>
      <c r="U1532" s="5" t="inlineStr">
        <is>
          <t>-hat-cete, -hat-dolandirici, -hat-girisimci, -hat-goc, -hat-hekim, -hat-koy, -hat-polis, -hat-politika, -hat-sohret, -hat-usta, -hat-yargi, -meslek-beyazyaka, -meslek-esnaf, -meslek-memur, meslek-serbest</t>
        </is>
      </c>
      <c r="V1532" s="5" t="inlineStr"/>
      <c r="W1532" s="5" t="inlineStr"/>
      <c r="X1532" s="5" t="inlineStr"/>
      <c r="Y1532" s="5" t="inlineStr"/>
      <c r="Z1532" s="6" t="inlineStr"/>
      <c r="AA1532" s="5" t="inlineStr">
        <is>
          <t>hepsi +1</t>
        </is>
      </c>
      <c r="AB1532" s="5" t="inlineStr"/>
      <c r="AC1532" s="5" t="inlineStr"/>
      <c r="AD1532" s="5" t="inlineStr"/>
      <c r="AE1532" s="5" t="inlineStr"/>
      <c r="AF1532" s="5" t="inlineStr"/>
      <c r="AG1532" s="5" t="inlineStr"/>
      <c r="AH1532" s="5" t="inlineStr"/>
      <c r="AI1532" s="5" t="inlineStr"/>
      <c r="AJ1532" s="5" t="inlineStr"/>
    </row>
    <row r="1533">
      <c r="A1533" s="5" t="inlineStr">
        <is>
          <t>k10-esnaf</t>
        </is>
      </c>
      <c r="B1533" s="5" t="n">
        <v>1</v>
      </c>
      <c r="C1533" s="6" t="inlineStr">
        <is>
          <t>Markete diren</t>
        </is>
      </c>
      <c r="D1533" s="5" t="inlineStr">
        <is>
          <t>Çene</t>
        </is>
      </c>
      <c r="E1533" s="5" t="inlineStr">
        <is>
          <t>Orta</t>
        </is>
      </c>
      <c r="F1533" s="5" t="inlineStr"/>
      <c r="G1533" s="6" t="inlineStr"/>
      <c r="H1533" s="6" t="inlineStr">
        <is>
          <t>Veresiye defterini açtın, müşterilerin adlarını tek tek andın. Mahalle geri döndü; markette ekmek var, sende hatır.</t>
        </is>
      </c>
      <c r="I1533" s="6" t="inlineStr">
        <is>
          <t>Mahalleli senin için bir “Esnafa Sahip Çık” günü düzenledi. Kuyruk marketin kapısına dayandı; müdür de sıraya girdi.</t>
        </is>
      </c>
      <c r="J1533" s="6" t="inlineStr">
        <is>
          <t>Dükkân açık ama müşteri yarıya indi. Akşamları karşının ışıklarına bakıyorsun; seninki daha sıcak.</t>
        </is>
      </c>
      <c r="K1533" s="6" t="inlineStr">
        <is>
          <t>Fiyatı indirdin; market ertesi sabah yarısına indirdi. Müşteriler artık senden veresiye, karşıdan peşin alıyor. Defter kalınlaştı, kasa inceldi.</t>
        </is>
      </c>
      <c r="L1533" s="6" t="inlineStr"/>
      <c r="M1533" s="5" t="inlineStr"/>
      <c r="N1533" s="5" t="inlineStr"/>
      <c r="O1533" s="6" t="inlineStr"/>
      <c r="P1533" s="6" t="inlineStr"/>
      <c r="Q1533" s="5" t="inlineStr"/>
      <c r="R1533" s="5" t="inlineStr"/>
      <c r="S1533" s="5" t="inlineStr"/>
      <c r="T1533" s="5" t="inlineStr"/>
      <c r="U1533" s="5" t="inlineStr"/>
      <c r="V1533" s="5" t="inlineStr">
        <is>
          <t>esnaf-direndi</t>
        </is>
      </c>
      <c r="W1533" s="5" t="inlineStr"/>
      <c r="X1533" s="5" t="inlineStr"/>
      <c r="Y1533" s="5" t="inlineStr"/>
      <c r="Z1533" s="6" t="inlineStr"/>
      <c r="AA1533" s="5" t="inlineStr"/>
      <c r="AB1533" s="5" t="inlineStr"/>
      <c r="AC1533" s="5" t="inlineStr"/>
      <c r="AD1533" s="5" t="inlineStr"/>
      <c r="AE1533" s="5" t="inlineStr"/>
      <c r="AF1533" s="5" t="inlineStr"/>
      <c r="AG1533" s="5" t="inlineStr"/>
      <c r="AH1533" s="5" t="inlineStr"/>
      <c r="AI1533" s="5" t="inlineStr"/>
      <c r="AJ1533" s="5" t="inlineStr"/>
    </row>
    <row r="1534">
      <c r="A1534" s="5" t="inlineStr">
        <is>
          <t>k10-esnaf</t>
        </is>
      </c>
      <c r="B1534" s="5" t="n">
        <v>2</v>
      </c>
      <c r="C1534" s="6" t="inlineStr">
        <is>
          <t>Dükkânı sat, markette reyon şefi ol</t>
        </is>
      </c>
      <c r="D1534" s="5" t="inlineStr">
        <is>
          <t>Çene</t>
        </is>
      </c>
      <c r="E1534" s="5" t="inlineStr">
        <is>
          <t>Orta</t>
        </is>
      </c>
      <c r="F1534" s="5" t="inlineStr"/>
      <c r="G1534" s="6" t="inlineStr"/>
      <c r="H1534" s="6" t="inlineStr">
        <is>
          <t>Kepengi son kez indirip karşıya geçtin. Reyon şefi yeleğin yeşil; eski müşterilerin sana hâlâ “Usta” diyor, müdür bundan hoşlanmıyor.</t>
        </is>
      </c>
      <c r="I1534" s="6" t="inlineStr">
        <is>
          <t>Market seni reyon şefi olarak aldı ve eski müşterilerin seni takip etti. Artık zincirin en çok satan reyonu senin; veresiye hariç.</t>
        </is>
      </c>
      <c r="J1534" s="6" t="inlineStr">
        <is>
          <t>Dükkânı satmak istedin; alıcılar karşıdaki markete bakıp fiyat kırdı. Satmadın, dükkânında kaldın. Kepenk yerinde; sen de.</t>
        </is>
      </c>
      <c r="K1534" s="6" t="inlineStr">
        <is>
          <t>Market mülakatında eski müşterilerine veresiye verdiğini anlattın. Müdür bunu bir risk olarak not etti. Dükkânına döndün; defter seni bekliyordu.</t>
        </is>
      </c>
      <c r="L1534" s="6" t="inlineStr"/>
      <c r="M1534" s="5" t="inlineStr"/>
      <c r="N1534" s="5" t="inlineStr"/>
      <c r="O1534" s="6" t="inlineStr"/>
      <c r="P1534" s="6" t="inlineStr"/>
      <c r="Q1534" s="5" t="inlineStr"/>
      <c r="R1534" s="5" t="inlineStr"/>
      <c r="S1534" s="5" t="inlineStr"/>
      <c r="T1534" s="5" t="inlineStr"/>
      <c r="U1534" s="5" t="inlineStr"/>
      <c r="V1534" s="5" t="inlineStr">
        <is>
          <t>-hat-cete, -hat-dolandirici, -hat-girisimci, -hat-goc, -hat-hekim, -hat-koy, -hat-polis, -hat-politika, -hat-sohret, -hat-usta, -hat-yargi, -meslek-esnaf, -meslek-memur, -meslek-serbest, meslek-beyazyaka</t>
        </is>
      </c>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c r="AI1534" s="5" t="inlineStr"/>
      <c r="AJ1534" s="5" t="inlineStr"/>
    </row>
    <row r="1535">
      <c r="A1535" s="5" t="inlineStr">
        <is>
          <t>k10-esnaf</t>
        </is>
      </c>
      <c r="B1535" s="5" t="n">
        <v>3</v>
      </c>
      <c r="C1535" s="6" t="inlineStr">
        <is>
          <t>Markete “koruma” ortaklığı sat</t>
        </is>
      </c>
      <c r="D1535" s="5" t="inlineStr">
        <is>
          <t>Kurnazlık</t>
        </is>
      </c>
      <c r="E1535" s="5" t="inlineStr">
        <is>
          <t>Zor</t>
        </is>
      </c>
      <c r="F1535" s="5" t="inlineStr"/>
      <c r="G1535" s="6" t="inlineStr"/>
      <c r="H1535" s="6" t="inlineStr">
        <is>
          <t>Müdüre “Bu mahallenin dengeleri var” dedin; dengeleri kimse görmedi ama müdür ikna oldu. Her ay bir zarf; ailen bundan hoşlanmadı.</t>
        </is>
      </c>
      <c r="I1535" s="6" t="inlineStr">
        <is>
          <t>Müdür öyle ciddiye aldı ki öbür şubeler de aradı. Artık bir dükkânın değil, bir “danışmanlık” masan var; ailen sofraya çağırmıyor.</t>
        </is>
      </c>
      <c r="J1535" s="6" t="inlineStr">
        <is>
          <t>Müdür seni sonuna kadar dinledi, sonra güvenliğe döndü: “Arkadaşı çıkışa kadar geçirin.” Dükkânına döndün; tezgâh hâlâ senin.</t>
        </is>
      </c>
      <c r="K1535" s="6" t="inlineStr">
        <is>
          <t>Konuşmanı mağazanın kamerası sesiyle kaydetti. Görüntü mahalle grubunda; dükkânına müşteri değil, meraklı geliyor.</t>
        </is>
      </c>
      <c r="L1535" s="6" t="inlineStr"/>
      <c r="M1535" s="5" t="inlineStr"/>
      <c r="N1535" s="5" t="inlineStr"/>
      <c r="O1535" s="6" t="inlineStr"/>
      <c r="P1535" s="6" t="inlineStr"/>
      <c r="Q1535" s="5" t="inlineStr"/>
      <c r="R1535" s="5" t="inlineStr"/>
      <c r="S1535" s="5" t="inlineStr"/>
      <c r="T1535" s="5" t="inlineStr"/>
      <c r="U1535" s="5" t="inlineStr"/>
      <c r="V1535" s="5" t="inlineStr">
        <is>
          <t>-hat-dolandirici, -hat-girisimci, -hat-goc, -hat-hekim, -hat-koy, -hat-polis, -hat-politika, -hat-sohret, -hat-usta, -hat-yargi, -meslek-beyazyaka, -meslek-memur, -meslek-serbest, hat-cete, meslek-esnaf</t>
        </is>
      </c>
      <c r="W1535" s="5" t="inlineStr"/>
      <c r="X1535" s="5" t="inlineStr"/>
      <c r="Y1535" s="5" t="inlineStr"/>
      <c r="Z1535" s="6" t="inlineStr"/>
      <c r="AA1535" s="5" t="inlineStr">
        <is>
          <t>hepsi -1</t>
        </is>
      </c>
      <c r="AB1535" s="5" t="inlineStr"/>
      <c r="AC1535" s="5" t="inlineStr"/>
      <c r="AD1535" s="5" t="inlineStr">
        <is>
          <t>Rahat</t>
        </is>
      </c>
      <c r="AE1535" s="5" t="inlineStr"/>
      <c r="AF1535" s="5" t="inlineStr"/>
      <c r="AG1535" s="5" t="inlineStr"/>
      <c r="AH1535" s="5" t="inlineStr"/>
      <c r="AI1535" s="5" t="inlineStr"/>
      <c r="AJ1535" s="5" t="inlineStr"/>
    </row>
    <row r="1536">
      <c r="A1536" s="5" t="inlineStr">
        <is>
          <t>k10-serbest</t>
        </is>
      </c>
      <c r="B1536" s="5" t="n">
        <v>1</v>
      </c>
      <c r="C1536" s="6" t="inlineStr">
        <is>
          <t>Kameraya geç</t>
        </is>
      </c>
      <c r="D1536" s="5" t="inlineStr">
        <is>
          <t>Pişkinlik</t>
        </is>
      </c>
      <c r="E1536" s="5" t="inlineStr">
        <is>
          <t>Zor</t>
        </is>
      </c>
      <c r="F1536" s="5" t="inlineStr"/>
      <c r="G1536" s="6" t="inlineStr"/>
      <c r="H1536" s="6" t="inlineStr">
        <is>
          <t>Cümleyi her gün başka bir tonla söyledin; bir gün annenle birlikte. O video ilkini geçti. Bir ay sonra televizyondan aradılar; annen “Ben de gelirim” dedi, geldi.</t>
        </is>
      </c>
      <c r="I1536" s="6" t="inlineStr">
        <is>
          <t>Cümle bir reklam şarkısı oldu, sen de reklamın yüzü. Sokakta çocuklar cümleyi bağırıyor; sen her seferinde tamamlıyorsun.</t>
        </is>
      </c>
      <c r="J1536" s="6" t="inlineStr">
        <is>
          <t>İkinci video tutmadı, üçüncüsünü kimse izlemedi. İşine döndün; komşunun oğlu artık başkasını çekiyor.</t>
        </is>
      </c>
      <c r="K1536" s="6" t="inlineStr">
        <is>
          <t>İkinci videoda cümleyi yanlış söyledin; yanlışı ilkinden hızlı yayıldı. İşine döndün. Annen bile telefonda yanlışıyla söylüyor; düzeltince “Öyle değildi ki” diyor.</t>
        </is>
      </c>
      <c r="L1536" s="6" t="inlineStr"/>
      <c r="M1536" s="5" t="inlineStr"/>
      <c r="N1536" s="5" t="inlineStr"/>
      <c r="O1536" s="6" t="inlineStr"/>
      <c r="P1536" s="6" t="inlineStr"/>
      <c r="Q1536" s="5" t="inlineStr"/>
      <c r="R1536" s="5" t="inlineStr"/>
      <c r="S1536" s="5" t="inlineStr"/>
      <c r="T1536" s="5" t="inlineStr"/>
      <c r="U1536" s="5" t="inlineStr"/>
      <c r="V1536" s="5" t="inlineStr">
        <is>
          <t>-hat-cete, -hat-dolandirici, -hat-girisimci, -hat-goc, -hat-hekim, -hat-koy, -hat-polis, -hat-politika, -hat-usta, -hat-yargi, -meslek-beyazyaka, -meslek-esnaf, -meslek-memur, hat-sohret, meslek-serbest</t>
        </is>
      </c>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c r="AI1536" s="5" t="inlineStr"/>
      <c r="AJ1536" s="5" t="inlineStr"/>
    </row>
    <row r="1537">
      <c r="A1537" s="5" t="inlineStr">
        <is>
          <t>k10-serbest</t>
        </is>
      </c>
      <c r="B1537" s="5" t="n">
        <v>2</v>
      </c>
      <c r="C1537" s="6" t="inlineStr">
        <is>
          <t>Viral işinden ajans kur</t>
        </is>
      </c>
      <c r="D1537" s="5" t="inlineStr">
        <is>
          <t>Akıl</t>
        </is>
      </c>
      <c r="E1537" s="5" t="inlineStr">
        <is>
          <t>Orta</t>
        </is>
      </c>
      <c r="F1537" s="5" t="inlineStr"/>
      <c r="G1537" s="6" t="inlineStr"/>
      <c r="H1537" s="6" t="inlineStr">
        <is>
          <t>Viral olmayı bilmiyordun ama bilmeyenlere anlatmayı bildin. Ajansının ilk üç müşterisi var; biri komşunun oğlu.</t>
        </is>
      </c>
      <c r="I1537" s="6" t="inlineStr">
        <is>
          <t>İlk yılda on iki kişiyi viral yaptın. Kendi cümlen hâlâ en büyüğü; ofisin duvarına yazdırdın.</t>
        </is>
      </c>
      <c r="J1537" s="6" t="inlineStr">
        <is>
          <t>Logoyu bitirene kadar viral dalga çoktan geçmişti. Logo güzel oldu, müşteri yok. Eski işine döndün.</t>
        </is>
      </c>
      <c r="K1537" s="6" t="inlineStr">
        <is>
          <t>İlk müşterin viral cümleni tişörtlere bastırıp sattı; sana tek kuruş ödemeden. Tişörtten sen de bir tane aldın, indirimli. Eski işine döndün.</t>
        </is>
      </c>
      <c r="L1537" s="6" t="inlineStr"/>
      <c r="M1537" s="5" t="inlineStr"/>
      <c r="N1537" s="5" t="inlineStr"/>
      <c r="O1537" s="6" t="inlineStr"/>
      <c r="P1537" s="6" t="inlineStr"/>
      <c r="Q1537" s="5" t="inlineStr"/>
      <c r="R1537" s="5" t="inlineStr"/>
      <c r="S1537" s="5" t="inlineStr"/>
      <c r="T1537" s="5" t="inlineStr"/>
      <c r="U1537" s="5" t="inlineStr"/>
      <c r="V1537" s="5" t="inlineStr">
        <is>
          <t>-hat-cete, -hat-dolandirici, -hat-goc, -hat-hekim, -hat-koy, -hat-polis, -hat-politika, -hat-sohret, -hat-usta, -hat-yargi, -meslek-beyazyaka, -meslek-esnaf, -meslek-memur, hat-girisimci, meslek-serbest</t>
        </is>
      </c>
      <c r="W1537" s="5" t="inlineStr"/>
      <c r="X1537" s="5" t="inlineStr"/>
      <c r="Y1537" s="5" t="inlineStr"/>
      <c r="Z1537" s="6" t="inlineStr"/>
      <c r="AA1537" s="5" t="inlineStr"/>
      <c r="AB1537" s="5" t="inlineStr"/>
      <c r="AC1537" s="5" t="inlineStr"/>
      <c r="AD1537" s="5" t="inlineStr"/>
      <c r="AE1537" s="5" t="inlineStr"/>
      <c r="AF1537" s="5" t="inlineStr"/>
      <c r="AG1537" s="5" t="inlineStr"/>
      <c r="AH1537" s="5" t="inlineStr"/>
      <c r="AI1537" s="5" t="inlineStr"/>
      <c r="AJ1537" s="5" t="inlineStr"/>
    </row>
    <row r="1538">
      <c r="A1538" s="5" t="inlineStr">
        <is>
          <t>k10-serbest</t>
        </is>
      </c>
      <c r="B1538" s="5" t="n">
        <v>3</v>
      </c>
      <c r="C1538" s="6" t="inlineStr">
        <is>
          <t>Viral geçsin, işine dön</t>
        </is>
      </c>
      <c r="D1538" s="5" t="inlineStr"/>
      <c r="E1538" s="5" t="inlineStr"/>
      <c r="F1538" s="5" t="inlineStr">
        <is>
          <t>Dayanıklılık +1, İtibar +1</t>
        </is>
      </c>
      <c r="G1538" s="6" t="inlineStr">
        <is>
          <t>Telefonu sessize alıp işine döndün. İki hafta sonra kimse cümleyi hatırlamıyordu; bir tek annen, her telefonda onu söylüyor.</t>
        </is>
      </c>
      <c r="H1538" s="6" t="inlineStr"/>
      <c r="I1538" s="6" t="inlineStr"/>
      <c r="J1538" s="6" t="inlineStr"/>
      <c r="K1538" s="6" t="inlineStr"/>
      <c r="L1538" s="6" t="inlineStr"/>
      <c r="M1538" s="5" t="inlineStr"/>
      <c r="N1538" s="5" t="inlineStr"/>
      <c r="O1538" s="6" t="inlineStr"/>
      <c r="P1538" s="6" t="inlineStr"/>
      <c r="Q1538" s="5" t="inlineStr"/>
      <c r="R1538" s="5" t="inlineStr"/>
      <c r="S1538" s="5" t="inlineStr"/>
      <c r="T1538" s="5" t="inlineStr"/>
      <c r="U1538" s="5" t="inlineStr"/>
      <c r="V1538" s="5" t="inlineStr"/>
      <c r="W1538" s="5" t="inlineStr"/>
      <c r="X1538" s="5" t="inlineStr"/>
      <c r="Y1538" s="5" t="inlineStr"/>
      <c r="Z1538" s="6" t="inlineStr"/>
      <c r="AA1538" s="5" t="inlineStr"/>
      <c r="AB1538" s="5" t="inlineStr"/>
      <c r="AC1538" s="5" t="inlineStr"/>
      <c r="AD1538" s="5" t="inlineStr"/>
      <c r="AE1538" s="5" t="inlineStr"/>
      <c r="AF1538" s="5" t="inlineStr"/>
      <c r="AG1538" s="5" t="inlineStr"/>
      <c r="AH1538" s="5" t="inlineStr"/>
      <c r="AI1538" s="5" t="inlineStr"/>
      <c r="AJ1538" s="5" t="inlineStr"/>
    </row>
    <row r="1539">
      <c r="A1539" s="5" t="inlineStr">
        <is>
          <t>b7-hapis-kogus-ilk-gun</t>
        </is>
      </c>
      <c r="B1539" s="5" t="n">
        <v>1</v>
      </c>
      <c r="C1539" s="6" t="inlineStr">
        <is>
          <t>“Nasıl gelirse” de</t>
        </is>
      </c>
      <c r="D1539" s="5" t="inlineStr"/>
      <c r="E1539" s="5" t="inlineStr"/>
      <c r="F1539" s="5" t="inlineStr">
        <is>
          <t>Dayanıklılık +1, Sosyal Radar +1</t>
        </is>
      </c>
      <c r="G1539" s="6" t="inlineStr">
        <is>
          <t>Çaycı uzun uzun baktı, bardağını yarım şekerli doldurdu. Koğuşta adın “Nasıl Gelirse” oldu; en az tartışılan isim.</t>
        </is>
      </c>
      <c r="H1539" s="6" t="inlineStr"/>
      <c r="I1539" s="6" t="inlineStr"/>
      <c r="J1539" s="6" t="inlineStr"/>
      <c r="K1539" s="6" t="inlineStr"/>
      <c r="L1539" s="6" t="inlineStr"/>
      <c r="M1539" s="5" t="inlineStr"/>
      <c r="N1539" s="5" t="inlineStr"/>
      <c r="O1539" s="6" t="inlineStr"/>
      <c r="P1539" s="6" t="inlineStr"/>
      <c r="Q1539" s="5" t="inlineStr"/>
      <c r="R1539" s="5" t="inlineStr"/>
      <c r="S1539" s="5" t="inlineStr"/>
      <c r="T1539" s="5" t="inlineStr"/>
      <c r="U1539" s="5" t="inlineStr"/>
      <c r="V1539" s="5" t="inlineStr"/>
      <c r="W1539" s="5" t="inlineStr"/>
      <c r="X1539" s="5" t="inlineStr"/>
      <c r="Y1539" s="5" t="inlineStr"/>
      <c r="Z1539" s="6" t="inlineStr"/>
      <c r="AA1539" s="5" t="inlineStr"/>
      <c r="AB1539" s="5" t="inlineStr"/>
      <c r="AC1539" s="5" t="inlineStr"/>
      <c r="AD1539" s="5" t="inlineStr"/>
      <c r="AE1539" s="5" t="inlineStr"/>
      <c r="AF1539" s="5" t="inlineStr"/>
      <c r="AG1539" s="5" t="inlineStr"/>
      <c r="AH1539" s="5" t="inlineStr"/>
      <c r="AI1539" s="5" t="inlineStr"/>
      <c r="AJ1539" s="5" t="inlineStr"/>
    </row>
    <row r="1540">
      <c r="A1540" s="5" t="inlineStr">
        <is>
          <t>b7-hapis-kogus-ilk-gun</t>
        </is>
      </c>
      <c r="B1540" s="5" t="n">
        <v>2</v>
      </c>
      <c r="C1540" s="6" t="inlineStr">
        <is>
          <t>Tavla hiyerarşisine meydan oku</t>
        </is>
      </c>
      <c r="D1540" s="5" t="inlineStr">
        <is>
          <t>Kurnazlık</t>
        </is>
      </c>
      <c r="E1540" s="5" t="inlineStr">
        <is>
          <t>Orta</t>
        </is>
      </c>
      <c r="F1540" s="5" t="inlineStr"/>
      <c r="G1540" s="6" t="inlineStr"/>
      <c r="H1540" s="6" t="inlineStr">
        <is>
          <t>Koğuşun tavla şampiyonunu ilk gece yendin. Ertesi sabah yatağın pencere kenarına taşındı; güneş de sana geçti.</t>
        </is>
      </c>
      <c r="I1540" s="6" t="inlineStr">
        <is>
          <t>Şampiyonu mars ettin; şampiyon kendi zarlarını sana hediye etti. Koğuşta sana artık kimse “yeni” demiyor.</t>
        </is>
      </c>
      <c r="J1540" s="6" t="inlineStr">
        <is>
          <t>Şampiyon seni üç elde yendi, sonra pulları nasıl dizeceğini anlattı. Ücretsiz ders; bedeli bulaşık.</t>
        </is>
      </c>
      <c r="K1540" s="6" t="inlineStr">
        <is>
          <t>Zar yatağın altına kaçtı. Eğilip aradın; doğrulduğunda yatağında biri yatıyordu, battaniyeni de çekmişti: “Boş sandım.” O gece kapının dibinde yattın.</t>
        </is>
      </c>
      <c r="L1540" s="6" t="inlineStr"/>
      <c r="M1540" s="5" t="inlineStr"/>
      <c r="N1540" s="5" t="inlineStr"/>
      <c r="O1540" s="6" t="inlineStr"/>
      <c r="P1540" s="6" t="inlineStr"/>
      <c r="Q1540" s="5" t="inlineStr"/>
      <c r="R1540" s="5" t="inlineStr"/>
      <c r="S1540" s="5" t="inlineStr"/>
      <c r="T1540" s="5" t="inlineStr"/>
      <c r="U1540" s="5" t="inlineStr"/>
      <c r="V1540" s="5" t="inlineStr">
        <is>
          <t>kogus-dostu</t>
        </is>
      </c>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c r="AI1540" s="5" t="inlineStr"/>
      <c r="AJ1540" s="5" t="inlineStr"/>
    </row>
    <row r="1541">
      <c r="A1541" s="5" t="inlineStr">
        <is>
          <t>b7-hapis-kogus-ilk-gun</t>
        </is>
      </c>
      <c r="B1541" s="5" t="n">
        <v>3</v>
      </c>
      <c r="C1541" s="6" t="inlineStr">
        <is>
          <t>Çay ocağına gönüllü ol</t>
        </is>
      </c>
      <c r="D1541" s="5" t="inlineStr">
        <is>
          <t>Çene</t>
        </is>
      </c>
      <c r="E1541" s="5" t="inlineStr">
        <is>
          <t>Orta</t>
        </is>
      </c>
      <c r="F1541" s="5" t="inlineStr"/>
      <c r="G1541" s="6" t="inlineStr"/>
      <c r="H1541" s="6" t="inlineStr">
        <is>
          <t>Ocağa girdin; artık herkesin şeker sayısını ve derdini biliyorsun. Koğuşta çay kimdeyse söz de onda.</t>
        </is>
      </c>
      <c r="I1541" s="6" t="inlineStr">
        <is>
          <t>Çayın o kadar iyi ki gardiyanlar da mola saatinde uğruyor. Ocak artık senin; kapının yanında bir de taburen var.</t>
        </is>
      </c>
      <c r="J1541" s="6" t="inlineStr">
        <is>
          <t>Sabırsızlanıp çayı erken koydun. Koğuş sana bir hafta “Açık Çay” dedi.</t>
        </is>
      </c>
      <c r="K1541" s="6" t="inlineStr">
        <is>
          <t>Demliği devirdin, şeker listesi ıslandı. Kimin kaç şeker içtiği artık bilinmiyor; koğuş bir hafta küs.</t>
        </is>
      </c>
      <c r="L1541" s="6" t="inlineStr"/>
      <c r="M1541" s="5" t="inlineStr"/>
      <c r="N1541" s="5" t="inlineStr"/>
      <c r="O1541" s="6" t="inlineStr"/>
      <c r="P1541" s="6" t="inlineStr"/>
      <c r="Q1541" s="5" t="inlineStr"/>
      <c r="R1541" s="5" t="inlineStr"/>
      <c r="S1541" s="5" t="inlineStr"/>
      <c r="T1541" s="5" t="inlineStr"/>
      <c r="U1541" s="5" t="inlineStr"/>
      <c r="V1541" s="5" t="inlineStr"/>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c r="AI1541" s="5" t="inlineStr"/>
      <c r="AJ1541" s="5" t="inlineStr"/>
    </row>
    <row r="1542">
      <c r="A1542" s="5" t="inlineStr">
        <is>
          <t>b7-hapis-gorus-gunu</t>
        </is>
      </c>
      <c r="B1542" s="5" t="n">
        <v>1</v>
      </c>
      <c r="C1542" s="6" t="inlineStr">
        <is>
          <t>Yirmi dakikayı dinleyerek geçir</t>
        </is>
      </c>
      <c r="D1542" s="5" t="inlineStr"/>
      <c r="E1542" s="5" t="inlineStr"/>
      <c r="F1542" s="5" t="inlineStr">
        <is>
          <t>Sosyal Radar +1, Gönül +1</t>
        </is>
      </c>
      <c r="G1542" s="6" t="inlineStr">
        <is>
          <t>Hiç konuşmadın; annen mahallenin bütün haberlerini anlattı. Sonunda “Sen de bir şey söyle” dedi. “Yemekler güzel” dedin; ağladı.</t>
        </is>
      </c>
      <c r="H1542" s="6" t="inlineStr"/>
      <c r="I1542" s="6" t="inlineStr"/>
      <c r="J1542" s="6" t="inlineStr"/>
      <c r="K1542" s="6" t="inlineStr"/>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c r="AI1542" s="5" t="inlineStr"/>
      <c r="AJ1542" s="5" t="inlineStr"/>
    </row>
    <row r="1543">
      <c r="A1543" s="5" t="inlineStr">
        <is>
          <t>b7-hapis-gorus-gunu</t>
        </is>
      </c>
      <c r="B1543" s="5" t="n">
        <v>2</v>
      </c>
      <c r="C1543" s="6" t="inlineStr">
        <is>
          <t>Her şey yolunda gibi göster</t>
        </is>
      </c>
      <c r="D1543" s="5" t="inlineStr">
        <is>
          <t>Pişkinlik</t>
        </is>
      </c>
      <c r="E1543" s="5" t="inlineStr">
        <is>
          <t>Orta</t>
        </is>
      </c>
      <c r="F1543" s="5" t="inlineStr"/>
      <c r="G1543" s="6" t="inlineStr"/>
      <c r="H1543" s="6" t="inlineStr">
        <is>
          <t>Koğuşu bir yurt gibi anlattın: tavla, çay, sohbet. Annen rahatladı: “Bari arkadaş edinmişsin.” Çıkarken gardiyana döndü: “Bizimkine iyi bakın, üşür.”</t>
        </is>
      </c>
      <c r="I1543" s="6" t="inlineStr">
        <is>
          <t>Öyle anlattın ki annen bir sonraki görüşe arkadaşların için de börek getirdi. Koğuşta itibarın iki tepsi arttı.</t>
        </is>
      </c>
      <c r="J1543" s="6" t="inlineStr">
        <is>
          <t>“Her şey yolunda” derken arkandan “Süre bitti” sesi geldi. Cümlen yarım kaldı; annen yarısına inandı.</t>
        </is>
      </c>
      <c r="K1543" s="6" t="inlineStr">
        <is>
          <t>Ahize elinden kaydı; kalan on dakikayı işaretle anlaştınız. Annen “Çorap” anladı; gelecek ay otuz çift çorap geldi.</t>
        </is>
      </c>
      <c r="L1543" s="6" t="inlineStr">
        <is>
          <t>Yüzün tuttu, sesin tutmadı. Annen “İyiyim” kelimesine inandı, titremesine inanmadı.</t>
        </is>
      </c>
      <c r="M1543" s="5" t="inlineStr">
        <is>
          <t>lie</t>
        </is>
      </c>
      <c r="N1543" s="5" t="inlineStr">
        <is>
          <t>Görüş Camı</t>
        </is>
      </c>
      <c r="O1543" s="6" t="inlineStr">
        <is>
          <t>Söylediklerini aklında tut; sorulara çelişmeden cevap ver.</t>
        </is>
      </c>
      <c r="P1543" s="6" t="inlineStr">
        <is>
          <t>{"who": "Annen", "facts": ["Yemekler iyi.", "Üşümüyorum.", "Arkadaşlarım iyi."], "qs": [{"q": "Yemek veriyorlar mı?", "o": ["Evet, iyi.", "Pek değil.", "Çok kötü."]}, {"q": "Üşüyor musun?", "o": ["Hayır, battaniye var.", "Evet.", "Çok."]}, {"q": "Arkadaşların iyi mi?", "o": ["İyi, birlikte oyun oynuyoruz.", "Hiç arkadaşım yok.", "Kavga ediyoruz."]}]}</t>
        </is>
      </c>
      <c r="Q1543" s="5" t="inlineStr"/>
      <c r="R1543" s="5" t="inlineStr"/>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c r="AI1543" s="5" t="inlineStr"/>
      <c r="AJ1543" s="5" t="inlineStr"/>
    </row>
    <row r="1544">
      <c r="A1544" s="5" t="inlineStr">
        <is>
          <t>b7-hapis-gorus-gunu</t>
        </is>
      </c>
      <c r="B1544" s="5" t="n">
        <v>3</v>
      </c>
      <c r="C1544" s="6" t="inlineStr">
        <is>
          <t>Dışarıdaki işleri ahizeden yönet</t>
        </is>
      </c>
      <c r="D1544" s="5" t="inlineStr">
        <is>
          <t>Kurnazlık</t>
        </is>
      </c>
      <c r="E1544" s="5" t="inlineStr">
        <is>
          <t>Orta</t>
        </is>
      </c>
      <c r="F1544" s="5" t="inlineStr"/>
      <c r="G1544" s="6" t="inlineStr"/>
      <c r="H1544" s="6" t="inlineStr">
        <is>
          <t>Annene üç talimat verdin: kira, sigorta, bir de dükkânın kepengi. Annen kirayı yatırdı, sigortayı yatırdı; kepengi de her sabah açıp tezgâha kendisi oturdu. Mahalle ona artık “Usta” diyor.</t>
        </is>
      </c>
      <c r="I1544" s="6" t="inlineStr">
        <is>
          <t>Annen talimatları öyle iyi uyguladı ki dışarıda işler senin zamanından düzgün dönüyor. Çıkınca yerin olacak mı, emin değilsin.</t>
        </is>
      </c>
      <c r="J1544" s="6" t="inlineStr">
        <is>
          <t>Talimatları verdin; hat cızırdıyordu. Annen tek cümle duydu: “Sen üşüme yeter.”</t>
        </is>
      </c>
      <c r="K1544" s="6" t="inlineStr">
        <is>
          <t>Talimatların arasında bir kasa şifresi söyledin; yanlışını. Annen bir ay kasayla uğraştı; çilingir de artık seni tanıyor.</t>
        </is>
      </c>
      <c r="L1544" s="6" t="inlineStr"/>
      <c r="M1544" s="5" t="inlineStr"/>
      <c r="N1544" s="5" t="inlineStr"/>
      <c r="O1544" s="6" t="inlineStr"/>
      <c r="P1544" s="6" t="inlineStr"/>
      <c r="Q1544" s="5" t="inlineStr"/>
      <c r="R1544" s="5" t="inlineStr"/>
      <c r="S1544" s="5" t="inlineStr"/>
      <c r="T1544" s="5" t="inlineStr"/>
      <c r="U1544" s="5" t="inlineStr"/>
      <c r="V1544" s="5" t="inlineStr"/>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c r="AI1544" s="5" t="inlineStr"/>
      <c r="AJ1544" s="5" t="inlineStr"/>
    </row>
    <row r="1545">
      <c r="A1545" s="5" t="inlineStr">
        <is>
          <t>b7-hapis-gorus-gunu</t>
        </is>
      </c>
      <c r="B1545" s="5" t="n">
        <v>4</v>
      </c>
      <c r="C1545" s="6" t="inlineStr">
        <is>
          <t>Çocuğa bir masal anlat</t>
        </is>
      </c>
      <c r="D1545" s="5" t="inlineStr"/>
      <c r="E1545" s="5" t="inlineStr"/>
      <c r="F1545" s="5" t="inlineStr">
        <is>
          <t>Gönül +1</t>
        </is>
      </c>
      <c r="G1545" s="6" t="inlineStr">
        <is>
          <t>Yirmi dakikanın on beşini bir masala verdin: bir kral bir süre sarayda tatil yapıyormuş. Çocuk sonunu sordu. “Bir sonraki görüşte” dedin; söz verdin.</t>
        </is>
      </c>
      <c r="H1545" s="6" t="inlineStr"/>
      <c r="I1545" s="6" t="inlineStr"/>
      <c r="J1545" s="6" t="inlineStr"/>
      <c r="K1545" s="6" t="inlineStr"/>
      <c r="L1545" s="6" t="inlineStr"/>
      <c r="M1545" s="5" t="inlineStr"/>
      <c r="N1545" s="5" t="inlineStr"/>
      <c r="O1545" s="6" t="inlineStr"/>
      <c r="P1545" s="6" t="inlineStr"/>
      <c r="Q1545" s="5" t="inlineStr"/>
      <c r="R1545" s="5" t="inlineStr">
        <is>
          <t>cocuklu</t>
        </is>
      </c>
      <c r="S1545" s="5" t="inlineStr"/>
      <c r="T1545" s="5" t="inlineStr"/>
      <c r="U1545" s="5" t="inlineStr"/>
      <c r="V1545" s="5" t="inlineStr"/>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c r="AI1545" s="5" t="inlineStr"/>
      <c r="AJ1545" s="5" t="inlineStr"/>
    </row>
    <row r="1546">
      <c r="A1546" s="5" t="inlineStr">
        <is>
          <t>b7-hapis-islah-kursu</t>
        </is>
      </c>
      <c r="B1546" s="5" t="n">
        <v>1</v>
      </c>
      <c r="C1546" s="6" t="inlineStr">
        <is>
          <t>Sabun yapımına yazıl</t>
        </is>
      </c>
      <c r="D1546" s="5" t="inlineStr"/>
      <c r="E1546" s="5" t="inlineStr"/>
      <c r="F1546" s="5" t="inlineStr">
        <is>
          <t>Dayanıklılık +1, Akıl +1</t>
        </is>
      </c>
      <c r="G1546" s="6" t="inlineStr">
        <is>
          <t>Üç ayda lavanta kokulu kırk sabun yaptın. Sertifikan var; koğuş da artık lavanta kokuyor. Annene bir tane yolladın; banyoya koymadı, vitrine koydu.</t>
        </is>
      </c>
      <c r="H1546" s="6" t="inlineStr"/>
      <c r="I1546" s="6" t="inlineStr"/>
      <c r="J1546" s="6" t="inlineStr"/>
      <c r="K1546" s="6" t="inlineStr"/>
      <c r="L1546" s="6" t="inlineStr"/>
      <c r="M1546" s="5" t="inlineStr"/>
      <c r="N1546" s="5" t="inlineStr"/>
      <c r="O1546" s="6" t="inlineStr"/>
      <c r="P1546" s="6" t="inlineStr"/>
      <c r="Q1546" s="5" t="inlineStr"/>
      <c r="R1546" s="5" t="inlineStr"/>
      <c r="S1546" s="5" t="inlineStr"/>
      <c r="T1546" s="5" t="inlineStr"/>
      <c r="U1546" s="5" t="inlineStr">
        <is>
          <t>islah-sertifikasi</t>
        </is>
      </c>
      <c r="V1546" s="5" t="inlineStr"/>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c r="AI1546" s="5" t="inlineStr"/>
      <c r="AJ1546" s="5" t="inlineStr"/>
    </row>
    <row r="1547">
      <c r="A1547" s="5" t="inlineStr">
        <is>
          <t>b7-hapis-islah-kursu</t>
        </is>
      </c>
      <c r="B1547" s="5" t="n">
        <v>2</v>
      </c>
      <c r="C1547" s="6" t="inlineStr">
        <is>
          <t>Ahşap oymacılığında ustalaş</t>
        </is>
      </c>
      <c r="D1547" s="5" t="inlineStr">
        <is>
          <t>Dayanıklılık</t>
        </is>
      </c>
      <c r="E1547" s="5" t="inlineStr">
        <is>
          <t>Orta</t>
        </is>
      </c>
      <c r="F1547" s="5" t="inlineStr"/>
      <c r="G1547" s="6" t="inlineStr"/>
      <c r="H1547" s="6" t="inlineStr">
        <is>
          <t>İlk kaşık yamuk, ikincisi tahta, üçüncüsü kaşık. Sertifika töreninde müdür kaşığını evine götürdü.</t>
        </is>
      </c>
      <c r="I1547" s="6" t="inlineStr">
        <is>
          <t>Oyduğun tavla takımı cezaevi sergisinde birinci oldu. Koğuşun turnuvası artık senin tahtanda oynanıyor.</t>
        </is>
      </c>
      <c r="J1547" s="6" t="inlineStr">
        <is>
          <t>Kaşık olacaktı, kürdan oldu. Kürdanları koğuşa dağıttın; herkes seni sevdi ama sertifika yok.</t>
        </is>
      </c>
      <c r="K1547" s="6" t="inlineStr">
        <is>
          <t>Tahtayı yanlış yerinden oydun; elinde bir “eser” kaldı. Hoca adını “Soyut Dönem” koydu; koğuşta öyle çağrılıyorsun.</t>
        </is>
      </c>
      <c r="L1547" s="6" t="inlineStr"/>
      <c r="M1547" s="5" t="inlineStr"/>
      <c r="N1547" s="5" t="inlineStr"/>
      <c r="O1547" s="6" t="inlineStr"/>
      <c r="P1547" s="6" t="inlineStr"/>
      <c r="Q1547" s="5" t="inlineStr"/>
      <c r="R1547" s="5" t="inlineStr"/>
      <c r="S1547" s="5" t="inlineStr"/>
      <c r="T1547" s="5" t="inlineStr"/>
      <c r="U1547" s="5" t="inlineStr"/>
      <c r="V1547" s="5" t="inlineStr">
        <is>
          <t>islah-sertifikasi</t>
        </is>
      </c>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c r="AI1547" s="5" t="inlineStr">
        <is>
          <t>Soyut Dönem</t>
        </is>
      </c>
      <c r="AJ1547" s="5" t="inlineStr"/>
    </row>
    <row r="1548">
      <c r="A1548" s="5" t="inlineStr">
        <is>
          <t>b7-hapis-islah-kursu</t>
        </is>
      </c>
      <c r="B1548" s="5" t="n">
        <v>3</v>
      </c>
      <c r="C1548" s="6" t="inlineStr">
        <is>
          <t>Kişisel gelişim kursunu devral</t>
        </is>
      </c>
      <c r="D1548" s="5" t="inlineStr">
        <is>
          <t>Pişkinlik</t>
        </is>
      </c>
      <c r="E1548" s="5" t="inlineStr">
        <is>
          <t>Zor</t>
        </is>
      </c>
      <c r="F1548" s="5" t="inlineStr"/>
      <c r="G1548" s="6" t="inlineStr"/>
      <c r="H1548" s="6" t="inlineStr">
        <is>
          <t>Hocayı bir haftada koltuğundan ettin; derse artık sen giriyorsun. Konu: “Koğuşta Verimlilik.” Katılım zorunlu değil ama başka program yok.</t>
        </is>
      </c>
      <c r="I1548" s="6" t="inlineStr">
        <is>
          <t>Öbür koğuşlar da derslerini istedi. Son derste eski hoca en arka sıradan el kaldırdı: “Hocam, bir sorum var.” Müdür dosyana “örnek kursiyer” yazdı.</t>
        </is>
      </c>
      <c r="J1548" s="6" t="inlineStr">
        <is>
          <t>Hoca seni ön sıraya oturtup bütün dönem yalnızca sana soru sordu. Kişisel gelişimin boyun tutulması oldu.</t>
        </is>
      </c>
      <c r="K1548" s="6" t="inlineStr">
        <is>
          <t>Derste eski hocayı taklit ettin, o da seni. Koğuş ikinizi karıştırıyor; mektupların ona gidiyor.</t>
        </is>
      </c>
      <c r="L1548" s="6" t="inlineStr"/>
      <c r="M1548" s="5" t="inlineStr"/>
      <c r="N1548" s="5" t="inlineStr"/>
      <c r="O1548" s="6" t="inlineStr"/>
      <c r="P1548" s="6" t="inlineStr"/>
      <c r="Q1548" s="5" t="inlineStr"/>
      <c r="R1548" s="5" t="inlineStr"/>
      <c r="S1548" s="5" t="inlineStr"/>
      <c r="T1548" s="5" t="inlineStr">
        <is>
          <t>Tezgâh Ağzı</t>
        </is>
      </c>
      <c r="U1548" s="5" t="inlineStr"/>
      <c r="V1548" s="5" t="inlineStr">
        <is>
          <t>islah-sertifikasi</t>
        </is>
      </c>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c r="AI1548" s="5" t="inlineStr"/>
      <c r="AJ1548" s="5" t="inlineStr"/>
    </row>
    <row r="1549">
      <c r="A1549" s="5" t="inlineStr">
        <is>
          <t>b7-hapis-af-soylentisi</t>
        </is>
      </c>
      <c r="B1549" s="5" t="n">
        <v>1</v>
      </c>
      <c r="C1549" s="6" t="inlineStr">
        <is>
          <t>Söylentiye inanma, günleri say</t>
        </is>
      </c>
      <c r="D1549" s="5" t="inlineStr"/>
      <c r="E1549" s="5" t="inlineStr"/>
      <c r="F1549" s="5" t="inlineStr">
        <is>
          <t>Dayanıklılık +1</t>
        </is>
      </c>
      <c r="G1549" s="6" t="inlineStr">
        <is>
          <t>Duvara çizgiler çektin; söylentiye değil çizgilere güvendin. Af çıkmadı; çizgilerin doğru çıktı.</t>
        </is>
      </c>
      <c r="H1549" s="6" t="inlineStr"/>
      <c r="I1549" s="6" t="inlineStr"/>
      <c r="J1549" s="6" t="inlineStr"/>
      <c r="K1549" s="6" t="inlineStr"/>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c r="AI1549" s="5" t="inlineStr"/>
      <c r="AJ1549" s="5" t="inlineStr"/>
    </row>
    <row r="1550">
      <c r="A1550" s="5" t="inlineStr">
        <is>
          <t>b7-hapis-af-soylentisi</t>
        </is>
      </c>
      <c r="B1550" s="5" t="n">
        <v>2</v>
      </c>
      <c r="C1550" s="6" t="inlineStr">
        <is>
          <t>Söylentiyi büyüt</t>
        </is>
      </c>
      <c r="D1550" s="5" t="inlineStr">
        <is>
          <t>Çene</t>
        </is>
      </c>
      <c r="E1550" s="5" t="inlineStr">
        <is>
          <t>Orta</t>
        </is>
      </c>
      <c r="F1550" s="5" t="inlineStr"/>
      <c r="G1550" s="6" t="inlineStr"/>
      <c r="H1550" s="6" t="inlineStr">
        <is>
          <t>Söylentiye bir tarih, bir madde numarası ve bir “kaynak” ekledin. Koğuş iki hafta mutlu yaşadı; iki hafta az değil.</t>
        </is>
      </c>
      <c r="I1550" s="6" t="inlineStr">
        <is>
          <t>Öbür koğuşlar tarihi senden teyit etmeye başladı. Af çıkmadı; ama çaycı takvimdeki tarihin yanına adını yazdı: “Kaynak.”</t>
        </is>
      </c>
      <c r="J1550" s="6" t="inlineStr">
        <is>
          <t>Söylentiyi büyütmek istedin; çaycı düzeltti: “O madde geçen yıl konuşuldu.” Kaynaklık çaycıda kaldı.</t>
        </is>
      </c>
      <c r="K1550" s="6" t="inlineStr">
        <is>
          <t>Söylentin gardiyanlara kadar ulaştı; onlar da inanıp izin planı yaptı. Af çıkmayınca kimse sana çay vermedi.</t>
        </is>
      </c>
      <c r="L1550" s="6" t="inlineStr"/>
      <c r="M1550" s="5" t="inlineStr"/>
      <c r="N1550" s="5" t="inlineStr"/>
      <c r="O1550" s="6" t="inlineStr"/>
      <c r="P1550" s="6" t="inlineStr"/>
      <c r="Q1550" s="5" t="inlineStr"/>
      <c r="R1550" s="5" t="inlineStr"/>
      <c r="S1550" s="5" t="inlineStr"/>
      <c r="T1550" s="5" t="inlineStr"/>
      <c r="U1550" s="5" t="inlineStr"/>
      <c r="V1550" s="5" t="inlineStr"/>
      <c r="W1550" s="5" t="inlineStr"/>
      <c r="X1550" s="5" t="inlineStr"/>
      <c r="Y1550" s="5" t="inlineStr"/>
      <c r="Z1550" s="6" t="inlineStr"/>
      <c r="AA1550" s="5" t="inlineStr"/>
      <c r="AB1550" s="5" t="inlineStr"/>
      <c r="AC1550" s="5" t="inlineStr"/>
      <c r="AD1550" s="5" t="inlineStr"/>
      <c r="AE1550" s="5" t="inlineStr"/>
      <c r="AF1550" s="5" t="inlineStr"/>
      <c r="AG1550" s="5" t="inlineStr"/>
      <c r="AH1550" s="5" t="inlineStr"/>
      <c r="AI1550" s="5" t="inlineStr"/>
      <c r="AJ1550" s="5" t="inlineStr"/>
    </row>
    <row r="1551">
      <c r="A1551" s="5" t="inlineStr">
        <is>
          <t>b7-hapis-af-soylentisi</t>
        </is>
      </c>
      <c r="B1551" s="5" t="n">
        <v>3</v>
      </c>
      <c r="C1551" s="6" t="inlineStr">
        <is>
          <t>Avukata mektup yaz</t>
        </is>
      </c>
      <c r="D1551" s="5" t="inlineStr">
        <is>
          <t>Akıl</t>
        </is>
      </c>
      <c r="E1551" s="5" t="inlineStr">
        <is>
          <t>Orta</t>
        </is>
      </c>
      <c r="F1551" s="5" t="inlineStr"/>
      <c r="G1551" s="6" t="inlineStr"/>
      <c r="H1551" s="6" t="inlineStr">
        <is>
          <t>Mektubu madde numaralarıyla üç kez yazdın. Avukat cevap verdi: “Dosyanda iyi hâl indirimi var.” Çıkış tarihini takvime işledin.</t>
        </is>
      </c>
      <c r="I1551" s="6" t="inlineStr">
        <is>
          <t>Avukat mektubunu öbür müvekkillerine örnek gösteriyor. İyi hâl dosyan kalınlaştı; kapı görünür oldu.</t>
        </is>
      </c>
      <c r="J1551" s="6" t="inlineStr">
        <is>
          <t>Avukat cevap vermedi; mektubu yanlış adrese göndermişsin. Başka bir avukat okudu, kartvizit yolladı.</t>
        </is>
      </c>
      <c r="K1551" s="6" t="inlineStr">
        <is>
          <t>Avukatın adını yanlış yazdın. Cevap geldi: “Ben o değilim ama geçmiş olsun.” Bir de fatura.</t>
        </is>
      </c>
      <c r="L1551" s="6" t="inlineStr"/>
      <c r="M1551" s="5" t="inlineStr"/>
      <c r="N1551" s="5" t="inlineStr"/>
      <c r="O1551" s="6" t="inlineStr"/>
      <c r="P1551" s="6" t="inlineStr"/>
      <c r="Q1551" s="5" t="inlineStr"/>
      <c r="R1551" s="5" t="inlineStr"/>
      <c r="S1551" s="5" t="inlineStr"/>
      <c r="T1551" s="5" t="inlineStr"/>
      <c r="U1551" s="5" t="inlineStr"/>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c r="AI1551" s="5" t="inlineStr"/>
      <c r="AJ1551" s="5" t="inlineStr"/>
    </row>
    <row r="1552">
      <c r="A1552" s="5" t="inlineStr">
        <is>
          <t>b7-cezaevi-kapisi</t>
        </is>
      </c>
      <c r="B1552" s="5" t="n">
        <v>1</v>
      </c>
      <c r="C1552" s="6" t="inlineStr">
        <is>
          <t>Islah kursundan esnaflığa geç</t>
        </is>
      </c>
      <c r="D1552" s="5" t="inlineStr"/>
      <c r="E1552" s="5" t="inlineStr"/>
      <c r="F1552" s="5" t="inlineStr">
        <is>
          <t>Dayanıklılık +1, İtibar +1</t>
        </is>
      </c>
      <c r="G1552" s="6" t="inlineStr">
        <is>
          <t>Mahallede küçük bir dükkân kiraladın; tabelaya “Kursta öğrendim” yazdırdın. İlk gün annen kapıya bir saksı fesleğen koydu: “Nazar değmesin.”</t>
        </is>
      </c>
      <c r="H1552" s="6" t="inlineStr"/>
      <c r="I1552" s="6" t="inlineStr"/>
      <c r="J1552" s="6" t="inlineStr"/>
      <c r="K1552" s="6" t="inlineStr"/>
      <c r="L1552" s="6" t="inlineStr"/>
      <c r="M1552" s="5" t="inlineStr"/>
      <c r="N1552" s="5" t="inlineStr"/>
      <c r="O1552" s="6" t="inlineStr"/>
      <c r="P1552" s="6" t="inlineStr"/>
      <c r="Q1552" s="5" t="inlineStr"/>
      <c r="R1552" s="5" t="inlineStr"/>
      <c r="S1552" s="5" t="inlineStr"/>
      <c r="T1552" s="5" t="inlineStr"/>
      <c r="U1552" s="5" t="inlineStr">
        <is>
          <t>-hat-cete, -hat-dolandirici, -hat-girisimci, -hat-goc, -hat-hekim, -hat-koy, -hat-polis, -hat-politika, -hat-sohret, -hat-usta, -hat-yargi, -meslek-beyazyaka, -meslek-memur, -meslek-serbest, meslek-esnaf, -hapis, eski-hukumlu</t>
        </is>
      </c>
      <c r="V1552" s="5" t="inlineStr"/>
      <c r="W1552" s="5" t="inlineStr"/>
      <c r="X1552" s="5" t="inlineStr"/>
      <c r="Y1552" s="5" t="inlineStr"/>
      <c r="Z1552" s="6" t="inlineStr"/>
      <c r="AA1552" s="5" t="inlineStr"/>
      <c r="AB1552" s="5" t="inlineStr"/>
      <c r="AC1552" s="5" t="inlineStr"/>
      <c r="AD1552" s="5" t="inlineStr">
        <is>
          <t>Fakir</t>
        </is>
      </c>
      <c r="AE1552" s="5" t="inlineStr"/>
      <c r="AF1552" s="5" t="inlineStr"/>
      <c r="AG1552" s="5" t="inlineStr"/>
      <c r="AH1552" s="5" t="inlineStr"/>
      <c r="AI1552" s="5" t="inlineStr"/>
      <c r="AJ1552" s="5" t="inlineStr"/>
    </row>
    <row r="1553">
      <c r="A1553" s="5" t="inlineStr">
        <is>
          <t>b7-cezaevi-kapisi</t>
        </is>
      </c>
      <c r="B1553" s="5" t="n">
        <v>2</v>
      </c>
      <c r="C1553" s="6" t="inlineStr">
        <is>
          <t>Eski işine dön</t>
        </is>
      </c>
      <c r="D1553" s="5" t="inlineStr"/>
      <c r="E1553" s="5" t="inlineStr"/>
      <c r="F1553" s="5" t="inlineStr">
        <is>
          <t>Pişkinlik +1, Cesaret +1</t>
        </is>
      </c>
      <c r="G1553" s="6" t="inlineStr">
        <is>
          <t>Eski telefonunu açtın: kırk iki cevapsız arama. Hiçbiri seni özlememiş, hepsi işi soruyor. Kaldığın yerden devam; biraz daha dikkatli.</t>
        </is>
      </c>
      <c r="H1553" s="6" t="inlineStr"/>
      <c r="I1553" s="6" t="inlineStr"/>
      <c r="J1553" s="6" t="inlineStr"/>
      <c r="K1553" s="6" t="inlineStr"/>
      <c r="L1553" s="6" t="inlineStr"/>
      <c r="M1553" s="5" t="inlineStr"/>
      <c r="N1553" s="5" t="inlineStr"/>
      <c r="O1553" s="6" t="inlineStr"/>
      <c r="P1553" s="6" t="inlineStr"/>
      <c r="Q1553" s="5" t="inlineStr"/>
      <c r="R1553" s="5" t="inlineStr"/>
      <c r="S1553" s="5" t="inlineStr"/>
      <c r="T1553" s="5" t="inlineStr"/>
      <c r="U1553" s="5" t="inlineStr">
        <is>
          <t>-hapis, eski-hukumlu</t>
        </is>
      </c>
      <c r="V1553" s="5" t="inlineStr"/>
      <c r="W1553" s="5" t="inlineStr"/>
      <c r="X1553" s="5" t="inlineStr"/>
      <c r="Y1553" s="5" t="inlineStr"/>
      <c r="Z1553" s="6" t="inlineStr"/>
      <c r="AA1553" s="5" t="inlineStr"/>
      <c r="AB1553" s="5" t="inlineStr"/>
      <c r="AC1553" s="5" t="inlineStr"/>
      <c r="AD1553" s="5" t="inlineStr"/>
      <c r="AE1553" s="5" t="inlineStr"/>
      <c r="AF1553" s="5" t="inlineStr"/>
      <c r="AG1553" s="5" t="inlineStr"/>
      <c r="AH1553" s="5" t="inlineStr"/>
      <c r="AI1553" s="5" t="inlineStr"/>
      <c r="AJ1553" s="5" t="inlineStr"/>
    </row>
    <row r="1554">
      <c r="A1554" s="5" t="inlineStr">
        <is>
          <t>b7-cezaevi-kapisi</t>
        </is>
      </c>
      <c r="B1554" s="5" t="n">
        <v>3</v>
      </c>
      <c r="C1554" s="6" t="inlineStr">
        <is>
          <t>Koğuş anılarını kitap yap</t>
        </is>
      </c>
      <c r="D1554" s="5" t="inlineStr">
        <is>
          <t>Çene</t>
        </is>
      </c>
      <c r="E1554" s="5" t="inlineStr">
        <is>
          <t>Zor</t>
        </is>
      </c>
      <c r="F1554" s="5" t="inlineStr"/>
      <c r="G1554" s="6" t="inlineStr"/>
      <c r="H1554" s="6" t="inlineStr">
        <is>
          <t>“Koğuşta Çay Nasıl Demlenir” çıktı. İlk imza gününe çaycı da geldi; kitaba bakmadan “Şekeri az yazmışsın” dedi.</t>
        </is>
      </c>
      <c r="I1554" s="6" t="inlineStr">
        <is>
          <t>Kitap çok satanlar rafında. Bir yapımcı dizisini çekmek istiyor; sen kendi rolünü oynamak istedin, kabul etti.</t>
        </is>
      </c>
      <c r="J1554" s="6" t="inlineStr">
        <is>
          <t>Kitabı yazdın, yayınevi “Bu fazla gerçekçi” dedi. Taslak çekmecede; sen eski hayatına dönüyorsun.</t>
        </is>
      </c>
      <c r="K1554" s="6" t="inlineStr">
        <is>
          <t>Kitap basıldı. Koğuştaki herkesi gerçek lakabıyla yazmıştın; ilk imza gününe hepsi geldi, kitap almak için değil. Yayınevi ikinci baskıyı lakapsız yaptı; o baskı satmadı.</t>
        </is>
      </c>
      <c r="L1554" s="6" t="inlineStr"/>
      <c r="M1554" s="5" t="inlineStr"/>
      <c r="N1554" s="5" t="inlineStr"/>
      <c r="O1554" s="6" t="inlineStr"/>
      <c r="P1554" s="6" t="inlineStr"/>
      <c r="Q1554" s="5" t="inlineStr"/>
      <c r="R1554" s="5" t="inlineStr"/>
      <c r="S1554" s="5" t="inlineStr"/>
      <c r="T1554" s="5" t="inlineStr"/>
      <c r="U1554" s="5" t="inlineStr"/>
      <c r="V1554" s="5" t="inlineStr">
        <is>
          <t>-hat-cete, -hat-dolandirici, -hat-girisimci, -hat-goc, -hat-hekim, -hat-koy, -hat-polis, -hat-politika, -hat-usta, -hat-yargi, -meslek-beyazyaka, -meslek-esnaf, -meslek-memur, hat-sohret, meslek-serbest, -hapis, eski-hukumlu</t>
        </is>
      </c>
      <c r="W1554" s="5" t="inlineStr">
        <is>
          <t>-hapis, eski-hukumlu</t>
        </is>
      </c>
      <c r="X1554" s="5" t="inlineStr"/>
      <c r="Y1554" s="5" t="inlineStr"/>
      <c r="Z1554" s="6" t="inlineStr"/>
      <c r="AA1554" s="5" t="inlineStr"/>
      <c r="AB1554" s="5" t="inlineStr">
        <is>
          <t>-hapis, eski-hukumlu</t>
        </is>
      </c>
      <c r="AC1554" s="5" t="inlineStr"/>
      <c r="AD1554" s="5" t="inlineStr"/>
      <c r="AE1554" s="5" t="inlineStr"/>
      <c r="AF1554" s="5" t="inlineStr"/>
      <c r="AG1554" s="5" t="inlineStr"/>
      <c r="AH1554" s="5" t="inlineStr"/>
      <c r="AI1554" s="5" t="inlineStr"/>
      <c r="AJ1554" s="5" t="inlineStr"/>
    </row>
    <row r="1555">
      <c r="A1555" s="5" t="inlineStr">
        <is>
          <t>b7-cezaevi-kapisi</t>
        </is>
      </c>
      <c r="B1555" s="5" t="n">
        <v>4</v>
      </c>
      <c r="C1555" s="6" t="inlineStr">
        <is>
          <t>“Sistemi içeriden tanıyorum” diye siyasete gir</t>
        </is>
      </c>
      <c r="D1555" s="5" t="inlineStr">
        <is>
          <t>Pişkinlik</t>
        </is>
      </c>
      <c r="E1555" s="5" t="inlineStr">
        <is>
          <t>Zor</t>
        </is>
      </c>
      <c r="F1555" s="5" t="inlineStr"/>
      <c r="G1555" s="6" t="inlineStr"/>
      <c r="H1555" s="6" t="inlineStr">
        <is>
          <t>Slogan tuttu. Bir partinin ilçe teşkilatı seni kapıda karşıladı; ilk mitingde en önde koğuştan çıkmış arkadaşların alkışlıyordu.</t>
        </is>
      </c>
      <c r="I1555" s="6" t="inlineStr">
        <is>
          <t>Sloganın afişlere basıldı. Rakiplerinin geçmişi sorulunca “Benimki belli” diyorsun; salon ayağa kalkıyor.</t>
        </is>
      </c>
      <c r="J1555" s="6" t="inlineStr">
        <is>
          <t>Parti binasında sloganını söyledin. Kapıdaki görevli başını salladı: “Bu hafta üçüncü geliyor bu slogan. Öbürleri de içeriden.” Eski hayatına döndün.</t>
        </is>
      </c>
      <c r="K1555" s="6" t="inlineStr">
        <is>
          <t>Eski hayatına döndün; ama önce kürsüde “Sistemi içeriden tanıyorum” dedin ve arkadan biri bağırdı: “Biz de seni içeriden tanıyoruz.”</t>
        </is>
      </c>
      <c r="L1555" s="6" t="inlineStr"/>
      <c r="M1555" s="5" t="inlineStr"/>
      <c r="N1555" s="5" t="inlineStr"/>
      <c r="O1555" s="6" t="inlineStr"/>
      <c r="P1555" s="6" t="inlineStr"/>
      <c r="Q1555" s="5" t="inlineStr"/>
      <c r="R1555" s="5" t="inlineStr"/>
      <c r="S1555" s="5" t="inlineStr"/>
      <c r="T1555" s="5" t="inlineStr"/>
      <c r="U1555" s="5" t="inlineStr"/>
      <c r="V1555" s="5" t="inlineStr">
        <is>
          <t>-hat-cete, -hat-dolandirici, -hat-girisimci, -hat-goc, -hat-hekim, -hat-koy, -hat-polis, -hat-sohret, -hat-usta, -hat-yargi, -meslek-beyazyaka, -meslek-esnaf, -meslek-memur, -meslek-serbest, hat-politika, -hapis, eski-hukumlu</t>
        </is>
      </c>
      <c r="W1555" s="5" t="inlineStr">
        <is>
          <t>-hapis, eski-hukumlu</t>
        </is>
      </c>
      <c r="X1555" s="5" t="inlineStr"/>
      <c r="Y1555" s="5" t="inlineStr"/>
      <c r="Z1555" s="6" t="inlineStr"/>
      <c r="AA1555" s="5" t="inlineStr"/>
      <c r="AB1555" s="5" t="inlineStr">
        <is>
          <t>-hapis, eski-hukumlu</t>
        </is>
      </c>
      <c r="AC1555" s="5" t="inlineStr"/>
      <c r="AD1555" s="5" t="inlineStr"/>
      <c r="AE1555" s="5" t="inlineStr"/>
      <c r="AF1555" s="5" t="inlineStr"/>
      <c r="AG1555" s="5" t="inlineStr"/>
      <c r="AH1555" s="5" t="inlineStr"/>
      <c r="AI1555" s="5" t="inlineStr"/>
      <c r="AJ1555" s="5" t="inlineStr"/>
    </row>
    <row r="1556">
      <c r="A1556" s="5" t="inlineStr">
        <is>
          <t>b7-cezaevi-kapisi</t>
        </is>
      </c>
      <c r="B1556" s="5" t="n">
        <v>5</v>
      </c>
      <c r="C1556" s="6" t="inlineStr">
        <is>
          <t>Mahallenin kefaletiyle iş bul</t>
        </is>
      </c>
      <c r="D1556" s="5" t="inlineStr"/>
      <c r="E1556" s="5" t="inlineStr"/>
      <c r="F1556" s="5" t="inlineStr">
        <is>
          <t>İtibar +1, Dayanıklılık +1</t>
        </is>
      </c>
      <c r="G1556" s="6" t="inlineStr">
        <is>
          <t>Kapıda seni çarşının en eski esnafı bekliyordu: “Senin için söz verdim, dükkânın arka tarafı senin.” Mahallede kimse geçmişini sormadı; sordurmadılar.</t>
        </is>
      </c>
      <c r="H1556" s="6" t="inlineStr"/>
      <c r="I1556" s="6" t="inlineStr"/>
      <c r="J1556" s="6" t="inlineStr"/>
      <c r="K1556" s="6" t="inlineStr"/>
      <c r="L1556" s="6" t="inlineStr"/>
      <c r="M1556" s="5" t="inlineStr"/>
      <c r="N1556" s="5" t="inlineStr"/>
      <c r="O1556" s="6" t="inlineStr"/>
      <c r="P1556" s="6" t="inlineStr"/>
      <c r="Q1556" s="5" t="inlineStr"/>
      <c r="R1556" s="5" t="inlineStr"/>
      <c r="S1556" s="5" t="inlineStr"/>
      <c r="T1556" s="5" t="inlineStr"/>
      <c r="U1556" s="5" t="inlineStr">
        <is>
          <t>-hat-cete, -hat-dolandirici, -hat-girisimci, -hat-goc, -hat-hekim, -hat-koy, -hat-polis, -hat-politika, -hat-sohret, -hat-usta, -hat-yargi, -meslek-beyazyaka, -meslek-memur, -meslek-serbest, meslek-esnaf, -hapis, eski-hukumlu, -ceza-indirimi</t>
        </is>
      </c>
      <c r="V1556" s="5" t="inlineStr"/>
      <c r="W1556" s="5" t="inlineStr"/>
      <c r="X1556" s="5" t="inlineStr"/>
      <c r="Y1556" s="5" t="inlineStr"/>
      <c r="Z1556" s="6" t="inlineStr"/>
      <c r="AA1556" s="5" t="inlineStr"/>
      <c r="AB1556" s="5" t="inlineStr"/>
      <c r="AC1556" s="5" t="inlineStr"/>
      <c r="AD1556" s="5" t="inlineStr">
        <is>
          <t>Fakir</t>
        </is>
      </c>
      <c r="AE1556" s="5" t="inlineStr"/>
      <c r="AF1556" s="5" t="inlineStr"/>
      <c r="AG1556" s="5" t="inlineStr"/>
      <c r="AH1556" s="5" t="inlineStr">
        <is>
          <t>İtibar 37</t>
        </is>
      </c>
      <c r="AI1556" s="5" t="inlineStr"/>
      <c r="AJ1556" s="5" t="inlineStr"/>
    </row>
    <row r="1557">
      <c r="A1557" s="5" t="inlineStr">
        <is>
          <t>b8-hapis-tavla-turnuvasi</t>
        </is>
      </c>
      <c r="B1557" s="5" t="n">
        <v>1</v>
      </c>
      <c r="C1557" s="6" t="inlineStr">
        <is>
          <t>Hikmet Amca'ya kazandır</t>
        </is>
      </c>
      <c r="D1557" s="5" t="inlineStr"/>
      <c r="E1557" s="5" t="inlineStr"/>
      <c r="F1557" s="5" t="inlineStr">
        <is>
          <t>İtibar +1, Sosyal Radar +1</t>
        </is>
      </c>
      <c r="G1557" s="6" t="inlineStr">
        <is>
          <t>Son elde bir pulu bile bile açık bıraktın. Hikmet Amca kazandı, Fikriye'yi öptü. Akşam koğuşuna bir tepsi revani geldi; notta tek kelime: “Gördüm.”</t>
        </is>
      </c>
      <c r="H1557" s="6" t="inlineStr"/>
      <c r="I1557" s="6" t="inlineStr"/>
      <c r="J1557" s="6" t="inlineStr"/>
      <c r="K1557" s="6" t="inlineStr"/>
      <c r="L1557" s="6" t="inlineStr"/>
      <c r="M1557" s="5" t="inlineStr"/>
      <c r="N1557" s="5" t="inlineStr"/>
      <c r="O1557" s="6" t="inlineStr"/>
      <c r="P1557" s="6" t="inlineStr"/>
      <c r="Q1557" s="5" t="inlineStr"/>
      <c r="R1557" s="5" t="inlineStr"/>
      <c r="S1557" s="5" t="inlineStr"/>
      <c r="T1557" s="5" t="inlineStr"/>
      <c r="U1557" s="5" t="inlineStr"/>
      <c r="V1557" s="5" t="inlineStr"/>
      <c r="W1557" s="5" t="inlineStr"/>
      <c r="X1557" s="5" t="inlineStr"/>
      <c r="Y1557" s="5" t="inlineStr"/>
      <c r="Z1557" s="6" t="inlineStr"/>
      <c r="AA1557" s="5" t="inlineStr"/>
      <c r="AB1557" s="5" t="inlineStr"/>
      <c r="AC1557" s="5" t="inlineStr"/>
      <c r="AD1557" s="5" t="inlineStr"/>
      <c r="AE1557" s="5" t="inlineStr"/>
      <c r="AF1557" s="5" t="inlineStr"/>
      <c r="AG1557" s="5" t="inlineStr"/>
      <c r="AH1557" s="5" t="inlineStr"/>
      <c r="AI1557" s="5" t="inlineStr"/>
      <c r="AJ1557" s="5" t="inlineStr"/>
    </row>
    <row r="1558">
      <c r="A1558" s="5" t="inlineStr">
        <is>
          <t>b8-hapis-tavla-turnuvasi</t>
        </is>
      </c>
      <c r="B1558" s="5" t="n">
        <v>2</v>
      </c>
      <c r="C1558" s="6" t="inlineStr">
        <is>
          <t>Kazanmak için oyna</t>
        </is>
      </c>
      <c r="D1558" s="5" t="inlineStr">
        <is>
          <t>Kurnazlık</t>
        </is>
      </c>
      <c r="E1558" s="5" t="inlineStr">
        <is>
          <t>Zor</t>
        </is>
      </c>
      <c r="F1558" s="5" t="inlineStr"/>
      <c r="G1558" s="6" t="inlineStr"/>
      <c r="H1558" s="6" t="inlineStr">
        <is>
          <t>Üç elin ikisini aldın. Hikmet Amca elini sıktı: “Nuriye bugün küstü.” Kupa, boş bir reçel kavanozu, artık pencerende.</t>
        </is>
      </c>
      <c r="I1558" s="6" t="inlineStr">
        <is>
          <t>Mars! Hikmet Amca uzun uzun tahtaya baktı, sonra Nuriye'yi avucuna koydu: “Bundan sonra senin. Bana zaten çok yalan söyledi.”</t>
        </is>
      </c>
      <c r="J1558" s="6" t="inlineStr">
        <is>
          <t>Hikmet Amca seni sakin sakin yendi. Kupayı aldı, sonra sana verdi: “Bende otuz tane var.”</t>
        </is>
      </c>
      <c r="K1558" s="6" t="inlineStr">
        <is>
          <t>Zarı öyle hırsla attın ki Hikmet Amca'nın çay bardağına düştü. Altı geldi. Hikmet Amca “Çaydan gelen sayılmaz” dedi; koğuş ikiye bölündü, Hikmet Amca bir ay konuşmadı.</t>
        </is>
      </c>
      <c r="L1558" s="6" t="inlineStr"/>
      <c r="M1558" s="5" t="inlineStr"/>
      <c r="N1558" s="5" t="inlineStr"/>
      <c r="O1558" s="6" t="inlineStr"/>
      <c r="P1558" s="6" t="inlineStr"/>
      <c r="Q1558" s="5" t="inlineStr"/>
      <c r="R1558" s="5" t="inlineStr"/>
      <c r="S1558" s="5" t="inlineStr"/>
      <c r="T1558" s="5" t="inlineStr">
        <is>
          <t>Tavla Kurdu</t>
        </is>
      </c>
      <c r="U1558" s="5" t="inlineStr"/>
      <c r="V1558" s="5" t="inlineStr">
        <is>
          <t>kogus-dostu</t>
        </is>
      </c>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c r="AI1558" s="5" t="inlineStr"/>
      <c r="AJ1558" s="5" t="inlineStr"/>
    </row>
    <row r="1559">
      <c r="A1559" s="5" t="inlineStr">
        <is>
          <t>b8-hapis-tavla-turnuvasi</t>
        </is>
      </c>
      <c r="B1559" s="5" t="n">
        <v>3</v>
      </c>
      <c r="C1559" s="6" t="inlineStr">
        <is>
          <t>Turnuvanın hakemi ol</t>
        </is>
      </c>
      <c r="D1559" s="5" t="inlineStr">
        <is>
          <t>Sosyal Radar</t>
        </is>
      </c>
      <c r="E1559" s="5" t="inlineStr">
        <is>
          <t>Orta</t>
        </is>
      </c>
      <c r="F1559" s="5" t="inlineStr"/>
      <c r="G1559" s="6" t="inlineStr"/>
      <c r="H1559" s="6" t="inlineStr">
        <is>
          <t>İki itiraz, bir zar kontrolü, sıfır kavga. Müdür raporuna turnuvanın bu yıl “sakin” geçtiğini yazdı.</t>
        </is>
      </c>
      <c r="I1559" s="6" t="inlineStr">
        <is>
          <t>Öyle tarafsızdın ki finalde iki taraf da sana kızdı; demek ki doğruydu. Ertesi yıl gardiyanlar kendi turnuvalarına seni hakem çağırdı.</t>
        </is>
      </c>
      <c r="J1559" s="6" t="inlineStr">
        <is>
          <t>Bir itirazda “Tekrar atın” dedin; iki taraf da kızdı. Kalan maçları çaycı yönetti.</t>
        </is>
      </c>
      <c r="K1559" s="6" t="inlineStr">
        <is>
          <t>Finalde “Kırık zar, yeniden atın!” dedin. Zar dümdüz duruyordu; Hikmet Amca'nın Nuriye'siydi. İki koğuş birden sana döndü; bir hafta yemekhanede tek başına oturdun.</t>
        </is>
      </c>
      <c r="L1559" s="6" t="inlineStr"/>
      <c r="M1559" s="5" t="inlineStr"/>
      <c r="N1559" s="5" t="inlineStr"/>
      <c r="O1559" s="6" t="inlineStr"/>
      <c r="P1559" s="6" t="inlineStr"/>
      <c r="Q1559" s="5" t="inlineStr"/>
      <c r="R1559" s="5" t="inlineStr"/>
      <c r="S1559" s="5" t="inlineStr"/>
      <c r="T1559" s="5" t="inlineStr"/>
      <c r="U1559" s="5" t="inlineStr"/>
      <c r="V1559" s="5" t="inlineStr"/>
      <c r="W1559" s="5" t="inlineStr"/>
      <c r="X1559" s="5" t="inlineStr"/>
      <c r="Y1559" s="5" t="inlineStr"/>
      <c r="Z1559" s="6" t="inlineStr"/>
      <c r="AA1559" s="5" t="inlineStr"/>
      <c r="AB1559" s="5" t="inlineStr"/>
      <c r="AC1559" s="5" t="inlineStr"/>
      <c r="AD1559" s="5" t="inlineStr"/>
      <c r="AE1559" s="5" t="inlineStr"/>
      <c r="AF1559" s="5" t="inlineStr"/>
      <c r="AG1559" s="5" t="inlineStr"/>
      <c r="AH1559" s="5" t="inlineStr"/>
      <c r="AI1559" s="5" t="inlineStr"/>
      <c r="AJ1559" s="5" t="inlineStr"/>
    </row>
    <row r="1560">
      <c r="A1560" s="5" t="inlineStr">
        <is>
          <t>b8-hapis-mektup</t>
        </is>
      </c>
      <c r="B1560" s="5" t="n">
        <v>1</v>
      </c>
      <c r="C1560" s="6" t="inlineStr">
        <is>
          <t>Önce kendi ailene yaz</t>
        </is>
      </c>
      <c r="D1560" s="5" t="inlineStr"/>
      <c r="E1560" s="5" t="inlineStr"/>
      <c r="F1560" s="5" t="inlineStr">
        <is>
          <t>Dayanıklılık +1, Gönül +1</t>
        </is>
      </c>
      <c r="G1560" s="6" t="inlineStr">
        <is>
          <t>Üç sayfa yazdın; ikisi hava durumuydu. Cevap iki ay sonra geldi: “Hava burada da öyle.” Satır arasını anladın.</t>
        </is>
      </c>
      <c r="H1560" s="6" t="inlineStr"/>
      <c r="I1560" s="6" t="inlineStr"/>
      <c r="J1560" s="6" t="inlineStr"/>
      <c r="K1560" s="6" t="inlineStr"/>
      <c r="L1560" s="6" t="inlineStr"/>
      <c r="M1560" s="5" t="inlineStr"/>
      <c r="N1560" s="5" t="inlineStr"/>
      <c r="O1560" s="6" t="inlineStr"/>
      <c r="P1560" s="6" t="inlineStr"/>
      <c r="Q1560" s="5" t="inlineStr"/>
      <c r="R1560" s="5" t="inlineStr"/>
      <c r="S1560" s="5" t="inlineStr"/>
      <c r="T1560" s="5" t="inlineStr"/>
      <c r="U1560" s="5" t="inlineStr"/>
      <c r="V1560" s="5" t="inlineStr"/>
      <c r="W1560" s="5" t="inlineStr"/>
      <c r="X1560" s="5" t="inlineStr"/>
      <c r="Y1560" s="5" t="inlineStr"/>
      <c r="Z1560" s="6" t="inlineStr"/>
      <c r="AA1560" s="5" t="inlineStr"/>
      <c r="AB1560" s="5" t="inlineStr"/>
      <c r="AC1560" s="5" t="inlineStr"/>
      <c r="AD1560" s="5" t="inlineStr"/>
      <c r="AE1560" s="5" t="inlineStr"/>
      <c r="AF1560" s="5" t="inlineStr"/>
      <c r="AG1560" s="5" t="inlineStr"/>
      <c r="AH1560" s="5" t="inlineStr"/>
      <c r="AI1560" s="5" t="inlineStr"/>
      <c r="AJ1560" s="5" t="inlineStr"/>
    </row>
    <row r="1561">
      <c r="A1561" s="5" t="inlineStr">
        <is>
          <t>b8-hapis-mektup</t>
        </is>
      </c>
      <c r="B1561" s="5" t="n">
        <v>2</v>
      </c>
      <c r="C1561" s="6" t="inlineStr">
        <is>
          <t>Koğuşun mektup kâtibi ol</t>
        </is>
      </c>
      <c r="D1561" s="5" t="inlineStr">
        <is>
          <t>Çene</t>
        </is>
      </c>
      <c r="E1561" s="5" t="inlineStr">
        <is>
          <t>Orta</t>
        </is>
      </c>
      <c r="F1561" s="5" t="inlineStr"/>
      <c r="G1561" s="6" t="inlineStr"/>
      <c r="H1561" s="6" t="inlineStr">
        <is>
          <t>Bir ayda kırk mektup yazdın. En gencin annesi cevap verdi, sana da selam yolladı. Koğuşta adın artık “Kâtip.”</t>
        </is>
      </c>
      <c r="I1561" s="6" t="inlineStr">
        <is>
          <t>Koğuşun en yaşlısının eski sevgilisi cevap yazdı; görüşe geliyor. Koğuş bir hafta boyunca onun saçını taradı, kolonyasını sıktı.</t>
        </is>
      </c>
      <c r="J1561" s="6" t="inlineStr">
        <is>
          <t>Zarfları karıştırdın; vergi dairesinin mektubu en gencin annesine gitti. Anne, evladının borcu sanıp ödedi. Borç başkasınınmış; o da şimdi teşekkür mektubu istiyor.</t>
        </is>
      </c>
      <c r="K1561" s="6" t="inlineStr">
        <is>
          <t>En gencin mektubunu fazla süsledin. Annesinin cevabı geldi: “Bunu sen yazmamışsın. Sen 'özledim' yazmazsın, 'para yolla' yazarsın.” En genç bir hafta seninle konuşmadı.</t>
        </is>
      </c>
      <c r="L1561" s="6" t="inlineStr"/>
      <c r="M1561" s="5" t="inlineStr"/>
      <c r="N1561" s="5" t="inlineStr"/>
      <c r="O1561" s="6" t="inlineStr"/>
      <c r="P1561" s="6" t="inlineStr"/>
      <c r="Q1561" s="5" t="inlineStr"/>
      <c r="R1561" s="5" t="inlineStr"/>
      <c r="S1561" s="5" t="inlineStr"/>
      <c r="T1561" s="5" t="inlineStr"/>
      <c r="U1561" s="5" t="inlineStr"/>
      <c r="V1561" s="5" t="inlineStr">
        <is>
          <t>kogus-dostu</t>
        </is>
      </c>
      <c r="W1561" s="5" t="inlineStr"/>
      <c r="X1561" s="5" t="inlineStr"/>
      <c r="Y1561" s="5" t="inlineStr"/>
      <c r="Z1561" s="6" t="inlineStr"/>
      <c r="AA1561" s="5" t="inlineStr"/>
      <c r="AB1561" s="5" t="inlineStr"/>
      <c r="AC1561" s="5" t="inlineStr"/>
      <c r="AD1561" s="5" t="inlineStr"/>
      <c r="AE1561" s="5" t="inlineStr"/>
      <c r="AF1561" s="5" t="inlineStr"/>
      <c r="AG1561" s="5" t="inlineStr"/>
      <c r="AH1561" s="5" t="inlineStr"/>
      <c r="AI1561" s="5" t="inlineStr"/>
      <c r="AJ1561" s="5" t="inlineStr"/>
    </row>
    <row r="1562">
      <c r="A1562" s="5" t="inlineStr">
        <is>
          <t>b8-hapis-mektup</t>
        </is>
      </c>
      <c r="B1562" s="5" t="n">
        <v>3</v>
      </c>
      <c r="C1562" s="6" t="inlineStr">
        <is>
          <t>Vergi dairesinin mektubunu üstlen</t>
        </is>
      </c>
      <c r="D1562" s="5" t="inlineStr">
        <is>
          <t>Kurnazlık</t>
        </is>
      </c>
      <c r="E1562" s="5" t="inlineStr">
        <is>
          <t>Orta</t>
        </is>
      </c>
      <c r="F1562" s="5" t="inlineStr"/>
      <c r="G1562" s="6" t="inlineStr"/>
      <c r="H1562" s="6" t="inlineStr">
        <is>
          <t>Kibar bir mektup yazdın; cevap geldi: gecikme faizi silinmiş. Koğuş arkadaşın mektubu yastığının altına koydu; o akşam mandalinasını seninle paylaştı.</t>
        </is>
      </c>
      <c r="I1562" s="6" t="inlineStr">
        <is>
          <t>Mektubun resmîliği daireyi bile şaşırttı; cevapta “Dilekçenizi örnek almak isteriz” yazıyordu. O günden beri koğuşta herkes borcunu sana anlatıyor; ödeyen yok.</t>
        </is>
      </c>
      <c r="J1562" s="6" t="inlineStr">
        <is>
          <t>Daire “Dilekçenizi şahsen veriniz” diye cevap yazdı. Şahsen gitmek şu an biraz zor.</t>
        </is>
      </c>
      <c r="K1562" s="6" t="inlineStr">
        <is>
          <t>Dosya numarasını yanlış yazdın; başka birinin borcu da koğuş arkadaşına geldi. Şimdi iki kişinin borcunu ödüyor ve seni affetmiyor.</t>
        </is>
      </c>
      <c r="L1562" s="6" t="inlineStr"/>
      <c r="M1562" s="5" t="inlineStr"/>
      <c r="N1562" s="5" t="inlineStr"/>
      <c r="O1562" s="6" t="inlineStr"/>
      <c r="P1562" s="6" t="inlineStr"/>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c r="AI1562" s="5" t="inlineStr"/>
      <c r="AJ1562" s="5" t="inlineStr"/>
    </row>
    <row r="1563">
      <c r="A1563" s="5" t="inlineStr">
        <is>
          <t>b8-hapis-cay-ocagi</t>
        </is>
      </c>
      <c r="B1563" s="5" t="n">
        <v>1</v>
      </c>
      <c r="C1563" s="6" t="inlineStr">
        <is>
          <t>Demliği Deniz'e bırak</t>
        </is>
      </c>
      <c r="D1563" s="5" t="inlineStr"/>
      <c r="E1563" s="5" t="inlineStr"/>
      <c r="F1563" s="5" t="inlineStr">
        <is>
          <t>İtibar +1, Sosyal Radar +1</t>
        </is>
      </c>
      <c r="G1563" s="6" t="inlineStr">
        <is>
          <t>“Genç öğrensin” dedin. Deniz ilk hafta çayı acı demledi, ikinci hafta öğrendi. Senin bardağın her sabah ilk dolan.</t>
        </is>
      </c>
      <c r="H1563" s="6" t="inlineStr"/>
      <c r="I1563" s="6" t="inlineStr"/>
      <c r="J1563" s="6" t="inlineStr"/>
      <c r="K1563" s="6" t="inlineStr"/>
      <c r="L1563" s="6" t="inlineStr"/>
      <c r="M1563" s="5" t="inlineStr"/>
      <c r="N1563" s="5" t="inlineStr"/>
      <c r="O1563" s="6" t="inlineStr"/>
      <c r="P1563" s="6" t="inlineStr"/>
      <c r="Q1563" s="5" t="inlineStr"/>
      <c r="R1563" s="5" t="inlineStr"/>
      <c r="S1563" s="5" t="inlineStr"/>
      <c r="T1563" s="5" t="inlineStr"/>
      <c r="U1563" s="5" t="inlineStr"/>
      <c r="V1563" s="5" t="inlineStr"/>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c r="AI1563" s="5" t="inlineStr"/>
      <c r="AJ1563" s="5" t="inlineStr"/>
    </row>
    <row r="1564">
      <c r="A1564" s="5" t="inlineStr">
        <is>
          <t>b8-hapis-cay-ocagi</t>
        </is>
      </c>
      <c r="B1564" s="5" t="n">
        <v>2</v>
      </c>
      <c r="C1564" s="6" t="inlineStr">
        <is>
          <t>Deniz'le demleme yarışına gir</t>
        </is>
      </c>
      <c r="D1564" s="5" t="inlineStr">
        <is>
          <t>Dayanıklılık</t>
        </is>
      </c>
      <c r="E1564" s="5" t="inlineStr">
        <is>
          <t>Orta</t>
        </is>
      </c>
      <c r="F1564" s="5" t="inlineStr"/>
      <c r="G1564" s="6" t="inlineStr"/>
      <c r="H1564" s="6" t="inlineStr">
        <is>
          <t>Üç demlik, üç tur, jüri bütün koğuş. Kazandın. Deniz bardağını uzattı: “Bir tane daha koy; nasıl yaptığını hâlâ anlamadım.”</t>
        </is>
      </c>
      <c r="I1564" s="6" t="inlineStr">
        <is>
          <t>Çayın öyle iyi oldu ki eski çaycı tahliyesini bir gün erteletmek istedi. Olmadı; gönlü sende kaldı, demlik de.</t>
        </is>
      </c>
      <c r="J1564" s="6" t="inlineStr">
        <is>
          <t>Deniz kazandı. Çayı gerçekten iyiydi; sen de kabul ettin, bir bardak daha isteyerek.</t>
        </is>
      </c>
      <c r="K1564" s="6" t="inlineStr">
        <is>
          <t>Demliği ocakta unuttun, çay kömüre döndü. Koğuş bütün öğleden sonra yanık koktu; eski çaycı kapıdan çıkarken dönüp tek kelime söyledi: “Kömür.”</t>
        </is>
      </c>
      <c r="L1564" s="6" t="inlineStr">
        <is>
          <t>Çayın tavşan kanı olmadı ama içilir oldu. Jüri ikiye bölündü; sabah çayını sen, akşamkini Deniz demleyecek.</t>
        </is>
      </c>
      <c r="M1564" s="5" t="inlineStr">
        <is>
          <t>timing</t>
        </is>
      </c>
      <c r="N1564" s="5" t="inlineStr">
        <is>
          <t>Tavşan Kanı</t>
        </is>
      </c>
      <c r="O1564" s="6" t="inlineStr">
        <is>
          <t>İbre yeşil alandayken DURDUR'a bas. Art arda tutturdukça kombo kazanırsın.</t>
        </is>
      </c>
      <c r="P1564" s="6" t="n"/>
      <c r="Q1564" s="5" t="inlineStr"/>
      <c r="R1564" s="5" t="inlineStr"/>
      <c r="S1564" s="5" t="inlineStr"/>
      <c r="T1564" s="5" t="inlineStr"/>
      <c r="U1564" s="5" t="inlineStr"/>
      <c r="V1564" s="5" t="inlineStr"/>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c r="AI1564" s="5" t="inlineStr"/>
      <c r="AJ1564" s="5" t="inlineStr"/>
    </row>
    <row r="1565">
      <c r="A1565" s="5" t="inlineStr">
        <is>
          <t>b8-hapis-cay-ocagi</t>
        </is>
      </c>
      <c r="B1565" s="5" t="n">
        <v>3</v>
      </c>
      <c r="C1565" s="6" t="inlineStr">
        <is>
          <t>Ocağı bir düzene bağla</t>
        </is>
      </c>
      <c r="D1565" s="5" t="inlineStr">
        <is>
          <t>Akıl</t>
        </is>
      </c>
      <c r="E1565" s="5" t="inlineStr">
        <is>
          <t>Orta</t>
        </is>
      </c>
      <c r="F1565" s="5" t="inlineStr"/>
      <c r="G1565" s="6" t="inlineStr"/>
      <c r="H1565" s="6" t="inlineStr">
        <is>
          <t>Şeker listesini deftere geçirdin, sıra çizelgesi astın. İlk kez çay kavgası çıkmadı; herkes düzenden şikâyetçi ama sırasını bekliyor.</t>
        </is>
      </c>
      <c r="I1565" s="6" t="inlineStr">
        <is>
          <t>Düzenin tuttu; müdür çizelgeni bütün koğuşlara dağıttı. Ertesi hafta öbür koğuştan bir pusula geldi: “Sizin çizelge bizde kavga çıkardı. Şekeri kim sayacak?”</t>
        </is>
      </c>
      <c r="J1565" s="6" t="inlineStr">
        <is>
          <t>Çizelgeyi astın; kimse okumadı. Çay yine en yüksek sesle isteyene gitti.</t>
        </is>
      </c>
      <c r="K1565" s="6" t="inlineStr">
        <is>
          <t>Çizelgede kendini ilk sıraya yazdın. Koğuş fark etti; bir hafta herkes senden önce içti, sana sıra hiç gelmedi.</t>
        </is>
      </c>
      <c r="L1565" s="6" t="inlineStr"/>
      <c r="M1565" s="5" t="inlineStr"/>
      <c r="N1565" s="5" t="inlineStr"/>
      <c r="O1565" s="6" t="inlineStr"/>
      <c r="P1565" s="6" t="inlineStr"/>
      <c r="Q1565" s="5" t="inlineStr"/>
      <c r="R1565" s="5" t="inlineStr"/>
      <c r="S1565" s="5" t="inlineStr"/>
      <c r="T1565" s="5" t="inlineStr"/>
      <c r="U1565" s="5" t="inlineStr"/>
      <c r="V1565" s="5" t="inlineStr"/>
      <c r="W1565" s="5" t="inlineStr"/>
      <c r="X1565" s="5" t="inlineStr"/>
      <c r="Y1565" s="5" t="inlineStr"/>
      <c r="Z1565" s="6" t="inlineStr"/>
      <c r="AA1565" s="5" t="inlineStr"/>
      <c r="AB1565" s="5" t="inlineStr"/>
      <c r="AC1565" s="5" t="inlineStr"/>
      <c r="AD1565" s="5" t="inlineStr"/>
      <c r="AE1565" s="5" t="inlineStr"/>
      <c r="AF1565" s="5" t="inlineStr"/>
      <c r="AG1565" s="5" t="inlineStr"/>
      <c r="AH1565" s="5" t="inlineStr"/>
      <c r="AI1565" s="5" t="inlineStr"/>
      <c r="AJ1565" s="5" t="inlineStr"/>
    </row>
    <row r="1566">
      <c r="A1566" s="5" t="inlineStr">
        <is>
          <t>b8-hapis-gorus-gunu</t>
        </is>
      </c>
      <c r="B1566" s="5" t="n">
        <v>1</v>
      </c>
      <c r="C1566" s="6" t="inlineStr">
        <is>
          <t>Albümü sayfa sayfa gez</t>
        </is>
      </c>
      <c r="D1566" s="5" t="inlineStr"/>
      <c r="E1566" s="5" t="inlineStr"/>
      <c r="F1566" s="5" t="inlineStr">
        <is>
          <t>Dayanıklılık +1, Gönül +1</t>
        </is>
      </c>
      <c r="G1566" s="6" t="inlineStr">
        <is>
          <t>Yirmi dakikada iki düğün, bir mezuniyet, üç bayram gördün. Hepsinde kenarda boş bir sandalye vardı; senin için koymuşlar.</t>
        </is>
      </c>
      <c r="H1566" s="6" t="inlineStr"/>
      <c r="I1566" s="6" t="inlineStr"/>
      <c r="J1566" s="6" t="inlineStr"/>
      <c r="K1566" s="6" t="inlineStr"/>
      <c r="L1566" s="6" t="inlineStr"/>
      <c r="M1566" s="5" t="inlineStr"/>
      <c r="N1566" s="5" t="inlineStr"/>
      <c r="O1566" s="6" t="inlineStr"/>
      <c r="P1566" s="6" t="inlineStr"/>
      <c r="Q1566" s="5" t="inlineStr"/>
      <c r="R1566" s="5" t="inlineStr"/>
      <c r="S1566" s="5" t="inlineStr"/>
      <c r="T1566" s="5" t="inlineStr"/>
      <c r="U1566" s="5" t="inlineStr"/>
      <c r="V1566" s="5" t="inlineStr"/>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c r="AI1566" s="5" t="inlineStr"/>
      <c r="AJ1566" s="5" t="inlineStr"/>
    </row>
    <row r="1567">
      <c r="A1567" s="5" t="inlineStr">
        <is>
          <t>b8-hapis-gorus-gunu</t>
        </is>
      </c>
      <c r="B1567" s="5" t="n">
        <v>2</v>
      </c>
      <c r="C1567" s="6" t="inlineStr">
        <is>
          <t>Çıkınca yapacaklarını anlat</t>
        </is>
      </c>
      <c r="D1567" s="5" t="inlineStr">
        <is>
          <t>Çene</t>
        </is>
      </c>
      <c r="E1567" s="5" t="inlineStr">
        <is>
          <t>Orta</t>
        </is>
      </c>
      <c r="F1567" s="5" t="inlineStr"/>
      <c r="G1567" s="6" t="inlineStr"/>
      <c r="H1567" s="6" t="inlineStr">
        <is>
          <t>Planlarını öyle anlattın ki ziyaretçin not aldı. Çıkınca tek tek kontrol edecekmiş; sevgiyle.</t>
        </is>
      </c>
      <c r="I1567" s="6" t="inlineStr">
        <is>
          <t>Anlattığın plan öyle iyiydi ki dışarıda hazırlık başladı. Çıktığında bir iş, bir oda ve demlenmiş bir çay bekliyor.</t>
        </is>
      </c>
      <c r="J1567" s="6" t="inlineStr">
        <is>
          <t>Planları anlatırken süre doldu. Son kelimen “Bir de…” oldu; ne olduğunu ikiniz de merak ediyorsunuz.</t>
        </is>
      </c>
      <c r="K1567" s="6" t="inlineStr">
        <is>
          <t>Planlarını anlattın. Ziyaretçin cebinden katlanmış bir kâğıt çıkardı: önceki görüşlerde verdiğin sözler, tarihleriyle. Okumaya başladı; süre listenin yarısında bitti.</t>
        </is>
      </c>
      <c r="L1567" s="6" t="inlineStr"/>
      <c r="M1567" s="5" t="inlineStr"/>
      <c r="N1567" s="5" t="inlineStr"/>
      <c r="O1567" s="6" t="inlineStr"/>
      <c r="P1567" s="6" t="inlineStr"/>
      <c r="Q1567" s="5" t="inlineStr"/>
      <c r="R1567" s="5" t="inlineStr"/>
      <c r="S1567" s="5" t="inlineStr"/>
      <c r="T1567" s="5" t="inlineStr"/>
      <c r="U1567" s="5" t="inlineStr"/>
      <c r="V1567" s="5" t="inlineStr"/>
      <c r="W1567" s="5" t="inlineStr"/>
      <c r="X1567" s="5" t="inlineStr"/>
      <c r="Y1567" s="5" t="inlineStr"/>
      <c r="Z1567" s="6" t="inlineStr"/>
      <c r="AA1567" s="5" t="inlineStr"/>
      <c r="AB1567" s="5" t="inlineStr"/>
      <c r="AC1567" s="5" t="inlineStr"/>
      <c r="AD1567" s="5" t="inlineStr"/>
      <c r="AE1567" s="5" t="inlineStr"/>
      <c r="AF1567" s="5" t="inlineStr"/>
      <c r="AG1567" s="5" t="inlineStr"/>
      <c r="AH1567" s="5" t="inlineStr"/>
      <c r="AI1567" s="5" t="inlineStr"/>
      <c r="AJ1567" s="5" t="inlineStr"/>
    </row>
    <row r="1568">
      <c r="A1568" s="5" t="inlineStr">
        <is>
          <t>b8-hapis-gorus-gunu</t>
        </is>
      </c>
      <c r="B1568" s="5" t="n">
        <v>3</v>
      </c>
      <c r="C1568" s="6" t="inlineStr">
        <is>
          <t>Yan kabindeki teyzeye yardım et</t>
        </is>
      </c>
      <c r="D1568" s="5" t="inlineStr">
        <is>
          <t>Sosyal Radar</t>
        </is>
      </c>
      <c r="E1568" s="5" t="inlineStr">
        <is>
          <t>Orta</t>
        </is>
      </c>
      <c r="F1568" s="5" t="inlineStr"/>
      <c r="G1568" s="6" t="inlineStr"/>
      <c r="H1568" s="6" t="inlineStr">
        <is>
          <t>Yan kabindeki teyze ahizeyi ters tutuyordu. Düzelttin; evladıyla ilk kez net konuştu. Sana bir poşet kurabiye bıraktı.</t>
        </is>
      </c>
      <c r="I1568" s="6" t="inlineStr">
        <is>
          <t>Teyze her görüşte senin ziyaretçinle aynı otobüse binmeye başladı. Artık iki ailen var; kurabiye de iki kat.</t>
        </is>
      </c>
      <c r="J1568" s="6" t="inlineStr">
        <is>
          <t>Yardım ederken kendi süren bitti. Teyze teşekkür etti; senin ziyaretçin camın ardından el salladı.</t>
        </is>
      </c>
      <c r="K1568" s="6" t="inlineStr">
        <is>
          <t>Ahizeleri karıştırdınız. Teyze senin ziyaretçine evladının bütün marifetlerini anlattı, senin ziyaretçin de teyzeye seninkileri. Süre bitince ikisi kapıda kol kola çıktı; sana el sallamayı unuttular.</t>
        </is>
      </c>
      <c r="L1568" s="6" t="inlineStr"/>
      <c r="M1568" s="5" t="inlineStr"/>
      <c r="N1568" s="5" t="inlineStr"/>
      <c r="O1568" s="6" t="inlineStr"/>
      <c r="P1568" s="6" t="inlineStr"/>
      <c r="Q1568" s="5" t="inlineStr"/>
      <c r="R1568" s="5" t="inlineStr"/>
      <c r="S1568" s="5" t="inlineStr"/>
      <c r="T1568" s="5" t="inlineStr"/>
      <c r="U1568" s="5" t="inlineStr"/>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c r="AI1568" s="5" t="inlineStr"/>
      <c r="AJ1568" s="5" t="inlineStr"/>
    </row>
    <row r="1569">
      <c r="A1569" s="5" t="inlineStr">
        <is>
          <t>b8-cezaevi-kapisi</t>
        </is>
      </c>
      <c r="B1569" s="5" t="n">
        <v>1</v>
      </c>
      <c r="C1569" s="6" t="inlineStr">
        <is>
          <t>İçeride öğrendiğin sabunla tezgâh aç</t>
        </is>
      </c>
      <c r="D1569" s="5" t="inlineStr"/>
      <c r="E1569" s="5" t="inlineStr"/>
      <c r="F1569" s="5" t="inlineStr">
        <is>
          <t>Dayanıklılık +1, Akıl +1</t>
        </is>
      </c>
      <c r="G1569" s="6" t="inlineStr">
        <is>
          <t>Mahallenin pazarında küçük bir tezgâh açtın; içeride öğrendiğin sabunu satıyorsun. İlk müşterin emekli olmuş eski gardiyandı. Pazarlık etmedi, iki tane aldı.</t>
        </is>
      </c>
      <c r="H1569" s="6" t="inlineStr"/>
      <c r="I1569" s="6" t="inlineStr"/>
      <c r="J1569" s="6" t="inlineStr"/>
      <c r="K1569" s="6" t="inlineStr"/>
      <c r="L1569" s="6" t="inlineStr"/>
      <c r="M1569" s="5" t="inlineStr"/>
      <c r="N1569" s="5" t="inlineStr"/>
      <c r="O1569" s="6" t="inlineStr"/>
      <c r="P1569" s="6" t="inlineStr"/>
      <c r="Q1569" s="5" t="inlineStr"/>
      <c r="R1569" s="5" t="inlineStr"/>
      <c r="S1569" s="5" t="inlineStr"/>
      <c r="T1569" s="5" t="inlineStr"/>
      <c r="U1569" s="5" t="inlineStr">
        <is>
          <t>-hat-cete, -hat-dolandirici, -hat-girisimci, -hat-goc, -hat-hekim, -hat-koy, -hat-polis, -hat-politika, -hat-sohret, -hat-usta, -hat-yargi, -meslek-beyazyaka, -meslek-memur, -meslek-serbest, meslek-esnaf, -hapis, eski-hukumlu</t>
        </is>
      </c>
      <c r="V1569" s="5" t="inlineStr"/>
      <c r="W1569" s="5" t="inlineStr"/>
      <c r="X1569" s="5" t="inlineStr"/>
      <c r="Y1569" s="5" t="inlineStr"/>
      <c r="Z1569" s="6" t="inlineStr"/>
      <c r="AA1569" s="5" t="inlineStr"/>
      <c r="AB1569" s="5" t="inlineStr"/>
      <c r="AC1569" s="5" t="inlineStr"/>
      <c r="AD1569" s="5" t="inlineStr">
        <is>
          <t>Fakir</t>
        </is>
      </c>
      <c r="AE1569" s="5" t="inlineStr"/>
      <c r="AF1569" s="5" t="inlineStr"/>
      <c r="AG1569" s="5" t="inlineStr"/>
      <c r="AH1569" s="5" t="inlineStr"/>
      <c r="AI1569" s="5" t="inlineStr"/>
      <c r="AJ1569" s="5" t="inlineStr"/>
    </row>
    <row r="1570">
      <c r="A1570" s="5" t="inlineStr">
        <is>
          <t>b8-cezaevi-kapisi</t>
        </is>
      </c>
      <c r="B1570" s="5" t="n">
        <v>2</v>
      </c>
      <c r="C1570" s="6" t="inlineStr">
        <is>
          <t>Eski defteri aç</t>
        </is>
      </c>
      <c r="D1570" s="5" t="inlineStr"/>
      <c r="E1570" s="5" t="inlineStr"/>
      <c r="F1570" s="5" t="inlineStr">
        <is>
          <t>Pişkinlik +1, Kurnazlık +1</t>
        </is>
      </c>
      <c r="G1570" s="6" t="inlineStr">
        <is>
          <t>Defterdeki numaraların yarısı artık kullanılmıyor. Tanıyan tek kişi “Sen çıktın mı?” dedi ve kapattı. Masanı yine de kurdun; ilk işin yeni telefonun nasıl açıldığını öğrenmek oldu.</t>
        </is>
      </c>
      <c r="H1570" s="6" t="inlineStr"/>
      <c r="I1570" s="6" t="inlineStr"/>
      <c r="J1570" s="6" t="inlineStr"/>
      <c r="K1570" s="6" t="inlineStr"/>
      <c r="L1570" s="6" t="inlineStr"/>
      <c r="M1570" s="5" t="inlineStr"/>
      <c r="N1570" s="5" t="inlineStr"/>
      <c r="O1570" s="6" t="inlineStr"/>
      <c r="P1570" s="6" t="inlineStr"/>
      <c r="Q1570" s="5" t="inlineStr"/>
      <c r="R1570" s="5" t="inlineStr"/>
      <c r="S1570" s="5" t="inlineStr"/>
      <c r="T1570" s="5" t="inlineStr"/>
      <c r="U1570" s="5" t="inlineStr">
        <is>
          <t>-hapis, eski-hukumlu</t>
        </is>
      </c>
      <c r="V1570" s="5" t="inlineStr"/>
      <c r="W1570" s="5" t="inlineStr"/>
      <c r="X1570" s="5" t="inlineStr"/>
      <c r="Y1570" s="5" t="inlineStr"/>
      <c r="Z1570" s="6" t="inlineStr"/>
      <c r="AA1570" s="5" t="inlineStr"/>
      <c r="AB1570" s="5" t="inlineStr"/>
      <c r="AC1570" s="5" t="inlineStr"/>
      <c r="AD1570" s="5" t="inlineStr"/>
      <c r="AE1570" s="5" t="inlineStr"/>
      <c r="AF1570" s="5" t="inlineStr"/>
      <c r="AG1570" s="5" t="inlineStr"/>
      <c r="AH1570" s="5" t="inlineStr"/>
      <c r="AI1570" s="5" t="inlineStr"/>
      <c r="AJ1570" s="5" t="inlineStr"/>
    </row>
    <row r="1571">
      <c r="A1571" s="5" t="inlineStr">
        <is>
          <t>b8-cezaevi-kapisi</t>
        </is>
      </c>
      <c r="B1571" s="5" t="n">
        <v>3</v>
      </c>
      <c r="C1571" s="6" t="inlineStr">
        <is>
          <t>Koğuş yıllarını kitap yap</t>
        </is>
      </c>
      <c r="D1571" s="5" t="inlineStr">
        <is>
          <t>Çene</t>
        </is>
      </c>
      <c r="E1571" s="5" t="inlineStr">
        <is>
          <t>Zor</t>
        </is>
      </c>
      <c r="F1571" s="5" t="inlineStr"/>
      <c r="G1571" s="6" t="inlineStr"/>
      <c r="H1571" s="6" t="inlineStr">
        <is>
          <t>“Uzun Koğuş” adlı kitabın çıktı. Bir haber programı seni “yaşayan tanık” diye çağırdı; canlı yayında koğuşa selam gönderdin.</t>
        </is>
      </c>
      <c r="I1571" s="6" t="inlineStr">
        <is>
          <t>Kitap her yerde konuşuldu. İlk imza gününde kuyruğun başında, tahliye sabahı karşı kaldırımda simitle bekleyen yüz vardı. İlk imzayı ona attın; altına bir de “Simit borcum” yazdın.</t>
        </is>
      </c>
      <c r="J1571" s="6" t="inlineStr">
        <is>
          <t>Yayınevi “Anılar çok uzun, okur kısa” dedi. Taslağı dolaba kaldırdın, eski defterini çıkardın.</t>
        </is>
      </c>
      <c r="K1571" s="6" t="inlineStr">
        <is>
          <t>Eski yoluna döndün. Yayınevi kitabını basmış ama kapağa başkasının fotoğrafını koymuştu. İmza gününe gittin; seni içeri almadılar.</t>
        </is>
      </c>
      <c r="L1571" s="6" t="inlineStr"/>
      <c r="M1571" s="5" t="inlineStr"/>
      <c r="N1571" s="5" t="inlineStr"/>
      <c r="O1571" s="6" t="inlineStr"/>
      <c r="P1571" s="6" t="inlineStr"/>
      <c r="Q1571" s="5" t="inlineStr"/>
      <c r="R1571" s="5" t="inlineStr"/>
      <c r="S1571" s="5" t="inlineStr"/>
      <c r="T1571" s="5" t="inlineStr"/>
      <c r="U1571" s="5" t="inlineStr"/>
      <c r="V1571" s="5" t="inlineStr">
        <is>
          <t>-hat-cete, -hat-dolandirici, -hat-girisimci, -hat-goc, -hat-hekim, -hat-koy, -hat-polis, -hat-politika, -hat-usta, -hat-yargi, -meslek-beyazyaka, -meslek-esnaf, -meslek-memur, hat-sohret, meslek-serbest, -hapis, eski-hukumlu</t>
        </is>
      </c>
      <c r="W1571" s="5" t="inlineStr">
        <is>
          <t>-hapis, eski-hukumlu</t>
        </is>
      </c>
      <c r="X1571" s="5" t="inlineStr"/>
      <c r="Y1571" s="5" t="inlineStr"/>
      <c r="Z1571" s="6" t="inlineStr"/>
      <c r="AA1571" s="5" t="inlineStr"/>
      <c r="AB1571" s="5" t="inlineStr">
        <is>
          <t>-hapis, eski-hukumlu</t>
        </is>
      </c>
      <c r="AC1571" s="5" t="inlineStr"/>
      <c r="AD1571" s="5" t="inlineStr"/>
      <c r="AE1571" s="5" t="inlineStr"/>
      <c r="AF1571" s="5" t="inlineStr"/>
      <c r="AG1571" s="5" t="inlineStr"/>
      <c r="AH1571" s="5" t="inlineStr"/>
      <c r="AI1571" s="5" t="inlineStr"/>
      <c r="AJ1571" s="5" t="inlineStr"/>
    </row>
    <row r="1572">
      <c r="A1572" s="5" t="inlineStr">
        <is>
          <t>b8-cezaevi-kapisi</t>
        </is>
      </c>
      <c r="B1572" s="5" t="n">
        <v>4</v>
      </c>
      <c r="C1572" s="6" t="inlineStr">
        <is>
          <t>Afişe “Ben içeriyi gördüm” yaz, siyasete gir</t>
        </is>
      </c>
      <c r="D1572" s="5" t="inlineStr">
        <is>
          <t>Pişkinlik</t>
        </is>
      </c>
      <c r="E1572" s="5" t="inlineStr">
        <is>
          <t>Zor</t>
        </is>
      </c>
      <c r="F1572" s="5" t="inlineStr"/>
      <c r="G1572" s="6" t="inlineStr"/>
      <c r="H1572" s="6" t="inlineStr">
        <is>
          <t>Afişindeki cümle kısaydı: “Ben içeriyi gördüm.” İlk afişi, tahliye sabahı seni simitle bekleyen astı, eğri. Düzeltmene izin vermedi: “Böyle daha samimi.” Koğuştan her hafta bir destek mektubu geliyor.</t>
        </is>
      </c>
      <c r="I1572" s="6" t="inlineStr">
        <is>
          <t>Parti seni cezaevleriyle ilgili bir komisyona önerdi. İlk toplantıda çay ocaklarının yerini değiştirdin; herkes daha rahat, kimse nedenini bilmiyor.</t>
        </is>
      </c>
      <c r="J1572" s="6" t="inlineStr">
        <is>
          <t>Başvuru formunda “Son on yılınızı anlatınız” diye bir kutu vardı. Kutu küçük kaldı. Formu katlayıp cebine koydun; o akşam eski telefon defterini açtın.</t>
        </is>
      </c>
      <c r="K1572" s="6" t="inlineStr">
        <is>
          <t>Eski yoluna döndün. İlk mitingde kalabalığı “Arkadaşlar, sayım var!” diye topladın; yarısı dağıldı, kalan yarısı eski koğuş arkadaşlarındı.</t>
        </is>
      </c>
      <c r="L1572" s="6" t="inlineStr"/>
      <c r="M1572" s="5" t="inlineStr"/>
      <c r="N1572" s="5" t="inlineStr"/>
      <c r="O1572" s="6" t="inlineStr"/>
      <c r="P1572" s="6" t="inlineStr"/>
      <c r="Q1572" s="5" t="inlineStr"/>
      <c r="R1572" s="5" t="inlineStr"/>
      <c r="S1572" s="5" t="inlineStr"/>
      <c r="T1572" s="5" t="inlineStr"/>
      <c r="U1572" s="5" t="inlineStr"/>
      <c r="V1572" s="5" t="inlineStr">
        <is>
          <t>-hat-cete, -hat-dolandirici, -hat-girisimci, -hat-goc, -hat-hekim, -hat-koy, -hat-polis, -hat-sohret, -hat-usta, -hat-yargi, -meslek-beyazyaka, -meslek-esnaf, -meslek-memur, -meslek-serbest, hat-politika, -hapis, eski-hukumlu</t>
        </is>
      </c>
      <c r="W1572" s="5" t="inlineStr">
        <is>
          <t>-hapis, eski-hukumlu</t>
        </is>
      </c>
      <c r="X1572" s="5" t="inlineStr"/>
      <c r="Y1572" s="5" t="inlineStr"/>
      <c r="Z1572" s="6" t="inlineStr"/>
      <c r="AA1572" s="5" t="inlineStr"/>
      <c r="AB1572" s="5" t="inlineStr">
        <is>
          <t>-hapis, eski-hukumlu</t>
        </is>
      </c>
      <c r="AC1572" s="5" t="inlineStr"/>
      <c r="AD1572" s="5" t="inlineStr"/>
      <c r="AE1572" s="5" t="inlineStr"/>
      <c r="AF1572" s="5" t="inlineStr"/>
      <c r="AG1572" s="5" t="inlineStr"/>
      <c r="AH1572" s="5" t="inlineStr"/>
      <c r="AI1572" s="5" t="inlineStr"/>
      <c r="AJ1572" s="5" t="inlineStr"/>
    </row>
    <row r="1573">
      <c r="A1573" s="5" t="inlineStr">
        <is>
          <t>b8-cezaevi-kapisi</t>
        </is>
      </c>
      <c r="B1573" s="5" t="n">
        <v>5</v>
      </c>
      <c r="C1573" s="6" t="inlineStr">
        <is>
          <t>Bakkalın arka deposunda başla</t>
        </is>
      </c>
      <c r="D1573" s="5" t="inlineStr"/>
      <c r="E1573" s="5" t="inlineStr"/>
      <c r="F1573" s="5" t="inlineStr">
        <is>
          <t>İtibar +1, Dayanıklılık +1</t>
        </is>
      </c>
      <c r="G1573" s="6" t="inlineStr">
        <is>
          <t>Mahalleye döndüğün akşam bakkal kepengi yarıya indirip çıktı, eline bir anahtar tutuşturdu: “Arka depo senin, kirası sonra.” Veresiye defterine ilk satırı kendi elinle yazdın: “Kira, sonra.”</t>
        </is>
      </c>
      <c r="H1573" s="6" t="inlineStr"/>
      <c r="I1573" s="6" t="inlineStr"/>
      <c r="J1573" s="6" t="inlineStr"/>
      <c r="K1573" s="6" t="inlineStr"/>
      <c r="L1573" s="6" t="inlineStr"/>
      <c r="M1573" s="5" t="inlineStr"/>
      <c r="N1573" s="5" t="inlineStr"/>
      <c r="O1573" s="6" t="inlineStr"/>
      <c r="P1573" s="6" t="inlineStr"/>
      <c r="Q1573" s="5" t="inlineStr"/>
      <c r="R1573" s="5" t="inlineStr"/>
      <c r="S1573" s="5" t="inlineStr"/>
      <c r="T1573" s="5" t="inlineStr"/>
      <c r="U1573" s="5" t="inlineStr">
        <is>
          <t>-hat-cete, -hat-dolandirici, -hat-girisimci, -hat-goc, -hat-hekim, -hat-koy, -hat-polis, -hat-politika, -hat-sohret, -hat-usta, -hat-yargi, -meslek-beyazyaka, -meslek-memur, -meslek-serbest, meslek-esnaf, -hapis, eski-hukumlu, -ceza-indirimi</t>
        </is>
      </c>
      <c r="V1573" s="5" t="inlineStr"/>
      <c r="W1573" s="5" t="inlineStr"/>
      <c r="X1573" s="5" t="inlineStr"/>
      <c r="Y1573" s="5" t="inlineStr"/>
      <c r="Z1573" s="6" t="inlineStr"/>
      <c r="AA1573" s="5" t="inlineStr"/>
      <c r="AB1573" s="5" t="inlineStr"/>
      <c r="AC1573" s="5" t="inlineStr"/>
      <c r="AD1573" s="5" t="inlineStr">
        <is>
          <t>Fakir</t>
        </is>
      </c>
      <c r="AE1573" s="5" t="inlineStr"/>
      <c r="AF1573" s="5" t="inlineStr"/>
      <c r="AG1573" s="5" t="inlineStr"/>
      <c r="AH1573" s="5" t="inlineStr">
        <is>
          <t>İtibar 37</t>
        </is>
      </c>
      <c r="AI1573" s="5" t="inlineStr"/>
      <c r="AJ1573" s="5" t="inlineStr"/>
    </row>
    <row r="1574">
      <c r="A1574" s="5" t="inlineStr">
        <is>
          <t>b9-cezaevi-kapisi</t>
        </is>
      </c>
      <c r="B1574" s="5" t="n">
        <v>1</v>
      </c>
      <c r="C1574" s="6" t="inlineStr">
        <is>
          <t>Mahallede küçük bir tamirci aç</t>
        </is>
      </c>
      <c r="D1574" s="5" t="inlineStr"/>
      <c r="E1574" s="5" t="inlineStr"/>
      <c r="F1574" s="5" t="inlineStr">
        <is>
          <t>Dayanıklılık +1, Sosyal Radar +1</t>
        </is>
      </c>
      <c r="G1574" s="6" t="inlineStr">
        <is>
          <t>Saat, radyo, bir de gönül tamiri. Müşterilerin çoğu emekli; sohbet uzun, iş kısa. Kimse acele etmiyor, en çok da sen.</t>
        </is>
      </c>
      <c r="H1574" s="6" t="inlineStr"/>
      <c r="I1574" s="6" t="inlineStr"/>
      <c r="J1574" s="6" t="inlineStr"/>
      <c r="K1574" s="6" t="inlineStr"/>
      <c r="L1574" s="6" t="inlineStr"/>
      <c r="M1574" s="5" t="inlineStr"/>
      <c r="N1574" s="5" t="inlineStr"/>
      <c r="O1574" s="6" t="inlineStr"/>
      <c r="P1574" s="6" t="inlineStr"/>
      <c r="Q1574" s="5" t="inlineStr"/>
      <c r="R1574" s="5" t="inlineStr"/>
      <c r="S1574" s="5" t="inlineStr"/>
      <c r="T1574" s="5" t="inlineStr"/>
      <c r="U1574" s="5" t="inlineStr">
        <is>
          <t>-hat-cete, -hat-dolandirici, -hat-girisimci, -hat-goc, -hat-hekim, -hat-koy, -hat-polis, -hat-politika, -hat-sohret, -hat-usta, -hat-yargi, -meslek-beyazyaka, -meslek-memur, -meslek-serbest, meslek-esnaf, -hapis, eski-hukumlu</t>
        </is>
      </c>
      <c r="V1574" s="5" t="inlineStr"/>
      <c r="W1574" s="5" t="inlineStr"/>
      <c r="X1574" s="5" t="inlineStr"/>
      <c r="Y1574" s="5" t="inlineStr"/>
      <c r="Z1574" s="6" t="inlineStr"/>
      <c r="AA1574" s="5" t="inlineStr"/>
      <c r="AB1574" s="5" t="inlineStr"/>
      <c r="AC1574" s="5" t="inlineStr"/>
      <c r="AD1574" s="5" t="inlineStr">
        <is>
          <t>Fakir</t>
        </is>
      </c>
      <c r="AE1574" s="5" t="inlineStr"/>
      <c r="AF1574" s="5" t="inlineStr"/>
      <c r="AG1574" s="5" t="inlineStr"/>
      <c r="AH1574" s="5" t="inlineStr"/>
      <c r="AI1574" s="5" t="inlineStr"/>
      <c r="AJ1574" s="5" t="inlineStr"/>
    </row>
    <row r="1575">
      <c r="A1575" s="5" t="inlineStr">
        <is>
          <t>b9-cezaevi-kapisi</t>
        </is>
      </c>
      <c r="B1575" s="5" t="n">
        <v>2</v>
      </c>
      <c r="C1575" s="6" t="inlineStr">
        <is>
          <t>Eski işine dön</t>
        </is>
      </c>
      <c r="D1575" s="5" t="inlineStr"/>
      <c r="E1575" s="5" t="inlineStr"/>
      <c r="F1575" s="5" t="inlineStr">
        <is>
          <t>Pişkinlik +1, Cesaret +1</t>
        </is>
      </c>
      <c r="G1575" s="6" t="inlineStr">
        <is>
          <t>Eski çevreni aradın; çoğu emekli olmuş, birkaçı torun bakıyor. İşi kaldığı yerden sürdürüyorsun; öğle uykusuna ara vererek.</t>
        </is>
      </c>
      <c r="H1575" s="6" t="inlineStr"/>
      <c r="I1575" s="6" t="inlineStr"/>
      <c r="J1575" s="6" t="inlineStr"/>
      <c r="K1575" s="6" t="inlineStr"/>
      <c r="L1575" s="6" t="inlineStr"/>
      <c r="M1575" s="5" t="inlineStr"/>
      <c r="N1575" s="5" t="inlineStr"/>
      <c r="O1575" s="6" t="inlineStr"/>
      <c r="P1575" s="6" t="inlineStr"/>
      <c r="Q1575" s="5" t="inlineStr"/>
      <c r="R1575" s="5" t="inlineStr"/>
      <c r="S1575" s="5" t="inlineStr"/>
      <c r="T1575" s="5" t="inlineStr"/>
      <c r="U1575" s="5" t="inlineStr">
        <is>
          <t>-hapis, eski-hukumlu</t>
        </is>
      </c>
      <c r="V1575" s="5" t="inlineStr"/>
      <c r="W1575" s="5" t="inlineStr"/>
      <c r="X1575" s="5" t="inlineStr"/>
      <c r="Y1575" s="5" t="inlineStr"/>
      <c r="Z1575" s="6" t="inlineStr"/>
      <c r="AA1575" s="5" t="inlineStr"/>
      <c r="AB1575" s="5" t="inlineStr"/>
      <c r="AC1575" s="5" t="inlineStr"/>
      <c r="AD1575" s="5" t="inlineStr"/>
      <c r="AE1575" s="5" t="inlineStr"/>
      <c r="AF1575" s="5" t="inlineStr"/>
      <c r="AG1575" s="5" t="inlineStr"/>
      <c r="AH1575" s="5" t="inlineStr"/>
      <c r="AI1575" s="5" t="inlineStr"/>
      <c r="AJ1575" s="5" t="inlineStr"/>
    </row>
    <row r="1576">
      <c r="A1576" s="5" t="inlineStr">
        <is>
          <t>b9-cezaevi-kapisi</t>
        </is>
      </c>
      <c r="B1576" s="5" t="n">
        <v>3</v>
      </c>
      <c r="C1576" s="6" t="inlineStr">
        <is>
          <t>Koğuş yıllarını kitap yap</t>
        </is>
      </c>
      <c r="D1576" s="5" t="inlineStr">
        <is>
          <t>Çene</t>
        </is>
      </c>
      <c r="E1576" s="5" t="inlineStr">
        <is>
          <t>Zor</t>
        </is>
      </c>
      <c r="F1576" s="5" t="inlineStr"/>
      <c r="G1576" s="6" t="inlineStr"/>
      <c r="H1576" s="6" t="inlineStr">
        <is>
          <t>“Altmışa Doğru Koğuş” emekliler arasında elden ele dolaşıyor. Parkta imza günü yapıyorsun; kuyruk bankın öbür ucunda bitiyor.</t>
        </is>
      </c>
      <c r="I1576" s="6" t="inlineStr">
        <is>
          <t>Kitap bir tiyatro oyunu oldu. Galaya koğuştan çıkmış iki arkadaşın geldi; en çok onlar güldü, kendi repliklerine.</t>
        </is>
      </c>
      <c r="J1576" s="6" t="inlineStr">
        <is>
          <t>El yazını kimse okuyamadı. Mahalleden bir genç bilgisayara geçirmeye başladı, on sayfa sonra bıraktı: 'Ben bunu okuyunca geceleri uyuyamıyorum.' Defteri geri aldın, eski yoluna döndün.</t>
        </is>
      </c>
      <c r="K1576" s="6" t="inlineStr">
        <is>
          <t>Taslağı otobüste unuttun. Şoför okudu, beğendi, kendi adıyla yarışmaya gönderdi; ödül aldı. Sen eski yoluna döndün.</t>
        </is>
      </c>
      <c r="L1576" s="6" t="inlineStr"/>
      <c r="M1576" s="5" t="inlineStr"/>
      <c r="N1576" s="5" t="inlineStr"/>
      <c r="O1576" s="6" t="inlineStr"/>
      <c r="P1576" s="6" t="inlineStr"/>
      <c r="Q1576" s="5" t="inlineStr"/>
      <c r="R1576" s="5" t="inlineStr"/>
      <c r="S1576" s="5" t="inlineStr"/>
      <c r="T1576" s="5" t="inlineStr"/>
      <c r="U1576" s="5" t="inlineStr"/>
      <c r="V1576" s="5" t="inlineStr">
        <is>
          <t>-hat-cete, -hat-dolandirici, -hat-girisimci, -hat-goc, -hat-hekim, -hat-koy, -hat-polis, -hat-politika, -hat-usta, -hat-yargi, -meslek-beyazyaka, -meslek-esnaf, -meslek-memur, hat-sohret, meslek-serbest, -hapis, eski-hukumlu</t>
        </is>
      </c>
      <c r="W1576" s="5" t="inlineStr">
        <is>
          <t>-hapis, eski-hukumlu</t>
        </is>
      </c>
      <c r="X1576" s="5" t="inlineStr"/>
      <c r="Y1576" s="5" t="inlineStr"/>
      <c r="Z1576" s="6" t="inlineStr"/>
      <c r="AA1576" s="5" t="inlineStr"/>
      <c r="AB1576" s="5" t="inlineStr">
        <is>
          <t>-hapis, eski-hukumlu</t>
        </is>
      </c>
      <c r="AC1576" s="5" t="inlineStr"/>
      <c r="AD1576" s="5" t="inlineStr"/>
      <c r="AE1576" s="5" t="inlineStr"/>
      <c r="AF1576" s="5" t="inlineStr"/>
      <c r="AG1576" s="5" t="inlineStr"/>
      <c r="AH1576" s="5" t="inlineStr"/>
      <c r="AI1576" s="5" t="inlineStr"/>
      <c r="AJ1576" s="5" t="inlineStr"/>
    </row>
    <row r="1577">
      <c r="A1577" s="5" t="inlineStr">
        <is>
          <t>b9-cezaevi-kapisi</t>
        </is>
      </c>
      <c r="B1577" s="5" t="n">
        <v>4</v>
      </c>
      <c r="C1577" s="6" t="inlineStr">
        <is>
          <t>“Geç kaldım ama gördüm” diye siyasete gir</t>
        </is>
      </c>
      <c r="D1577" s="5" t="inlineStr">
        <is>
          <t>Pişkinlik</t>
        </is>
      </c>
      <c r="E1577" s="5" t="inlineStr">
        <is>
          <t>Zor</t>
        </is>
      </c>
      <c r="F1577" s="5" t="inlineStr"/>
      <c r="G1577" s="6" t="inlineStr"/>
      <c r="H1577" s="6" t="inlineStr">
        <is>
          <t>Sloganınla bir partinin emekliler kolunda göreve başladın. Toplantılar çay ocağı gibi: herkes konuşuyor, sen demliyorsun.</t>
        </is>
      </c>
      <c r="I1577" s="6" t="inlineStr">
        <is>
          <t>Mahalle seni muhtarlığa, parti de meclise aday gösterdi. Afişindeki fotoğraf cezaevi kapısında çekildi; bilerek.</t>
        </is>
      </c>
      <c r="J1577" s="6" t="inlineStr">
        <is>
          <t>Başvurun komisyonda kaldı. Komisyon toplanmadı; sen de beklemedin, eski yoluna döndün.</t>
        </is>
      </c>
      <c r="K1577" s="6" t="inlineStr">
        <is>
          <t>İlk konuşmanda mikrofonu tavla zarı gibi salladın. Salon güldü, seçim kurulu gülmedi. Eski yoluna döndün.</t>
        </is>
      </c>
      <c r="L1577" s="6" t="inlineStr"/>
      <c r="M1577" s="5" t="inlineStr"/>
      <c r="N1577" s="5" t="inlineStr"/>
      <c r="O1577" s="6" t="inlineStr"/>
      <c r="P1577" s="6" t="inlineStr"/>
      <c r="Q1577" s="5" t="inlineStr"/>
      <c r="R1577" s="5" t="inlineStr"/>
      <c r="S1577" s="5" t="inlineStr"/>
      <c r="T1577" s="5" t="inlineStr"/>
      <c r="U1577" s="5" t="inlineStr"/>
      <c r="V1577" s="5" t="inlineStr">
        <is>
          <t>-hat-cete, -hat-dolandirici, -hat-girisimci, -hat-goc, -hat-hekim, -hat-koy, -hat-polis, -hat-sohret, -hat-usta, -hat-yargi, -meslek-beyazyaka, -meslek-esnaf, -meslek-memur, -meslek-serbest, hat-politika, -hapis, eski-hukumlu</t>
        </is>
      </c>
      <c r="W1577" s="5" t="inlineStr">
        <is>
          <t>-hapis, eski-hukumlu</t>
        </is>
      </c>
      <c r="X1577" s="5" t="inlineStr"/>
      <c r="Y1577" s="5" t="inlineStr"/>
      <c r="Z1577" s="6" t="inlineStr"/>
      <c r="AA1577" s="5" t="inlineStr"/>
      <c r="AB1577" s="5" t="inlineStr">
        <is>
          <t>-hapis, eski-hukumlu</t>
        </is>
      </c>
      <c r="AC1577" s="5" t="inlineStr"/>
      <c r="AD1577" s="5" t="inlineStr"/>
      <c r="AE1577" s="5" t="inlineStr"/>
      <c r="AF1577" s="5" t="inlineStr"/>
      <c r="AG1577" s="5" t="inlineStr"/>
      <c r="AH1577" s="5" t="inlineStr"/>
      <c r="AI1577" s="5" t="inlineStr"/>
      <c r="AJ1577" s="5" t="inlineStr"/>
    </row>
    <row r="1578">
      <c r="A1578" s="5" t="inlineStr">
        <is>
          <t>b9-cezaevi-kapisi</t>
        </is>
      </c>
      <c r="B1578" s="5" t="n">
        <v>5</v>
      </c>
      <c r="C1578" s="6" t="inlineStr">
        <is>
          <t>Mahallenin kefaletiyle iş bul</t>
        </is>
      </c>
      <c r="D1578" s="5" t="inlineStr"/>
      <c r="E1578" s="5" t="inlineStr"/>
      <c r="F1578" s="5" t="inlineStr">
        <is>
          <t>İtibar +1, Dayanıklılık +1</t>
        </is>
      </c>
      <c r="G1578" s="6" t="inlineStr">
        <is>
          <t>Kapıda seni çarşının en eski esnafı bekliyordu: “Senin için söz verdim, dükkânın arka tarafı senin.” Mahallede kimse geçmişini sormadı; sordurmadılar.</t>
        </is>
      </c>
      <c r="H1578" s="6" t="inlineStr"/>
      <c r="I1578" s="6" t="inlineStr"/>
      <c r="J1578" s="6" t="inlineStr"/>
      <c r="K1578" s="6" t="inlineStr"/>
      <c r="L1578" s="6" t="inlineStr"/>
      <c r="M1578" s="5" t="inlineStr"/>
      <c r="N1578" s="5" t="inlineStr"/>
      <c r="O1578" s="6" t="inlineStr"/>
      <c r="P1578" s="6" t="inlineStr"/>
      <c r="Q1578" s="5" t="inlineStr"/>
      <c r="R1578" s="5" t="inlineStr"/>
      <c r="S1578" s="5" t="inlineStr"/>
      <c r="T1578" s="5" t="inlineStr"/>
      <c r="U1578" s="5" t="inlineStr">
        <is>
          <t>-hat-cete, -hat-dolandirici, -hat-girisimci, -hat-goc, -hat-hekim, -hat-koy, -hat-polis, -hat-politika, -hat-sohret, -hat-usta, -hat-yargi, -meslek-beyazyaka, -meslek-memur, -meslek-serbest, meslek-esnaf, -hapis, eski-hukumlu, -ceza-indirimi</t>
        </is>
      </c>
      <c r="V1578" s="5" t="inlineStr"/>
      <c r="W1578" s="5" t="inlineStr"/>
      <c r="X1578" s="5" t="inlineStr"/>
      <c r="Y1578" s="5" t="inlineStr"/>
      <c r="Z1578" s="6" t="inlineStr"/>
      <c r="AA1578" s="5" t="inlineStr"/>
      <c r="AB1578" s="5" t="inlineStr"/>
      <c r="AC1578" s="5" t="inlineStr"/>
      <c r="AD1578" s="5" t="inlineStr">
        <is>
          <t>Fakir</t>
        </is>
      </c>
      <c r="AE1578" s="5" t="inlineStr"/>
      <c r="AF1578" s="5" t="inlineStr"/>
      <c r="AG1578" s="5" t="inlineStr"/>
      <c r="AH1578" s="5" t="inlineStr">
        <is>
          <t>İtibar 38</t>
        </is>
      </c>
      <c r="AI1578" s="5" t="inlineStr"/>
      <c r="AJ1578" s="5" t="inlineStr"/>
    </row>
    <row r="1579">
      <c r="A1579" s="5" t="inlineStr">
        <is>
          <t>b7-sohret-secmeler</t>
        </is>
      </c>
      <c r="B1579" s="5" t="n">
        <v>1</v>
      </c>
      <c r="C1579" s="6" t="inlineStr">
        <is>
          <t>Metni yazıldığı gibi, kusursuz oku</t>
        </is>
      </c>
      <c r="D1579" s="5" t="inlineStr"/>
      <c r="E1579" s="5" t="inlineStr"/>
      <c r="F1579" s="5" t="inlineStr">
        <is>
          <t>Akıl +1, Dayanıklılık +1</t>
        </is>
      </c>
      <c r="G1579" s="6" t="inlineStr">
        <is>
          <t>Metni tek hata yapmadan okudun. Yapımcı “Teşekkürler” dedi. Rol, sandviç bitmeden okuyan birine gitti.</t>
        </is>
      </c>
      <c r="H1579" s="6" t="inlineStr"/>
      <c r="I1579" s="6" t="inlineStr"/>
      <c r="J1579" s="6" t="inlineStr"/>
      <c r="K1579" s="6" t="inlineStr"/>
      <c r="L1579" s="6" t="inlineStr"/>
      <c r="M1579" s="5" t="inlineStr"/>
      <c r="N1579" s="5" t="inlineStr"/>
      <c r="O1579" s="6" t="inlineStr"/>
      <c r="P1579" s="6" t="inlineStr"/>
      <c r="Q1579" s="5" t="inlineStr"/>
      <c r="R1579" s="5" t="inlineStr"/>
      <c r="S1579" s="5" t="inlineStr"/>
      <c r="T1579" s="5" t="inlineStr"/>
      <c r="U1579" s="5" t="inlineStr"/>
      <c r="V1579" s="5" t="inlineStr"/>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c r="AI1579" s="5" t="inlineStr"/>
      <c r="AJ1579" s="5" t="inlineStr"/>
    </row>
    <row r="1580">
      <c r="A1580" s="5" t="inlineStr">
        <is>
          <t>b7-sohret-secmeler</t>
        </is>
      </c>
      <c r="B1580" s="5" t="n">
        <v>2</v>
      </c>
      <c r="C1580" s="6" t="inlineStr">
        <is>
          <t>Repliği bağırarak, gözyaşıyla oyna</t>
        </is>
      </c>
      <c r="D1580" s="5" t="inlineStr">
        <is>
          <t>Pişkinlik</t>
        </is>
      </c>
      <c r="E1580" s="5" t="inlineStr">
        <is>
          <t>Orta</t>
        </is>
      </c>
      <c r="F1580" s="5" t="inlineStr"/>
      <c r="G1580" s="6" t="inlineStr"/>
      <c r="H1580" s="6" t="inlineStr">
        <is>
          <t>Koridordaki kırk kişi sustu. Yapımcı sandviçi bıraktı: “Arsa meselesine inandım.” Dizide küçük kardeşsin; arsa yine ağabeyin.</t>
        </is>
      </c>
      <c r="I1580" s="6" t="inlineStr">
        <is>
          <t>Yapımcı ağladı, kameraman ağladı, sandviç ıslandı. Rol senin; senaristler arsayı sana vermek için yeni bölüm yazıyor.</t>
        </is>
      </c>
      <c r="J1580" s="6" t="inlineStr">
        <is>
          <t>Bağırdın ama gözyaşı gelmedi. Yapımcı “Kuru ağlama da bir tarz” dedi ve sıradakini çağırdı.</t>
        </is>
      </c>
      <c r="K1580" s="6" t="inlineStr">
        <is>
          <t>O kadar bağırdın ki güvenlik geldi. Kapıya kadar kolundan tutup götürdüler; sen hâlâ “Arsa benim!” diye bağırıyordun. Koridordaki kırk kişi alkışladı. Rol, alkışlayanlardan birine gitti.</t>
        </is>
      </c>
      <c r="L1580" s="6" t="inlineStr"/>
      <c r="M1580" s="5" t="inlineStr"/>
      <c r="N1580" s="5" t="inlineStr"/>
      <c r="O1580" s="6" t="inlineStr"/>
      <c r="P1580" s="6" t="inlineStr"/>
      <c r="Q1580" s="5" t="inlineStr"/>
      <c r="R1580" s="5" t="inlineStr"/>
      <c r="S1580" s="5" t="inlineStr"/>
      <c r="T1580" s="5" t="inlineStr"/>
      <c r="U1580" s="5" t="inlineStr"/>
      <c r="V1580" s="5" t="inlineStr">
        <is>
          <t>sohret-dizi-rolu</t>
        </is>
      </c>
      <c r="W1580" s="5" t="inlineStr"/>
      <c r="X1580" s="5" t="inlineStr"/>
      <c r="Y1580" s="5" t="inlineStr"/>
      <c r="Z1580" s="6" t="inlineStr"/>
      <c r="AA1580" s="5" t="inlineStr"/>
      <c r="AB1580" s="5" t="inlineStr"/>
      <c r="AC1580" s="5" t="inlineStr"/>
      <c r="AD1580" s="5" t="inlineStr"/>
      <c r="AE1580" s="5" t="inlineStr"/>
      <c r="AF1580" s="5" t="inlineStr"/>
      <c r="AG1580" s="5" t="inlineStr"/>
      <c r="AH1580" s="5" t="inlineStr"/>
      <c r="AI1580" s="5" t="inlineStr"/>
      <c r="AJ1580" s="5" t="inlineStr"/>
    </row>
    <row r="1581">
      <c r="A1581" s="5" t="inlineStr">
        <is>
          <t>b7-sohret-secmeler</t>
        </is>
      </c>
      <c r="B1581" s="5" t="n">
        <v>3</v>
      </c>
      <c r="C1581" s="6" t="inlineStr">
        <is>
          <t>Yapımcının sandviçine laf at, buzu kır</t>
        </is>
      </c>
      <c r="D1581" s="5" t="inlineStr">
        <is>
          <t>Sosyal Radar</t>
        </is>
      </c>
      <c r="E1581" s="5" t="inlineStr">
        <is>
          <t>Orta</t>
        </is>
      </c>
      <c r="F1581" s="5" t="inlineStr"/>
      <c r="G1581" s="6" t="inlineStr"/>
      <c r="H1581" s="6" t="inlineStr">
        <is>
          <t>“Kaşarlı mı?” dedin. Güldü. Kardeş rolü başkasına gitti ama sana kahveciyi verdi. Kahveci her bölümde var.</t>
        </is>
      </c>
      <c r="I1581" s="6" t="inlineStr">
        <is>
          <t>Sandviç muhabbeti uzadı; aynı fırından ekmek aldığınız çıktı. Kahveci rolü yeniden yazıldı, adı da seninki oldu.</t>
        </is>
      </c>
      <c r="J1581" s="6" t="inlineStr">
        <is>
          <t>Sandviçe laf attın; yapımcı lokmasını yuttu: “Diyetteyim, bu kaçamak.” Sandviçi çöpe attı, sıradakini çağırdı. Sen de sandviçin peşinden çıktın.</t>
        </is>
      </c>
      <c r="K1581" s="6" t="inlineStr">
        <is>
          <t>Yapımcı sandviçi sana uzattı: “Madem merak ettin.” Repliği ağzın dolu okudun. Kayıt hâlâ dolaşıyor.</t>
        </is>
      </c>
      <c r="L1581" s="6" t="inlineStr"/>
      <c r="M1581" s="5" t="inlineStr"/>
      <c r="N1581" s="5" t="inlineStr"/>
      <c r="O1581" s="6" t="inlineStr"/>
      <c r="P1581" s="6" t="inlineStr"/>
      <c r="Q1581" s="5" t="inlineStr"/>
      <c r="R1581" s="5" t="inlineStr"/>
      <c r="S1581" s="5" t="inlineStr"/>
      <c r="T1581" s="5" t="inlineStr"/>
      <c r="U1581" s="5" t="inlineStr"/>
      <c r="V1581" s="5" t="inlineStr">
        <is>
          <t>sohret-dizi-rolu</t>
        </is>
      </c>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c r="AI1581" s="5" t="inlineStr"/>
      <c r="AJ1581" s="5" t="inlineStr"/>
    </row>
    <row r="1582">
      <c r="A1582" s="5" t="inlineStr">
        <is>
          <t>b7-sohret-reklam</t>
        </is>
      </c>
      <c r="B1582" s="5" t="n">
        <v>1</v>
      </c>
      <c r="C1582" s="6" t="inlineStr">
        <is>
          <t>Sözleşmeyi imzala, lekesiz yaşa</t>
        </is>
      </c>
      <c r="D1582" s="5" t="inlineStr"/>
      <c r="E1582" s="5" t="inlineStr"/>
      <c r="F1582" s="5" t="inlineStr">
        <is>
          <t>Pişkinlik +1, Dayanıklılık +1</t>
        </is>
      </c>
      <c r="G1582" s="6" t="inlineStr">
        <is>
          <t>Otobüs duraklarında gülümseyen dev bir sen var. Bir gün pantolonuna çay döküldü; üç kişi fotoğrafını çekti.</t>
        </is>
      </c>
      <c r="H1582" s="6" t="inlineStr"/>
      <c r="I1582" s="6" t="inlineStr"/>
      <c r="J1582" s="6" t="inlineStr"/>
      <c r="K1582" s="6" t="inlineStr"/>
      <c r="L1582" s="6" t="inlineStr"/>
      <c r="M1582" s="5" t="inlineStr"/>
      <c r="N1582" s="5" t="inlineStr"/>
      <c r="O1582" s="6" t="inlineStr"/>
      <c r="P1582" s="6" t="inlineStr"/>
      <c r="Q1582" s="5" t="inlineStr"/>
      <c r="R1582" s="5" t="inlineStr"/>
      <c r="S1582" s="5" t="inlineStr"/>
      <c r="T1582" s="5" t="inlineStr"/>
      <c r="U1582" s="5" t="inlineStr">
        <is>
          <t>sohret-reklam-yuzu</t>
        </is>
      </c>
      <c r="V1582" s="5" t="inlineStr"/>
      <c r="W1582" s="5" t="inlineStr"/>
      <c r="X1582" s="5" t="inlineStr"/>
      <c r="Y1582" s="5" t="inlineStr"/>
      <c r="Z1582" s="6" t="inlineStr"/>
      <c r="AA1582" s="5" t="inlineStr"/>
      <c r="AB1582" s="5" t="inlineStr"/>
      <c r="AC1582" s="5" t="inlineStr"/>
      <c r="AD1582" s="5" t="inlineStr">
        <is>
          <t>Orta</t>
        </is>
      </c>
      <c r="AE1582" s="5" t="inlineStr"/>
      <c r="AF1582" s="5" t="inlineStr"/>
      <c r="AG1582" s="5" t="inlineStr"/>
      <c r="AH1582" s="5" t="inlineStr"/>
      <c r="AI1582" s="5" t="inlineStr"/>
      <c r="AJ1582" s="5" t="inlineStr"/>
    </row>
    <row r="1583">
      <c r="A1583" s="5" t="inlineStr">
        <is>
          <t>b7-sohret-reklam</t>
        </is>
      </c>
      <c r="B1583" s="5" t="n">
        <v>2</v>
      </c>
      <c r="C1583" s="6" t="inlineStr">
        <is>
          <t>Cümleni tişörte, kupaya bas</t>
        </is>
      </c>
      <c r="D1583" s="5" t="inlineStr">
        <is>
          <t>Sosyal Radar</t>
        </is>
      </c>
      <c r="E1583" s="5" t="inlineStr">
        <is>
          <t>Orta</t>
        </is>
      </c>
      <c r="F1583" s="5" t="inlineStr"/>
      <c r="G1583" s="6" t="inlineStr"/>
      <c r="H1583" s="6" t="inlineStr">
        <is>
          <t>Cümleni tişörte, kupaya, anahtarlığa bastın. Mahallenin bakkalı bile satıyor; sana pay vermeden.</t>
        </is>
      </c>
      <c r="I1583" s="6" t="inlineStr">
        <is>
          <t>Cümlen okullarda söylenmeye başladı; öğretmenler yasakladı. Ertesi hafta tişörtler tükendi; yeğenin okula seninkini giydi, müdür odasına çağrıldı, gururla.</t>
        </is>
      </c>
      <c r="J1583" s="6" t="inlineStr">
        <is>
          <t>Kupalar geldi; cümlen yanlış basılmış. Kimse almadı. Evde çayı yanlış cümleden içiyorsun.</t>
        </is>
      </c>
      <c r="K1583" s="6" t="inlineStr">
        <is>
          <t>Cümlenin hakkını senden önce başkası almış. Kendi cümleni kullandığın için ondan ihtar yedin.</t>
        </is>
      </c>
      <c r="L1583" s="6" t="inlineStr"/>
      <c r="M1583" s="5" t="inlineStr"/>
      <c r="N1583" s="5" t="inlineStr"/>
      <c r="O1583" s="6" t="inlineStr"/>
      <c r="P1583" s="6" t="inlineStr"/>
      <c r="Q1583" s="5" t="inlineStr"/>
      <c r="R1583" s="5" t="inlineStr"/>
      <c r="S1583" s="5" t="inlineStr"/>
      <c r="T1583" s="5" t="inlineStr"/>
      <c r="U1583" s="5" t="inlineStr"/>
      <c r="V1583" s="5" t="inlineStr">
        <is>
          <t>fenomen</t>
        </is>
      </c>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c r="AI1583" s="5" t="inlineStr"/>
      <c r="AJ1583" s="5" t="inlineStr"/>
    </row>
    <row r="1584">
      <c r="A1584" s="5" t="inlineStr">
        <is>
          <t>b7-sohret-reklam</t>
        </is>
      </c>
      <c r="B1584" s="5" t="n">
        <v>3</v>
      </c>
      <c r="C1584" s="6" t="inlineStr">
        <is>
          <t>Reklamda senaryoyu bırak, doğaçla</t>
        </is>
      </c>
      <c r="D1584" s="5" t="inlineStr">
        <is>
          <t>Pişkinlik</t>
        </is>
      </c>
      <c r="E1584" s="5" t="inlineStr">
        <is>
          <t>Zor</t>
        </is>
      </c>
      <c r="F1584" s="5" t="inlineStr"/>
      <c r="G1584" s="6" t="inlineStr"/>
      <c r="H1584" s="6" t="inlineStr">
        <is>
          <t>Senaryoda “Mis gibi” yazıyordu; sen “Annem bile şaşırdı” dedin. Reklam tuttu. Annen hâlâ neye şaşırdığını soruyor.</t>
        </is>
      </c>
      <c r="I1584" s="6" t="inlineStr">
        <is>
          <t>Doğaçlaman reklam ödülü aldı. Firma yeni reklamların senaryosunu sana soruyor; deterjanını hâlâ markette parayla alıyorsun.</t>
        </is>
      </c>
      <c r="J1584" s="6" t="inlineStr">
        <is>
          <t>Doğaçlama kurguda kesildi. Reklamda yalnızca çamaşır makinesini açan elin var. El olarak iyi para.</t>
        </is>
      </c>
      <c r="K1584" s="6" t="inlineStr">
        <is>
          <t>Doğaçlarken rakip firmanın adını andın. Reklam yayından kalktı; sen de sözleşmeden.</t>
        </is>
      </c>
      <c r="L1584" s="6" t="inlineStr"/>
      <c r="M1584" s="5" t="inlineStr"/>
      <c r="N1584" s="5" t="inlineStr"/>
      <c r="O1584" s="6" t="inlineStr"/>
      <c r="P1584" s="6" t="inlineStr"/>
      <c r="Q1584" s="5" t="inlineStr"/>
      <c r="R1584" s="5" t="inlineStr"/>
      <c r="S1584" s="5" t="inlineStr"/>
      <c r="T1584" s="5" t="inlineStr">
        <is>
          <t>Sahne Sever</t>
        </is>
      </c>
      <c r="U1584" s="5" t="inlineStr"/>
      <c r="V1584" s="5" t="inlineStr">
        <is>
          <t>sohret-reklam-yuzu</t>
        </is>
      </c>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c r="AI1584" s="5" t="inlineStr"/>
      <c r="AJ1584" s="5" t="inlineStr"/>
    </row>
    <row r="1585">
      <c r="A1585" s="5" t="inlineStr">
        <is>
          <t>b7-sohret-taninma</t>
        </is>
      </c>
      <c r="B1585" s="5" t="n">
        <v>1</v>
      </c>
      <c r="C1585" s="6" t="inlineStr">
        <is>
          <t>“Bankadaki arkadaşıyım” de, geç</t>
        </is>
      </c>
      <c r="D1585" s="5" t="inlineStr"/>
      <c r="E1585" s="5" t="inlineStr"/>
      <c r="F1585" s="5" t="inlineStr">
        <is>
          <t>Kurnazlık +1, Dayanıklılık +1</t>
        </is>
      </c>
      <c r="G1585" s="6" t="inlineStr">
        <is>
          <t>Teyze memnun oldu, sıra ilerledi. Ertesi hafta damadı bankada seni sormuş. Artık bir bankada bir arkadaşın var.</t>
        </is>
      </c>
      <c r="H1585" s="6" t="inlineStr"/>
      <c r="I1585" s="6" t="inlineStr"/>
      <c r="J1585" s="6" t="inlineStr"/>
      <c r="K1585" s="6" t="inlineStr"/>
      <c r="L1585" s="6" t="inlineStr"/>
      <c r="M1585" s="5" t="inlineStr"/>
      <c r="N1585" s="5" t="inlineStr"/>
      <c r="O1585" s="6" t="inlineStr"/>
      <c r="P1585" s="6" t="inlineStr"/>
      <c r="Q1585" s="5" t="inlineStr"/>
      <c r="R1585" s="5" t="inlineStr"/>
      <c r="S1585" s="5" t="inlineStr"/>
      <c r="T1585" s="5" t="inlineStr"/>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c r="AI1585" s="5" t="inlineStr"/>
      <c r="AJ1585" s="5" t="inlineStr"/>
    </row>
    <row r="1586">
      <c r="A1586" s="5" t="inlineStr">
        <is>
          <t>b7-sohret-taninma</t>
        </is>
      </c>
      <c r="B1586" s="5" t="n">
        <v>2</v>
      </c>
      <c r="C1586" s="6" t="inlineStr">
        <is>
          <t>Dizideki repliğini orada söyle</t>
        </is>
      </c>
      <c r="D1586" s="5" t="inlineStr">
        <is>
          <t>Pişkinlik</t>
        </is>
      </c>
      <c r="E1586" s="5" t="inlineStr">
        <is>
          <t>Orta</t>
        </is>
      </c>
      <c r="F1586" s="5" t="inlineStr"/>
      <c r="G1586" s="6" t="inlineStr"/>
      <c r="H1586" s="6" t="inlineStr">
        <is>
          <t>Repliği söyledin; kasiyer de tanıdı, sıra alkışladı. Teyze fotoğraf çekti, damadına gönderdi.</t>
        </is>
      </c>
      <c r="I1586" s="6" t="inlineStr">
        <is>
          <t>Market müdürü anonsla seni kasaya çağırdı, alışverişin hediye oldu. Karşılığında raflar arasında on fotoğraf verdin.</t>
        </is>
      </c>
      <c r="J1586" s="6" t="inlineStr">
        <is>
          <t>Repliği söyledin; teyze “Yok, o değil” dedi. Kasiyer “Ben biliyorum, siz bankadakisiniz” dedi. Poşetlerini aldın, bankacı olarak çıktın.</t>
        </is>
      </c>
      <c r="K1586" s="6" t="inlineStr">
        <is>
          <t>Teyze seni başka dizideki kötü karakter sandı: “O garibanı evden kovan sen değil misin?” Sırada kendini savundun; kasiyer de teyzeden yana çıktı. Ekmeği almadan çıktın.</t>
        </is>
      </c>
      <c r="L1586" s="6" t="inlineStr"/>
      <c r="M1586" s="5" t="inlineStr"/>
      <c r="N1586" s="5" t="inlineStr"/>
      <c r="O1586" s="6" t="inlineStr"/>
      <c r="P1586" s="6" t="inlineStr"/>
      <c r="Q1586" s="5" t="inlineStr"/>
      <c r="R1586" s="5" t="inlineStr"/>
      <c r="S1586" s="5" t="inlineStr"/>
      <c r="T1586" s="5" t="inlineStr"/>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c r="AI1586" s="5" t="inlineStr"/>
      <c r="AJ1586" s="5" t="inlineStr"/>
    </row>
    <row r="1587">
      <c r="A1587" s="5" t="inlineStr">
        <is>
          <t>b7-sohret-taninma</t>
        </is>
      </c>
      <c r="B1587" s="5" t="n">
        <v>3</v>
      </c>
      <c r="C1587" s="6" t="inlineStr">
        <is>
          <t>Sırayı imza dağıtarak hızlandır</t>
        </is>
      </c>
      <c r="D1587" s="5" t="inlineStr">
        <is>
          <t>Sosyal Radar</t>
        </is>
      </c>
      <c r="E1587" s="5" t="inlineStr">
        <is>
          <t>Orta</t>
        </is>
      </c>
      <c r="F1587" s="5" t="inlineStr"/>
      <c r="G1587" s="6" t="inlineStr"/>
      <c r="H1587" s="6" t="inlineStr">
        <is>
          <t>Fişlerin arkasını imzaladın. Sıra hızlandı, herkes mutlu. Kasiyer imzalı fişi vitrine astı.</t>
        </is>
      </c>
      <c r="I1587" s="6" t="inlineStr">
        <is>
          <t>İmza dağıtırken kasiyerin de oyuncu olmak istediğini öğrendin, yapımcıya önerdin. Seçildi. Mahallenin ikinci ünlüsü senin keşfin.</t>
        </is>
      </c>
      <c r="J1587" s="6" t="inlineStr">
        <is>
          <t>Bir amca imzayı fişin önüne attırdı; fiş geçersiz oldu. İade kuyruğu senden sorumlu.</t>
        </is>
      </c>
      <c r="K1587" s="6" t="inlineStr">
        <is>
          <t>Kalemin mürekkebi patladı, teyzenin paltosu lekelendi. Deterjan reklamlarındaki gibi çıkmadı.</t>
        </is>
      </c>
      <c r="L1587" s="6" t="inlineStr"/>
      <c r="M1587" s="5" t="inlineStr"/>
      <c r="N1587" s="5" t="inlineStr"/>
      <c r="O1587" s="6" t="inlineStr"/>
      <c r="P1587" s="6" t="inlineStr"/>
      <c r="Q1587" s="5" t="inlineStr"/>
      <c r="R1587" s="5" t="inlineStr"/>
      <c r="S1587" s="5" t="inlineStr"/>
      <c r="T1587" s="5" t="inlineStr"/>
      <c r="U1587" s="5" t="inlineStr"/>
      <c r="V1587" s="5" t="inlineStr"/>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c r="AI1587" s="5" t="inlineStr"/>
      <c r="AJ1587" s="5" t="inlineStr"/>
    </row>
    <row r="1588">
      <c r="A1588" s="5" t="inlineStr">
        <is>
          <t>b7-sohret-taninma</t>
        </is>
      </c>
      <c r="B1588" s="5" t="n">
        <v>4</v>
      </c>
      <c r="C1588" s="6" t="inlineStr">
        <is>
          <t>Canlı yayın aç, kasa sırasını yayına al</t>
        </is>
      </c>
      <c r="D1588" s="5" t="inlineStr">
        <is>
          <t>Pişkinlik</t>
        </is>
      </c>
      <c r="E1588" s="5" t="inlineStr">
        <is>
          <t>Zor</t>
        </is>
      </c>
      <c r="F1588" s="5" t="inlineStr"/>
      <c r="G1588" s="6" t="inlineStr"/>
      <c r="H1588" s="6" t="inlineStr">
        <is>
          <t>Kırk bin kişi kasa sırasını canlı izledi. Teyze yorumlarda tanındı; damadı da kendini gösterdi.</t>
        </is>
      </c>
      <c r="I1588" s="6" t="inlineStr">
        <is>
          <t>Yayın o kadar izlendi ki market zinciri seni “kasa sırası elçisi” yaptı. Sıra artık senin için bekliyor.</t>
        </is>
      </c>
      <c r="J1588" s="6" t="inlineStr">
        <is>
          <t>Yayını açtın; marketin interneti çekmedi. Ekranda dönen bir daire, sırada tek başına telefona konuşan sen. Teyze kasiyere eğildi: “Dizide değil bu, belli.”</t>
        </is>
      </c>
      <c r="K1588" s="6" t="inlineStr">
        <is>
          <t>Yayında teyze sana hayat dersi verdi; yorumlar onu tuttu. Teyzenin artık senden çok takipçisi var.</t>
        </is>
      </c>
      <c r="L1588" s="6" t="inlineStr"/>
      <c r="M1588" s="5" t="inlineStr"/>
      <c r="N1588" s="5" t="inlineStr"/>
      <c r="O1588" s="6" t="inlineStr"/>
      <c r="P1588" s="6" t="inlineStr"/>
      <c r="Q1588" s="5" t="inlineStr"/>
      <c r="R1588" s="5" t="inlineStr">
        <is>
          <t>fenomen</t>
        </is>
      </c>
      <c r="S1588" s="5" t="inlineStr"/>
      <c r="T1588" s="5" t="inlineStr">
        <is>
          <t>Odayı Okur</t>
        </is>
      </c>
      <c r="U1588" s="5" t="inlineStr"/>
      <c r="V1588" s="5" t="inlineStr"/>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c r="AI1588" s="5" t="inlineStr"/>
      <c r="AJ1588" s="5" t="inlineStr"/>
    </row>
    <row r="1589">
      <c r="A1589" s="5" t="inlineStr">
        <is>
          <t>b8-sohret-kapak</t>
        </is>
      </c>
      <c r="B1589" s="5" t="n">
        <v>1</v>
      </c>
      <c r="C1589" s="6" t="inlineStr">
        <is>
          <t>Başlığı editöre bırak</t>
        </is>
      </c>
      <c r="D1589" s="5" t="inlineStr"/>
      <c r="E1589" s="5" t="inlineStr"/>
      <c r="F1589" s="5" t="inlineStr">
        <is>
          <t>Dayanıklılık +1</t>
        </is>
      </c>
      <c r="G1589" s="6" t="inlineStr">
        <is>
          <t>Başlık çıktı: “Hiç bu kadar samimi olmamıştı.” Röportajda üç cümle kurdun; ikisi senin değil.</t>
        </is>
      </c>
      <c r="H1589" s="6" t="inlineStr"/>
      <c r="I1589" s="6" t="inlineStr"/>
      <c r="J1589" s="6" t="inlineStr"/>
      <c r="K1589" s="6" t="inlineStr"/>
      <c r="L1589" s="6" t="inlineStr"/>
      <c r="M1589" s="5" t="inlineStr"/>
      <c r="N1589" s="5" t="inlineStr"/>
      <c r="O1589" s="6" t="inlineStr"/>
      <c r="P1589" s="6" t="inlineStr"/>
      <c r="Q1589" s="5" t="inlineStr"/>
      <c r="R1589" s="5" t="inlineStr"/>
      <c r="S1589" s="5" t="inlineStr"/>
      <c r="T1589" s="5" t="inlineStr"/>
      <c r="U1589" s="5" t="inlineStr">
        <is>
          <t>sohret-kapak-oldu</t>
        </is>
      </c>
      <c r="V1589" s="5" t="inlineStr"/>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c r="AI1589" s="5" t="inlineStr"/>
      <c r="AJ1589" s="5" t="inlineStr"/>
    </row>
    <row r="1590">
      <c r="A1590" s="5" t="inlineStr">
        <is>
          <t>b8-sohret-kapak</t>
        </is>
      </c>
      <c r="B1590" s="5" t="n">
        <v>2</v>
      </c>
      <c r="C1590" s="6" t="inlineStr">
        <is>
          <t>Röportajda itiraf gibi bir şey söyle</t>
        </is>
      </c>
      <c r="D1590" s="5" t="inlineStr">
        <is>
          <t>Pişkinlik</t>
        </is>
      </c>
      <c r="E1590" s="5" t="inlineStr">
        <is>
          <t>Orta</t>
        </is>
      </c>
      <c r="F1590" s="5" t="inlineStr"/>
      <c r="G1590" s="6" t="inlineStr"/>
      <c r="H1590" s="6" t="inlineStr">
        <is>
          <t>“Aslında çok utangacım” dedin. Başlık bu oldu. Dergi tükendi; utangaçlığın kırk bin nüsha sattı.</t>
        </is>
      </c>
      <c r="I1590" s="6" t="inlineStr">
        <is>
          <t>İtirafın o kadar konuşuldu ki bütün akşam programları seni istedi. Utangaçlık turuna çıktın, her kanalda.</t>
        </is>
      </c>
      <c r="J1590" s="6" t="inlineStr">
        <is>
          <t>İtiraf gibi bir şey söyledin ama editör anlamadı. Başlık: “Yeni projeler yolda.” Yolda olan yok.</t>
        </is>
      </c>
      <c r="K1590" s="6" t="inlineStr">
        <is>
          <t>İtiraf diye çocukken komşunun erik ağacına tırmandığını anlattın. Komşu teyze dergiyi okudu, mahalleye gösterdi, sonra aradı: “Otuz beş yıldır kim yaptı diye merak ediyordum. Eriklerimi faiziyle isterim.”</t>
        </is>
      </c>
      <c r="L1590" s="6" t="inlineStr"/>
      <c r="M1590" s="5" t="inlineStr"/>
      <c r="N1590" s="5" t="inlineStr"/>
      <c r="O1590" s="6" t="inlineStr"/>
      <c r="P1590" s="6" t="inlineStr"/>
      <c r="Q1590" s="5" t="inlineStr"/>
      <c r="R1590" s="5" t="inlineStr"/>
      <c r="S1590" s="5" t="inlineStr"/>
      <c r="T1590" s="5" t="inlineStr"/>
      <c r="U1590" s="5" t="inlineStr"/>
      <c r="V1590" s="5" t="inlineStr">
        <is>
          <t>sohret-kapak-oldu</t>
        </is>
      </c>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c r="AI1590" s="5" t="inlineStr">
        <is>
          <t>Erik Hırsızı</t>
        </is>
      </c>
      <c r="AJ1590" s="5" t="inlineStr"/>
    </row>
    <row r="1591">
      <c r="A1591" s="5" t="inlineStr">
        <is>
          <t>b8-sohret-kapak</t>
        </is>
      </c>
      <c r="B1591" s="5" t="n">
        <v>3</v>
      </c>
      <c r="C1591" s="6" t="inlineStr">
        <is>
          <t>Fotoğrafçıya doğal pozu sen göster</t>
        </is>
      </c>
      <c r="D1591" s="5" t="inlineStr">
        <is>
          <t>Sosyal Radar</t>
        </is>
      </c>
      <c r="E1591" s="5" t="inlineStr">
        <is>
          <t>Zor</t>
        </is>
      </c>
      <c r="F1591" s="5" t="inlineStr"/>
      <c r="G1591" s="6" t="inlineStr"/>
      <c r="H1591" s="6" t="inlineStr">
        <is>
          <t>Ceketlerin ikisini çıkardın, balkonda çay içerken çekildin. Kapak “yılın en doğal kapağı” seçildi; çay soğudu.</t>
        </is>
      </c>
      <c r="I1591" s="6" t="inlineStr">
        <is>
          <t>Balkon fotoğrafı öyle sevildi ki ceketin markası sana teşekkür yazdı; o ceketi giymemişken. Stilist küs.</t>
        </is>
      </c>
      <c r="J1591" s="6" t="inlineStr">
        <is>
          <t>Pozu gösterdin; fotoğrafçı “Bu doğal değil, yorgun” dedi. Üç ceketle çekildin; kapakta terlisin.</t>
        </is>
      </c>
      <c r="K1591" s="6" t="inlineStr">
        <is>
          <t>Doğal olmak için ceketlerin üçünü de çıkardın; kapağa evde giydiğin delik tişörtle çıktın. Annen dergileri topluyor, komşular buluyor.</t>
        </is>
      </c>
      <c r="L1591" s="6" t="inlineStr"/>
      <c r="M1591" s="5" t="inlineStr"/>
      <c r="N1591" s="5" t="inlineStr"/>
      <c r="O1591" s="6" t="inlineStr"/>
      <c r="P1591" s="6" t="inlineStr"/>
      <c r="Q1591" s="5" t="inlineStr"/>
      <c r="R1591" s="5" t="inlineStr"/>
      <c r="S1591" s="5" t="inlineStr"/>
      <c r="T1591" s="5" t="inlineStr">
        <is>
          <t>Odayı Okur</t>
        </is>
      </c>
      <c r="U1591" s="5" t="inlineStr"/>
      <c r="V1591" s="5" t="inlineStr">
        <is>
          <t>sohret-kapak-oldu</t>
        </is>
      </c>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c r="AI1591" s="5" t="inlineStr"/>
      <c r="AJ1591" s="5" t="inlineStr"/>
    </row>
    <row r="1592">
      <c r="A1592" s="5" t="inlineStr">
        <is>
          <t>b8-sohret-program</t>
        </is>
      </c>
      <c r="B1592" s="5" t="n">
        <v>1</v>
      </c>
      <c r="C1592" s="6" t="inlineStr">
        <is>
          <t>İlk konuk olarak anneni çağır</t>
        </is>
      </c>
      <c r="D1592" s="5" t="inlineStr"/>
      <c r="E1592" s="5" t="inlineStr"/>
      <c r="F1592" s="5" t="inlineStr">
        <is>
          <t>Sosyal Radar +1, Gönül +1</t>
        </is>
      </c>
      <c r="G1592" s="6" t="inlineStr">
        <is>
          <t>Annen stüdyoya börekle geldi, çocukluğunu anlattı. Reyting iyi; ikinci bölüme de o gelmek istiyor, börekle.</t>
        </is>
      </c>
      <c r="H1592" s="6" t="inlineStr"/>
      <c r="I1592" s="6" t="inlineStr"/>
      <c r="J1592" s="6" t="inlineStr"/>
      <c r="K1592" s="6" t="inlineStr"/>
      <c r="L1592" s="6" t="inlineStr"/>
      <c r="M1592" s="5" t="inlineStr"/>
      <c r="N1592" s="5" t="inlineStr"/>
      <c r="O1592" s="6" t="inlineStr"/>
      <c r="P1592" s="6" t="inlineStr"/>
      <c r="Q1592" s="5" t="inlineStr"/>
      <c r="R1592" s="5" t="inlineStr"/>
      <c r="S1592" s="5" t="inlineStr"/>
      <c r="T1592" s="5" t="inlineStr"/>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c r="AI1592" s="5" t="inlineStr"/>
      <c r="AJ1592" s="5" t="inlineStr"/>
    </row>
    <row r="1593">
      <c r="A1593" s="5" t="inlineStr">
        <is>
          <t>b8-sohret-program</t>
        </is>
      </c>
      <c r="B1593" s="5" t="n">
        <v>2</v>
      </c>
      <c r="C1593" s="6" t="inlineStr">
        <is>
          <t>Konuğu sert sorularla sıkıştır</t>
        </is>
      </c>
      <c r="D1593" s="5" t="inlineStr">
        <is>
          <t>Cesaret</t>
        </is>
      </c>
      <c r="E1593" s="5" t="inlineStr">
        <is>
          <t>Orta</t>
        </is>
      </c>
      <c r="F1593" s="5" t="inlineStr"/>
      <c r="G1593" s="6" t="inlineStr"/>
      <c r="H1593" s="6" t="inlineStr">
        <is>
          <t>Konuğun ter döktü, reyting yükseldi. Programın adı “Sıcak Koltuk” oldu; koltuk gerçekten ısınıyor.</t>
        </is>
      </c>
      <c r="I1593" s="6" t="inlineStr">
        <is>
          <t>Sert sorun ertesi gün bütün sabah programlarında konuşuldu. Kanal seni hafta sonuna da istiyor; hafta sonun gidiyor.</t>
        </is>
      </c>
      <c r="J1593" s="6" t="inlineStr">
        <is>
          <t>Sert soruyu sordun; konuk güldü, cevap vermedi. Kalan yarım saati sehpadaki suyu yudumlayarak doldurdun.</t>
        </is>
      </c>
      <c r="K1593" s="6" t="inlineStr">
        <is>
          <t>Sert soruyu sordun; konuk canlı yayında ağlamaya başladı. Peçeteyi ona sen uzattın, kamera da seni çekti. Yayın bitmeden annen aradı: “Ayıp ettin.”</t>
        </is>
      </c>
      <c r="L1593" s="6" t="inlineStr"/>
      <c r="M1593" s="5" t="inlineStr"/>
      <c r="N1593" s="5" t="inlineStr"/>
      <c r="O1593" s="6" t="inlineStr"/>
      <c r="P1593" s="6" t="inlineStr"/>
      <c r="Q1593" s="5" t="inlineStr"/>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c r="AI1593" s="5" t="inlineStr"/>
      <c r="AJ1593" s="5" t="inlineStr"/>
    </row>
    <row r="1594">
      <c r="A1594" s="5" t="inlineStr">
        <is>
          <t>b8-sohret-program</t>
        </is>
      </c>
      <c r="B1594" s="5" t="n">
        <v>3</v>
      </c>
      <c r="C1594" s="6" t="inlineStr">
        <is>
          <t>Programı kendi hikâyenle aç</t>
        </is>
      </c>
      <c r="D1594" s="5" t="inlineStr">
        <is>
          <t>Pişkinlik</t>
        </is>
      </c>
      <c r="E1594" s="5" t="inlineStr">
        <is>
          <t>Zor</t>
        </is>
      </c>
      <c r="F1594" s="5" t="inlineStr"/>
      <c r="G1594" s="6" t="inlineStr"/>
      <c r="H1594" s="6" t="inlineStr">
        <is>
          <t>Hayatını on dakikada anlattın; stüdyo sustu, sonra alkışladı. Program tuttu. Sahte kütüphaneye gerçek kitaplar geldi.</t>
        </is>
      </c>
      <c r="I1594" s="6" t="inlineStr">
        <is>
          <t>İlk bölümden sonra sokakta insanlar seni durdurup dert anlatmaya başladı: bakkal veresiye defterini, komşu kayınvalidesini. Kanal ikinci sezonun adını koydu: “Bir Derdim Var.”</t>
        </is>
      </c>
      <c r="J1594" s="6" t="inlineStr">
        <is>
          <t>Hikâyeni anlattın; reji tam o sırada reklama girdi. İzleyici sonunu bilmiyor, sen de artık hatırlamıyorsun.</t>
        </is>
      </c>
      <c r="K1594" s="6" t="inlineStr">
        <is>
          <t>Anlatırken sahte kütüphaneye yaslandın; kütüphane devrildi, kitapların hepsi kartonmuş. Kamera hepsini çekti. Program o günden beri jenerikte bu anla açılıyor.</t>
        </is>
      </c>
      <c r="L1594" s="6" t="inlineStr"/>
      <c r="M1594" s="5" t="inlineStr"/>
      <c r="N1594" s="5" t="inlineStr"/>
      <c r="O1594" s="6" t="inlineStr"/>
      <c r="P1594" s="6" t="inlineStr"/>
      <c r="Q1594" s="5" t="inlineStr"/>
      <c r="R1594" s="5" t="inlineStr"/>
      <c r="S1594" s="5" t="inlineStr"/>
      <c r="T1594" s="5" t="inlineStr">
        <is>
          <t>Son Sözü Söyler</t>
        </is>
      </c>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c r="AI1594" s="5" t="inlineStr"/>
      <c r="AJ1594" s="5" t="inlineStr"/>
    </row>
    <row r="1595">
      <c r="A1595" s="5" t="inlineStr">
        <is>
          <t>b8-sohret-program</t>
        </is>
      </c>
      <c r="B1595" s="5" t="n">
        <v>4</v>
      </c>
      <c r="C1595" s="6" t="inlineStr">
        <is>
          <t>Seyirciyle şarkı söyleyerek aç</t>
        </is>
      </c>
      <c r="D1595" s="5" t="inlineStr">
        <is>
          <t>Sosyal Radar</t>
        </is>
      </c>
      <c r="E1595" s="5" t="inlineStr">
        <is>
          <t>Orta</t>
        </is>
      </c>
      <c r="F1595" s="5" t="inlineStr"/>
      <c r="G1595" s="6" t="inlineStr"/>
      <c r="H1595" s="6" t="inlineStr">
        <is>
          <t>Açılışta seyirciyle şarkı söyledin. Program müzikli sohbete döndü; konuklar gelmeden önce ses açıyor.</t>
        </is>
      </c>
      <c r="I1595" s="6" t="inlineStr">
        <is>
          <t>Açılış şarkın o kadar sevildi ki düğünlerde çalınıyor. Düğünlere davet ediliyorsun; gelinle damat seni tanımıyor.</t>
        </is>
      </c>
      <c r="J1595" s="6" t="inlineStr">
        <is>
          <t>Seyirci şarkıyı bilmiyordu; tek başına söyledin. Reji sesini kıstı, alkış da kısık geldi.</t>
        </is>
      </c>
      <c r="K1595" s="6" t="inlineStr">
        <is>
          <t>Şarkıya yanlış tondan girdin; orkestra nezaketen seni takip etti, seyirci etmedi. Ertesi hafta orkestra gelmedi; program o günden beri yalnızca senin sesinle açılıyor.</t>
        </is>
      </c>
      <c r="L1595" s="6" t="inlineStr"/>
      <c r="M1595" s="5" t="inlineStr"/>
      <c r="N1595" s="5" t="inlineStr"/>
      <c r="O1595" s="6" t="inlineStr"/>
      <c r="P1595" s="6" t="inlineStr"/>
      <c r="Q1595" s="5" t="inlineStr">
        <is>
          <t>Sahne Sever</t>
        </is>
      </c>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inlineStr"/>
      <c r="AG1595" s="5" t="inlineStr"/>
      <c r="AH1595" s="5" t="inlineStr"/>
      <c r="AI1595" s="5" t="inlineStr"/>
      <c r="AJ1595" s="5" t="inlineStr"/>
    </row>
    <row r="1596">
      <c r="A1596" s="5" t="inlineStr">
        <is>
          <t>b9-sohret-juri</t>
        </is>
      </c>
      <c r="B1596" s="5" t="n">
        <v>1</v>
      </c>
      <c r="C1596" s="6" t="inlineStr">
        <is>
          <t>Nazikçe düzelt, puanını ver</t>
        </is>
      </c>
      <c r="D1596" s="5" t="inlineStr"/>
      <c r="E1596" s="5" t="inlineStr"/>
      <c r="F1596" s="5" t="inlineStr">
        <is>
          <t>İtibar +1, Akıl +1</t>
        </is>
      </c>
      <c r="G1596" s="6" t="inlineStr">
        <is>
          <t>Repliği düzelttin; yarışmacı teşekkür etti, yine yanlış okudu. Puanını verdin. Yirmi beş yıl önce seni de kimse düzeltmemişti.</t>
        </is>
      </c>
      <c r="H1596" s="6" t="inlineStr"/>
      <c r="I1596" s="6" t="inlineStr"/>
      <c r="J1596" s="6" t="inlineStr"/>
      <c r="K1596" s="6" t="inlineStr"/>
      <c r="L1596" s="6" t="inlineStr"/>
      <c r="M1596" s="5" t="inlineStr"/>
      <c r="N1596" s="5" t="inlineStr"/>
      <c r="O1596" s="6" t="inlineStr"/>
      <c r="P1596" s="6" t="inlineStr"/>
      <c r="Q1596" s="5" t="inlineStr"/>
      <c r="R1596" s="5" t="inlineStr"/>
      <c r="S1596" s="5" t="inlineStr"/>
      <c r="T1596" s="5" t="inlineStr"/>
      <c r="U1596" s="5" t="inlineStr"/>
      <c r="V1596" s="5" t="inlineStr"/>
      <c r="W1596" s="5" t="inlineStr"/>
      <c r="X1596" s="5" t="inlineStr"/>
      <c r="Y1596" s="5" t="inlineStr"/>
      <c r="Z1596" s="6" t="inlineStr"/>
      <c r="AA1596" s="5" t="inlineStr"/>
      <c r="AB1596" s="5" t="inlineStr"/>
      <c r="AC1596" s="5" t="inlineStr"/>
      <c r="AD1596" s="5" t="inlineStr"/>
      <c r="AE1596" s="5" t="inlineStr"/>
      <c r="AF1596" s="5" t="inlineStr"/>
      <c r="AG1596" s="5" t="inlineStr"/>
      <c r="AH1596" s="5" t="inlineStr"/>
      <c r="AI1596" s="5" t="inlineStr"/>
      <c r="AJ1596" s="5" t="inlineStr"/>
    </row>
    <row r="1597">
      <c r="A1597" s="5" t="inlineStr">
        <is>
          <t>b9-sohret-juri</t>
        </is>
      </c>
      <c r="B1597" s="5" t="n">
        <v>2</v>
      </c>
      <c r="C1597" s="6" t="inlineStr">
        <is>
          <t>Sert jüri ol, masaya damga vur</t>
        </is>
      </c>
      <c r="D1597" s="5" t="inlineStr">
        <is>
          <t>Pişkinlik</t>
        </is>
      </c>
      <c r="E1597" s="5" t="inlineStr">
        <is>
          <t>Orta</t>
        </is>
      </c>
      <c r="F1597" s="5" t="inlineStr"/>
      <c r="G1597" s="6" t="inlineStr"/>
      <c r="H1597" s="6" t="inlineStr">
        <is>
          <t>“Bu replik senin değil, benim” dedin. Salon alkışladı. Program sana “Demir Jüri” dedi; mahallenin çocukları seni sokakta bu adla çağırıyor.</t>
        </is>
      </c>
      <c r="I1597" s="6" t="inlineStr">
        <is>
          <t>Sert yorumun kısa video uygulamasında milyonlarca izlendi. Gençler seni ilk kez tanıdı, eski dizini baştan izliyorlar.</t>
        </is>
      </c>
      <c r="J1597" s="6" t="inlineStr">
        <is>
          <t>Sert konuştun; yarışmacı ağladı, seyirci onu tuttu. Program seni “duygusuz jüri” diye tanıtmaya başladı.</t>
        </is>
      </c>
      <c r="K1597" s="6" t="inlineStr">
        <is>
          <t>Ayağa kalkarken mikrofon kablosuna takıldın, jüri masasını devirdin. Program o anı her bölümün jeneriğine koydu; mahallede çocuklar oyun oynarken masa devirip senin adını bağırıyor.</t>
        </is>
      </c>
      <c r="L1597" s="6" t="inlineStr"/>
      <c r="M1597" s="5" t="inlineStr"/>
      <c r="N1597" s="5" t="inlineStr"/>
      <c r="O1597" s="6" t="inlineStr"/>
      <c r="P1597" s="6" t="inlineStr"/>
      <c r="Q1597" s="5" t="inlineStr"/>
      <c r="R1597" s="5" t="inlineStr"/>
      <c r="S1597" s="5" t="inlineStr"/>
      <c r="T1597" s="5" t="inlineStr"/>
      <c r="U1597" s="5" t="inlineStr"/>
      <c r="V1597" s="5" t="inlineStr"/>
      <c r="W1597" s="5" t="inlineStr"/>
      <c r="X1597" s="5" t="inlineStr"/>
      <c r="Y1597" s="5" t="inlineStr"/>
      <c r="Z1597" s="6" t="inlineStr"/>
      <c r="AA1597" s="5" t="inlineStr"/>
      <c r="AB1597" s="5" t="inlineStr"/>
      <c r="AC1597" s="5" t="inlineStr"/>
      <c r="AD1597" s="5" t="inlineStr"/>
      <c r="AE1597" s="5" t="inlineStr"/>
      <c r="AF1597" s="5" t="inlineStr"/>
      <c r="AG1597" s="5" t="inlineStr"/>
      <c r="AH1597" s="5" t="inlineStr"/>
      <c r="AI1597" s="5" t="inlineStr"/>
      <c r="AJ1597" s="5" t="inlineStr"/>
    </row>
    <row r="1598">
      <c r="A1598" s="5" t="inlineStr">
        <is>
          <t>b9-sohret-juri</t>
        </is>
      </c>
      <c r="B1598" s="5" t="n">
        <v>3</v>
      </c>
      <c r="C1598" s="6" t="inlineStr">
        <is>
          <t>“Nerede O Eski Yıldızlar”da anılarını anlat</t>
        </is>
      </c>
      <c r="D1598" s="5" t="inlineStr">
        <is>
          <t>Sosyal Radar</t>
        </is>
      </c>
      <c r="E1598" s="5" t="inlineStr">
        <is>
          <t>Orta</t>
        </is>
      </c>
      <c r="F1598" s="5" t="inlineStr"/>
      <c r="G1598" s="6" t="inlineStr"/>
      <c r="H1598" s="6" t="inlineStr">
        <is>
          <t>Eski setleri anlattın; stüdyo kahkahaya boğuldu. Eski rol arkadaşların aradı, bir araya gelme planı yapılıyor.</t>
        </is>
      </c>
      <c r="I1598" s="6" t="inlineStr">
        <is>
          <t>Anıların öyle sevildi ki eski dizinin devamı çekilecek. Rolün aynı, bu sefer torunlu; yapımcı yine sandviç yiyor.</t>
        </is>
      </c>
      <c r="J1598" s="6" t="inlineStr">
        <is>
          <t>Anılarını anlattın; sunucu her cümlenin ortasında reklama girdi. Hiçbir anı bitmedi.</t>
        </is>
      </c>
      <c r="K1598" s="6" t="inlineStr">
        <is>
          <t>Anlattığın anı başka bir oyuncuya aitmiş; o da izliyormuş. Ertesi gün canlı bağlandı, düzeltti.</t>
        </is>
      </c>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c r="AI1598" s="5" t="inlineStr"/>
      <c r="AJ1598" s="5" t="inlineStr"/>
    </row>
    <row r="1599">
      <c r="A1599" s="5" t="inlineStr">
        <is>
          <t>b9-sohret-juri</t>
        </is>
      </c>
      <c r="B1599" s="5" t="n">
        <v>4</v>
      </c>
      <c r="C1599" s="6" t="inlineStr">
        <is>
          <t>Eski kapak fotoğrafını yeniden çektir</t>
        </is>
      </c>
      <c r="D1599" s="5" t="inlineStr">
        <is>
          <t>Pişkinlik</t>
        </is>
      </c>
      <c r="E1599" s="5" t="inlineStr">
        <is>
          <t>Zor</t>
        </is>
      </c>
      <c r="F1599" s="5" t="inlineStr"/>
      <c r="G1599" s="6" t="inlineStr"/>
      <c r="H1599" s="6" t="inlineStr">
        <is>
          <t>Yıllar önceki kapağının aynısını çektin. Dergi ikisini yan yana bastı; okurlar farkı değil, benzerliği konuştu.</t>
        </is>
      </c>
      <c r="I1599" s="6" t="inlineStr">
        <is>
          <t>Eski ve yeni kapak yan yana satışa çıktı; iki dergi birden tükendi. Editör üçüncüsü için tarih istiyor.</t>
        </is>
      </c>
      <c r="J1599" s="6" t="inlineStr">
        <is>
          <t>Aynı pozu verdin; fotoğrafçı “Tamam, şimdi rahat durun” dedi. Rahat durdun; o kare kullanıldı.</t>
        </is>
      </c>
      <c r="K1599" s="6" t="inlineStr">
        <is>
          <t>Aynı pozu verirken belin tuttu. Kapakta pozun yarısı çıktı; başlık: “Yepyeni bir duruş.”</t>
        </is>
      </c>
      <c r="L1599" s="6" t="inlineStr"/>
      <c r="M1599" s="5" t="inlineStr"/>
      <c r="N1599" s="5" t="inlineStr"/>
      <c r="O1599" s="6" t="inlineStr"/>
      <c r="P1599" s="6" t="inlineStr"/>
      <c r="Q1599" s="5" t="inlineStr"/>
      <c r="R1599" s="5" t="inlineStr">
        <is>
          <t>sohret-kapak-oldu</t>
        </is>
      </c>
      <c r="S1599" s="5" t="inlineStr"/>
      <c r="T1599" s="5" t="inlineStr">
        <is>
          <t>Kendine Gülebilir</t>
        </is>
      </c>
      <c r="U1599" s="5" t="inlineStr"/>
      <c r="V1599" s="5" t="inlineStr"/>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c r="AI1599" s="5" t="inlineStr"/>
      <c r="AJ1599" s="5" t="inlineStr"/>
    </row>
    <row r="1600">
      <c r="A1600" s="5" t="inlineStr">
        <is>
          <t>b7-girisim-garaj</t>
        </is>
      </c>
      <c r="B1600" s="5" t="n">
        <v>1</v>
      </c>
      <c r="C1600" s="6" t="inlineStr">
        <is>
          <t>Kuzene hisse ver, arabayı unutsun</t>
        </is>
      </c>
      <c r="D1600" s="5" t="inlineStr"/>
      <c r="E1600" s="5" t="inlineStr"/>
      <c r="F1600" s="5" t="inlineStr">
        <is>
          <t>Kurnazlık +1, Sosyal Radar +1</t>
        </is>
      </c>
      <c r="G1600" s="6" t="inlineStr">
        <is>
          <t>Kuzen yüzde beşi aldı, arabayı unuttu. Artık her bayram sofrasında seni “ortağım” diye tanıştırıyor.</t>
        </is>
      </c>
      <c r="H1600" s="6" t="inlineStr"/>
      <c r="I1600" s="6" t="inlineStr"/>
      <c r="J1600" s="6" t="inlineStr"/>
      <c r="K1600" s="6" t="inlineStr"/>
      <c r="L1600" s="6" t="inlineStr"/>
      <c r="M1600" s="5" t="inlineStr"/>
      <c r="N1600" s="5" t="inlineStr"/>
      <c r="O1600" s="6" t="inlineStr"/>
      <c r="P1600" s="6" t="inlineStr"/>
      <c r="Q1600" s="5" t="inlineStr"/>
      <c r="R1600" s="5" t="inlineStr"/>
      <c r="S1600" s="5" t="inlineStr"/>
      <c r="T1600" s="5" t="inlineStr"/>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c r="AI1600" s="5" t="inlineStr"/>
      <c r="AJ1600" s="5" t="inlineStr"/>
    </row>
    <row r="1601">
      <c r="A1601" s="5" t="inlineStr">
        <is>
          <t>b7-girisim-garaj</t>
        </is>
      </c>
      <c r="B1601" s="5" t="n">
        <v>2</v>
      </c>
      <c r="C1601" s="6" t="inlineStr">
        <is>
          <t>İlk müşteriyi kapı kapı bul</t>
        </is>
      </c>
      <c r="D1601" s="5" t="inlineStr">
        <is>
          <t>Cesaret</t>
        </is>
      </c>
      <c r="E1601" s="5" t="inlineStr">
        <is>
          <t>Orta</t>
        </is>
      </c>
      <c r="F1601" s="5" t="inlineStr"/>
      <c r="G1601" s="6" t="inlineStr"/>
      <c r="H1601" s="6" t="inlineStr">
        <is>
          <t>On dokuzuncu kapıda kırtasiyeci “Deneyelim” dedi. İlk müşterin oldu; ilk ödemeyi bir kutu kalemle yaptı. Faturaları hâlâ o kalemlerle yazıyorsun.</t>
        </is>
      </c>
      <c r="I1601" s="6" t="inlineStr">
        <is>
          <t>Kırtasiyeci ürünü bütün esnaf derneğine anlattı. Garajın önünde kuyruk var; baban arabayı çıkaramıyor.</t>
        </is>
      </c>
      <c r="J1601" s="6" t="inlineStr">
        <is>
          <t>Kırk kapı çaldın; otuz dokuzu “Biz kâğıtla idare ediyoruz” dedi, biri köpeğini gönderdi. Köpek sadece baktı.</t>
        </is>
      </c>
      <c r="K1601" s="6" t="inlineStr">
        <is>
          <t>Site yöneticisi seni seyyar satıcı sandı. Site grubunda fotoğrafın dolaşıyor: “Dikkat!”</t>
        </is>
      </c>
      <c r="L1601" s="6" t="inlineStr"/>
      <c r="M1601" s="5" t="inlineStr"/>
      <c r="N1601" s="5" t="inlineStr"/>
      <c r="O1601" s="6" t="inlineStr"/>
      <c r="P1601" s="6" t="inlineStr"/>
      <c r="Q1601" s="5" t="inlineStr"/>
      <c r="R1601" s="5" t="inlineStr"/>
      <c r="S1601" s="5" t="inlineStr"/>
      <c r="T1601" s="5" t="inlineStr"/>
      <c r="U1601" s="5" t="inlineStr"/>
      <c r="V1601" s="5" t="inlineStr">
        <is>
          <t>girisim-ilk-musteri</t>
        </is>
      </c>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c r="AI1601" s="5" t="inlineStr"/>
      <c r="AJ1601" s="5" t="inlineStr"/>
    </row>
    <row r="1602">
      <c r="A1602" s="5" t="inlineStr">
        <is>
          <t>b7-girisim-garaj</t>
        </is>
      </c>
      <c r="B1602" s="5" t="n">
        <v>3</v>
      </c>
      <c r="C1602" s="6" t="inlineStr">
        <is>
          <t>Buzdolabındaki sunucuyu hızlandır</t>
        </is>
      </c>
      <c r="D1602" s="5" t="inlineStr">
        <is>
          <t>Akıl</t>
        </is>
      </c>
      <c r="E1602" s="5" t="inlineStr">
        <is>
          <t>Zor</t>
        </is>
      </c>
      <c r="F1602" s="5" t="inlineStr"/>
      <c r="G1602" s="6" t="inlineStr"/>
      <c r="H1602" s="6" t="inlineStr">
        <is>
          <t>Sunucuyu soğusun diye buzdolabının içine aldın. Hız iki katına çıktı. Annenin dolmaları artık bulutta.</t>
        </is>
      </c>
      <c r="I1602" s="6" t="inlineStr">
        <is>
          <t>Buzdolabı sunucunu bir teknoloji dergisi yazdı. Garaja ziyaretçi akıyor; şirketin ürünü yok ama turistik yeri var.</t>
        </is>
      </c>
      <c r="J1602" s="6" t="inlineStr">
        <is>
          <t>Hızlandırırken buzdolabı buz çözme moduna girdi. Veriler kurtuldu, dondurmalar kurtulmadı.</t>
        </is>
      </c>
      <c r="K1602" s="6" t="inlineStr">
        <is>
          <t>Kabloları ters bağladın; sokağın elektriği gitti. Bütün mahalle kapı önünde garaja bakıyor.</t>
        </is>
      </c>
      <c r="L1602" s="6" t="inlineStr"/>
      <c r="M1602" s="5" t="inlineStr"/>
      <c r="N1602" s="5" t="inlineStr"/>
      <c r="O1602" s="6" t="inlineStr"/>
      <c r="P1602" s="6" t="inlineStr"/>
      <c r="Q1602" s="5" t="inlineStr"/>
      <c r="R1602" s="5" t="inlineStr"/>
      <c r="S1602" s="5" t="inlineStr"/>
      <c r="T1602" s="5" t="inlineStr">
        <is>
          <t>Ukala Ama Haklı</t>
        </is>
      </c>
      <c r="U1602" s="5" t="inlineStr"/>
      <c r="V1602" s="5" t="inlineStr"/>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c r="AI1602" s="5" t="inlineStr"/>
      <c r="AJ1602" s="5" t="inlineStr"/>
    </row>
    <row r="1603">
      <c r="A1603" s="5" t="inlineStr">
        <is>
          <t>b7-girisim-pivot</t>
        </is>
      </c>
      <c r="B1603" s="5" t="n">
        <v>1</v>
      </c>
      <c r="C1603" s="6" t="inlineStr">
        <is>
          <t>Dönme; ürünü daha iyi yap</t>
        </is>
      </c>
      <c r="D1603" s="5" t="inlineStr"/>
      <c r="E1603" s="5" t="inlineStr"/>
      <c r="F1603" s="5" t="inlineStr">
        <is>
          <t>İtibar +1, Dayanıklılık +1</t>
        </is>
      </c>
      <c r="G1603" s="6" t="inlineStr">
        <is>
          <t>Pivot yapmadın; üç ay gece yarısına kadar ürünü düzelttin. Yatırımcı toplantıda yine tek kelime söyledi: “İnat.” Müşteriler de tek kelime yazdı: “Düzelmiş.”</t>
        </is>
      </c>
      <c r="H1603" s="6" t="inlineStr"/>
      <c r="I1603" s="6" t="inlineStr"/>
      <c r="J1603" s="6" t="inlineStr"/>
      <c r="K1603" s="6" t="inlineStr"/>
      <c r="L1603" s="6" t="inlineStr"/>
      <c r="M1603" s="5" t="inlineStr"/>
      <c r="N1603" s="5" t="inlineStr"/>
      <c r="O1603" s="6" t="inlineStr"/>
      <c r="P1603" s="6" t="inlineStr"/>
      <c r="Q1603" s="5" t="inlineStr"/>
      <c r="R1603" s="5" t="inlineStr"/>
      <c r="S1603" s="5" t="inlineStr"/>
      <c r="T1603" s="5" t="inlineStr"/>
      <c r="U1603" s="5" t="inlineStr"/>
      <c r="V1603" s="5" t="inlineStr"/>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c r="AI1603" s="5" t="inlineStr"/>
      <c r="AJ1603" s="5" t="inlineStr"/>
    </row>
    <row r="1604">
      <c r="A1604" s="5" t="inlineStr">
        <is>
          <t>b7-girisim-pivot</t>
        </is>
      </c>
      <c r="B1604" s="5" t="n">
        <v>2</v>
      </c>
      <c r="C1604" s="6" t="inlineStr">
        <is>
          <t>Şirketi bir gecede yapay zekâ şirketi yap</t>
        </is>
      </c>
      <c r="D1604" s="5" t="inlineStr">
        <is>
          <t>Pişkinlik</t>
        </is>
      </c>
      <c r="E1604" s="5" t="inlineStr">
        <is>
          <t>Orta</t>
        </is>
      </c>
      <c r="F1604" s="5" t="inlineStr"/>
      <c r="G1604" s="6" t="inlineStr"/>
      <c r="H1604" s="6" t="inlineStr">
        <is>
          <t>Logoya bir yıldız, adına “Zekâ” ekledin. Ürün aynı, şirketin değeri üç katı. Kimse içini açıp bakmadı.</t>
        </is>
      </c>
      <c r="I1604" s="6" t="inlineStr">
        <is>
          <t>Ekosistem etkinliklerinde ana konuşmacı oldun. Yapay zekân hakkında konuşuyorsun; ürünü hâlâ kuzen elle çalıştırıyor.</t>
        </is>
      </c>
      <c r="J1604" s="6" t="inlineStr">
        <is>
          <t>Logoyu değiştirdin; yatırımcı ürünün aynı olduğunu fark etti. Yıldız logodan silindi, yatırımcı toplantıdan.</t>
        </is>
      </c>
      <c r="K1604" s="6" t="inlineStr">
        <is>
          <t>Sunumda “Yapay zekâmız şu an sizi dinliyor” dedin; ekrana kuzeninin kamerası düştü. Kuzen ağzında simit, klavyede hızlı hızlı cevap yazıyordu. Yatırımcı öne eğildi: “Bu modelin adı ne?” Kuzen ekrandan cevap verdi: “Ben.”</t>
        </is>
      </c>
      <c r="L1604" s="6" t="inlineStr"/>
      <c r="M1604" s="5" t="inlineStr"/>
      <c r="N1604" s="5" t="inlineStr"/>
      <c r="O1604" s="6" t="inlineStr"/>
      <c r="P1604" s="6" t="inlineStr"/>
      <c r="Q1604" s="5" t="inlineStr"/>
      <c r="R1604" s="5" t="inlineStr"/>
      <c r="S1604" s="5" t="inlineStr"/>
      <c r="T1604" s="5" t="inlineStr"/>
      <c r="U1604" s="5" t="inlineStr"/>
      <c r="V1604" s="5" t="inlineStr">
        <is>
          <t>girisim-pivotcu</t>
        </is>
      </c>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c r="AI1604" s="5" t="inlineStr"/>
      <c r="AJ1604" s="5" t="inlineStr"/>
    </row>
    <row r="1605">
      <c r="A1605" s="5" t="inlineStr">
        <is>
          <t>b7-girisim-pivot</t>
        </is>
      </c>
      <c r="B1605" s="5" t="n">
        <v>3</v>
      </c>
      <c r="C1605" s="6" t="inlineStr">
        <is>
          <t>Rakibin mühendislerini kendi tarafına çek</t>
        </is>
      </c>
      <c r="D1605" s="5" t="inlineStr">
        <is>
          <t>Cesaret</t>
        </is>
      </c>
      <c r="E1605" s="5" t="inlineStr">
        <is>
          <t>Orta</t>
        </is>
      </c>
      <c r="F1605" s="5" t="inlineStr"/>
      <c r="G1605" s="6" t="inlineStr"/>
      <c r="H1605" s="6" t="inlineStr">
        <is>
          <t>İki mühendisi kahveye çağırdın, üçüncü kahvede ikna ettin. Rakip bir hafta ürününü güncelleyemedi.</t>
        </is>
      </c>
      <c r="I1605" s="6" t="inlineStr">
        <is>
          <t>Rakibin bütün ekibi sana geçti; bir hafta sonra kurucusu da. Şimdi ürün müdürün; her toplantıda yapay zekâdan bahsediyor.</t>
        </is>
      </c>
      <c r="J1605" s="6" t="inlineStr">
        <is>
          <t>Mühendisler kahveyi içti, gelmedi. Hesabı sen ödedin: üç kahve, iki poğaça.</t>
        </is>
      </c>
      <c r="K1605" s="6" t="inlineStr">
        <is>
          <t>Mühendislere yüksek bir maaş teklif ettin. Gelmediler; ama rakamı senin ekibin duydu. Ertesi sabah bütün ekibin aynı maaşı istedi.</t>
        </is>
      </c>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c r="AI1605" s="5" t="inlineStr"/>
      <c r="AJ1605" s="5" t="inlineStr"/>
    </row>
    <row r="1606">
      <c r="A1606" s="5" t="inlineStr">
        <is>
          <t>b7-girisim-ekosistem</t>
        </is>
      </c>
      <c r="B1606" s="5" t="n">
        <v>1</v>
      </c>
      <c r="C1606" s="6" t="inlineStr">
        <is>
          <t>Dürüstçe “Şans” de</t>
        </is>
      </c>
      <c r="D1606" s="5" t="inlineStr"/>
      <c r="E1606" s="5" t="inlineStr"/>
      <c r="F1606" s="5" t="inlineStr">
        <is>
          <t>İtibar +1, Sosyal Radar +1</t>
        </is>
      </c>
      <c r="G1606" s="6" t="inlineStr">
        <is>
          <t>“Şans” dedin. Salon güldü, sonra not aldı. Ertesi hafta biri “şans odaklı büyüme” eğitimi satmaya başladı.</t>
        </is>
      </c>
      <c r="H1606" s="6" t="inlineStr"/>
      <c r="I1606" s="6" t="inlineStr"/>
      <c r="J1606" s="6" t="inlineStr"/>
      <c r="K1606" s="6" t="inlineStr"/>
      <c r="L1606" s="6" t="inlineStr"/>
      <c r="M1606" s="5" t="inlineStr"/>
      <c r="N1606" s="5" t="inlineStr"/>
      <c r="O1606" s="6" t="inlineStr"/>
      <c r="P1606" s="6" t="inlineStr"/>
      <c r="Q1606" s="5" t="inlineStr"/>
      <c r="R1606" s="5" t="inlineStr"/>
      <c r="S1606" s="5" t="inlineStr"/>
      <c r="T1606" s="5" t="inlineStr"/>
      <c r="U1606" s="5" t="inlineStr"/>
      <c r="V1606" s="5" t="inlineStr"/>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c r="AI1606" s="5" t="inlineStr"/>
      <c r="AJ1606" s="5" t="inlineStr"/>
    </row>
    <row r="1607">
      <c r="A1607" s="5" t="inlineStr">
        <is>
          <t>b7-girisim-ekosistem</t>
        </is>
      </c>
      <c r="B1607" s="5" t="n">
        <v>2</v>
      </c>
      <c r="C1607" s="6" t="inlineStr">
        <is>
          <t>Yöntemine bir ad koy, kitap sözü ver</t>
        </is>
      </c>
      <c r="D1607" s="5" t="inlineStr">
        <is>
          <t>Çene</t>
        </is>
      </c>
      <c r="E1607" s="5" t="inlineStr">
        <is>
          <t>Orta</t>
        </is>
      </c>
      <c r="F1607" s="5" t="inlineStr"/>
      <c r="G1607" s="6" t="inlineStr"/>
      <c r="H1607" s="6" t="inlineStr">
        <is>
          <t>“Garaj Metodu” dedin. Salon alkışladı, üç yayınevi aradı. Metodun içini henüz doldurmadın.</t>
        </is>
      </c>
      <c r="I1607" s="6" t="inlineStr">
        <is>
          <t>Garaj Metodu daha yazılmadan ön siparişte en çok satanlara girdi. Şimdi kitabı yazman lazım.</t>
        </is>
      </c>
      <c r="J1607" s="6" t="inlineStr">
        <is>
          <t>Yöntemine ad koydun; salondan biri aynı adla kurs verdiğini söyledi. Kartvizitini değil, kurs broşürünü dağıttı.</t>
        </is>
      </c>
      <c r="K1607" s="6" t="inlineStr">
        <is>
          <t>Anlatırken slaytlar karıştı; ekrana tatil fotoğrafların geldi, şişme simitle. Moderatör kurtarmaya çalıştı: “Demek ki sır dinlenmekmiş.” Ertesi gün buluşmadan paylaşılan tek fotoğraf o oldu.</t>
        </is>
      </c>
      <c r="L1607" s="6" t="inlineStr"/>
      <c r="M1607" s="5" t="inlineStr"/>
      <c r="N1607" s="5" t="inlineStr"/>
      <c r="O1607" s="6" t="inlineStr"/>
      <c r="P1607" s="6" t="inlineStr"/>
      <c r="Q1607" s="5" t="inlineStr"/>
      <c r="R1607" s="5" t="inlineStr"/>
      <c r="S1607" s="5" t="inlineStr"/>
      <c r="T1607" s="5" t="inlineStr"/>
      <c r="U1607" s="5" t="inlineStr"/>
      <c r="V1607" s="5" t="inlineStr"/>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c r="AI1607" s="5" t="inlineStr"/>
      <c r="AJ1607" s="5" t="inlineStr"/>
    </row>
    <row r="1608">
      <c r="A1608" s="5" t="inlineStr">
        <is>
          <t>b7-girisim-ekosistem</t>
        </is>
      </c>
      <c r="B1608" s="5" t="n">
        <v>3</v>
      </c>
      <c r="C1608" s="6" t="inlineStr">
        <is>
          <t>Mikrofonu bırakma, yeni fikrini sat</t>
        </is>
      </c>
      <c r="D1608" s="5" t="inlineStr">
        <is>
          <t>Cesaret</t>
        </is>
      </c>
      <c r="E1608" s="5" t="inlineStr">
        <is>
          <t>Zor</t>
        </is>
      </c>
      <c r="F1608" s="5" t="inlineStr"/>
      <c r="G1608" s="6" t="inlineStr"/>
      <c r="H1608" s="6" t="inlineStr">
        <is>
          <t>Mikrofonu bırakmadan yeni fikrini anlattın. Buluşma bitmeden iki yatırımcı seni kahveye çağırdı; hesabı onlar ödedi.</t>
        </is>
      </c>
      <c r="I1608" s="6" t="inlineStr">
        <is>
          <t>Bir yatırımcı ayağa kalkıp “Varım” dedi, diğerleri kaçırmamak için peşinden. Fikrin henüz bir cümle; değeri bir apartman.</t>
        </is>
      </c>
      <c r="J1608" s="6" t="inlineStr">
        <is>
          <t>Moderatör süre dolduğunu söyleyip mikrofonu aldı. Fikrin koridorda devam etti; koridor boştu.</t>
        </is>
      </c>
      <c r="K1608" s="6" t="inlineStr">
        <is>
          <t>Anlattığın fikir, ön sıradaki gencin geçen ay kurduğu şirketin ta kendisiymiş. Genç el kaldırıp teşekkür etti.</t>
        </is>
      </c>
      <c r="L1608" s="6" t="inlineStr"/>
      <c r="M1608" s="5" t="inlineStr"/>
      <c r="N1608" s="5" t="inlineStr"/>
      <c r="O1608" s="6" t="inlineStr"/>
      <c r="P1608" s="6" t="inlineStr"/>
      <c r="Q1608" s="5" t="inlineStr"/>
      <c r="R1608" s="5" t="inlineStr"/>
      <c r="S1608" s="5" t="inlineStr"/>
      <c r="T1608" s="5" t="inlineStr">
        <is>
          <t>Kendi Patronu</t>
        </is>
      </c>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is>
          <t>Cesaret 31</t>
        </is>
      </c>
      <c r="AI1608" s="5" t="inlineStr"/>
      <c r="AJ1608" s="5" t="inlineStr"/>
    </row>
    <row r="1609">
      <c r="A1609" s="5" t="inlineStr">
        <is>
          <t>b8-girisim-kurul</t>
        </is>
      </c>
      <c r="B1609" s="5" t="n">
        <v>1</v>
      </c>
      <c r="C1609" s="6" t="inlineStr">
        <is>
          <t>Masa tenisinde çalışanlarla tanış</t>
        </is>
      </c>
      <c r="D1609" s="5" t="inlineStr"/>
      <c r="E1609" s="5" t="inlineStr"/>
      <c r="F1609" s="5" t="inlineStr">
        <is>
          <t>Sosyal Radar +1</t>
        </is>
      </c>
      <c r="G1609" s="6" t="inlineStr">
        <is>
          <t>On ikisini yendin, yirmisine yenildin. Artık adlarını biliyorsun; onlar da senin servisini.</t>
        </is>
      </c>
      <c r="H1609" s="6" t="inlineStr"/>
      <c r="I1609" s="6" t="inlineStr"/>
      <c r="J1609" s="6" t="inlineStr"/>
      <c r="K1609" s="6" t="inlineStr"/>
      <c r="L1609" s="6" t="inlineStr"/>
      <c r="M1609" s="5" t="inlineStr"/>
      <c r="N1609" s="5" t="inlineStr"/>
      <c r="O1609" s="6" t="inlineStr"/>
      <c r="P1609" s="6" t="inlineStr"/>
      <c r="Q1609" s="5" t="inlineStr"/>
      <c r="R1609" s="5" t="inlineStr"/>
      <c r="S1609" s="5" t="inlineStr"/>
      <c r="T1609" s="5" t="inlineStr"/>
      <c r="U1609" s="5" t="inlineStr"/>
      <c r="V1609" s="5" t="inlineStr"/>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c r="AI1609" s="5" t="inlineStr"/>
      <c r="AJ1609" s="5" t="inlineStr"/>
    </row>
    <row r="1610">
      <c r="A1610" s="5" t="inlineStr">
        <is>
          <t>b8-girisim-kurul</t>
        </is>
      </c>
      <c r="B1610" s="5" t="n">
        <v>2</v>
      </c>
      <c r="C1610" s="6" t="inlineStr">
        <is>
          <t>Kurulda “tarihî” olmadığını kanıtla</t>
        </is>
      </c>
      <c r="D1610" s="5" t="inlineStr">
        <is>
          <t>Akıl</t>
        </is>
      </c>
      <c r="E1610" s="5" t="inlineStr">
        <is>
          <t>Orta</t>
        </is>
      </c>
      <c r="F1610" s="5" t="inlineStr"/>
      <c r="G1610" s="6" t="inlineStr"/>
      <c r="H1610" s="6" t="inlineStr">
        <is>
          <t>Rakamları ezberden okudun, kurul şaşırdı. Fotoğrafının altındaki yazı “Kurucu (hâlâ)” oldu.</t>
        </is>
      </c>
      <c r="I1610" s="6" t="inlineStr">
        <is>
          <t>Sunumu devraldın, kırk dakika konuştun, kurul planı değiştirdi. Kültür sunumunu yapan genç çıkışta yanına geldi: “Slayttaki fotoğrafı değiştiriyorum.”</t>
        </is>
      </c>
      <c r="J1610" s="6" t="inlineStr">
        <is>
          <t>Rakamlarla konuştun; kurul yeni finans müdürünün rakamlarına daha çok güvendi. Seninkiler de doğruydu, sadece eskiydi.</t>
        </is>
      </c>
      <c r="K1610" s="6" t="inlineStr">
        <is>
          <t>Rakamları okurken geçen yılın dosyasını açtın. Kurul, şirketin geçen yıl daha iyi olduğunu senden öğrendi.</t>
        </is>
      </c>
      <c r="L1610" s="6" t="inlineStr"/>
      <c r="M1610" s="5" t="inlineStr"/>
      <c r="N1610" s="5" t="inlineStr"/>
      <c r="O1610" s="6" t="inlineStr"/>
      <c r="P1610" s="6" t="inlineStr"/>
      <c r="Q1610" s="5" t="inlineStr"/>
      <c r="R1610" s="5" t="inlineStr"/>
      <c r="S1610" s="5" t="inlineStr"/>
      <c r="T1610" s="5" t="inlineStr"/>
      <c r="U1610" s="5" t="inlineStr"/>
      <c r="V1610" s="5" t="inlineStr"/>
      <c r="W1610" s="5" t="inlineStr"/>
      <c r="X1610" s="5" t="inlineStr"/>
      <c r="Y1610" s="5" t="inlineStr"/>
      <c r="Z1610" s="6" t="inlineStr"/>
      <c r="AA1610" s="5" t="inlineStr"/>
      <c r="AB1610" s="5" t="inlineStr"/>
      <c r="AC1610" s="5" t="inlineStr"/>
      <c r="AD1610" s="5" t="inlineStr"/>
      <c r="AE1610" s="5" t="inlineStr"/>
      <c r="AF1610" s="5" t="inlineStr"/>
      <c r="AG1610" s="5" t="inlineStr"/>
      <c r="AH1610" s="5" t="inlineStr"/>
      <c r="AI1610" s="5" t="inlineStr"/>
      <c r="AJ1610" s="5" t="inlineStr"/>
    </row>
    <row r="1611">
      <c r="A1611" s="5" t="inlineStr">
        <is>
          <t>b8-girisim-kurul</t>
        </is>
      </c>
      <c r="B1611" s="5" t="n">
        <v>3</v>
      </c>
      <c r="C1611" s="6" t="inlineStr">
        <is>
          <t>Kurulu dağıt, herkesi garaja götür</t>
        </is>
      </c>
      <c r="D1611" s="5" t="inlineStr">
        <is>
          <t>Cesaret</t>
        </is>
      </c>
      <c r="E1611" s="5" t="inlineStr">
        <is>
          <t>Zor</t>
        </is>
      </c>
      <c r="F1611" s="5" t="inlineStr"/>
      <c r="G1611" s="6" t="inlineStr"/>
      <c r="H1611" s="6" t="inlineStr">
        <is>
          <t>Bir haftalığına herkesi garaja taşıdın. Ürün iki haftada yenilendi; masa tenisi ofiste yalnız kaldı.</t>
        </is>
      </c>
      <c r="I1611" s="6" t="inlineStr">
        <is>
          <t>Garaj haftası efsane oldu; rakipler de çalışanlarını garaja taşıdı. Babanın garajının önünde artık kuyruk var; baban kapıda bilet kesiyor.</t>
        </is>
      </c>
      <c r="J1611" s="6" t="inlineStr">
        <is>
          <t>Kırk kişi garaja sığmadı. Toplantı kaldırımda yapıldı, zabıta gelince bitti.</t>
        </is>
      </c>
      <c r="K1611" s="6" t="inlineStr">
        <is>
          <t>Kurul garaj fikrine karşı oy verdi; lehte tek oy seninki. Çıkarken kapı kartın çalışmadı.</t>
        </is>
      </c>
      <c r="L1611" s="6" t="inlineStr"/>
      <c r="M1611" s="5" t="inlineStr"/>
      <c r="N1611" s="5" t="inlineStr"/>
      <c r="O1611" s="6" t="inlineStr"/>
      <c r="P1611" s="6" t="inlineStr"/>
      <c r="Q1611" s="5" t="inlineStr"/>
      <c r="R1611" s="5" t="inlineStr"/>
      <c r="S1611" s="5" t="inlineStr"/>
      <c r="T1611" s="5" t="inlineStr">
        <is>
          <t>Geri Adım Atmaz</t>
        </is>
      </c>
      <c r="U1611" s="5" t="inlineStr"/>
      <c r="V1611" s="5" t="inlineStr"/>
      <c r="W1611" s="5" t="inlineStr"/>
      <c r="X1611" s="5" t="inlineStr"/>
      <c r="Y1611" s="5" t="inlineStr"/>
      <c r="Z1611" s="6" t="inlineStr"/>
      <c r="AA1611" s="5" t="inlineStr"/>
      <c r="AB1611" s="5" t="inlineStr"/>
      <c r="AC1611" s="5" t="inlineStr"/>
      <c r="AD1611" s="5" t="inlineStr"/>
      <c r="AE1611" s="5" t="inlineStr"/>
      <c r="AF1611" s="5" t="inlineStr"/>
      <c r="AG1611" s="5" t="inlineStr"/>
      <c r="AH1611" s="5" t="inlineStr"/>
      <c r="AI1611" s="5" t="inlineStr"/>
      <c r="AJ1611" s="5" t="inlineStr"/>
    </row>
    <row r="1612">
      <c r="A1612" s="5" t="inlineStr">
        <is>
          <t>b8-girisim-kader</t>
        </is>
      </c>
      <c r="B1612" s="5" t="n">
        <v>1</v>
      </c>
      <c r="C1612" s="6" t="inlineStr">
        <is>
          <t>Küçül ama kimseyi kovma</t>
        </is>
      </c>
      <c r="D1612" s="5" t="inlineStr"/>
      <c r="E1612" s="5" t="inlineStr"/>
      <c r="F1612" s="5" t="inlineStr">
        <is>
          <t>İtibar +2</t>
        </is>
      </c>
      <c r="G1612" s="6" t="inlineStr">
        <is>
          <t>Şirket yarıya indi, kimse kovulmadı. Bayramda kırk çalışandan mesaj geldi; kırkına da cevap yazdın, tek tek.</t>
        </is>
      </c>
      <c r="H1612" s="6" t="inlineStr"/>
      <c r="I1612" s="6" t="inlineStr"/>
      <c r="J1612" s="6" t="inlineStr"/>
      <c r="K1612" s="6" t="inlineStr"/>
      <c r="L1612" s="6" t="inlineStr"/>
      <c r="M1612" s="5" t="inlineStr"/>
      <c r="N1612" s="5" t="inlineStr"/>
      <c r="O1612" s="6" t="inlineStr"/>
      <c r="P1612" s="6" t="inlineStr"/>
      <c r="Q1612" s="5" t="inlineStr"/>
      <c r="R1612" s="5" t="inlineStr"/>
      <c r="S1612" s="5" t="inlineStr"/>
      <c r="T1612" s="5" t="inlineStr"/>
      <c r="U1612" s="5" t="inlineStr"/>
      <c r="V1612" s="5" t="inlineStr"/>
      <c r="W1612" s="5" t="inlineStr"/>
      <c r="X1612" s="5" t="inlineStr"/>
      <c r="Y1612" s="5" t="inlineStr"/>
      <c r="Z1612" s="6" t="inlineStr"/>
      <c r="AA1612" s="5" t="inlineStr"/>
      <c r="AB1612" s="5" t="inlineStr"/>
      <c r="AC1612" s="5" t="inlineStr"/>
      <c r="AD1612" s="5" t="inlineStr"/>
      <c r="AE1612" s="5" t="inlineStr"/>
      <c r="AF1612" s="5" t="n">
        <v>1</v>
      </c>
      <c r="AG1612" s="5" t="inlineStr"/>
      <c r="AH1612" s="5" t="inlineStr"/>
      <c r="AI1612" s="5" t="inlineStr"/>
      <c r="AJ1612" s="5" t="inlineStr"/>
    </row>
    <row r="1613">
      <c r="A1613" s="5" t="inlineStr">
        <is>
          <t>b8-girisim-kader</t>
        </is>
      </c>
      <c r="B1613" s="5" t="n">
        <v>2</v>
      </c>
      <c r="C1613" s="6" t="inlineStr">
        <is>
          <t>Holdingi kur, bir de otel al</t>
        </is>
      </c>
      <c r="D1613" s="5" t="inlineStr">
        <is>
          <t>Cesaret</t>
        </is>
      </c>
      <c r="E1613" s="5" t="inlineStr">
        <is>
          <t>Zor</t>
        </is>
      </c>
      <c r="F1613" s="5" t="inlineStr"/>
      <c r="G1613" s="6" t="inlineStr"/>
      <c r="H1613" s="6" t="inlineStr">
        <is>
          <t>Grup şirketleri dosyası kazandı. Holdingin var: bir yazılım şirketi, bir kafe zinciri ve nedenini bilmediğin bir otel.</t>
        </is>
      </c>
      <c r="I1613" s="6" t="inlineStr">
        <is>
          <t>Holdingin logosu bir gökdelende yanıyor. Otelin en üst katı senin; kuzen hâlâ şirket arabası istiyor, artık filo var.</t>
        </is>
      </c>
      <c r="J1613" s="6" t="inlineStr">
        <is>
          <t>Otel teklifi reddedildi, kredi de. Müdür kalkarken senin karton bardağını da aldı; sen daha içmemiştin.</t>
        </is>
      </c>
      <c r="K1613" s="6" t="inlineStr">
        <is>
          <t>Oteli aldın; ilk yağmurda lobide kurbağalar öttü. Temel bataklıkmış. Holding bir hafta sürdü; kurbağalar hâlâ orada, borç da.</t>
        </is>
      </c>
      <c r="L1613" s="6" t="inlineStr"/>
      <c r="M1613" s="5" t="inlineStr"/>
      <c r="N1613" s="5" t="inlineStr"/>
      <c r="O1613" s="6" t="inlineStr"/>
      <c r="P1613" s="6" t="inlineStr"/>
      <c r="Q1613" s="5" t="inlineStr"/>
      <c r="R1613" s="5" t="inlineStr"/>
      <c r="S1613" s="5" t="inlineStr"/>
      <c r="T1613" s="5" t="inlineStr"/>
      <c r="U1613" s="5" t="inlineStr"/>
      <c r="V1613" s="5" t="inlineStr">
        <is>
          <t>holding</t>
        </is>
      </c>
      <c r="W1613" s="5" t="inlineStr"/>
      <c r="X1613" s="5" t="inlineStr"/>
      <c r="Y1613" s="5" t="inlineStr"/>
      <c r="Z1613" s="6" t="inlineStr"/>
      <c r="AA1613" s="5" t="inlineStr"/>
      <c r="AB1613" s="5" t="inlineStr">
        <is>
          <t>borclu</t>
        </is>
      </c>
      <c r="AC1613" s="5" t="inlineStr">
        <is>
          <t>Rahat</t>
        </is>
      </c>
      <c r="AD1613" s="5" t="inlineStr">
        <is>
          <t>Zengin</t>
        </is>
      </c>
      <c r="AE1613" s="5" t="inlineStr"/>
      <c r="AF1613" s="5" t="inlineStr"/>
      <c r="AG1613" s="5" t="inlineStr"/>
      <c r="AH1613" s="5" t="inlineStr">
        <is>
          <t>Cesaret 33</t>
        </is>
      </c>
      <c r="AI1613" s="5" t="inlineStr"/>
      <c r="AJ1613" s="5" t="inlineStr"/>
      <c r="AL1613" t="n">
        <v>1</v>
      </c>
    </row>
    <row r="1614">
      <c r="A1614" s="5" t="inlineStr">
        <is>
          <t>b8-girisim-kader</t>
        </is>
      </c>
      <c r="B1614" s="5" t="n">
        <v>3</v>
      </c>
      <c r="C1614" s="6" t="inlineStr">
        <is>
          <t>Müdürü ikna et, vade uzasın</t>
        </is>
      </c>
      <c r="D1614" s="5" t="inlineStr">
        <is>
          <t>Çene</t>
        </is>
      </c>
      <c r="E1614" s="5" t="inlineStr">
        <is>
          <t>Orta</t>
        </is>
      </c>
      <c r="F1614" s="5" t="inlineStr"/>
      <c r="G1614" s="6" t="inlineStr"/>
      <c r="H1614" s="6" t="inlineStr">
        <is>
          <t>Müdürle bir saat konuştun; vade bir yıl uzadı. Çıkarken çayın da cam bardakta geldi.</t>
        </is>
      </c>
      <c r="I1614" s="6" t="inlineStr">
        <is>
          <t>Müdür o kadar ikna oldu ki kendi birikimini şirketine yatırdı. Artık her toplantıya o da geliyor, kendi çayıyla.</t>
        </is>
      </c>
      <c r="J1614" s="6" t="inlineStr">
        <is>
          <t>Müdür “Genel müdürlüğe soralım” dedi. Üç hafta sonra cevap geldi: “Şubenizle görüşünüz.” Şube yine aynı masa, sen yine karton bardak.</t>
        </is>
      </c>
      <c r="K1614" s="6" t="inlineStr">
        <is>
          <t>İkna ederken heyecanla masaya vurdun; müdürün cam bardağı devrildi, çay dosyalara aktı. Islanan dosya seninkiydi. Vade kısaldı; bardağın yine karton.</t>
        </is>
      </c>
      <c r="L1614" s="6" t="inlineStr"/>
      <c r="M1614" s="5" t="inlineStr"/>
      <c r="N1614" s="5" t="inlineStr"/>
      <c r="O1614" s="6" t="inlineStr"/>
      <c r="P1614" s="6" t="inlineStr"/>
      <c r="Q1614" s="5" t="inlineStr"/>
      <c r="R1614" s="5" t="inlineStr"/>
      <c r="S1614" s="5" t="inlineStr"/>
      <c r="T1614" s="5" t="inlineStr"/>
      <c r="U1614" s="5" t="inlineStr"/>
      <c r="V1614" s="5" t="inlineStr"/>
      <c r="W1614" s="5" t="inlineStr">
        <is>
          <t>borclu</t>
        </is>
      </c>
      <c r="X1614" s="5" t="inlineStr"/>
      <c r="Y1614" s="5" t="inlineStr"/>
      <c r="Z1614" s="6" t="inlineStr"/>
      <c r="AA1614" s="5" t="inlineStr"/>
      <c r="AB1614" s="5" t="inlineStr"/>
      <c r="AC1614" s="5" t="inlineStr"/>
      <c r="AD1614" s="5" t="inlineStr"/>
      <c r="AE1614" s="5" t="inlineStr"/>
      <c r="AF1614" s="5" t="inlineStr"/>
      <c r="AG1614" s="5" t="inlineStr"/>
      <c r="AH1614" s="5" t="inlineStr"/>
      <c r="AI1614" s="5" t="inlineStr"/>
      <c r="AJ1614" s="5" t="inlineStr"/>
    </row>
    <row r="1615">
      <c r="A1615" s="5" t="inlineStr">
        <is>
          <t>b9-girisim-nasihat</t>
        </is>
      </c>
      <c r="B1615" s="5" t="n">
        <v>1</v>
      </c>
      <c r="C1615" s="6" t="inlineStr">
        <is>
          <t>Garaj hikâyeni olduğu gibi anlat</t>
        </is>
      </c>
      <c r="D1615" s="5" t="inlineStr"/>
      <c r="E1615" s="5" t="inlineStr"/>
      <c r="F1615" s="5" t="inlineStr">
        <is>
          <t>İtibar +1, Çene +1</t>
        </is>
      </c>
      <c r="G1615" s="6" t="inlineStr">
        <is>
          <t>Buzdolabını, kuzeni, kırtasiyeciyi anlattın. Gençler not almadı, güldü. Çıkışta biri garajının adresini verdi: “Bakar mısınız?”</t>
        </is>
      </c>
      <c r="H1615" s="6" t="inlineStr"/>
      <c r="I1615" s="6" t="inlineStr"/>
      <c r="J1615" s="6" t="inlineStr"/>
      <c r="K1615" s="6" t="inlineStr"/>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c r="AI1615" s="5" t="inlineStr"/>
      <c r="AJ1615" s="5" t="inlineStr"/>
    </row>
    <row r="1616">
      <c r="A1616" s="5" t="inlineStr">
        <is>
          <t>b9-girisim-nasihat</t>
        </is>
      </c>
      <c r="B1616" s="5" t="n">
        <v>2</v>
      </c>
      <c r="C1616" s="6" t="inlineStr">
        <is>
          <t>Soran gencin uygulamasına yatırım yap</t>
        </is>
      </c>
      <c r="D1616" s="5" t="inlineStr">
        <is>
          <t>Akıl</t>
        </is>
      </c>
      <c r="E1616" s="5" t="inlineStr">
        <is>
          <t>Orta</t>
        </is>
      </c>
      <c r="F1616" s="5" t="inlineStr"/>
      <c r="G1616" s="6" t="inlineStr"/>
      <c r="H1616" s="6" t="inlineStr">
        <is>
          <t>Emeklilik uygulamasına küçük bir yatırım yaptın. İlk kullanıcısı da sen oldun; seni “çok aktif” buldu.</t>
        </is>
      </c>
      <c r="I1616" s="6" t="inlineStr">
        <is>
          <t>Genç iki yılda şirketini büyüttü, sana yönetim kurulunda yer açtı. Emekliliğin yine toplantıyla geçiyor.</t>
        </is>
      </c>
      <c r="J1616" s="6" t="inlineStr">
        <is>
          <t>Bir ay sonra genç “Yön değiştirdik” dedi; uygulama artık köpek gezdiriyor. Senin köpeğin yok. Yatırımcı toplantısına yine de çağrıldın; komşunun köpeğini ödünç aldın.</t>
        </is>
      </c>
      <c r="K1616" s="6" t="inlineStr">
        <is>
          <t>Genç parayla ofise masa tenisi aldı. Ürün yok, masa tenisi var. Bu sahneyi bir yerden hatırlıyorsun.</t>
        </is>
      </c>
      <c r="L1616" s="6" t="inlineStr"/>
      <c r="M1616" s="5" t="inlineStr"/>
      <c r="N1616" s="5" t="inlineStr"/>
      <c r="O1616" s="6" t="inlineStr"/>
      <c r="P1616" s="6" t="inlineStr"/>
      <c r="Q1616" s="5" t="inlineStr"/>
      <c r="R1616" s="5" t="inlineStr"/>
      <c r="S1616" s="5" t="inlineStr"/>
      <c r="T1616" s="5" t="inlineStr"/>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c r="AI1616" s="5" t="inlineStr"/>
      <c r="AJ1616" s="5" t="inlineStr"/>
    </row>
    <row r="1617">
      <c r="A1617" s="5" t="inlineStr">
        <is>
          <t>b9-girisim-nasihat</t>
        </is>
      </c>
      <c r="B1617" s="5" t="n">
        <v>3</v>
      </c>
      <c r="C1617" s="6" t="inlineStr">
        <is>
          <t>“Asla pes etmeyin” deme, gerçeği söyle</t>
        </is>
      </c>
      <c r="D1617" s="5" t="inlineStr">
        <is>
          <t>Cesaret</t>
        </is>
      </c>
      <c r="E1617" s="5" t="inlineStr">
        <is>
          <t>Orta</t>
        </is>
      </c>
      <c r="F1617" s="5" t="inlineStr"/>
      <c r="G1617" s="6" t="inlineStr"/>
      <c r="H1617" s="6" t="inlineStr">
        <is>
          <t>“Çoğunuz batacak, bu normal” dedin. Salon sustu, sonra ayağa kalktı. Alkış bu kez gerçekti.</t>
        </is>
      </c>
      <c r="I1617" s="6" t="inlineStr">
        <is>
          <t>Konuşman üniversitenin ders programına girdi: “Batmayı Öğrenmek.” Dersi sen veriyorsun; kontenjan doldu.</t>
        </is>
      </c>
      <c r="J1617" s="6" t="inlineStr">
        <is>
          <t>Gerçeği söyledin; moderatör araya girip “Ama umut da önemli” dedi. Salon moderatörü alkışladı.</t>
        </is>
      </c>
      <c r="K1617" s="6" t="inlineStr">
        <is>
          <t>Ön sıradaki genç ağladı. Onun şirketini, senin yatırımcı olduğun bir fon alıp kapatmış; ikiniz de şimdi öğrendiniz.</t>
        </is>
      </c>
      <c r="L1617" s="6" t="inlineStr"/>
      <c r="M1617" s="5" t="inlineStr"/>
      <c r="N1617" s="5" t="inlineStr"/>
      <c r="O1617" s="6" t="inlineStr"/>
      <c r="P1617" s="6" t="inlineStr"/>
      <c r="Q1617" s="5" t="inlineStr"/>
      <c r="R1617" s="5" t="inlineStr"/>
      <c r="S1617" s="5" t="inlineStr"/>
      <c r="T1617" s="5" t="inlineStr"/>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c r="AI1617" s="5" t="inlineStr"/>
      <c r="AJ1617" s="5" t="inlineStr"/>
    </row>
    <row r="1618">
      <c r="A1618" s="5" t="inlineStr">
        <is>
          <t>b9-girisim-nasihat</t>
        </is>
      </c>
      <c r="B1618" s="5" t="n">
        <v>4</v>
      </c>
      <c r="C1618" s="6" t="inlineStr">
        <is>
          <t>Holdingde staj programı aç</t>
        </is>
      </c>
      <c r="D1618" s="5" t="inlineStr">
        <is>
          <t>Sosyal Radar</t>
        </is>
      </c>
      <c r="E1618" s="5" t="inlineStr">
        <is>
          <t>Zor</t>
        </is>
      </c>
      <c r="F1618" s="5" t="inlineStr"/>
      <c r="G1618" s="6" t="inlineStr"/>
      <c r="H1618" s="6" t="inlineStr">
        <is>
          <t>Staj programını anlattın; salondaki yüz gencin doksanı başvurdu. Başvuruları bir yapay zekâ ayıklıyor. Seni de ayıkladı; eski özgeçmişin sistemde kalmış.</t>
        </is>
      </c>
      <c r="I1618" s="6" t="inlineStr">
        <is>
          <t>Stajyerlerden biri holdingin en kârlı birimini kurdu. Sana “Kurucu (tarihî)” diyor; bu sefer saygıyla.</t>
        </is>
      </c>
      <c r="J1618" s="6" t="inlineStr">
        <is>
          <t>Gençler yazılım yerine holdingin kafe zincirinde staj yapmayı seçti. Kafeler doldu, yazılım boş.</t>
        </is>
      </c>
      <c r="K1618" s="6" t="inlineStr">
        <is>
          <t>Anlatırken insan kaynakları aradı: program bütçeden çıkarılmış. Salonda yüz genç, sende bir özür.</t>
        </is>
      </c>
      <c r="L1618" s="6" t="inlineStr"/>
      <c r="M1618" s="5" t="inlineStr"/>
      <c r="N1618" s="5" t="inlineStr"/>
      <c r="O1618" s="6" t="inlineStr"/>
      <c r="P1618" s="6" t="inlineStr"/>
      <c r="Q1618" s="5" t="inlineStr"/>
      <c r="R1618" s="5" t="inlineStr">
        <is>
          <t>holding</t>
        </is>
      </c>
      <c r="S1618" s="5" t="inlineStr"/>
      <c r="T1618" s="5" t="inlineStr">
        <is>
          <t>Plaza Diplomatı</t>
        </is>
      </c>
      <c r="U1618" s="5" t="inlineStr"/>
      <c r="V1618" s="5" t="inlineStr"/>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c r="AI1618" s="5" t="inlineStr"/>
      <c r="AJ1618" s="5" t="inlineStr"/>
    </row>
    <row r="1619">
      <c r="A1619" s="5" t="inlineStr">
        <is>
          <t>b7-politika-cay</t>
        </is>
      </c>
      <c r="B1619" s="5" t="n">
        <v>1</v>
      </c>
      <c r="C1619" s="6" t="inlineStr">
        <is>
          <t>Çayı mahalledeki kahveden ısmarla</t>
        </is>
      </c>
      <c r="D1619" s="5" t="inlineStr"/>
      <c r="E1619" s="5" t="inlineStr"/>
      <c r="F1619" s="5" t="inlineStr">
        <is>
          <t>Kurnazlık +1, Sosyal Radar +1</t>
        </is>
      </c>
      <c r="G1619" s="6" t="inlineStr">
        <is>
          <t>Kahveci iki yüz çayı getirdi, faturayı partiye kesti. Mitinge en çok kahvedekiler geldi; çay bitince gittiler.</t>
        </is>
      </c>
      <c r="H1619" s="6" t="inlineStr"/>
      <c r="I1619" s="6" t="inlineStr"/>
      <c r="J1619" s="6" t="inlineStr"/>
      <c r="K1619" s="6" t="inlineStr"/>
      <c r="L1619" s="6" t="inlineStr"/>
      <c r="M1619" s="5" t="inlineStr"/>
      <c r="N1619" s="5" t="inlineStr"/>
      <c r="O1619" s="6" t="inlineStr"/>
      <c r="P1619" s="6" t="inlineStr"/>
      <c r="Q1619" s="5" t="inlineStr"/>
      <c r="R1619" s="5" t="inlineStr"/>
      <c r="S1619" s="5" t="inlineStr"/>
      <c r="T1619" s="5" t="inlineStr"/>
      <c r="U1619" s="5" t="inlineStr"/>
      <c r="V1619" s="5" t="inlineStr"/>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c r="AI1619" s="5" t="inlineStr"/>
      <c r="AJ1619" s="5" t="inlineStr"/>
    </row>
    <row r="1620">
      <c r="A1620" s="5" t="inlineStr">
        <is>
          <t>b7-politika-cay</t>
        </is>
      </c>
      <c r="B1620" s="5" t="n">
        <v>2</v>
      </c>
      <c r="C1620" s="6" t="inlineStr">
        <is>
          <t>İki yüz çayı semaverle sen yetiştir</t>
        </is>
      </c>
      <c r="D1620" s="5" t="inlineStr">
        <is>
          <t>Dayanıklılık</t>
        </is>
      </c>
      <c r="E1620" s="5" t="inlineStr">
        <is>
          <t>Orta</t>
        </is>
      </c>
      <c r="F1620" s="5" t="inlineStr"/>
      <c r="G1620" s="6" t="inlineStr"/>
      <c r="H1620" s="6" t="inlineStr">
        <is>
          <t>Dört saat semaver başında durdun; iki yüz çay, sıfır şikâyet. İl başkanı adını sordu. Bir dahakine yine soracak.</t>
        </is>
      </c>
      <c r="I1620" s="6" t="inlineStr">
        <is>
          <t>Çayın o kadar övüldü ki seni il yöneticisi yaptılar. Görev tanımında hâlâ “çay” yazıyor; ama büyük harfle.</t>
        </is>
      </c>
      <c r="J1620" s="6" t="inlineStr">
        <is>
          <t>Semaver yetişmedi; son elli kişiye çay ılık gitti. İl başkanı bir yudum aldı, bardağı geri koydu: “Bunu kim demledi?” Elli kişi aynı anda sana döndü.</t>
        </is>
      </c>
      <c r="K1620" s="6" t="inlineStr">
        <is>
          <t>Semaver taştı, pankart ıslandı. “Yeşil Balkon” yazısı “Yeş Bal” oldu; fotoğraflar çoktan çekilmişti.</t>
        </is>
      </c>
      <c r="L1620" s="6" t="inlineStr">
        <is>
          <t>İki yüz çayın yarısı tavşan kanı, yarısı açık. Miting de yarı yarıya ısındı.</t>
        </is>
      </c>
      <c r="M1620" s="5" t="inlineStr">
        <is>
          <t>timing</t>
        </is>
      </c>
      <c r="N1620" s="5" t="inlineStr">
        <is>
          <t>Semaver Demi</t>
        </is>
      </c>
      <c r="O1620" s="6" t="inlineStr">
        <is>
          <t>İbre yeşil alandayken DURDUR'a bas. Art arda tutturdukça kombo kazanırsın.</t>
        </is>
      </c>
      <c r="P1620" s="6" t="n"/>
      <c r="Q1620" s="5" t="inlineStr"/>
      <c r="R1620" s="5" t="inlineStr"/>
      <c r="S1620" s="5" t="inlineStr"/>
      <c r="T1620" s="5" t="inlineStr"/>
      <c r="U1620" s="5" t="inlineStr"/>
      <c r="V1620" s="5" t="inlineStr">
        <is>
          <t>parti-il-yoneticisi</t>
        </is>
      </c>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c r="AI1620" s="5" t="inlineStr">
        <is>
          <t>Yeş Bal</t>
        </is>
      </c>
      <c r="AJ1620" s="5" t="inlineStr"/>
    </row>
    <row r="1621">
      <c r="A1621" s="5" t="inlineStr">
        <is>
          <t>b7-politika-cay</t>
        </is>
      </c>
      <c r="B1621" s="5" t="n">
        <v>3</v>
      </c>
      <c r="C1621" s="6" t="inlineStr">
        <is>
          <t>Çayı bırak, il başkanı gelmeden kürsüye çık</t>
        </is>
      </c>
      <c r="D1621" s="5" t="inlineStr">
        <is>
          <t>Cesaret</t>
        </is>
      </c>
      <c r="E1621" s="5" t="inlineStr">
        <is>
          <t>Zor</t>
        </is>
      </c>
      <c r="F1621" s="5" t="inlineStr"/>
      <c r="G1621" s="6" t="inlineStr"/>
      <c r="H1621" s="6" t="inlineStr">
        <is>
          <t>Başkan gecikince mikrofonu aldın, kalabalığı ısıttın. O geldiğinde miting bitmişti; seni il yöneticisi yaptı, mecburen.</t>
        </is>
      </c>
      <c r="I1621" s="6" t="inlineStr">
        <is>
          <t>Kalabalık il başkanını değil seni istedi. Başkan seni yanına aldı, kulağına tek kelime söyledi: “Yavaş.”</t>
        </is>
      </c>
      <c r="J1621" s="6" t="inlineStr">
        <is>
          <t>Mikrofon açılmadı. On dakika kalabalığa dudak okuttun. Sonra çay dağıttın; ondan kaçış yok.</t>
        </is>
      </c>
      <c r="K1621" s="6" t="inlineStr">
        <is>
          <t>Kürsüde il başkanının adını üç kez yanlış söyledin. Başkan geldiğinde kalabalık onu o adla karşıladı.</t>
        </is>
      </c>
      <c r="L1621" s="6" t="inlineStr"/>
      <c r="M1621" s="5" t="inlineStr"/>
      <c r="N1621" s="5" t="inlineStr"/>
      <c r="O1621" s="6" t="inlineStr"/>
      <c r="P1621" s="6" t="inlineStr"/>
      <c r="Q1621" s="5" t="inlineStr"/>
      <c r="R1621" s="5" t="inlineStr"/>
      <c r="S1621" s="5" t="inlineStr"/>
      <c r="T1621" s="5" t="inlineStr">
        <is>
          <t>Teneffüs Başkanı</t>
        </is>
      </c>
      <c r="U1621" s="5" t="inlineStr"/>
      <c r="V1621" s="5" t="inlineStr">
        <is>
          <t>parti-il-yoneticisi</t>
        </is>
      </c>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c r="AI1621" s="5" t="inlineStr"/>
      <c r="AJ1621" s="5" t="inlineStr"/>
    </row>
    <row r="1622">
      <c r="A1622" s="5" t="inlineStr">
        <is>
          <t>b7-politika-kaldirim</t>
        </is>
      </c>
      <c r="B1622" s="5" t="n">
        <v>1</v>
      </c>
      <c r="C1622" s="6" t="inlineStr">
        <is>
          <t>Kaldırımın taşını kendin döşe</t>
        </is>
      </c>
      <c r="D1622" s="5" t="inlineStr"/>
      <c r="E1622" s="5" t="inlineStr"/>
      <c r="F1622" s="5" t="inlineStr">
        <is>
          <t>Dayanıklılık +1, İtibar +1</t>
        </is>
      </c>
      <c r="G1622" s="6" t="inlineStr">
        <is>
          <t>Bir hafta sonu tek başına on metre kaldırım döşedin. Seçimi o on metre kazandırmadı ama mahalle oradan yürüyor, adını anarak.</t>
        </is>
      </c>
      <c r="H1622" s="6" t="inlineStr"/>
      <c r="I1622" s="6" t="inlineStr"/>
      <c r="J1622" s="6" t="inlineStr"/>
      <c r="K1622" s="6" t="inlineStr"/>
      <c r="L1622" s="6" t="inlineStr"/>
      <c r="M1622" s="5" t="inlineStr"/>
      <c r="N1622" s="5" t="inlineStr"/>
      <c r="O1622" s="6" t="inlineStr"/>
      <c r="P1622" s="6" t="inlineStr"/>
      <c r="Q1622" s="5" t="inlineStr"/>
      <c r="R1622" s="5" t="inlineStr"/>
      <c r="S1622" s="5" t="inlineStr"/>
      <c r="T1622" s="5" t="inlineStr"/>
      <c r="U1622" s="5" t="inlineStr"/>
      <c r="V1622" s="5" t="inlineStr"/>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c r="AI1622" s="5" t="inlineStr"/>
      <c r="AJ1622" s="5" t="inlineStr"/>
    </row>
    <row r="1623">
      <c r="A1623" s="5" t="inlineStr">
        <is>
          <t>b7-politika-kaldirim</t>
        </is>
      </c>
      <c r="B1623" s="5" t="n">
        <v>2</v>
      </c>
      <c r="C1623" s="6" t="inlineStr">
        <is>
          <t>Rakibi aş: kaldırıma bank ve ağaç da koy</t>
        </is>
      </c>
      <c r="D1623" s="5" t="inlineStr">
        <is>
          <t>Çene</t>
        </is>
      </c>
      <c r="E1623" s="5" t="inlineStr">
        <is>
          <t>Orta</t>
        </is>
      </c>
      <c r="F1623" s="5" t="inlineStr"/>
      <c r="G1623" s="6" t="inlineStr"/>
      <c r="H1623" s="6" t="inlineStr">
        <is>
          <t>“Kaldırım, bank ve ağaç” dedin. Mahalle ağaca ikna oldu. Meclis üyesi seçildin; fidan yolda.</t>
        </is>
      </c>
      <c r="I1623" s="6" t="inlineStr">
        <is>
          <t>Seçildin. Açılış günü kaldırımın ilk taşını sen değil, kırk yıldır çamurda yürüyen bakkal döşedi; sen arkada fidanı tuttun. Fotoğrafta bakkal gülüyor.</t>
        </is>
      </c>
      <c r="J1623" s="6" t="inlineStr">
        <is>
          <t>Sen bank dedin, rakip “Bank ve çardak” dedi. Seçim açık artırmaya döndü; çardak kazandı.</t>
        </is>
      </c>
      <c r="K1623" s="6" t="inlineStr">
        <is>
          <t>Vaatler öyle uzadı ki biri haritada kaldırıma yer kalmadığını gösterdi. Afişlerin kaldırımın üstünde; yürünmüyor.</t>
        </is>
      </c>
      <c r="L1623" s="6" t="inlineStr"/>
      <c r="M1623" s="5" t="inlineStr"/>
      <c r="N1623" s="5" t="inlineStr"/>
      <c r="O1623" s="6" t="inlineStr"/>
      <c r="P1623" s="6" t="inlineStr"/>
      <c r="Q1623" s="5" t="inlineStr"/>
      <c r="R1623" s="5" t="inlineStr"/>
      <c r="S1623" s="5" t="inlineStr"/>
      <c r="T1623" s="5" t="inlineStr"/>
      <c r="U1623" s="5" t="inlineStr"/>
      <c r="V1623" s="5" t="inlineStr">
        <is>
          <t>meclis-uyesi</t>
        </is>
      </c>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c r="AI1623" s="5" t="inlineStr"/>
      <c r="AJ1623" s="5" t="inlineStr"/>
    </row>
    <row r="1624">
      <c r="A1624" s="5" t="inlineStr">
        <is>
          <t>b7-politika-kaldirim</t>
        </is>
      </c>
      <c r="B1624" s="5" t="n">
        <v>3</v>
      </c>
      <c r="C1624" s="6" t="inlineStr">
        <is>
          <t>Rakiple yerel kanalda kaldırım tartış</t>
        </is>
      </c>
      <c r="D1624" s="5" t="inlineStr">
        <is>
          <t>Pişkinlik</t>
        </is>
      </c>
      <c r="E1624" s="5" t="inlineStr">
        <is>
          <t>Zor</t>
        </is>
      </c>
      <c r="F1624" s="5" t="inlineStr"/>
      <c r="G1624" s="6" t="inlineStr"/>
      <c r="H1624" s="6" t="inlineStr">
        <is>
          <t>Kırk dakika kaldırım konuştunuz. Sen “Yürüdüm, biliyorum” dedin; rakip yürümemişti. Meclis üyesi seçildin.</t>
        </is>
      </c>
      <c r="I1624" s="6" t="inlineStr">
        <is>
          <t>Rakibin ayakkabı tabanlarının hiç aşınmadığını kameraya gösterdin. Oyların üçte ikisi seninki.</t>
        </is>
      </c>
      <c r="J1624" s="6" t="inlineStr">
        <is>
          <t>Rakip kaldırımın metrekare fiyatını ezbere bildi, sen bilmedin. Seçimi o kazandı; kaldırım hâlâ yok.</t>
        </is>
      </c>
      <c r="K1624" s="6" t="inlineStr">
        <is>
          <t>Yayında kaldırıma “yaya yolu”, sonra “şu taşlı yer” dedin. Yerel kanal seni hâlâ “Şu Taşlı Yer” diye anıyor.</t>
        </is>
      </c>
      <c r="L1624" s="6" t="inlineStr"/>
      <c r="M1624" s="5" t="inlineStr"/>
      <c r="N1624" s="5" t="inlineStr"/>
      <c r="O1624" s="6" t="inlineStr"/>
      <c r="P1624" s="6" t="inlineStr"/>
      <c r="Q1624" s="5" t="inlineStr"/>
      <c r="R1624" s="5" t="inlineStr"/>
      <c r="S1624" s="5" t="inlineStr"/>
      <c r="T1624" s="5" t="inlineStr">
        <is>
          <t>Son Sözü Söyler</t>
        </is>
      </c>
      <c r="U1624" s="5" t="inlineStr"/>
      <c r="V1624" s="5" t="inlineStr">
        <is>
          <t>meclis-uyesi</t>
        </is>
      </c>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is>
          <t>Pişkinlik 28</t>
        </is>
      </c>
      <c r="AI1624" s="5" t="inlineStr">
        <is>
          <t>Şu Taşlı Yer</t>
        </is>
      </c>
      <c r="AJ1624" s="5" t="inlineStr"/>
    </row>
    <row r="1625">
      <c r="A1625" s="5" t="inlineStr">
        <is>
          <t>b8-politika-otobus</t>
        </is>
      </c>
      <c r="B1625" s="5" t="n">
        <v>1</v>
      </c>
      <c r="C1625" s="6" t="inlineStr">
        <is>
          <t>Otobüsten in, yürüyerek gez</t>
        </is>
      </c>
      <c r="D1625" s="5" t="inlineStr"/>
      <c r="E1625" s="5" t="inlineStr"/>
      <c r="F1625" s="5" t="inlineStr">
        <is>
          <t>Dayanıklılık +1, Sosyal Radar +1</t>
        </is>
      </c>
      <c r="G1625" s="6" t="inlineStr">
        <is>
          <t>Otobüs arkandan boş geldi, hoparlör sana şarkı söyledi. Günde üç mahalle gezdin ama her kapıda çay içtin. Her çay yarım oy.</t>
        </is>
      </c>
      <c r="H1625" s="6" t="inlineStr"/>
      <c r="I1625" s="6" t="inlineStr"/>
      <c r="J1625" s="6" t="inlineStr"/>
      <c r="K1625" s="6" t="inlineStr"/>
      <c r="L1625" s="6" t="inlineStr"/>
      <c r="M1625" s="5" t="inlineStr"/>
      <c r="N1625" s="5" t="inlineStr"/>
      <c r="O1625" s="6" t="inlineStr"/>
      <c r="P1625" s="6" t="inlineStr"/>
      <c r="Q1625" s="5" t="inlineStr"/>
      <c r="R1625" s="5" t="inlineStr"/>
      <c r="S1625" s="5" t="inlineStr"/>
      <c r="T1625" s="5" t="inlineStr"/>
      <c r="U1625" s="5" t="inlineStr"/>
      <c r="V1625" s="5" t="inlineStr"/>
      <c r="W1625" s="5" t="inlineStr"/>
      <c r="X1625" s="5" t="inlineStr"/>
      <c r="Y1625" s="5" t="inlineStr"/>
      <c r="Z1625" s="6" t="inlineStr"/>
      <c r="AA1625" s="5" t="inlineStr"/>
      <c r="AB1625" s="5" t="inlineStr"/>
      <c r="AC1625" s="5" t="inlineStr"/>
      <c r="AD1625" s="5" t="inlineStr"/>
      <c r="AE1625" s="5" t="inlineStr"/>
      <c r="AF1625" s="5" t="inlineStr"/>
      <c r="AG1625" s="5" t="inlineStr"/>
      <c r="AH1625" s="5" t="inlineStr"/>
      <c r="AI1625" s="5" t="inlineStr"/>
      <c r="AJ1625" s="5" t="inlineStr"/>
    </row>
    <row r="1626">
      <c r="A1626" s="5" t="inlineStr">
        <is>
          <t>b8-politika-otobus</t>
        </is>
      </c>
      <c r="B1626" s="5" t="n">
        <v>2</v>
      </c>
      <c r="C1626" s="6" t="inlineStr">
        <is>
          <t>Hoparlörden kendin konuş</t>
        </is>
      </c>
      <c r="D1626" s="5" t="inlineStr">
        <is>
          <t>Çene</t>
        </is>
      </c>
      <c r="E1626" s="5" t="inlineStr">
        <is>
          <t>Orta</t>
        </is>
      </c>
      <c r="F1626" s="5" t="inlineStr"/>
      <c r="G1626" s="6" t="inlineStr"/>
      <c r="H1626" s="6" t="inlineStr">
        <is>
          <t>Mahalle mahalle isim sayarak konuştun. Herkes adını duydu; seçimi kazandın. Şarkıyı kimse özlemedi.</t>
        </is>
      </c>
      <c r="I1626" s="6" t="inlineStr">
        <is>
          <t>Anonsların öyle sevildi ki seçimden sonra da çalınmasını istediler. Belediye başkanısın; sesin hâlâ sokakta.</t>
        </is>
      </c>
      <c r="J1626" s="6" t="inlineStr">
        <is>
          <t>Otobüs alt geçide girdi; “Değerli hemşehrilerim” yankılandı, gerisi uğultu oldu. Seçimi kırk oyla kaybettin. O alt geçidin üstünde tam kırk hane var.</t>
        </is>
      </c>
      <c r="K1626" s="6" t="inlineStr">
        <is>
          <t>Hoparlörü kapatmayı unuttun; şoföre “Klimayı bana da çevir, pişiyorum!” diye bağırışın bütün mahalleye yayınlandı. Balkondan bir teyze seslendi: “Biz de pişiyoruz evladım!” Klima oy kaybettirdi.</t>
        </is>
      </c>
      <c r="L1626" s="6" t="inlineStr"/>
      <c r="M1626" s="5" t="inlineStr"/>
      <c r="N1626" s="5" t="inlineStr"/>
      <c r="O1626" s="6" t="inlineStr"/>
      <c r="P1626" s="6" t="inlineStr"/>
      <c r="Q1626" s="5" t="inlineStr"/>
      <c r="R1626" s="5" t="inlineStr"/>
      <c r="S1626" s="5" t="inlineStr"/>
      <c r="T1626" s="5" t="inlineStr"/>
      <c r="U1626" s="5" t="inlineStr"/>
      <c r="V1626" s="5" t="inlineStr">
        <is>
          <t>belediye-baskani</t>
        </is>
      </c>
      <c r="W1626" s="5" t="inlineStr"/>
      <c r="X1626" s="5" t="inlineStr"/>
      <c r="Y1626" s="5" t="inlineStr"/>
      <c r="Z1626" s="6" t="inlineStr"/>
      <c r="AA1626" s="5" t="inlineStr"/>
      <c r="AB1626" s="5" t="inlineStr"/>
      <c r="AC1626" s="5" t="inlineStr"/>
      <c r="AD1626" s="5" t="inlineStr"/>
      <c r="AE1626" s="5" t="inlineStr"/>
      <c r="AF1626" s="5" t="inlineStr"/>
      <c r="AG1626" s="5" t="inlineStr"/>
      <c r="AH1626" s="5" t="inlineStr"/>
      <c r="AI1626" s="5" t="inlineStr"/>
      <c r="AJ1626" s="5" t="inlineStr"/>
    </row>
    <row r="1627">
      <c r="A1627" s="5" t="inlineStr">
        <is>
          <t>b8-politika-otobus</t>
        </is>
      </c>
      <c r="B1627" s="5" t="n">
        <v>3</v>
      </c>
      <c r="C1627" s="6" t="inlineStr">
        <is>
          <t>Rakibin otobüsüyle aynı caddede yarış</t>
        </is>
      </c>
      <c r="D1627" s="5" t="inlineStr">
        <is>
          <t>Cesaret</t>
        </is>
      </c>
      <c r="E1627" s="5" t="inlineStr">
        <is>
          <t>Zor</t>
        </is>
      </c>
      <c r="F1627" s="5" t="inlineStr"/>
      <c r="G1627" s="6" t="inlineStr"/>
      <c r="H1627" s="6" t="inlineStr">
        <is>
          <t>İki otobüs yan yana durdu; senin şoförün önce korna çaldı. Mahalle kornayı sevdi, seni seçti.</t>
        </is>
      </c>
      <c r="I1627" s="6" t="inlineStr">
        <is>
          <t>Rakibin otobüsü bozuldu; durup onu da kendi otobüsüne aldın. Fotoğraf her yerde. Başkansın; rakip yardımcın.</t>
        </is>
      </c>
      <c r="J1627" s="6" t="inlineStr">
        <is>
          <t>İki otobüs dar sokağa sıkıştı. Seçmen iki adayı da yaya gördü, kararsız kaldı. Kararsızlık kazandı.</t>
        </is>
      </c>
      <c r="K1627" s="6" t="inlineStr">
        <is>
          <t>Rakibi geçerken hoparlörün yanlışlıkla onun şarkısını çaldı. Mahallenin kafası karıştı, oyunu ona verdi.</t>
        </is>
      </c>
      <c r="L1627" s="6" t="inlineStr"/>
      <c r="M1627" s="5" t="inlineStr"/>
      <c r="N1627" s="5" t="inlineStr"/>
      <c r="O1627" s="6" t="inlineStr"/>
      <c r="P1627" s="6" t="inlineStr"/>
      <c r="Q1627" s="5" t="inlineStr"/>
      <c r="R1627" s="5" t="inlineStr"/>
      <c r="S1627" s="5" t="inlineStr"/>
      <c r="T1627" s="5" t="inlineStr"/>
      <c r="U1627" s="5" t="inlineStr"/>
      <c r="V1627" s="5" t="inlineStr">
        <is>
          <t>belediye-baskani</t>
        </is>
      </c>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c r="AI1627" s="5" t="inlineStr"/>
      <c r="AJ1627" s="5" t="inlineStr"/>
    </row>
    <row r="1628">
      <c r="A1628" s="5" t="inlineStr">
        <is>
          <t>b8-politika-tartisma</t>
        </is>
      </c>
      <c r="B1628" s="5" t="n">
        <v>1</v>
      </c>
      <c r="C1628" s="6" t="inlineStr">
        <is>
          <t>İki tarafı da haklı bul</t>
        </is>
      </c>
      <c r="D1628" s="5" t="inlineStr"/>
      <c r="E1628" s="5" t="inlineStr"/>
      <c r="F1628" s="5" t="inlineStr">
        <is>
          <t>Sosyal Radar +1, İtibar +1</t>
        </is>
      </c>
      <c r="G1628" s="6" t="inlineStr">
        <is>
          <t>“Göbek de güzel, ışık da” dedin. Program seni “uzlaşmacı” diye tanıttı; bir daha çağırmadı.</t>
        </is>
      </c>
      <c r="H1628" s="6" t="inlineStr"/>
      <c r="I1628" s="6" t="inlineStr"/>
      <c r="J1628" s="6" t="inlineStr"/>
      <c r="K1628" s="6" t="inlineStr"/>
      <c r="L1628" s="6" t="inlineStr"/>
      <c r="M1628" s="5" t="inlineStr"/>
      <c r="N1628" s="5" t="inlineStr"/>
      <c r="O1628" s="6" t="inlineStr"/>
      <c r="P1628" s="6" t="inlineStr"/>
      <c r="Q1628" s="5" t="inlineStr"/>
      <c r="R1628" s="5" t="inlineStr"/>
      <c r="S1628" s="5" t="inlineStr"/>
      <c r="T1628" s="5" t="inlineStr"/>
      <c r="U1628" s="5" t="inlineStr"/>
      <c r="V1628" s="5" t="inlineStr"/>
      <c r="W1628" s="5" t="inlineStr"/>
      <c r="X1628" s="5" t="inlineStr"/>
      <c r="Y1628" s="5" t="inlineStr"/>
      <c r="Z1628" s="6" t="inlineStr"/>
      <c r="AA1628" s="5" t="inlineStr"/>
      <c r="AB1628" s="5" t="inlineStr"/>
      <c r="AC1628" s="5" t="inlineStr"/>
      <c r="AD1628" s="5" t="inlineStr"/>
      <c r="AE1628" s="5" t="inlineStr"/>
      <c r="AF1628" s="5" t="inlineStr"/>
      <c r="AG1628" s="5" t="inlineStr"/>
      <c r="AH1628" s="5" t="inlineStr"/>
      <c r="AI1628" s="5" t="inlineStr"/>
      <c r="AJ1628" s="5" t="inlineStr"/>
    </row>
    <row r="1629">
      <c r="A1629" s="5" t="inlineStr">
        <is>
          <t>b8-politika-tartisma</t>
        </is>
      </c>
      <c r="B1629" s="5" t="n">
        <v>2</v>
      </c>
      <c r="C1629" s="6" t="inlineStr">
        <is>
          <t>Göbeği ondan yüksek sesle savun</t>
        </is>
      </c>
      <c r="D1629" s="5" t="inlineStr">
        <is>
          <t>Çene</t>
        </is>
      </c>
      <c r="E1629" s="5" t="inlineStr">
        <is>
          <t>Orta</t>
        </is>
      </c>
      <c r="F1629" s="5" t="inlineStr"/>
      <c r="G1629" s="6" t="inlineStr"/>
      <c r="H1629" s="6" t="inlineStr">
        <is>
          <t>Göbeği öyle savundun ki karşındaki konuk ışığa geçti. Sunucu zili çaldı; alkış bitmedi.</t>
        </is>
      </c>
      <c r="I1629" s="6" t="inlineStr">
        <is>
          <t>Gecenin en çok izlenen yayını oldu. Kanal seni her salı istiyor; göbek konusu tükendi, sırada rampalar var.</t>
        </is>
      </c>
      <c r="J1629" s="6" t="inlineStr">
        <is>
          <t>Göbeği savundun; karşındaki de savundu, daha yüksek sesle. Tartışma değil düet oldu. Sunucu zili hiç çalmadı; reklama erken girildi.</t>
        </is>
      </c>
      <c r="K1629" s="6" t="inlineStr">
        <is>
          <t>Heyecanla masaya vurdun; tek bardak su sunucunun kucağına döküldü. Zil bu kez senin için çaldı; reklama girildi.</t>
        </is>
      </c>
      <c r="L1629" s="6" t="inlineStr"/>
      <c r="M1629" s="5" t="inlineStr"/>
      <c r="N1629" s="5" t="inlineStr"/>
      <c r="O1629" s="6" t="inlineStr"/>
      <c r="P1629" s="6" t="inlineStr"/>
      <c r="Q1629" s="5" t="inlineStr"/>
      <c r="R1629" s="5" t="inlineStr"/>
      <c r="S1629" s="5" t="inlineStr"/>
      <c r="T1629" s="5" t="inlineStr"/>
      <c r="U1629" s="5" t="inlineStr"/>
      <c r="V1629" s="5" t="inlineStr">
        <is>
          <t>tv-tartismaci</t>
        </is>
      </c>
      <c r="W1629" s="5" t="inlineStr"/>
      <c r="X1629" s="5" t="inlineStr"/>
      <c r="Y1629" s="5" t="inlineStr"/>
      <c r="Z1629" s="6" t="inlineStr"/>
      <c r="AA1629" s="5" t="inlineStr"/>
      <c r="AB1629" s="5" t="inlineStr"/>
      <c r="AC1629" s="5" t="inlineStr"/>
      <c r="AD1629" s="5" t="inlineStr"/>
      <c r="AE1629" s="5" t="inlineStr"/>
      <c r="AF1629" s="5" t="inlineStr"/>
      <c r="AG1629" s="5" t="inlineStr"/>
      <c r="AH1629" s="5" t="inlineStr"/>
      <c r="AI1629" s="5" t="inlineStr"/>
      <c r="AJ1629" s="5" t="inlineStr"/>
    </row>
    <row r="1630">
      <c r="A1630" s="5" t="inlineStr">
        <is>
          <t>b8-politika-tartisma</t>
        </is>
      </c>
      <c r="B1630" s="5" t="n">
        <v>3</v>
      </c>
      <c r="C1630" s="6" t="inlineStr">
        <is>
          <t>Sunucunun zilini ele geçir</t>
        </is>
      </c>
      <c r="D1630" s="5" t="inlineStr">
        <is>
          <t>Pişkinlik</t>
        </is>
      </c>
      <c r="E1630" s="5" t="inlineStr">
        <is>
          <t>Zor</t>
        </is>
      </c>
      <c r="F1630" s="5" t="inlineStr"/>
      <c r="G1630" s="6" t="inlineStr"/>
      <c r="H1630" s="6" t="inlineStr">
        <is>
          <t>Zili aldın, sözün her kesildiğinde çaldın. Salon güldü, konuklar sustu. Son sözü sen söyledin; zille.</t>
        </is>
      </c>
      <c r="I1630" s="6" t="inlineStr">
        <is>
          <t>Zil sende kaldı; sunucu üç kez geri istedi, üçünde de zili çaldın. Sahne kısa video uygulamasında milyonlarca kez izlendi; çocuklar okulda teneffüs zilini senin gibi çalıyor.</t>
        </is>
      </c>
      <c r="J1630" s="6" t="inlineStr">
        <is>
          <t>Zile uzandın; sunucu elini çekmedi. Canlı yayında iki yetişkin bir zili paylaştı; kimse kazanmadı.</t>
        </is>
      </c>
      <c r="K1630" s="6" t="inlineStr">
        <is>
          <t>Zil elinden kaydı, masanın altına yuvarlandı. Programın kalanını masanın altından konuştun.</t>
        </is>
      </c>
      <c r="L1630" s="6" t="inlineStr">
        <is>
          <t>Zil bir sende kaldı, bir sunucuda. Konuklar sustu; seyirci kimin kazandığını hâlâ tartışıyor.</t>
        </is>
      </c>
      <c r="M1630" s="5" t="inlineStr">
        <is>
          <t>fight</t>
        </is>
      </c>
      <c r="N1630" s="5" t="inlineStr">
        <is>
          <t>Zil Kapışması</t>
        </is>
      </c>
      <c r="O1630" s="6" t="inlineStr">
        <is>
          <t>Saldırının geldiği yöne karşılık ver.</t>
        </is>
      </c>
      <c r="P1630" s="6" t="inlineStr">
        <is>
          <t>{"mode": "parry", "opp": "🔔"}</t>
        </is>
      </c>
      <c r="Q1630" s="5" t="inlineStr"/>
      <c r="R1630" s="5" t="inlineStr"/>
      <c r="S1630" s="5" t="inlineStr"/>
      <c r="T1630" s="5" t="inlineStr">
        <is>
          <t>Yüzü Kızarmaz</t>
        </is>
      </c>
      <c r="U1630" s="5" t="inlineStr"/>
      <c r="V1630" s="5" t="inlineStr">
        <is>
          <t>tv-tartismaci</t>
        </is>
      </c>
      <c r="W1630" s="5" t="inlineStr"/>
      <c r="X1630" s="5" t="inlineStr"/>
      <c r="Y1630" s="5" t="inlineStr"/>
      <c r="Z1630" s="6" t="inlineStr"/>
      <c r="AA1630" s="5" t="inlineStr"/>
      <c r="AB1630" s="5" t="inlineStr"/>
      <c r="AC1630" s="5" t="inlineStr"/>
      <c r="AD1630" s="5" t="inlineStr"/>
      <c r="AE1630" s="5" t="inlineStr"/>
      <c r="AF1630" s="5" t="inlineStr"/>
      <c r="AG1630" s="5" t="inlineStr"/>
      <c r="AH1630" s="5" t="inlineStr"/>
      <c r="AI1630" s="5" t="inlineStr"/>
      <c r="AJ1630" s="5" t="inlineStr"/>
    </row>
    <row r="1631">
      <c r="A1631" s="5" t="inlineStr">
        <is>
          <t>b8-politika-kurdele</t>
        </is>
      </c>
      <c r="B1631" s="5" t="n">
        <v>1</v>
      </c>
      <c r="C1631" s="6" t="inlineStr">
        <is>
          <t>Makası bırak, kurdeleyi düğümünden çöz</t>
        </is>
      </c>
      <c r="D1631" s="5" t="inlineStr"/>
      <c r="E1631" s="5" t="inlineStr"/>
      <c r="F1631" s="5" t="inlineStr">
        <is>
          <t>Kurnazlık +1, Dayanıklılık +1</t>
        </is>
      </c>
      <c r="G1631" s="6" t="inlineStr">
        <is>
          <t>Kurdeleyi düğümünden çözdün. Kimse kesilmediğini fark etmedi; fotoğrafta bir makas var, yeter.</t>
        </is>
      </c>
      <c r="H1631" s="6" t="inlineStr"/>
      <c r="I1631" s="6" t="inlineStr"/>
      <c r="J1631" s="6" t="inlineStr"/>
      <c r="K1631" s="6" t="inlineStr"/>
      <c r="L1631" s="6" t="inlineStr"/>
      <c r="M1631" s="5" t="inlineStr"/>
      <c r="N1631" s="5" t="inlineStr"/>
      <c r="O1631" s="6" t="inlineStr"/>
      <c r="P1631" s="6" t="inlineStr"/>
      <c r="Q1631" s="5" t="inlineStr"/>
      <c r="R1631" s="5" t="inlineStr"/>
      <c r="S1631" s="5" t="inlineStr"/>
      <c r="T1631" s="5" t="inlineStr"/>
      <c r="U1631" s="5" t="inlineStr"/>
      <c r="V1631" s="5" t="inlineStr"/>
      <c r="W1631" s="5" t="inlineStr"/>
      <c r="X1631" s="5" t="inlineStr"/>
      <c r="Y1631" s="5" t="inlineStr"/>
      <c r="Z1631" s="6" t="inlineStr"/>
      <c r="AA1631" s="5" t="inlineStr"/>
      <c r="AB1631" s="5" t="inlineStr"/>
      <c r="AC1631" s="5" t="inlineStr"/>
      <c r="AD1631" s="5" t="inlineStr"/>
      <c r="AE1631" s="5" t="inlineStr"/>
      <c r="AF1631" s="5" t="inlineStr"/>
      <c r="AG1631" s="5" t="inlineStr"/>
      <c r="AH1631" s="5" t="inlineStr"/>
      <c r="AI1631" s="5" t="inlineStr"/>
      <c r="AJ1631" s="5" t="inlineStr"/>
    </row>
    <row r="1632">
      <c r="A1632" s="5" t="inlineStr">
        <is>
          <t>b8-politika-kurdele</t>
        </is>
      </c>
      <c r="B1632" s="5" t="n">
        <v>2</v>
      </c>
      <c r="C1632" s="6" t="inlineStr">
        <is>
          <t>Kesmeden önce uzun bir konuşma yap</t>
        </is>
      </c>
      <c r="D1632" s="5" t="inlineStr">
        <is>
          <t>Çene</t>
        </is>
      </c>
      <c r="E1632" s="5" t="inlineStr">
        <is>
          <t>Orta</t>
        </is>
      </c>
      <c r="F1632" s="5" t="inlineStr"/>
      <c r="G1632" s="6" t="inlineStr"/>
      <c r="H1632" s="6" t="inlineStr">
        <is>
          <t>Çeşmenin tarihini anlattın; çeşme dün yapılmıştı. Yine de alkış aldın, kurdele de kesildi.</t>
        </is>
      </c>
      <c r="I1632" s="6" t="inlineStr">
        <is>
          <t>Konuşman biterken çeşmeden su aktı; zamanlama kusursuzdu. Kalabalık bunu senin başarın saydı. Sen de.</t>
        </is>
      </c>
      <c r="J1632" s="6" t="inlineStr">
        <is>
          <t>Konuşma uzadı, kalabalık dağıldı, kurdeleyi bir çocuk kopardı. Fotoğrafta çocuk var.</t>
        </is>
      </c>
      <c r="K1632" s="6" t="inlineStr">
        <is>
          <t>Tam doruk noktasında çeşme çalıştı; basınç fazlaydı. Ön sıradaki teyzelerin fönü, konuşma kâğıdın ve kurdele aynı anda ıslandı. Mahallede o çeşmenin adı hâlâ “Islak Açılış.”</t>
        </is>
      </c>
      <c r="L1632" s="6" t="inlineStr"/>
      <c r="M1632" s="5" t="inlineStr"/>
      <c r="N1632" s="5" t="inlineStr"/>
      <c r="O1632" s="6" t="inlineStr"/>
      <c r="P1632" s="6" t="inlineStr"/>
      <c r="Q1632" s="5" t="inlineStr"/>
      <c r="R1632" s="5" t="inlineStr"/>
      <c r="S1632" s="5" t="inlineStr"/>
      <c r="T1632" s="5" t="inlineStr"/>
      <c r="U1632" s="5" t="inlineStr"/>
      <c r="V1632" s="5" t="inlineStr"/>
      <c r="W1632" s="5" t="inlineStr"/>
      <c r="X1632" s="5" t="inlineStr"/>
      <c r="Y1632" s="5" t="inlineStr"/>
      <c r="Z1632" s="6" t="inlineStr"/>
      <c r="AA1632" s="5" t="inlineStr"/>
      <c r="AB1632" s="5" t="inlineStr"/>
      <c r="AC1632" s="5" t="inlineStr"/>
      <c r="AD1632" s="5" t="inlineStr"/>
      <c r="AE1632" s="5" t="inlineStr"/>
      <c r="AF1632" s="5" t="inlineStr"/>
      <c r="AG1632" s="5" t="inlineStr"/>
      <c r="AH1632" s="5" t="inlineStr"/>
      <c r="AI1632" s="5" t="inlineStr"/>
      <c r="AJ1632" s="5" t="inlineStr"/>
    </row>
    <row r="1633">
      <c r="A1633" s="5" t="inlineStr">
        <is>
          <t>b8-politika-kurdele</t>
        </is>
      </c>
      <c r="B1633" s="5" t="n">
        <v>3</v>
      </c>
      <c r="C1633" s="6" t="inlineStr">
        <is>
          <t>Kör makası kameraya göster, şakaya vur</t>
        </is>
      </c>
      <c r="D1633" s="5" t="inlineStr">
        <is>
          <t>Pişkinlik</t>
        </is>
      </c>
      <c r="E1633" s="5" t="inlineStr">
        <is>
          <t>Orta</t>
        </is>
      </c>
      <c r="F1633" s="5" t="inlineStr"/>
      <c r="G1633" s="6" t="inlineStr"/>
      <c r="H1633" s="6" t="inlineStr">
        <is>
          <t>“Bu makas da seçim vaadi gibi, kesiyormuş gibi yapıyor” dedin. Herkes güldü; espri kurdeleden uzun yaşadı.</t>
        </is>
      </c>
      <c r="I1633" s="6" t="inlineStr">
        <is>
          <t>Esprin haberlere çıktı; bir makas firması sana yeni makas yolladı. Açılış davetlerin ikiye katlandı.</t>
        </is>
      </c>
      <c r="J1633" s="6" t="inlineStr">
        <is>
          <t>Makası getiren görevli bozuldu; makas babasından kalmaymış. Kurdeleyi elinden alıp kendisi kesti, iki hamlede.</t>
        </is>
      </c>
      <c r="K1633" s="6" t="inlineStr">
        <is>
          <t>Makası sallarken kurdeleyi değil mikrofon kablosunu kestin. Açılışın sesi orada bitti.</t>
        </is>
      </c>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c r="AI1633" s="5" t="inlineStr"/>
      <c r="AJ1633" s="5" t="inlineStr"/>
    </row>
    <row r="1634">
      <c r="A1634" s="5" t="inlineStr">
        <is>
          <t>b8-politika-kurdele</t>
        </is>
      </c>
      <c r="B1634" s="5" t="n">
        <v>4</v>
      </c>
      <c r="C1634" s="6" t="inlineStr">
        <is>
          <t>Açılışı bırak, Meclis'e yetiş, kürsüye çık</t>
        </is>
      </c>
      <c r="D1634" s="5" t="inlineStr">
        <is>
          <t>Cesaret</t>
        </is>
      </c>
      <c r="E1634" s="5" t="inlineStr">
        <is>
          <t>Zor</t>
        </is>
      </c>
      <c r="F1634" s="5" t="inlineStr"/>
      <c r="G1634" s="6" t="inlineStr"/>
      <c r="H1634" s="6" t="inlineStr">
        <is>
          <t>Kürsüdeki ilk konuşmanda çeşmeyi anlattın. Meclis güldü, sonra alkışladı. Tutanakta iki kez “(Alkışlar)” yazıyor.</t>
        </is>
      </c>
      <c r="I1634" s="6" t="inlineStr">
        <is>
          <t>İlk konuşmanı her sıradan vekil ayakta alkışladı. Kantinde tost sana ikram edildi; ayran da.</t>
        </is>
      </c>
      <c r="J1634" s="6" t="inlineStr">
        <is>
          <t>Süren yirmi saniyeydi, ilk cümlen otuz. Tutanakta yalnızca “Sayın Başkan” yazıyor.</t>
        </is>
      </c>
      <c r="K1634" s="6" t="inlineStr">
        <is>
          <t>Kurdele ceketine takılı kalmış. Konuşman unutuldu; kurdeleli fotoğrafın kaldı.</t>
        </is>
      </c>
      <c r="L1634" s="6" t="inlineStr"/>
      <c r="M1634" s="5" t="inlineStr"/>
      <c r="N1634" s="5" t="inlineStr"/>
      <c r="O1634" s="6" t="inlineStr"/>
      <c r="P1634" s="6" t="inlineStr"/>
      <c r="Q1634" s="5" t="inlineStr"/>
      <c r="R1634" s="5" t="inlineStr">
        <is>
          <t>secim-kazandi</t>
        </is>
      </c>
      <c r="S1634" s="5" t="inlineStr"/>
      <c r="T1634" s="5" t="inlineStr">
        <is>
          <t>Sözünü Geçirir</t>
        </is>
      </c>
      <c r="U1634" s="5" t="inlineStr"/>
      <c r="V1634" s="5" t="inlineStr"/>
      <c r="W1634" s="5" t="inlineStr"/>
      <c r="X1634" s="5" t="inlineStr"/>
      <c r="Y1634" s="5" t="inlineStr"/>
      <c r="Z1634" s="6" t="inlineStr"/>
      <c r="AA1634" s="5" t="inlineStr"/>
      <c r="AB1634" s="5" t="inlineStr"/>
      <c r="AC1634" s="5" t="inlineStr"/>
      <c r="AD1634" s="5" t="inlineStr"/>
      <c r="AE1634" s="5" t="inlineStr"/>
      <c r="AF1634" s="5" t="inlineStr"/>
      <c r="AG1634" s="5" t="inlineStr"/>
      <c r="AH1634" s="5" t="inlineStr"/>
      <c r="AI1634" s="5" t="inlineStr"/>
      <c r="AJ1634" s="5" t="inlineStr"/>
    </row>
    <row r="1635">
      <c r="A1635" s="5" t="inlineStr">
        <is>
          <t>b9-politika-ani</t>
        </is>
      </c>
      <c r="B1635" s="5" t="n">
        <v>1</v>
      </c>
      <c r="C1635" s="6" t="inlineStr">
        <is>
          <t>Her şeyi olduğu gibi yaz</t>
        </is>
      </c>
      <c r="D1635" s="5" t="inlineStr"/>
      <c r="E1635" s="5" t="inlineStr"/>
      <c r="F1635" s="5" t="inlineStr">
        <is>
          <t>İtibar +1, Akıl +1</t>
        </is>
      </c>
      <c r="G1635" s="6" t="inlineStr">
        <is>
          <t>Kitap dürüst oldu; kırk iki tane sattı. Otuzunu akrabalar aldı. Birini eski rakibin aldı, altını çize çize okuyor.</t>
        </is>
      </c>
      <c r="H1635" s="6" t="inlineStr"/>
      <c r="I1635" s="6" t="inlineStr"/>
      <c r="J1635" s="6" t="inlineStr"/>
      <c r="K1635" s="6" t="inlineStr"/>
      <c r="L1635" s="6" t="inlineStr"/>
      <c r="M1635" s="5" t="inlineStr"/>
      <c r="N1635" s="5" t="inlineStr"/>
      <c r="O1635" s="6" t="inlineStr"/>
      <c r="P1635" s="6" t="inlineStr"/>
      <c r="Q1635" s="5" t="inlineStr"/>
      <c r="R1635" s="5" t="inlineStr"/>
      <c r="S1635" s="5" t="inlineStr"/>
      <c r="T1635" s="5" t="inlineStr"/>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c r="AI1635" s="5" t="inlineStr"/>
      <c r="AJ1635" s="5" t="inlineStr"/>
    </row>
    <row r="1636">
      <c r="A1636" s="5" t="inlineStr">
        <is>
          <t>b9-politika-ani</t>
        </is>
      </c>
      <c r="B1636" s="5" t="n">
        <v>2</v>
      </c>
      <c r="C1636" s="6" t="inlineStr">
        <is>
          <t>Küçük bir sır uydur</t>
        </is>
      </c>
      <c r="D1636" s="5" t="inlineStr">
        <is>
          <t>Pişkinlik</t>
        </is>
      </c>
      <c r="E1636" s="5" t="inlineStr">
        <is>
          <t>Orta</t>
        </is>
      </c>
      <c r="F1636" s="5" t="inlineStr"/>
      <c r="G1636" s="6" t="inlineStr"/>
      <c r="H1636" s="6" t="inlineStr">
        <is>
          <t>“Semaverin gizli tarifi” diye bir bölüm ekledin. Kitap okundu; tarif denendi, tutmadı. Kimse şikâyet etmedi.</t>
        </is>
      </c>
      <c r="I1636" s="6" t="inlineStr">
        <is>
          <t>Uydurduğun sır bir televizyon programına konu oldu. Doğrulaman için çağrıldın; doğruladın.</t>
        </is>
      </c>
      <c r="J1636" s="6" t="inlineStr">
        <is>
          <t>Editör “Bu sırrı biri daha önce yazmış” dedi. Yazan, eski il başkanın.</t>
        </is>
      </c>
      <c r="K1636" s="6" t="inlineStr">
        <is>
          <t>Sırrın kahramanı eski bir parti arkadaşın; kitabı okumuş. Fuarda imza kuyruğuna girdi, kitabı imzalattı, sonra kuyruğa dönüp okudu: 'O gece ben orada değildim.' Kuyruk dağıldı; yarısı ondan imza almaya gitti.</t>
        </is>
      </c>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c r="AI1636" s="5" t="inlineStr"/>
      <c r="AJ1636" s="5" t="inlineStr"/>
    </row>
    <row r="1637">
      <c r="A1637" s="5" t="inlineStr">
        <is>
          <t>b9-politika-ani</t>
        </is>
      </c>
      <c r="B1637" s="5" t="n">
        <v>3</v>
      </c>
      <c r="C1637" s="6" t="inlineStr">
        <is>
          <t>Eski rakibinle ortak kitap yaz</t>
        </is>
      </c>
      <c r="D1637" s="5" t="inlineStr">
        <is>
          <t>Sosyal Radar</t>
        </is>
      </c>
      <c r="E1637" s="5" t="inlineStr">
        <is>
          <t>Zor</t>
        </is>
      </c>
      <c r="F1637" s="5" t="inlineStr"/>
      <c r="G1637" s="6" t="inlineStr"/>
      <c r="H1637" s="6" t="inlineStr">
        <is>
          <t>Her bölümü ikişer kez yazdınız, bir kez kavga ettiniz. Kitap “uzlaşmanın anıları” diye satıldı.</t>
        </is>
      </c>
      <c r="I1637" s="6" t="inlineStr">
        <is>
          <t>İmza gününde ikiniz aynı kalemi kullandınız. Fotoğraf ders kitaplarına girdi, “Nezaket” başlığının altına.</t>
        </is>
      </c>
      <c r="J1637" s="6" t="inlineStr">
        <is>
          <t>Anlaşamadınız; aynı kapakla iki ayrı kitap çıktı. Kitapçılar yan yana dizdi.</t>
        </is>
      </c>
      <c r="K1637" s="6" t="inlineStr">
        <is>
          <t>Önsözde anlaşamadınız; önsöz iki yüz sayfa oldu. Kitap önsözden ibaret.</t>
        </is>
      </c>
      <c r="L1637" s="6" t="inlineStr"/>
      <c r="M1637" s="5" t="inlineStr"/>
      <c r="N1637" s="5" t="inlineStr"/>
      <c r="O1637" s="6" t="inlineStr"/>
      <c r="P1637" s="6" t="inlineStr"/>
      <c r="Q1637" s="5" t="inlineStr"/>
      <c r="R1637" s="5" t="inlineStr"/>
      <c r="S1637" s="5" t="inlineStr"/>
      <c r="T1637" s="5" t="inlineStr">
        <is>
          <t>Odayı Okur</t>
        </is>
      </c>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c r="AI1637" s="5" t="inlineStr"/>
      <c r="AJ1637" s="5" t="inlineStr"/>
    </row>
    <row r="1638">
      <c r="A1638" s="5" t="inlineStr">
        <is>
          <t>b9-politika-kahve</t>
        </is>
      </c>
      <c r="B1638" s="5" t="n">
        <v>1</v>
      </c>
      <c r="C1638" s="6" t="inlineStr">
        <is>
          <t>Hepsini dinle, önce kediyle ilgilen</t>
        </is>
      </c>
      <c r="D1638" s="5" t="inlineStr"/>
      <c r="E1638" s="5" t="inlineStr"/>
      <c r="F1638" s="5" t="inlineStr">
        <is>
          <t>İtibar +1, Sosyal Radar +1</t>
        </is>
      </c>
      <c r="G1638" s="6" t="inlineStr">
        <is>
          <t>Kediyi belediyeye götürdün; ceza çöp kutusunu devirmekten. Cezayı ödedin. Kedi artık kahvede, senin masanda uyuyor.</t>
        </is>
      </c>
      <c r="H1638" s="6" t="inlineStr"/>
      <c r="I1638" s="6" t="inlineStr"/>
      <c r="J1638" s="6" t="inlineStr"/>
      <c r="K1638" s="6" t="inlineStr"/>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c r="AI1638" s="5" t="inlineStr"/>
      <c r="AJ1638" s="5" t="inlineStr"/>
    </row>
    <row r="1639">
      <c r="A1639" s="5" t="inlineStr">
        <is>
          <t>b9-politika-kahve</t>
        </is>
      </c>
      <c r="B1639" s="5" t="n">
        <v>2</v>
      </c>
      <c r="C1639" s="6" t="inlineStr">
        <is>
          <t>Eski telefon defterini aç, birkaç yeri ara</t>
        </is>
      </c>
      <c r="D1639" s="5" t="inlineStr">
        <is>
          <t>Çene</t>
        </is>
      </c>
      <c r="E1639" s="5" t="inlineStr">
        <is>
          <t>Orta</t>
        </is>
      </c>
      <c r="F1639" s="5" t="inlineStr"/>
      <c r="G1639" s="6" t="inlineStr"/>
      <c r="H1639" s="6" t="inlineStr">
        <is>
          <t>Üç yeri aradın, ikisi açtı, biri seni hatırladı. Kaldırım programa alındı; beş yıl sonrasına ama alındı.</t>
        </is>
      </c>
      <c r="I1639" s="6" t="inlineStr">
        <is>
          <t>Aradığın herkes hatırladı: torun işe girdi, kaldırım döküldü, kedinin cezası silindi. Bütün gün çayın ısmarlandı.</t>
        </is>
      </c>
      <c r="J1639" s="6" t="inlineStr">
        <is>
          <t>Numaraların yarısı başkasına geçmiş. Biri pizzacı çıktı; mecburen bir şey sipariş ettin.</t>
        </is>
      </c>
      <c r="K1639" s="6" t="inlineStr">
        <is>
          <t>Yanlış numarayı aradın; eski rakibin açtı. Ricayı dinledi, kaldırımı kendisi yaptırdı. Kahve artık onu seviyor.</t>
        </is>
      </c>
      <c r="L1639" s="6" t="inlineStr"/>
      <c r="M1639" s="5" t="inlineStr"/>
      <c r="N1639" s="5" t="inlineStr"/>
      <c r="O1639" s="6" t="inlineStr"/>
      <c r="P1639" s="6" t="inlineStr"/>
      <c r="Q1639" s="5" t="inlineStr"/>
      <c r="R1639" s="5" t="inlineStr"/>
      <c r="S1639" s="5" t="inlineStr"/>
      <c r="T1639" s="5" t="inlineStr"/>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c r="AI1639" s="5" t="inlineStr"/>
      <c r="AJ1639" s="5" t="inlineStr"/>
    </row>
    <row r="1640">
      <c r="A1640" s="5" t="inlineStr">
        <is>
          <t>b9-politika-kahve</t>
        </is>
      </c>
      <c r="B1640" s="5" t="n">
        <v>3</v>
      </c>
      <c r="C1640" s="6" t="inlineStr">
        <is>
          <t>Ricaları bir mahalle toplantısına çevir</t>
        </is>
      </c>
      <c r="D1640" s="5" t="inlineStr">
        <is>
          <t>Pişkinlik</t>
        </is>
      </c>
      <c r="E1640" s="5" t="inlineStr">
        <is>
          <t>Orta</t>
        </is>
      </c>
      <c r="F1640" s="5" t="inlineStr"/>
      <c r="G1640" s="6" t="inlineStr"/>
      <c r="H1640" s="6" t="inlineStr">
        <is>
          <t>Masaları birleştirdin, kahveyi mahalle meclisine çevirdin. Kaldırım için imza toplandı; kedi de patisini bastı.</t>
        </is>
      </c>
      <c r="I1640" s="6" t="inlineStr">
        <is>
          <t>Toplantılar öyle sevildi ki belediye her ay birini gönderiyor. Yine “Başkanım”sın; bu sefer bir sebebi var.</t>
        </is>
      </c>
      <c r="J1640" s="6" t="inlineStr">
        <is>
          <t>Toplantıya kimse gelmedi; tavla turnuvası vardı. Sen de oynadın, kaybettin.</t>
        </is>
      </c>
      <c r="K1640" s="6" t="inlineStr">
        <is>
          <t>Kaldırımcıyla kedi sahibi kavgaya tutuştu; kedi çöp kutusunu yine devirdi. Ceza bu kez senin adına kesildi.</t>
        </is>
      </c>
      <c r="L1640" s="6" t="inlineStr"/>
      <c r="M1640" s="5" t="inlineStr"/>
      <c r="N1640" s="5" t="inlineStr"/>
      <c r="O1640" s="6" t="inlineStr"/>
      <c r="P1640" s="6" t="inlineStr"/>
      <c r="Q1640" s="5" t="inlineStr"/>
      <c r="R1640" s="5" t="inlineStr"/>
      <c r="S1640" s="5" t="inlineStr"/>
      <c r="T1640" s="5" t="inlineStr"/>
      <c r="U1640" s="5" t="inlineStr"/>
      <c r="V1640" s="5" t="inlineStr"/>
      <c r="W1640" s="5" t="inlineStr"/>
      <c r="X1640" s="5" t="inlineStr"/>
      <c r="Y1640" s="5" t="inlineStr"/>
      <c r="Z1640" s="6" t="inlineStr"/>
      <c r="AA1640" s="5" t="inlineStr"/>
      <c r="AB1640" s="5" t="inlineStr"/>
      <c r="AC1640" s="5" t="inlineStr"/>
      <c r="AD1640" s="5" t="inlineStr"/>
      <c r="AE1640" s="5" t="inlineStr"/>
      <c r="AF1640" s="5" t="inlineStr"/>
      <c r="AG1640" s="5" t="inlineStr"/>
      <c r="AH1640" s="5" t="inlineStr"/>
      <c r="AI1640" s="5" t="inlineStr"/>
      <c r="AJ1640" s="5" t="inlineStr"/>
    </row>
    <row r="1641">
      <c r="A1641" s="5" t="inlineStr">
        <is>
          <t>b9-politika-kahve</t>
        </is>
      </c>
      <c r="B1641" s="5" t="n">
        <v>4</v>
      </c>
      <c r="C1641" s="6" t="inlineStr">
        <is>
          <t>“Eski Meclis üyesi” kartını çıkar</t>
        </is>
      </c>
      <c r="D1641" s="5" t="inlineStr">
        <is>
          <t>Pişkinlik</t>
        </is>
      </c>
      <c r="E1641" s="5" t="inlineStr">
        <is>
          <t>Zor</t>
        </is>
      </c>
      <c r="F1641" s="5" t="inlineStr"/>
      <c r="G1641" s="6" t="inlineStr"/>
      <c r="H1641" s="6" t="inlineStr">
        <is>
          <t>Kartı gösterdin; belediyede kapılar açıldı, kedinin cezası 'sehven' diye silindi. Kahveye döndüğünde kedi senin sandalyendeydi; kalkmadı.</t>
        </is>
      </c>
      <c r="I1641" s="6" t="inlineStr">
        <is>
          <t>Başkan yardımcısı eski stajyerin çıktı. Kaldırım bir haftada döküldü; adı “Vekil Yolu” oldu.</t>
        </is>
      </c>
      <c r="J1641" s="6" t="inlineStr">
        <is>
          <t>Güvenlikteki genç kartının süresinin çoktan dolduğunu söyledi. Ziyaretçi kartıyla girdin.</t>
        </is>
      </c>
      <c r="K1641" s="6" t="inlineStr">
        <is>
          <t>Kartı çıkarırken cüzdandan eski miting fotoğrafların döküldü; bekleme salonu tek tek inceledi. Cezayı ödeyip çıktın.</t>
        </is>
      </c>
      <c r="L1641" s="6" t="inlineStr"/>
      <c r="M1641" s="5" t="inlineStr"/>
      <c r="N1641" s="5" t="inlineStr"/>
      <c r="O1641" s="6" t="inlineStr"/>
      <c r="P1641" s="6" t="inlineStr"/>
      <c r="Q1641" s="5" t="inlineStr"/>
      <c r="R1641" s="5" t="inlineStr">
        <is>
          <t>secim-kazandi</t>
        </is>
      </c>
      <c r="S1641" s="5" t="inlineStr"/>
      <c r="T1641" s="5" t="inlineStr">
        <is>
          <t>Kendine Gülebilir</t>
        </is>
      </c>
      <c r="U1641" s="5" t="inlineStr"/>
      <c r="V1641" s="5" t="inlineStr"/>
      <c r="W1641" s="5" t="inlineStr"/>
      <c r="X1641" s="5" t="inlineStr"/>
      <c r="Y1641" s="5" t="inlineStr"/>
      <c r="Z1641" s="6" t="inlineStr"/>
      <c r="AA1641" s="5" t="inlineStr"/>
      <c r="AB1641" s="5" t="inlineStr"/>
      <c r="AC1641" s="5" t="inlineStr"/>
      <c r="AD1641" s="5" t="inlineStr"/>
      <c r="AE1641" s="5" t="inlineStr"/>
      <c r="AF1641" s="5" t="inlineStr"/>
      <c r="AG1641" s="5" t="inlineStr"/>
      <c r="AH1641" s="5" t="inlineStr"/>
      <c r="AI1641" s="5" t="inlineStr"/>
      <c r="AJ1641" s="5" t="inlineStr"/>
    </row>
    <row r="1642">
      <c r="A1642" s="5" t="inlineStr">
        <is>
          <t>k10-sohret</t>
        </is>
      </c>
      <c r="B1642" s="5" t="n">
        <v>1</v>
      </c>
      <c r="C1642" s="6" t="inlineStr">
        <is>
          <t>Özür videosu çek</t>
        </is>
      </c>
      <c r="D1642" s="5" t="inlineStr">
        <is>
          <t>Çene</t>
        </is>
      </c>
      <c r="E1642" s="5" t="inlineStr">
        <is>
          <t>Orta</t>
        </is>
      </c>
      <c r="F1642" s="5" t="inlineStr"/>
      <c r="G1642" s="6" t="inlineStr"/>
      <c r="H1642" s="6" t="inlineStr">
        <is>
          <t>Beyaz tişört, sade duvar, titrek ses. Özrün kabul edildi; garson bile yorum yazdı: “Tamam, artık tanıyorum.” Sponsorlar döndü.</t>
        </is>
      </c>
      <c r="I1642" s="6" t="inlineStr">
        <is>
          <t>Özür videon, olay videosundan çok izlendi. Garsonla birlikte reklam çektiniz. Artık garsonu da herkes tanıyor.</t>
        </is>
      </c>
      <c r="J1642" s="6" t="inlineStr">
        <is>
          <t>Işık kötüydü, sesin fazla prova edilmişti. Yorumlar “Oyunculuk bu mu?” diyor. Kimse affetmedi; bekliyorlar.</t>
        </is>
      </c>
      <c r="K1642" s="6" t="inlineStr">
        <is>
          <t>Videonun sonunda “Beni tanıyanlar bilir” dedin. Aynı cümle. İkinci video da her yerde.</t>
        </is>
      </c>
      <c r="L1642" s="6" t="inlineStr"/>
      <c r="M1642" s="5" t="inlineStr"/>
      <c r="N1642" s="5" t="inlineStr"/>
      <c r="O1642" s="6" t="inlineStr"/>
      <c r="P1642" s="6" t="inlineStr"/>
      <c r="Q1642" s="5" t="inlineStr"/>
      <c r="R1642" s="5" t="inlineStr"/>
      <c r="S1642" s="5" t="inlineStr"/>
      <c r="T1642" s="5" t="inlineStr"/>
      <c r="U1642" s="5" t="inlineStr"/>
      <c r="V1642" s="5" t="inlineStr"/>
      <c r="W1642" s="5" t="inlineStr"/>
      <c r="X1642" s="5" t="inlineStr"/>
      <c r="Y1642" s="5" t="inlineStr"/>
      <c r="Z1642" s="6" t="inlineStr"/>
      <c r="AA1642" s="5" t="inlineStr"/>
      <c r="AB1642" s="5" t="inlineStr"/>
      <c r="AC1642" s="5" t="inlineStr"/>
      <c r="AD1642" s="5" t="inlineStr">
        <is>
          <t>Rahat</t>
        </is>
      </c>
      <c r="AE1642" s="5" t="inlineStr"/>
      <c r="AF1642" s="5" t="inlineStr"/>
      <c r="AG1642" s="5" t="inlineStr"/>
      <c r="AH1642" s="5" t="inlineStr"/>
      <c r="AI1642" s="5" t="inlineStr"/>
      <c r="AJ1642" s="5" t="inlineStr"/>
    </row>
    <row r="1643">
      <c r="A1643" s="5" t="inlineStr">
        <is>
          <t>k10-sohret</t>
        </is>
      </c>
      <c r="B1643" s="5" t="n">
        <v>2</v>
      </c>
      <c r="C1643" s="6" t="inlineStr">
        <is>
          <t>Sessiz kal, geri dönüşü bekle</t>
        </is>
      </c>
      <c r="D1643" s="5" t="inlineStr">
        <is>
          <t>Dayanıklılık</t>
        </is>
      </c>
      <c r="E1643" s="5" t="inlineStr">
        <is>
          <t>Zor</t>
        </is>
      </c>
      <c r="F1643" s="5" t="inlineStr"/>
      <c r="G1643" s="6" t="inlineStr"/>
      <c r="H1643" s="6" t="inlineStr">
        <is>
          <t>Altı ay tek kelime etmedin. Sonra bir yarışma programında bir kez gülümsedin. Herkes affetti; neyi affettiğini kimse hatırlamıyor.</t>
        </is>
      </c>
      <c r="I1643" s="6" t="inlineStr">
        <is>
          <t>Sessizliğin uzadıkça “Nerede bu?” diye haber yapıldı. Dönüş röportajında sunucu ilk soruyu gülümseyerek sordu: “Bizi tanıyor musunuz?”</t>
        </is>
      </c>
      <c r="J1643" s="6" t="inlineStr">
        <is>
          <t>Sessiz kaldın; seni herkes unuttu, skandal da dahil. Geri dönmek için önce hatırlanman lazım.</t>
        </is>
      </c>
      <c r="K1643" s="6" t="inlineStr">
        <is>
          <t>Sessizliğinin üçüncü ayında yanlışlıkla canlı yayın açtın; kırk dakika buzdolabına baktın. Bu da yeni skandal sayıldı.</t>
        </is>
      </c>
      <c r="L1643" s="6" t="inlineStr"/>
      <c r="M1643" s="5" t="inlineStr"/>
      <c r="N1643" s="5" t="inlineStr"/>
      <c r="O1643" s="6" t="inlineStr"/>
      <c r="P1643" s="6" t="inlineStr"/>
      <c r="Q1643" s="5" t="inlineStr"/>
      <c r="R1643" s="5" t="inlineStr"/>
      <c r="S1643" s="5" t="inlineStr"/>
      <c r="T1643" s="5" t="inlineStr"/>
      <c r="U1643" s="5" t="inlineStr"/>
      <c r="V1643" s="5" t="inlineStr">
        <is>
          <t>sohret-donus</t>
        </is>
      </c>
      <c r="W1643" s="5" t="inlineStr"/>
      <c r="X1643" s="5" t="inlineStr"/>
      <c r="Y1643" s="5" t="inlineStr"/>
      <c r="Z1643" s="6" t="inlineStr"/>
      <c r="AA1643" s="5" t="inlineStr"/>
      <c r="AB1643" s="5" t="inlineStr"/>
      <c r="AC1643" s="5" t="inlineStr"/>
      <c r="AD1643" s="5" t="inlineStr">
        <is>
          <t>Rahat</t>
        </is>
      </c>
      <c r="AE1643" s="5" t="inlineStr"/>
      <c r="AF1643" s="5" t="inlineStr"/>
      <c r="AG1643" s="5" t="inlineStr"/>
      <c r="AH1643" s="5" t="inlineStr"/>
      <c r="AI1643" s="5" t="inlineStr"/>
      <c r="AJ1643" s="5" t="inlineStr"/>
    </row>
    <row r="1644">
      <c r="A1644" s="5" t="inlineStr">
        <is>
          <t>k10-sohret</t>
        </is>
      </c>
      <c r="B1644" s="5" t="n">
        <v>3</v>
      </c>
      <c r="C1644" s="6" t="inlineStr">
        <is>
          <t>Her şeyi bırak, köye çekil</t>
        </is>
      </c>
      <c r="D1644" s="5" t="inlineStr"/>
      <c r="E1644" s="5" t="inlineStr"/>
      <c r="F1644" s="5" t="inlineStr">
        <is>
          <t>İtibar +1, Dayanıklılık +1</t>
        </is>
      </c>
      <c r="G1644" s="6" t="inlineStr">
        <is>
          <t>Telefonu kapattın, köye yerleştin. Köyde seni kimse tanımıyor; bir teyze hariç. O da garsonun annesi.</t>
        </is>
      </c>
      <c r="H1644" s="6" t="inlineStr"/>
      <c r="I1644" s="6" t="inlineStr"/>
      <c r="J1644" s="6" t="inlineStr"/>
      <c r="K1644" s="6" t="inlineStr"/>
      <c r="L1644" s="6" t="inlineStr"/>
      <c r="M1644" s="5" t="inlineStr"/>
      <c r="N1644" s="5" t="inlineStr"/>
      <c r="O1644" s="6" t="inlineStr"/>
      <c r="P1644" s="6" t="inlineStr"/>
      <c r="Q1644" s="5" t="inlineStr"/>
      <c r="R1644" s="5" t="inlineStr"/>
      <c r="S1644" s="5" t="inlineStr"/>
      <c r="T1644" s="5" t="inlineStr"/>
      <c r="U1644" s="5" t="inlineStr">
        <is>
          <t>-hat-cete, -hat-dolandirici, -hat-girisimci, -hat-goc, -hat-hekim, -hat-polis, -hat-politika, -hat-sohret, -hat-usta, -hat-yargi, -meslek-beyazyaka, -meslek-memur, -meslek-serbest, hat-koy, meslek-esnaf</t>
        </is>
      </c>
      <c r="V1644" s="5" t="inlineStr"/>
      <c r="W1644" s="5" t="inlineStr"/>
      <c r="X1644" s="5" t="inlineStr"/>
      <c r="Y1644" s="5" t="inlineStr"/>
      <c r="Z1644" s="6" t="inlineStr"/>
      <c r="AA1644" s="5" t="inlineStr"/>
      <c r="AB1644" s="5" t="inlineStr"/>
      <c r="AC1644" s="5" t="inlineStr"/>
      <c r="AD1644" s="5" t="inlineStr"/>
      <c r="AE1644" s="5" t="inlineStr"/>
      <c r="AF1644" s="5" t="inlineStr"/>
      <c r="AG1644" s="5" t="inlineStr"/>
      <c r="AH1644" s="5" t="inlineStr"/>
      <c r="AI1644" s="5" t="inlineStr"/>
      <c r="AJ1644" s="5" t="inlineStr"/>
    </row>
    <row r="1645">
      <c r="A1645" s="5" t="inlineStr">
        <is>
          <t>k10-girisimci</t>
        </is>
      </c>
      <c r="B1645" s="5" t="n">
        <v>1</v>
      </c>
      <c r="C1645" s="6" t="inlineStr">
        <is>
          <t>Büyü: parayı al, üç şehre birden açıl</t>
        </is>
      </c>
      <c r="D1645" s="5" t="inlineStr">
        <is>
          <t>Akıl</t>
        </is>
      </c>
      <c r="E1645" s="5" t="inlineStr">
        <is>
          <t>Zor</t>
        </is>
      </c>
      <c r="F1645" s="5" t="inlineStr"/>
      <c r="G1645" s="6" t="inlineStr"/>
      <c r="H1645" s="6" t="inlineStr">
        <is>
          <t>Üç şehre açıldın, üçünde de tuttu. Şirketin adı artık sonuna “Grup” alıyor. Kuzen arabasını aldı.</t>
        </is>
      </c>
      <c r="I1645" s="6" t="inlineStr">
        <is>
          <t>Fon ikinci turu sen istemeden verdi. Yeni binanın açılışında kurdeleyi annen kesti, makası çantasına koyup götürdü. Kuzen arabasını aldı; şimdi şoför istiyor.</t>
        </is>
      </c>
      <c r="J1645" s="6" t="inlineStr">
        <is>
          <t>Üç şehrin birinde tuttu, ikisinde battı. Fon parayı istemiyor ama banka istiyor. Borç senin adına.</t>
        </is>
      </c>
      <c r="K1645" s="6" t="inlineStr">
        <is>
          <t>Açıldığın şehirlerden birinde şirketin adı yerel bir küfre denk geldi. Şube kapandı; borç açık kaldı.</t>
        </is>
      </c>
      <c r="L1645" s="6" t="inlineStr"/>
      <c r="M1645" s="5" t="inlineStr"/>
      <c r="N1645" s="5" t="inlineStr"/>
      <c r="O1645" s="6" t="inlineStr"/>
      <c r="P1645" s="6" t="inlineStr"/>
      <c r="Q1645" s="5" t="inlineStr"/>
      <c r="R1645" s="5" t="inlineStr"/>
      <c r="S1645" s="5" t="inlineStr"/>
      <c r="T1645" s="5" t="inlineStr"/>
      <c r="U1645" s="5" t="inlineStr"/>
      <c r="V1645" s="5" t="inlineStr">
        <is>
          <t>holding</t>
        </is>
      </c>
      <c r="W1645" s="5" t="inlineStr"/>
      <c r="X1645" s="5" t="inlineStr"/>
      <c r="Y1645" s="5" t="inlineStr"/>
      <c r="Z1645" s="6" t="inlineStr"/>
      <c r="AA1645" s="5" t="inlineStr"/>
      <c r="AB1645" s="5" t="inlineStr">
        <is>
          <t>borclu</t>
        </is>
      </c>
      <c r="AC1645" s="5" t="inlineStr">
        <is>
          <t>Orta</t>
        </is>
      </c>
      <c r="AD1645" s="5" t="inlineStr">
        <is>
          <t>Zengin</t>
        </is>
      </c>
      <c r="AE1645" s="5" t="inlineStr"/>
      <c r="AF1645" s="5" t="inlineStr"/>
      <c r="AG1645" s="5" t="inlineStr"/>
      <c r="AH1645" s="5" t="inlineStr"/>
      <c r="AI1645" s="5" t="inlineStr"/>
      <c r="AJ1645" s="5" t="inlineStr"/>
      <c r="AL1645" t="n">
        <v>1</v>
      </c>
    </row>
    <row r="1646">
      <c r="A1646" s="5" t="inlineStr">
        <is>
          <t>k10-girisimci</t>
        </is>
      </c>
      <c r="B1646" s="5" t="n">
        <v>2</v>
      </c>
      <c r="C1646" s="6" t="inlineStr">
        <is>
          <t>Şirketi holdinge sat</t>
        </is>
      </c>
      <c r="D1646" s="5" t="inlineStr"/>
      <c r="E1646" s="5" t="inlineStr"/>
      <c r="F1646" s="5" t="inlineStr">
        <is>
          <t>Akıl +1, Kurnazlık +1</t>
        </is>
      </c>
      <c r="G1646" s="6" t="inlineStr">
        <is>
          <t>Holding şirketi aldı, adını kapıdan söktü. Hesabında hiç görmediğin bir rakam var. Kuzen de payını aldı; artık iki araba istiyor.</t>
        </is>
      </c>
      <c r="H1646" s="6" t="inlineStr"/>
      <c r="I1646" s="6" t="inlineStr"/>
      <c r="J1646" s="6" t="inlineStr"/>
      <c r="K1646" s="6" t="inlineStr"/>
      <c r="L1646" s="6" t="inlineStr"/>
      <c r="M1646" s="5" t="inlineStr"/>
      <c r="N1646" s="5" t="inlineStr"/>
      <c r="O1646" s="6" t="inlineStr"/>
      <c r="P1646" s="6" t="inlineStr"/>
      <c r="Q1646" s="5" t="inlineStr"/>
      <c r="R1646" s="5" t="inlineStr"/>
      <c r="S1646" s="5" t="inlineStr"/>
      <c r="T1646" s="5" t="inlineStr"/>
      <c r="U1646" s="5" t="inlineStr">
        <is>
          <t>sirketi-satti</t>
        </is>
      </c>
      <c r="V1646" s="5" t="inlineStr"/>
      <c r="W1646" s="5" t="inlineStr"/>
      <c r="X1646" s="5" t="inlineStr"/>
      <c r="Y1646" s="5" t="inlineStr"/>
      <c r="Z1646" s="6" t="inlineStr"/>
      <c r="AA1646" s="5" t="inlineStr"/>
      <c r="AB1646" s="5" t="inlineStr"/>
      <c r="AC1646" s="5" t="inlineStr"/>
      <c r="AD1646" s="5" t="inlineStr">
        <is>
          <t>Rahat</t>
        </is>
      </c>
      <c r="AE1646" s="5" t="inlineStr"/>
      <c r="AF1646" s="5" t="inlineStr"/>
      <c r="AG1646" s="5" t="inlineStr"/>
      <c r="AH1646" s="5" t="inlineStr"/>
      <c r="AI1646" s="5" t="inlineStr"/>
      <c r="AJ1646" s="5" t="inlineStr"/>
    </row>
    <row r="1647">
      <c r="A1647" s="5" t="inlineStr">
        <is>
          <t>k10-girisimci</t>
        </is>
      </c>
      <c r="B1647" s="5" t="n">
        <v>3</v>
      </c>
      <c r="C1647" s="6" t="inlineStr">
        <is>
          <t>Batmadan kapat, köye dön</t>
        </is>
      </c>
      <c r="D1647" s="5" t="inlineStr"/>
      <c r="E1647" s="5" t="inlineStr"/>
      <c r="F1647" s="5" t="inlineStr">
        <is>
          <t>İtibar +1, Dayanıklılık +1</t>
        </is>
      </c>
      <c r="G1647" s="6" t="inlineStr">
        <is>
          <t>Şirketi kapattın, borçları ödedin, kalanla köye döndün. Annen kapıda sordu: “Şirket ne oldu?” “Kapattım.” “İyi. Otur, dolma var.”</t>
        </is>
      </c>
      <c r="H1647" s="6" t="inlineStr"/>
      <c r="I1647" s="6" t="inlineStr"/>
      <c r="J1647" s="6" t="inlineStr"/>
      <c r="K1647" s="6" t="inlineStr"/>
      <c r="L1647" s="6" t="inlineStr"/>
      <c r="M1647" s="5" t="inlineStr"/>
      <c r="N1647" s="5" t="inlineStr"/>
      <c r="O1647" s="6" t="inlineStr"/>
      <c r="P1647" s="6" t="inlineStr"/>
      <c r="Q1647" s="5" t="inlineStr"/>
      <c r="R1647" s="5" t="inlineStr"/>
      <c r="S1647" s="5" t="inlineStr"/>
      <c r="T1647" s="5" t="inlineStr"/>
      <c r="U1647" s="5" t="inlineStr">
        <is>
          <t>-hat-cete, -hat-dolandirici, -hat-girisimci, -hat-goc, -hat-hekim, -hat-polis, -hat-politika, -hat-sohret, -hat-usta, -hat-yargi, -meslek-beyazyaka, -meslek-memur, -meslek-serbest, hat-koy, meslek-esnaf</t>
        </is>
      </c>
      <c r="V1647" s="5" t="inlineStr"/>
      <c r="W1647" s="5" t="inlineStr"/>
      <c r="X1647" s="5" t="inlineStr"/>
      <c r="Y1647" s="5" t="inlineStr"/>
      <c r="Z1647" s="6" t="inlineStr"/>
      <c r="AA1647" s="5" t="inlineStr"/>
      <c r="AB1647" s="5" t="inlineStr"/>
      <c r="AC1647" s="5" t="inlineStr"/>
      <c r="AD1647" s="5" t="inlineStr"/>
      <c r="AE1647" s="5" t="inlineStr"/>
      <c r="AF1647" s="5" t="n">
        <v>1</v>
      </c>
      <c r="AG1647" s="5" t="inlineStr"/>
      <c r="AH1647" s="5" t="inlineStr"/>
      <c r="AI1647" s="5" t="inlineStr"/>
      <c r="AJ1647" s="5" t="inlineStr"/>
    </row>
    <row r="1648">
      <c r="A1648" s="5" t="inlineStr">
        <is>
          <t>k10-politika</t>
        </is>
      </c>
      <c r="B1648" s="5" t="n">
        <v>1</v>
      </c>
      <c r="C1648" s="6" t="inlineStr">
        <is>
          <t>Kazanmak için son mitingi yap</t>
        </is>
      </c>
      <c r="D1648" s="5" t="inlineStr">
        <is>
          <t>Çene</t>
        </is>
      </c>
      <c r="E1648" s="5" t="inlineStr">
        <is>
          <t>Zor</t>
        </is>
      </c>
      <c r="F1648" s="5" t="inlineStr"/>
      <c r="G1648" s="6" t="inlineStr"/>
      <c r="H1648" s="6" t="inlineStr">
        <is>
          <t>Son miting meydanı doldurdu; çay yetmedi, oylar yetti. Seçim gecesi sonuç geldi: Makarya Meclisi'ndesin.</t>
        </is>
      </c>
      <c r="I1648" s="6" t="inlineStr">
        <is>
          <t>Öyle konuştun ki rakip bile videonu paylaştı. Rekor oyla seçildin; seçim otobüsü müzeye kaldırıldı.</t>
        </is>
      </c>
      <c r="J1648" s="6" t="inlineStr">
        <is>
          <t>Miting güzeldi, sonuç değil. Ertesi gün bir kanal aradı; artık her akşam ekrandasın. Adının altındaki yazı hiç değişmiyor: “Eski aday.”</t>
        </is>
      </c>
      <c r="K1648" s="6" t="inlineStr">
        <is>
          <t>Mikrofon rakip mitingin hoparlörüne bağlanmış; bütün konuşman karşı meydanda çaldı. Rakip kazandı, sana teşekkür plaketi yolladı. Kanallar seni yine yorumcu olarak çağırıyor; her yayın “O mikrofon…” sorusuyla açılıyor.</t>
        </is>
      </c>
      <c r="L1648" s="6" t="inlineStr"/>
      <c r="M1648" s="5" t="inlineStr"/>
      <c r="N1648" s="5" t="inlineStr"/>
      <c r="O1648" s="6" t="inlineStr"/>
      <c r="P1648" s="6" t="inlineStr"/>
      <c r="Q1648" s="5" t="inlineStr"/>
      <c r="R1648" s="5" t="inlineStr"/>
      <c r="S1648" s="5" t="inlineStr"/>
      <c r="T1648" s="5" t="inlineStr"/>
      <c r="U1648" s="5" t="inlineStr"/>
      <c r="V1648" s="5" t="inlineStr">
        <is>
          <t>secim-kazandi</t>
        </is>
      </c>
      <c r="W1648" s="5" t="inlineStr"/>
      <c r="X1648" s="5" t="inlineStr"/>
      <c r="Y1648" s="5" t="inlineStr"/>
      <c r="Z1648" s="6" t="inlineStr"/>
      <c r="AA1648" s="5" t="inlineStr"/>
      <c r="AB1648" s="5" t="inlineStr">
        <is>
          <t>-hat-cete, -hat-dolandirici, -hat-girisimci, -hat-goc, -hat-hekim, -hat-koy, -hat-polis, -hat-politika, -hat-usta, -hat-yargi, -meslek-beyazyaka, -meslek-esnaf, -meslek-memur, hat-sohret, meslek-serbest</t>
        </is>
      </c>
      <c r="AC1648" s="5" t="inlineStr"/>
      <c r="AD1648" s="5" t="inlineStr">
        <is>
          <t>Rahat</t>
        </is>
      </c>
      <c r="AE1648" s="5" t="inlineStr"/>
      <c r="AF1648" s="5" t="inlineStr"/>
      <c r="AG1648" s="5" t="inlineStr"/>
      <c r="AH1648" s="5" t="inlineStr"/>
      <c r="AI1648" s="5" t="inlineStr"/>
      <c r="AJ1648" s="5" t="inlineStr"/>
    </row>
    <row r="1649">
      <c r="A1649" s="5" t="inlineStr">
        <is>
          <t>k10-politika</t>
        </is>
      </c>
      <c r="B1649" s="5" t="n">
        <v>2</v>
      </c>
      <c r="C1649" s="6" t="inlineStr">
        <is>
          <t>İhale teklifini kabul et</t>
        </is>
      </c>
      <c r="D1649" s="5" t="inlineStr">
        <is>
          <t>Kurnazlık</t>
        </is>
      </c>
      <c r="E1649" s="5" t="inlineStr">
        <is>
          <t>Zor</t>
        </is>
      </c>
      <c r="F1649" s="5" t="inlineStr"/>
      <c r="G1649" s="6" t="inlineStr"/>
      <c r="H1649" s="6" t="inlineStr">
        <is>
          <t>Müteahhitle bir çay içtin; kâğıtlar tertemiz göründü. Seçimi kaybetsen de hesabın kazandı. Bayramda telefonun hiç susmadı; arayanların hiçbiri aileden değildi.</t>
        </is>
      </c>
      <c r="I1649" s="6" t="inlineStr">
        <is>
          <t>İhale öyle sessiz kapandı ki kimse bir şey sormadı. Müteahhit teşekkür için bir köprü açtı, kurdelesini sen kestin. Ailen izlemedi.</t>
        </is>
      </c>
      <c r="J1649" s="6" t="inlineStr">
        <is>
          <t>Çay içtiğiniz masanın altında bir mikrofon varmış; kaşık sesleri bile kayıtta. Seçim gecesini karakolda, sonrasını içeride geçirdin.</t>
        </is>
      </c>
      <c r="K1649" s="6" t="inlineStr">
        <is>
          <t>İhale dosyasını yanlışlıkla parti grubuna gönderdin. Sonuçlardan önce savcılık geldi; seçim gecesini içeride izledin.</t>
        </is>
      </c>
      <c r="L1649" s="6" t="inlineStr"/>
      <c r="M1649" s="5" t="inlineStr"/>
      <c r="N1649" s="5" t="inlineStr"/>
      <c r="O1649" s="6" t="inlineStr"/>
      <c r="P1649" s="6" t="inlineStr"/>
      <c r="Q1649" s="5" t="inlineStr"/>
      <c r="R1649" s="5" t="inlineStr"/>
      <c r="S1649" s="5" t="inlineStr"/>
      <c r="T1649" s="5" t="inlineStr"/>
      <c r="U1649" s="5" t="inlineStr"/>
      <c r="V1649" s="5" t="inlineStr">
        <is>
          <t>ihaleci</t>
        </is>
      </c>
      <c r="W1649" s="5" t="inlineStr"/>
      <c r="X1649" s="5" t="inlineStr"/>
      <c r="Y1649" s="5" t="inlineStr"/>
      <c r="Z1649" s="6" t="inlineStr"/>
      <c r="AA1649" s="5" t="inlineStr">
        <is>
          <t>hepsi -1</t>
        </is>
      </c>
      <c r="AB1649" s="5" t="inlineStr">
        <is>
          <t>hapis</t>
        </is>
      </c>
      <c r="AC1649" s="5" t="inlineStr"/>
      <c r="AD1649" s="5" t="inlineStr">
        <is>
          <t>Zengin</t>
        </is>
      </c>
      <c r="AE1649" s="5" t="inlineStr"/>
      <c r="AF1649" s="5" t="inlineStr"/>
      <c r="AG1649" s="5" t="inlineStr"/>
      <c r="AH1649" s="5" t="inlineStr"/>
      <c r="AI1649" s="5" t="inlineStr"/>
      <c r="AJ1649" s="5" t="inlineStr"/>
    </row>
    <row r="1650">
      <c r="A1650" s="5" t="inlineStr">
        <is>
          <t>k10-politika</t>
        </is>
      </c>
      <c r="B1650" s="5" t="n">
        <v>3</v>
      </c>
      <c r="C1650" s="6" t="inlineStr">
        <is>
          <t>Adaylıktan çekil, danışman ol</t>
        </is>
      </c>
      <c r="D1650" s="5" t="inlineStr"/>
      <c r="E1650" s="5" t="inlineStr"/>
      <c r="F1650" s="5" t="inlineStr">
        <is>
          <t>Akıl +1, Sosyal Radar +1</t>
        </is>
      </c>
      <c r="G1650" s="6" t="inlineStr">
        <is>
          <t>Adaylıktan çekildin, kazanan adayın danışmanı oldun. Meclis'e her gün giriyorsun; oy vermiyorsun, tost yiyorsun.</t>
        </is>
      </c>
      <c r="H1650" s="6" t="inlineStr"/>
      <c r="I1650" s="6" t="inlineStr"/>
      <c r="J1650" s="6" t="inlineStr"/>
      <c r="K1650" s="6" t="inlineStr"/>
      <c r="L1650" s="6" t="inlineStr"/>
      <c r="M1650" s="5" t="inlineStr"/>
      <c r="N1650" s="5" t="inlineStr"/>
      <c r="O1650" s="6" t="inlineStr"/>
      <c r="P1650" s="6" t="inlineStr"/>
      <c r="Q1650" s="5" t="inlineStr"/>
      <c r="R1650" s="5" t="inlineStr"/>
      <c r="S1650" s="5" t="inlineStr"/>
      <c r="T1650" s="5" t="inlineStr"/>
      <c r="U1650" s="5" t="inlineStr"/>
      <c r="V1650" s="5" t="inlineStr"/>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c r="AI1650" s="5" t="inlineStr"/>
      <c r="AJ1650" s="5" t="inlineStr"/>
    </row>
    <row r="1651">
      <c r="A1651" s="5" t="inlineStr">
        <is>
          <t>k10-politika</t>
        </is>
      </c>
      <c r="B1651" s="5" t="n">
        <v>4</v>
      </c>
      <c r="C1651" s="6" t="inlineStr">
        <is>
          <t>Mahallenin adayı ol</t>
        </is>
      </c>
      <c r="D1651" s="5" t="inlineStr">
        <is>
          <t>İtibar</t>
        </is>
      </c>
      <c r="E1651" s="5" t="inlineStr">
        <is>
          <t>Zor</t>
        </is>
      </c>
      <c r="F1651" s="5" t="inlineStr"/>
      <c r="G1651" s="6" t="inlineStr"/>
      <c r="H1651" s="6" t="inlineStr">
        <is>
          <t>Afişe gerek kalmadı; mahalle seni zaten tanıyordu. Seçim gecesi kahvede sayım yapıldı, sonuç sokakta kutlandı.</t>
        </is>
      </c>
      <c r="I1651" s="6" t="inlineStr">
        <is>
          <t>Rakip parti bile seni tebrik etti; “Sizin mahallede bizim adayımız da size oy verdi” dediler.</t>
        </is>
      </c>
      <c r="J1651" s="6" t="inlineStr">
        <is>
          <t>Mahalle sana oy verdi, ilçe vermedi. Kaybettin ama ertesi sabah kapına üç tencere yemek geldi.</t>
        </is>
      </c>
      <c r="K1651" s="6" t="inlineStr">
        <is>
          <t>Seçim gecesi mahalle sana o kadar güvendi ki kimse sandığa gitmedi: “Nasılsa kazanır.” Kaybettin.</t>
        </is>
      </c>
      <c r="L1651" s="6" t="inlineStr"/>
      <c r="M1651" s="5" t="inlineStr"/>
      <c r="N1651" s="5" t="inlineStr"/>
      <c r="O1651" s="6" t="inlineStr"/>
      <c r="P1651" s="6" t="inlineStr"/>
      <c r="Q1651" s="5" t="inlineStr"/>
      <c r="R1651" s="5" t="inlineStr"/>
      <c r="S1651" s="5" t="inlineStr"/>
      <c r="T1651" s="5" t="inlineStr"/>
      <c r="U1651" s="5" t="inlineStr"/>
      <c r="V1651" s="5" t="inlineStr">
        <is>
          <t>secim-kazandi</t>
        </is>
      </c>
      <c r="W1651" s="5" t="inlineStr"/>
      <c r="X1651" s="5" t="inlineStr"/>
      <c r="Y1651" s="5" t="inlineStr"/>
      <c r="Z1651" s="6" t="inlineStr"/>
      <c r="AA1651" s="5" t="inlineStr"/>
      <c r="AB1651" s="5" t="inlineStr"/>
      <c r="AC1651" s="5" t="inlineStr"/>
      <c r="AD1651" s="5" t="inlineStr">
        <is>
          <t>Rahat</t>
        </is>
      </c>
      <c r="AE1651" s="5" t="inlineStr"/>
      <c r="AF1651" s="5" t="inlineStr"/>
      <c r="AG1651" s="5" t="inlineStr"/>
      <c r="AH1651" s="5" t="inlineStr">
        <is>
          <t>İtibar 37</t>
        </is>
      </c>
      <c r="AI1651" s="5" t="inlineStr"/>
      <c r="AJ1651" s="5" t="inlineStr"/>
    </row>
    <row r="1652">
      <c r="A1652" s="5" t="inlineStr">
        <is>
          <t>b7-goc-oturma-izni</t>
        </is>
      </c>
      <c r="B1652" s="5" t="n">
        <v>1</v>
      </c>
      <c r="C1652" s="6" t="inlineStr">
        <is>
          <t>Sabah beşte kapıda sıraya gir</t>
        </is>
      </c>
      <c r="D1652" s="5" t="inlineStr"/>
      <c r="E1652" s="5" t="inlineStr"/>
      <c r="F1652" s="5" t="inlineStr">
        <is>
          <t>Dayanıklılık +1</t>
        </is>
      </c>
      <c r="G1652" s="6" t="inlineStr">
        <is>
          <t>Sabah beşte kapıdaydın; önünde on bir kişi vardı, üçü Makaryalı. Sırada termos çay döndü. Randevusuz içeri girdin; çay sayesinde değil ama çay da iyiydi.</t>
        </is>
      </c>
      <c r="H1652" s="6" t="inlineStr"/>
      <c r="I1652" s="6" t="inlineStr"/>
      <c r="J1652" s="6" t="inlineStr"/>
      <c r="K1652" s="6" t="inlineStr"/>
      <c r="L1652" s="6" t="inlineStr"/>
      <c r="M1652" s="5" t="inlineStr"/>
      <c r="N1652" s="5" t="inlineStr"/>
      <c r="O1652" s="6" t="inlineStr"/>
      <c r="P1652" s="6" t="inlineStr"/>
      <c r="Q1652" s="5" t="inlineStr"/>
      <c r="R1652" s="5" t="inlineStr"/>
      <c r="S1652" s="5" t="inlineStr"/>
      <c r="T1652" s="5" t="inlineStr"/>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c r="AI1652" s="5" t="inlineStr"/>
      <c r="AJ1652" s="5" t="inlineStr"/>
    </row>
    <row r="1653">
      <c r="A1653" s="5" t="inlineStr">
        <is>
          <t>b7-goc-oturma-izni</t>
        </is>
      </c>
      <c r="B1653" s="5" t="n">
        <v>2</v>
      </c>
      <c r="C1653" s="6" t="inlineStr">
        <is>
          <t>Babana ikinci bir ad bul, formu eksiksiz doldur</t>
        </is>
      </c>
      <c r="D1653" s="5" t="inlineStr">
        <is>
          <t>Akıl</t>
        </is>
      </c>
      <c r="E1653" s="5" t="inlineStr">
        <is>
          <t>Orta</t>
        </is>
      </c>
      <c r="F1653" s="5" t="inlineStr"/>
      <c r="G1653" s="6" t="inlineStr"/>
      <c r="H1653" s="6" t="inlineStr">
        <is>
          <t>Dedesinin adını yazdın, nüfus belgesiyle destekledin. İzin iki yıl uzadı. Baban telefonda yeni adını sordu; beğendi.</t>
        </is>
      </c>
      <c r="I1653" s="6" t="inlineStr">
        <is>
          <t>Formu öyle düzgün doldurdun ki memur onu “örnek dosya” diye panoya astı. İzin beş yıl uzadı; senin dosyan artık duvarda.</t>
        </is>
      </c>
      <c r="J1653" s="6" t="inlineStr">
        <is>
          <t>Babanın ikinci adını yazdın ama nüfus kaydında yok. Dosya “eksik” damgası yedi; damga iki dilliydi.</t>
        </is>
      </c>
      <c r="K1653" s="6" t="inlineStr">
        <is>
          <t>Kutuya babanın mahalledeki lakabını yazdın. Dosyan “Babanızın adı: Kasap” diye işlendi. Düzeltme randevusu dört ay sonra.</t>
        </is>
      </c>
      <c r="L1653" s="6" t="inlineStr"/>
      <c r="M1653" s="5" t="inlineStr"/>
      <c r="N1653" s="5" t="inlineStr"/>
      <c r="O1653" s="6" t="inlineStr"/>
      <c r="P1653" s="6" t="inlineStr"/>
      <c r="Q1653" s="5" t="inlineStr"/>
      <c r="R1653" s="5" t="inlineStr"/>
      <c r="S1653" s="5" t="inlineStr"/>
      <c r="T1653" s="5" t="inlineStr"/>
      <c r="U1653" s="5" t="inlineStr"/>
      <c r="V1653" s="5" t="inlineStr"/>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c r="AI1653" s="5" t="inlineStr"/>
      <c r="AJ1653" s="5" t="inlineStr"/>
    </row>
    <row r="1654">
      <c r="A1654" s="5" t="inlineStr">
        <is>
          <t>b7-goc-oturma-izni</t>
        </is>
      </c>
      <c r="B1654" s="5" t="n">
        <v>3</v>
      </c>
      <c r="C1654" s="6" t="inlineStr">
        <is>
          <t>Memura kutunun gereksiz olduğunu anlat</t>
        </is>
      </c>
      <c r="D1654" s="5" t="inlineStr">
        <is>
          <t>Çene</t>
        </is>
      </c>
      <c r="E1654" s="5" t="inlineStr">
        <is>
          <t>Zor</t>
        </is>
      </c>
      <c r="F1654" s="5" t="inlineStr"/>
      <c r="G1654" s="6" t="inlineStr"/>
      <c r="H1654" s="6" t="inlineStr">
        <is>
          <t>Yönetmeliğin kendi dipnotunu gösterdin: kutu isteğe bağlıymış. Memur dipnotu okudu, iç çekti, damgayı bastı.</t>
        </is>
      </c>
      <c r="I1654" s="6" t="inlineStr">
        <is>
          <t>Memur seni amirine götürdü, amir not aldı. Yedinci kutu gelecek yıl formdan kalkıyor; kimse senin sayende olduğunu bilmeyecek.</t>
        </is>
      </c>
      <c r="J1654" s="6" t="inlineStr">
        <is>
          <t>Anlattın; memur dinledi ve “Kutu kutudur” dedi. Bu cümle iki dilde de aynı çalışıyor.</t>
        </is>
      </c>
      <c r="K1654" s="6" t="inlineStr">
        <is>
          <t>Tartışma uzadı, sıran geçti, memur pencereyi kapattı. Arkandaki Makaryalı amca memleket diliyle söylendi: “Bir kutu için iki saat yaktı bizi.” Memur başını kaldırdı: “Haklısınız amca.” Makaryaca biliyormuş.</t>
        </is>
      </c>
      <c r="L1654" s="6" t="inlineStr"/>
      <c r="M1654" s="5" t="inlineStr"/>
      <c r="N1654" s="5" t="inlineStr"/>
      <c r="O1654" s="6" t="inlineStr"/>
      <c r="P1654" s="6" t="inlineStr"/>
      <c r="Q1654" s="5" t="inlineStr"/>
      <c r="R1654" s="5" t="inlineStr"/>
      <c r="S1654" s="5" t="inlineStr"/>
      <c r="T1654" s="5" t="inlineStr">
        <is>
          <t>Mevzuat Kalkanı</t>
        </is>
      </c>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c r="AI1654" s="5" t="inlineStr"/>
      <c r="AJ1654" s="5" t="inlineStr"/>
    </row>
    <row r="1655">
      <c r="A1655" s="5" t="inlineStr">
        <is>
          <t>b7-goc-akrabalar</t>
        </is>
      </c>
      <c r="B1655" s="5" t="n">
        <v>1</v>
      </c>
      <c r="C1655" s="6" t="inlineStr">
        <is>
          <t>Valizdeki çikolataları eşit dağıt</t>
        </is>
      </c>
      <c r="D1655" s="5" t="inlineStr"/>
      <c r="E1655" s="5" t="inlineStr"/>
      <c r="F1655" s="5" t="inlineStr">
        <is>
          <t>İtibar +1, Sosyal Radar +1</t>
        </is>
      </c>
      <c r="G1655" s="6" t="inlineStr">
        <is>
          <t>Her akrabaya bir kutu çikolata verdin. Sayılar tuttu, kutular tutmadı: teyzeninki büyüktü. Bayrama kadar bu konuşulacak.</t>
        </is>
      </c>
      <c r="H1655" s="6" t="inlineStr"/>
      <c r="I1655" s="6" t="inlineStr"/>
      <c r="J1655" s="6" t="inlineStr"/>
      <c r="K1655" s="6" t="inlineStr"/>
      <c r="L1655" s="6" t="inlineStr"/>
      <c r="M1655" s="5" t="inlineStr"/>
      <c r="N1655" s="5" t="inlineStr"/>
      <c r="O1655" s="6" t="inlineStr"/>
      <c r="P1655" s="6" t="inlineStr"/>
      <c r="Q1655" s="5" t="inlineStr"/>
      <c r="R1655" s="5" t="inlineStr"/>
      <c r="S1655" s="5" t="inlineStr"/>
      <c r="T1655" s="5" t="inlineStr"/>
      <c r="U1655" s="5" t="inlineStr"/>
      <c r="V1655" s="5" t="inlineStr"/>
      <c r="W1655" s="5" t="inlineStr"/>
      <c r="X1655" s="5" t="inlineStr"/>
      <c r="Y1655" s="5" t="inlineStr"/>
      <c r="Z1655" s="6" t="inlineStr"/>
      <c r="AA1655" s="5" t="inlineStr"/>
      <c r="AB1655" s="5" t="inlineStr"/>
      <c r="AC1655" s="5" t="inlineStr"/>
      <c r="AD1655" s="5" t="inlineStr"/>
      <c r="AE1655" s="5" t="inlineStr"/>
      <c r="AF1655" s="5" t="inlineStr"/>
      <c r="AG1655" s="5" t="inlineStr"/>
      <c r="AH1655" s="5" t="inlineStr"/>
      <c r="AI1655" s="5" t="inlineStr"/>
      <c r="AJ1655" s="5" t="inlineStr"/>
    </row>
    <row r="1656">
      <c r="A1656" s="5" t="inlineStr">
        <is>
          <t>b7-goc-akrabalar</t>
        </is>
      </c>
      <c r="B1656" s="5" t="n">
        <v>2</v>
      </c>
      <c r="C1656" s="6" t="inlineStr">
        <is>
          <t>Maaşını kira ve faturalarla birlikte anlat</t>
        </is>
      </c>
      <c r="D1656" s="5" t="inlineStr">
        <is>
          <t>Akıl</t>
        </is>
      </c>
      <c r="E1656" s="5" t="inlineStr">
        <is>
          <t>Orta</t>
        </is>
      </c>
      <c r="F1656" s="5" t="inlineStr"/>
      <c r="G1656" s="6" t="inlineStr"/>
      <c r="H1656" s="6" t="inlineStr">
        <is>
          <t>Kirayı, vergiyi, kışın ısınma faturasını hesapladın. Sofra sustu. Amcan “Burada kalsaydın ya” dedi; ilk kez merak ederek.</t>
        </is>
      </c>
      <c r="I1656" s="6" t="inlineStr">
        <is>
          <t>Öyle iyi anlattın ki kuzen iş fikrinden vazgeçti, teyzen sana harçlık uzattı. Almadın; cebine kendisi koydu.</t>
        </is>
      </c>
      <c r="J1656" s="6" t="inlineStr">
        <is>
          <t>Hesapları anlattın, kimse inanmadı. “Alçakgönüllülük yapıyor” dendi. Üstüne bir de takdir aldın.</t>
        </is>
      </c>
      <c r="K1656" s="6" t="inlineStr">
        <is>
          <t>Maaşını anlatırken kuzen telefonda memleket parasına çevirip yüksek sesle okudu. Sofra sustu. Ertesi sabah kapıda üç akraba vardı: biri düğün, biri dükkân, biri “öylesine” borç istiyordu.</t>
        </is>
      </c>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c r="AI1656" s="5" t="inlineStr"/>
      <c r="AJ1656" s="5" t="inlineStr"/>
    </row>
    <row r="1657">
      <c r="A1657" s="5" t="inlineStr">
        <is>
          <t>b7-goc-akrabalar</t>
        </is>
      </c>
      <c r="B1657" s="5" t="n">
        <v>3</v>
      </c>
      <c r="C1657" s="6" t="inlineStr">
        <is>
          <t>Memlekette küçük bir ev al</t>
        </is>
      </c>
      <c r="D1657" s="5" t="inlineStr">
        <is>
          <t>Kurnazlık</t>
        </is>
      </c>
      <c r="E1657" s="5" t="inlineStr">
        <is>
          <t>Zor</t>
        </is>
      </c>
      <c r="F1657" s="5" t="inlineStr"/>
      <c r="G1657" s="6" t="inlineStr"/>
      <c r="H1657" s="6" t="inlineStr">
        <is>
          <t>Deniz görmeyen ama dağ gören bir ev buldun, pazarlıkla aldın. Anahtar annende; her hafta perdeleri açıp kapatıyor.</t>
        </is>
      </c>
      <c r="I1657" s="6" t="inlineStr">
        <is>
          <t>Ev sahibi eski sınıf arkadaşının babası çıktı; fiyat düştü, bahçedeki erik ağacı da pazarlığa girdi. Komşu teyze ilk gün çitin üstünden seslendi: “Erikler olunca bize de getirirsin, değil mi? Eskiden hep bizimdi.”</t>
        </is>
      </c>
      <c r="J1657" s="6" t="inlineStr">
        <is>
          <t>Evi gezdin, fiyat her gezişte arttı. Emlakçı “gurbetçi fiyatı” demedi; gözleri dedi.</t>
        </is>
      </c>
      <c r="K1657" s="6" t="inlineStr">
        <is>
          <t>Kaparoyu verdin; ertesi gün ev sahibi evi başka bir gurbetçiye, daha pahalıya sattı. Kaparo eksik döndü; emlakçı farkı “masraf” diye anlattı. Akşam teyzen teselli etti: “Üzülme, orada herkes zengin.”</t>
        </is>
      </c>
      <c r="L1657" s="6" t="inlineStr">
        <is>
          <t>Fiyatı biraz indirdin. Ev senin ama bahçedeki erik ağacı “ayrıca konuşulacak”.</t>
        </is>
      </c>
      <c r="M1657" s="5" t="inlineStr">
        <is>
          <t>duel</t>
        </is>
      </c>
      <c r="N1657" s="5" t="inlineStr">
        <is>
          <t>Gurbetçi Fiyatı</t>
        </is>
      </c>
      <c r="O1657" s="6" t="inlineStr">
        <is>
          <t>Karşındakinin sabrı bitmeden en iyi cevabı seç.</t>
        </is>
      </c>
      <c r="P1657" s="6" t="inlineStr">
        <is>
          <t>{"who": "Emlakçı", "item": "memlekette ev", "mode": "buy"}</t>
        </is>
      </c>
      <c r="Q1657" s="5" t="inlineStr"/>
      <c r="R1657" s="5" t="inlineStr"/>
      <c r="S1657" s="5" t="inlineStr"/>
      <c r="T1657" s="5" t="inlineStr">
        <is>
          <t>Pazarlık Duayeni</t>
        </is>
      </c>
      <c r="U1657" s="5" t="inlineStr"/>
      <c r="V1657" s="5" t="inlineStr">
        <is>
          <t>memlekette-ev</t>
        </is>
      </c>
      <c r="W1657" s="5" t="inlineStr"/>
      <c r="X1657" s="5" t="inlineStr"/>
      <c r="Y1657" s="5" t="inlineStr"/>
      <c r="Z1657" s="6" t="inlineStr"/>
      <c r="AA1657" s="5" t="inlineStr"/>
      <c r="AB1657" s="5" t="inlineStr"/>
      <c r="AC1657" s="5" t="inlineStr"/>
      <c r="AD1657" s="5" t="inlineStr"/>
      <c r="AE1657" s="5" t="inlineStr"/>
      <c r="AF1657" s="5" t="n">
        <v>1</v>
      </c>
      <c r="AG1657" s="5" t="inlineStr"/>
      <c r="AH1657" s="5" t="inlineStr"/>
      <c r="AI1657" s="5" t="inlineStr"/>
      <c r="AJ1657" s="5" t="inlineStr"/>
    </row>
    <row r="1658">
      <c r="A1658" s="5" t="inlineStr">
        <is>
          <t>b7-goc-bayram-sofrasi</t>
        </is>
      </c>
      <c r="B1658" s="5" t="n">
        <v>1</v>
      </c>
      <c r="C1658" s="6" t="inlineStr">
        <is>
          <t>Telefonu sofranın başına koy</t>
        </is>
      </c>
      <c r="D1658" s="5" t="inlineStr"/>
      <c r="E1658" s="5" t="inlineStr"/>
      <c r="F1658" s="5" t="inlineStr">
        <is>
          <t>Dayanıklılık +1, Gönül +1</t>
        </is>
      </c>
      <c r="G1658" s="6" t="inlineStr">
        <is>
          <t>Telefonu şekerliğe yasladın. Annen bütün sofrayı yönetti: kim ne yiyecek, komşu neden az yiyor. Komşu ikinci tabağı annenden çekindiği için aldı.</t>
        </is>
      </c>
      <c r="H1658" s="6" t="inlineStr"/>
      <c r="I1658" s="6" t="inlineStr"/>
      <c r="J1658" s="6" t="inlineStr"/>
      <c r="K1658" s="6" t="inlineStr"/>
      <c r="L1658" s="6" t="inlineStr"/>
      <c r="M1658" s="5" t="inlineStr"/>
      <c r="N1658" s="5" t="inlineStr"/>
      <c r="O1658" s="6" t="inlineStr"/>
      <c r="P1658" s="6" t="inlineStr"/>
      <c r="Q1658" s="5" t="inlineStr"/>
      <c r="R1658" s="5" t="inlineStr"/>
      <c r="S1658" s="5" t="inlineStr"/>
      <c r="T1658" s="5" t="inlineStr"/>
      <c r="U1658" s="5" t="inlineStr"/>
      <c r="V1658" s="5" t="inlineStr"/>
      <c r="W1658" s="5" t="inlineStr"/>
      <c r="X1658" s="5" t="inlineStr"/>
      <c r="Y1658" s="5" t="inlineStr"/>
      <c r="Z1658" s="6" t="inlineStr"/>
      <c r="AA1658" s="5" t="inlineStr"/>
      <c r="AB1658" s="5" t="inlineStr"/>
      <c r="AC1658" s="5" t="inlineStr"/>
      <c r="AD1658" s="5" t="inlineStr"/>
      <c r="AE1658" s="5" t="inlineStr"/>
      <c r="AF1658" s="5" t="inlineStr"/>
      <c r="AG1658" s="5" t="inlineStr"/>
      <c r="AH1658" s="5" t="inlineStr"/>
      <c r="AI1658" s="5" t="inlineStr"/>
      <c r="AJ1658" s="5" t="inlineStr"/>
    </row>
    <row r="1659">
      <c r="A1659" s="5" t="inlineStr">
        <is>
          <t>b7-goc-bayram-sofrasi</t>
        </is>
      </c>
      <c r="B1659" s="5" t="n">
        <v>2</v>
      </c>
      <c r="C1659" s="6" t="inlineStr">
        <is>
          <t>Komşulara bayramı iki dilde anlat</t>
        </is>
      </c>
      <c r="D1659" s="5" t="inlineStr">
        <is>
          <t>Akıl</t>
        </is>
      </c>
      <c r="E1659" s="5" t="inlineStr">
        <is>
          <t>Orta</t>
        </is>
      </c>
      <c r="F1659" s="5" t="inlineStr"/>
      <c r="G1659" s="6" t="inlineStr"/>
      <c r="H1659" s="6" t="inlineStr">
        <is>
          <t>El öpmeyi, harçlığı, kolonyayı anlattın. Komşunun çocuğu hemen elini öpmek istedi; harçlık kısmını daha iyi anlamıştı.</t>
        </is>
      </c>
      <c r="I1659" s="6" t="inlineStr">
        <is>
          <t>Öyle sevildi ki apartman gelecek bayramı ortak kutlamaya karar verdi. Yönetim bütçeye bir kalem ekledi: kolonya.</t>
        </is>
      </c>
      <c r="J1659" s="6" t="inlineStr">
        <is>
          <t>“Bayram” kelimesinin karşılığı yok. Üç kelime denedin; komşular sonunda bunu bir çeşit doğum günü sandı.</t>
        </is>
      </c>
      <c r="K1659" s="6" t="inlineStr">
        <is>
          <t>Kolonyayı gösterirken şişe elinden kaydı, komşunun halısına döküldü. Halı üç gün bayram koktu; komşu şikâyet formu doldurdu.</t>
        </is>
      </c>
      <c r="L1659" s="6" t="inlineStr"/>
      <c r="M1659" s="5" t="inlineStr"/>
      <c r="N1659" s="5" t="inlineStr"/>
      <c r="O1659" s="6" t="inlineStr"/>
      <c r="P1659" s="6" t="inlineStr"/>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c r="AI1659" s="5" t="inlineStr"/>
      <c r="AJ1659" s="5" t="inlineStr"/>
    </row>
    <row r="1660">
      <c r="A1660" s="5" t="inlineStr">
        <is>
          <t>b7-goc-bayram-sofrasi</t>
        </is>
      </c>
      <c r="B1660" s="5" t="n">
        <v>3</v>
      </c>
      <c r="C1660" s="6" t="inlineStr">
        <is>
          <t>Dükkânda gurbetçilere bayram tatlısı sat</t>
        </is>
      </c>
      <c r="D1660" s="5" t="inlineStr">
        <is>
          <t>Kurnazlık</t>
        </is>
      </c>
      <c r="E1660" s="5" t="inlineStr">
        <is>
          <t>Orta</t>
        </is>
      </c>
      <c r="F1660" s="5" t="inlineStr"/>
      <c r="G1660" s="6" t="inlineStr"/>
      <c r="H1660" s="6" t="inlineStr">
        <is>
          <t>Dükkânın önünde kuyruk oluştu. Baklavayı tanesiyle sattın; Makaryalılar pahalı buldu, yine de ikişer kutu aldı.</t>
        </is>
      </c>
      <c r="I1660" s="6" t="inlineStr">
        <is>
          <t>Öte Diyarlılar da kuyruğa girdi; biri baklavayı çatal bıçakla kesmeye kalktı, arkadaki teyze elinden alıp gösterdi. Yerel gazete o fotoğrafı bastı: “Bayram tatlısı böyle yenir.”</t>
        </is>
      </c>
      <c r="J1660" s="6" t="inlineStr">
        <is>
          <t>Tatlıları hazırladın ama bayram bu yıl hafta içine denk geldi. Herkes işteydi; baklavaları sen yedin.</t>
        </is>
      </c>
      <c r="K1660" s="6" t="inlineStr">
        <is>
          <t>Şerbet ayarını tutturamadın; baklavalar kutuda yüzdü. Müşteriler kaşıkla yiyip yorum yazdı: “Çorba güzeldi.”</t>
        </is>
      </c>
      <c r="L1660" s="6" t="inlineStr"/>
      <c r="M1660" s="5" t="inlineStr"/>
      <c r="N1660" s="5" t="inlineStr"/>
      <c r="O1660" s="6" t="inlineStr"/>
      <c r="P1660" s="6" t="inlineStr"/>
      <c r="Q1660" s="5" t="inlineStr"/>
      <c r="R1660" s="5" t="inlineStr">
        <is>
          <t>ote-diyar-dukkani</t>
        </is>
      </c>
      <c r="S1660" s="5" t="inlineStr"/>
      <c r="T1660" s="5" t="inlineStr"/>
      <c r="U1660" s="5" t="inlineStr"/>
      <c r="V1660" s="5" t="inlineStr"/>
      <c r="W1660" s="5" t="inlineStr"/>
      <c r="X1660" s="5" t="inlineStr"/>
      <c r="Y1660" s="5" t="inlineStr"/>
      <c r="Z1660" s="6" t="inlineStr"/>
      <c r="AA1660" s="5" t="inlineStr"/>
      <c r="AB1660" s="5" t="inlineStr"/>
      <c r="AC1660" s="5" t="inlineStr"/>
      <c r="AD1660" s="5" t="inlineStr">
        <is>
          <t>Rahat</t>
        </is>
      </c>
      <c r="AE1660" s="5" t="inlineStr"/>
      <c r="AF1660" s="5" t="inlineStr"/>
      <c r="AG1660" s="5" t="inlineStr"/>
      <c r="AH1660" s="5" t="inlineStr"/>
      <c r="AI1660" s="5" t="inlineStr"/>
      <c r="AJ1660" s="5" t="inlineStr"/>
    </row>
    <row r="1661">
      <c r="A1661" s="5" t="inlineStr">
        <is>
          <t>b7-goc-bayram-sofrasi</t>
        </is>
      </c>
      <c r="B1661" s="5" t="n">
        <v>4</v>
      </c>
      <c r="C1661" s="6" t="inlineStr">
        <is>
          <t>Gece uçağıyla memlekete uç, sürpriz yap</t>
        </is>
      </c>
      <c r="D1661" s="5" t="inlineStr">
        <is>
          <t>Dayanıklılık</t>
        </is>
      </c>
      <c r="E1661" s="5" t="inlineStr">
        <is>
          <t>Orta</t>
        </is>
      </c>
      <c r="F1661" s="5" t="inlineStr"/>
      <c r="G1661" s="6" t="inlineStr"/>
      <c r="H1661" s="6" t="inlineStr">
        <is>
          <t>Aktarmalı on sekiz saat. Kapıyı çaldığında annen önce ekrana baktı, sonra kapıya. İkisinde de sen vardın; ekranı kapattı.</t>
        </is>
      </c>
      <c r="I1661" s="6" t="inlineStr">
        <is>
          <t>Uçakta yanındaki amca aynı mahalleden çıktı, seni kapına kadar bıraktı. Sonra kendi kapısını unuttu; bayramı sizde geçirdi.</t>
        </is>
      </c>
      <c r="J1661" s="6" t="inlineStr">
        <is>
          <t>Uçuş ertelendi. Bayramı havalimanında başka bir ülkenin gurbetçileriyle kutladın. Onların da baklavası vardı.</t>
        </is>
      </c>
      <c r="K1661" s="6" t="inlineStr">
        <is>
          <t>Aktarmada uyuyakaldın. Uyandığında uçak da bayram da gitmişti; geriye annenin sesli mesajı kaldı: dokuz dakika.</t>
        </is>
      </c>
      <c r="L1661" s="6" t="inlineStr">
        <is>
          <t>Uçağa son anda yetiştin, valizin yetişmedi. Bayramı babanın pijamasıyla geçirdin; annen bundan memnun.</t>
        </is>
      </c>
      <c r="M1661" s="5" t="inlineStr">
        <is>
          <t>fight</t>
        </is>
      </c>
      <c r="N1661" s="5" t="inlineStr">
        <is>
          <t>Aktarma Koşusu</t>
        </is>
      </c>
      <c r="O1661" s="6" t="inlineStr">
        <is>
          <t>Engelin olmadığı şeride geç.</t>
        </is>
      </c>
      <c r="P1661" s="6" t="inlineStr">
        <is>
          <t>{"mode": "dodge", "obstacles": ["🧳", "🛒", "🚶", "🧹"]}</t>
        </is>
      </c>
      <c r="Q1661" s="5" t="inlineStr"/>
      <c r="R1661" s="5" t="inlineStr"/>
      <c r="S1661" s="5" t="inlineStr"/>
      <c r="T1661" s="5" t="inlineStr"/>
      <c r="U1661" s="5" t="inlineStr"/>
      <c r="V1661" s="5" t="inlineStr"/>
      <c r="W1661" s="5" t="inlineStr"/>
      <c r="X1661" s="5" t="inlineStr"/>
      <c r="Y1661" s="5" t="inlineStr"/>
      <c r="Z1661" s="6" t="inlineStr"/>
      <c r="AA1661" s="5" t="inlineStr"/>
      <c r="AB1661" s="5" t="inlineStr"/>
      <c r="AC1661" s="5" t="inlineStr"/>
      <c r="AD1661" s="5" t="inlineStr"/>
      <c r="AE1661" s="5" t="inlineStr"/>
      <c r="AF1661" s="5" t="inlineStr"/>
      <c r="AG1661" s="5" t="inlineStr"/>
      <c r="AH1661" s="5" t="inlineStr"/>
      <c r="AI1661" s="5" t="inlineStr"/>
      <c r="AJ1661" s="5" t="inlineStr"/>
    </row>
    <row r="1662">
      <c r="A1662" s="5" t="inlineStr">
        <is>
          <t>k10-goc</t>
        </is>
      </c>
      <c r="B1662" s="5" t="n">
        <v>1</v>
      </c>
      <c r="C1662" s="6" t="inlineStr">
        <is>
          <t>Vatandaşlığa başvur, kal</t>
        </is>
      </c>
      <c r="D1662" s="5" t="inlineStr">
        <is>
          <t>Akıl</t>
        </is>
      </c>
      <c r="E1662" s="5" t="inlineStr">
        <is>
          <t>Zor</t>
        </is>
      </c>
      <c r="F1662" s="5" t="inlineStr"/>
      <c r="G1662" s="6" t="inlineStr"/>
      <c r="H1662" s="6" t="inlineStr">
        <is>
          <t>Kırk iki sayfa, bir dil sınavı, Öte Diyar tarihinden otuz soru. Hepsini geçtin. Törende sana bir fidan verdiler; balkonda, mangalın yasak olduğu yerde büyüyor.</t>
        </is>
      </c>
      <c r="I1662" s="6" t="inlineStr">
        <is>
          <t>Tarih sorularını yerlilerden iyi yaptın; memur sonucu iki kez kontrol etti. Pasaportun geldi; fotoğrafta gülüyorsun, kurallara aykırıymış.</t>
        </is>
      </c>
      <c r="J1662" s="6" t="inlineStr">
        <is>
          <t>Başvuru “eksik belge” diye döndü; eksik belge, bir önceki eksik belgenin tercümesiydi. İznin uzadı; kalıyorsun ama misafir olarak.</t>
        </is>
      </c>
      <c r="K1662" s="6" t="inlineStr">
        <is>
          <t>Sınava yanlış günde gittin; o gün ehliyet sınavı vardı. Ehliyet sınavını geçtin. Vatandaşlık başvurun bir yıl ertelendi.</t>
        </is>
      </c>
      <c r="L1662" s="6" t="inlineStr"/>
      <c r="M1662" s="5" t="inlineStr"/>
      <c r="N1662" s="5" t="inlineStr"/>
      <c r="O1662" s="6" t="inlineStr"/>
      <c r="P1662" s="6" t="inlineStr"/>
      <c r="Q1662" s="5" t="inlineStr"/>
      <c r="R1662" s="5" t="inlineStr"/>
      <c r="S1662" s="5" t="inlineStr"/>
      <c r="T1662" s="5" t="inlineStr"/>
      <c r="U1662" s="5" t="inlineStr"/>
      <c r="V1662" s="5" t="inlineStr">
        <is>
          <t>ote-diyar-vatandasi</t>
        </is>
      </c>
      <c r="W1662" s="5" t="inlineStr"/>
      <c r="X1662" s="5" t="inlineStr"/>
      <c r="Y1662" s="5" t="inlineStr"/>
      <c r="Z1662" s="6" t="inlineStr"/>
      <c r="AA1662" s="5" t="inlineStr"/>
      <c r="AB1662" s="5" t="inlineStr"/>
      <c r="AC1662" s="5" t="inlineStr"/>
      <c r="AD1662" s="5" t="inlineStr">
        <is>
          <t>Rahat</t>
        </is>
      </c>
      <c r="AE1662" s="5" t="inlineStr"/>
      <c r="AF1662" s="5" t="inlineStr"/>
      <c r="AG1662" s="5" t="inlineStr"/>
      <c r="AH1662" s="5" t="inlineStr"/>
      <c r="AI1662" s="5" t="inlineStr"/>
      <c r="AJ1662" s="5" t="inlineStr"/>
    </row>
    <row r="1663">
      <c r="A1663" s="5" t="inlineStr">
        <is>
          <t>k10-goc</t>
        </is>
      </c>
      <c r="B1663" s="5" t="n">
        <v>2</v>
      </c>
      <c r="C1663" s="6" t="inlineStr">
        <is>
          <t>Dön, memlekette plazaya gir</t>
        </is>
      </c>
      <c r="D1663" s="5" t="inlineStr">
        <is>
          <t>Çene</t>
        </is>
      </c>
      <c r="E1663" s="5" t="inlineStr">
        <is>
          <t>Orta</t>
        </is>
      </c>
      <c r="F1663" s="5" t="inlineStr"/>
      <c r="G1663" s="6" t="inlineStr"/>
      <c r="H1663" s="6" t="inlineStr">
        <is>
          <t>Tek yön bilet aldın. Havalimanında annen pankart tutuyordu; adını Öte Diyar harfleriyle, doğru yazmış. İki hafta sonra bir plazada “Öte Diyar görmüş” diye anılmaya başladın.</t>
        </is>
      </c>
      <c r="I1663" s="6" t="inlineStr">
        <is>
          <t>Havalimanında on dört akraba ve bir kutu lokum seni bekliyordu. Plazada ilk ay her toplantıya “Öte Diyar'da biz…” diye başladın. İkinci ay müdür seni ekip başı yaptı: “Orada nasıl yapıyorlarsa burada da sen yap.”</t>
        </is>
      </c>
      <c r="J1663" s="6" t="inlineStr">
        <is>
          <t>Bilet aldın, valizi hazırladın; memlekette seni bekleyen iş son anda başkasına verildi. Öte Diyar'da kaldın; bilet çerçevede.</t>
        </is>
      </c>
      <c r="K1663" s="6" t="inlineStr">
        <is>
          <t>Döndün ve iki hafta işsiz kaldın; sonra geri uçtun. Annen seni iki kez uğurladı, bir kez karşıladı, sayıyı tutuyor.</t>
        </is>
      </c>
      <c r="L1663" s="6" t="inlineStr"/>
      <c r="M1663" s="5" t="inlineStr"/>
      <c r="N1663" s="5" t="inlineStr"/>
      <c r="O1663" s="6" t="inlineStr"/>
      <c r="P1663" s="6" t="inlineStr"/>
      <c r="Q1663" s="5" t="inlineStr"/>
      <c r="R1663" s="5" t="inlineStr"/>
      <c r="S1663" s="5" t="inlineStr"/>
      <c r="T1663" s="5" t="inlineStr"/>
      <c r="U1663" s="5" t="inlineStr"/>
      <c r="V1663" s="5" t="inlineStr">
        <is>
          <t>-hat-cete, -hat-dolandirici, -hat-girisimci, -hat-goc, -hat-hekim, -hat-koy, -hat-polis, -hat-politika, -hat-sohret, -hat-usta, -hat-yargi, -meslek-esnaf, -meslek-memur, -meslek-serbest, meslek-beyazyaka, yurtdan-dondu</t>
        </is>
      </c>
      <c r="W1663" s="5" t="inlineStr"/>
      <c r="X1663" s="5" t="inlineStr"/>
      <c r="Y1663" s="5" t="inlineStr"/>
      <c r="Z1663" s="6" t="inlineStr"/>
      <c r="AA1663" s="5" t="inlineStr">
        <is>
          <t>hepsi +1</t>
        </is>
      </c>
      <c r="AB1663" s="5" t="inlineStr"/>
      <c r="AC1663" s="5" t="inlineStr"/>
      <c r="AD1663" s="5" t="inlineStr"/>
      <c r="AE1663" s="5" t="inlineStr"/>
      <c r="AF1663" s="5" t="inlineStr"/>
      <c r="AG1663" s="5" t="inlineStr"/>
      <c r="AH1663" s="5" t="inlineStr"/>
      <c r="AI1663" s="5" t="inlineStr"/>
      <c r="AJ1663" s="5" t="inlineStr"/>
    </row>
    <row r="1664">
      <c r="A1664" s="5" t="inlineStr">
        <is>
          <t>k10-goc</t>
        </is>
      </c>
      <c r="B1664" s="5" t="n">
        <v>3</v>
      </c>
      <c r="C1664" s="6" t="inlineStr">
        <is>
          <t>Öte Diyar'da kendi dükkânını aç</t>
        </is>
      </c>
      <c r="D1664" s="5" t="inlineStr">
        <is>
          <t>Kurnazlık</t>
        </is>
      </c>
      <c r="E1664" s="5" t="inlineStr">
        <is>
          <t>Zor</t>
        </is>
      </c>
      <c r="F1664" s="5" t="inlineStr"/>
      <c r="G1664" s="6" t="inlineStr"/>
      <c r="H1664" s="6" t="inlineStr">
        <is>
          <t>Arkadaşının dükkânını devraldın, tabelaya iki dilde ad yazdın. Yerliler çay için, Makaryalılar sohbet için geliyor. Kasa ikisinden de doluyor.</t>
        </is>
      </c>
      <c r="I1664" s="6" t="inlineStr">
        <is>
          <t>Dükkân açıldığı ay mahallenin “en iyi yeni işletmesi” seçildi. Belediye plaket yolladı; adın yanlış yazılmış, yine de çerçeveledin.</t>
        </is>
      </c>
      <c r="J1664" s="6" t="inlineStr">
        <is>
          <t>İzin başvurusu yaptın; izin dairesi seni başka bir izin dairesine yolladı. Plazadaki masana döndün; dükkân fikri çekmecede.</t>
        </is>
      </c>
      <c r="K1664" s="6" t="inlineStr">
        <is>
          <t>Kaporayı verdin, dükkân sahibi fikrini değiştirdi. Sözleşme iki dilliydi: senin okuduğun dilde “iade edilir”, onun okuduğu dilde “edilmez” yazıyordu.</t>
        </is>
      </c>
      <c r="L1664" s="6" t="inlineStr"/>
      <c r="M1664" s="5" t="inlineStr"/>
      <c r="N1664" s="5" t="inlineStr"/>
      <c r="O1664" s="6" t="inlineStr"/>
      <c r="P1664" s="6" t="inlineStr"/>
      <c r="Q1664" s="5" t="inlineStr"/>
      <c r="R1664" s="5" t="inlineStr"/>
      <c r="S1664" s="5" t="inlineStr"/>
      <c r="T1664" s="5" t="inlineStr"/>
      <c r="U1664" s="5" t="inlineStr"/>
      <c r="V1664" s="5" t="inlineStr">
        <is>
          <t>ote-diyar-dukkani</t>
        </is>
      </c>
      <c r="W1664" s="5" t="inlineStr"/>
      <c r="X1664" s="5" t="inlineStr"/>
      <c r="Y1664" s="5" t="inlineStr"/>
      <c r="Z1664" s="6" t="inlineStr"/>
      <c r="AA1664" s="5" t="inlineStr"/>
      <c r="AB1664" s="5" t="inlineStr"/>
      <c r="AC1664" s="5" t="inlineStr"/>
      <c r="AD1664" s="5" t="inlineStr">
        <is>
          <t>Rahat</t>
        </is>
      </c>
      <c r="AE1664" s="5" t="inlineStr"/>
      <c r="AF1664" s="5" t="inlineStr"/>
      <c r="AG1664" s="5" t="inlineStr"/>
      <c r="AH1664" s="5" t="inlineStr"/>
      <c r="AI1664" s="5" t="inlineStr"/>
      <c r="AJ1664" s="5" t="inlineStr"/>
    </row>
    <row r="1665">
      <c r="A1665" s="5" t="inlineStr">
        <is>
          <t>b8-goc-dil-okulu</t>
        </is>
      </c>
      <c r="B1665" s="5" t="n">
        <v>1</v>
      </c>
      <c r="C1665" s="6" t="inlineStr">
        <is>
          <t>Tahtaya memleketten fotoğraflar as</t>
        </is>
      </c>
      <c r="D1665" s="5" t="inlineStr"/>
      <c r="E1665" s="5" t="inlineStr"/>
      <c r="F1665" s="5" t="inlineStr">
        <is>
          <t>İtibar +1, Sosyal Radar +1</t>
        </is>
      </c>
      <c r="G1665" s="6" t="inlineStr">
        <is>
          <t>Dedenin kahvesini, mahalle fırınını, bir de dolmuşu astın. Çocuklar en çok dolmuşu sordu: “Neden herkes parayı öne uzatıyor?”</t>
        </is>
      </c>
      <c r="H1665" s="6" t="inlineStr"/>
      <c r="I1665" s="6" t="inlineStr"/>
      <c r="J1665" s="6" t="inlineStr"/>
      <c r="K1665" s="6" t="inlineStr"/>
      <c r="L1665" s="6" t="inlineStr"/>
      <c r="M1665" s="5" t="inlineStr"/>
      <c r="N1665" s="5" t="inlineStr"/>
      <c r="O1665" s="6" t="inlineStr"/>
      <c r="P1665" s="6" t="inlineStr"/>
      <c r="Q1665" s="5" t="inlineStr"/>
      <c r="R1665" s="5" t="inlineStr"/>
      <c r="S1665" s="5" t="inlineStr"/>
      <c r="T1665" s="5" t="inlineStr"/>
      <c r="U1665" s="5" t="inlineStr"/>
      <c r="V1665" s="5" t="inlineStr"/>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c r="AI1665" s="5" t="inlineStr"/>
      <c r="AJ1665" s="5" t="inlineStr"/>
    </row>
    <row r="1666">
      <c r="A1666" s="5" t="inlineStr">
        <is>
          <t>b8-goc-dil-okulu</t>
        </is>
      </c>
      <c r="B1666" s="5" t="n">
        <v>2</v>
      </c>
      <c r="C1666" s="6" t="inlineStr">
        <is>
          <t>Dersi dilbilgisiyle, sırayla anlat</t>
        </is>
      </c>
      <c r="D1666" s="5" t="inlineStr">
        <is>
          <t>Akıl</t>
        </is>
      </c>
      <c r="E1666" s="5" t="inlineStr">
        <is>
          <t>Orta</t>
        </is>
      </c>
      <c r="F1666" s="5" t="inlineStr"/>
      <c r="G1666" s="6" t="inlineStr"/>
      <c r="H1666" s="6" t="inlineStr">
        <is>
          <t>Üç ayda çocuklar ekleri öğrendi. Biri annesine “Geliyorumdumuş” diye mesaj attı; yanlış ama çok Makaryalı.</t>
        </is>
      </c>
      <c r="I1666" s="6" t="inlineStr">
        <is>
          <t>Dönem sonunda çocuklar memleketteki büyükannelerine mektup yazdı. Büyükanneler teşekkür için derneğe üç kilo pestil yolladı.</t>
        </is>
      </c>
      <c r="J1666" s="6" t="inlineStr">
        <is>
          <t>Ekleri anlattın, çocuklar saydı: kırk yedi. Biri ağladı, biri “Ben bir daha gelmiyorum” deyip annesini aradı.</t>
        </is>
      </c>
      <c r="K1666" s="6" t="inlineStr">
        <is>
          <t>Dersin ortasında “kaşık” kelimesini hatırlayamadın ve Öte Diyar dilinde söyledin. En küçük öğrenci parmak kaldırdı: “Öğretmenim, siz de mi evde çevirtiyorsunuz?”</t>
        </is>
      </c>
      <c r="L1666" s="6" t="inlineStr"/>
      <c r="M1666" s="5" t="inlineStr"/>
      <c r="N1666" s="5" t="inlineStr"/>
      <c r="O1666" s="6" t="inlineStr"/>
      <c r="P1666" s="6" t="inlineStr"/>
      <c r="Q1666" s="5" t="inlineStr"/>
      <c r="R1666" s="5" t="inlineStr"/>
      <c r="S1666" s="5" t="inlineStr"/>
      <c r="T1666" s="5" t="inlineStr"/>
      <c r="U1666" s="5" t="inlineStr"/>
      <c r="V1666" s="5" t="inlineStr">
        <is>
          <t>gurbet-ogretmeni</t>
        </is>
      </c>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c r="AI1666" s="5" t="inlineStr"/>
      <c r="AJ1666" s="5" t="inlineStr"/>
    </row>
    <row r="1667">
      <c r="A1667" s="5" t="inlineStr">
        <is>
          <t>b8-goc-dil-okulu</t>
        </is>
      </c>
      <c r="B1667" s="5" t="n">
        <v>3</v>
      </c>
      <c r="C1667" s="6" t="inlineStr">
        <is>
          <t>Her ders sonunda çocuklarla memleket yemeği yap</t>
        </is>
      </c>
      <c r="D1667" s="5" t="inlineStr">
        <is>
          <t>Dayanıklılık</t>
        </is>
      </c>
      <c r="E1667" s="5" t="inlineStr">
        <is>
          <t>Zor</t>
        </is>
      </c>
      <c r="F1667" s="5" t="inlineStr"/>
      <c r="G1667" s="6" t="inlineStr"/>
      <c r="H1667" s="6" t="inlineStr">
        <is>
          <t>Mantı günü: dokuz çocuk, dokuz yüz mantı. Un bodrumdan merdivene taştı. Çocuklar “hamur” kelimesini hiç unutmayacak.</t>
        </is>
      </c>
      <c r="I1667" s="6" t="inlineStr">
        <is>
          <t>Bütün aileler geldi, bodrum bayram yerine döndü. Dernek okulun adını değiştirdi: “Mantı Okulu.” İtiraz eden olmadı.</t>
        </is>
      </c>
      <c r="J1667" s="6" t="inlineStr">
        <is>
          <t>Yemek güzeldi ama derse vakit kalmadı. Çocuklar dört ayda tek kelime öğrendi: “Doydum.”</t>
        </is>
      </c>
      <c r="K1667" s="6" t="inlineStr">
        <is>
          <t>Börek fırında yandı, yangın alarmı çaldı, itfaiye geldi. Dokuz çocuk itfaiyecilere bildikleri tek memleket kelimesini öğretti: “Yandık!” Dernek mutfağın anahtarını senden geri aldı.</t>
        </is>
      </c>
      <c r="L1667" s="6" t="inlineStr"/>
      <c r="M1667" s="5" t="inlineStr"/>
      <c r="N1667" s="5" t="inlineStr"/>
      <c r="O1667" s="6" t="inlineStr"/>
      <c r="P1667" s="6" t="inlineStr"/>
      <c r="Q1667" s="5" t="inlineStr"/>
      <c r="R1667" s="5" t="inlineStr"/>
      <c r="S1667" s="5" t="inlineStr"/>
      <c r="T1667" s="5" t="inlineStr">
        <is>
          <t>İki Dilli Rüya</t>
        </is>
      </c>
      <c r="U1667" s="5" t="inlineStr"/>
      <c r="V1667" s="5" t="inlineStr">
        <is>
          <t>gurbet-ogretmeni</t>
        </is>
      </c>
      <c r="W1667" s="5" t="inlineStr"/>
      <c r="X1667" s="5" t="inlineStr"/>
      <c r="Y1667" s="5" t="inlineStr"/>
      <c r="Z1667" s="6" t="inlineStr"/>
      <c r="AA1667" s="5" t="inlineStr"/>
      <c r="AB1667" s="5" t="inlineStr"/>
      <c r="AC1667" s="5" t="inlineStr"/>
      <c r="AD1667" s="5" t="inlineStr"/>
      <c r="AE1667" s="5" t="inlineStr"/>
      <c r="AF1667" s="5" t="inlineStr"/>
      <c r="AG1667" s="5" t="inlineStr"/>
      <c r="AH1667" s="5" t="inlineStr"/>
      <c r="AI1667" s="5" t="inlineStr"/>
      <c r="AJ1667" s="5" t="inlineStr"/>
    </row>
    <row r="1668">
      <c r="A1668" s="5" t="inlineStr">
        <is>
          <t>b8-goc-donsem-mi</t>
        </is>
      </c>
      <c r="B1668" s="5" t="n">
        <v>1</v>
      </c>
      <c r="C1668" s="6" t="inlineStr">
        <is>
          <t>Her yaz bir ay git, soruyu ertele</t>
        </is>
      </c>
      <c r="D1668" s="5" t="inlineStr"/>
      <c r="E1668" s="5" t="inlineStr"/>
      <c r="F1668" s="5" t="inlineStr">
        <is>
          <t>Dayanıklılık +1, Gönül +1</t>
        </is>
      </c>
      <c r="G1668" s="6" t="inlineStr">
        <is>
          <t>Bu yıl da bir ay gittin, döndün. Gidişte valizde çikolata, dönüşte annenin salçası ve bir kavanoz tarhana; havalimanında ikisinde de ağladın. Hangi tarafın gurbet olduğu artık mevsime bağlı.</t>
        </is>
      </c>
      <c r="H1668" s="6" t="inlineStr"/>
      <c r="I1668" s="6" t="inlineStr"/>
      <c r="J1668" s="6" t="inlineStr"/>
      <c r="K1668" s="6" t="inlineStr"/>
      <c r="L1668" s="6" t="inlineStr"/>
      <c r="M1668" s="5" t="inlineStr"/>
      <c r="N1668" s="5" t="inlineStr"/>
      <c r="O1668" s="6" t="inlineStr"/>
      <c r="P1668" s="6" t="inlineStr"/>
      <c r="Q1668" s="5" t="inlineStr"/>
      <c r="R1668" s="5" t="inlineStr"/>
      <c r="S1668" s="5" t="inlineStr"/>
      <c r="T1668" s="5" t="inlineStr"/>
      <c r="U1668" s="5" t="inlineStr"/>
      <c r="V1668" s="5" t="inlineStr"/>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c r="AI1668" s="5" t="inlineStr"/>
      <c r="AJ1668" s="5" t="inlineStr"/>
    </row>
    <row r="1669">
      <c r="A1669" s="5" t="inlineStr">
        <is>
          <t>b8-goc-donsem-mi</t>
        </is>
      </c>
      <c r="B1669" s="5" t="n">
        <v>2</v>
      </c>
      <c r="C1669" s="6" t="inlineStr">
        <is>
          <t>Artıları ve eksileri iki dilde tabloya dök</t>
        </is>
      </c>
      <c r="D1669" s="5" t="inlineStr">
        <is>
          <t>Akıl</t>
        </is>
      </c>
      <c r="E1669" s="5" t="inlineStr">
        <is>
          <t>Orta</t>
        </is>
      </c>
      <c r="F1669" s="5" t="inlineStr"/>
      <c r="G1669" s="6" t="inlineStr"/>
      <c r="H1669" s="6" t="inlineStr">
        <is>
          <t>Tablo bitti: iki sütun, eşit uzunlukta. Bir satır ekledin: “Fırın kokusu.” Tablo tek satırla memleketten yana döndü.</t>
        </is>
      </c>
      <c r="I1669" s="6" t="inlineStr">
        <is>
          <t>Tabloyu gören herkes kendi tablosunu istedi. Dernekte “Dönsem mi?” danışmanlığı yapıyorsun; ücretsiz, çay onlardan.</t>
        </is>
      </c>
      <c r="J1669" s="6" t="inlineStr">
        <is>
          <t>Tablo o kadar uzadı ki yazıcının kâğıdı bitti. Karar yine kışa kaldı.</t>
        </is>
      </c>
      <c r="K1669" s="6" t="inlineStr">
        <is>
          <t>Tabloyu yanlışlıkla aile grubuna attın. Annen “Eksiler” sütununu okudu; iki gündür telefonu açmıyor.</t>
        </is>
      </c>
      <c r="L1669" s="6" t="inlineStr"/>
      <c r="M1669" s="5" t="inlineStr"/>
      <c r="N1669" s="5" t="inlineStr"/>
      <c r="O1669" s="6" t="inlineStr"/>
      <c r="P1669" s="6" t="inlineStr"/>
      <c r="Q1669" s="5" t="inlineStr"/>
      <c r="R1669" s="5" t="inlineStr"/>
      <c r="S1669" s="5" t="inlineStr"/>
      <c r="T1669" s="5" t="inlineStr"/>
      <c r="U1669" s="5" t="inlineStr"/>
      <c r="V1669" s="5" t="inlineStr"/>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c r="AI1669" s="5" t="inlineStr"/>
      <c r="AJ1669" s="5" t="inlineStr"/>
    </row>
    <row r="1670">
      <c r="A1670" s="5" t="inlineStr">
        <is>
          <t>b8-goc-donsem-mi</t>
        </is>
      </c>
      <c r="B1670" s="5" t="n">
        <v>3</v>
      </c>
      <c r="C1670" s="6" t="inlineStr">
        <is>
          <t>Memleketteki evi onart, dönüşe hazırla</t>
        </is>
      </c>
      <c r="D1670" s="5" t="inlineStr">
        <is>
          <t>Dayanıklılık</t>
        </is>
      </c>
      <c r="E1670" s="5" t="inlineStr">
        <is>
          <t>Zor</t>
        </is>
      </c>
      <c r="F1670" s="5" t="inlineStr"/>
      <c r="G1670" s="6" t="inlineStr"/>
      <c r="H1670" s="6" t="inlineStr">
        <is>
          <t>Uzaktan usta tuttun, görüntülü aramayla boyattın. Duvarlar senin seçtiğin renk, fayanslar ustanın. Ev hazır; sen yarı hazırsın.</t>
        </is>
      </c>
      <c r="I1670" s="6" t="inlineStr">
        <is>
          <t>Ev yenilendi; erik ağacı budandı ve o yaz ilk kez meyve verdi. Annen ilk eriklerden bir kutu kargoladı. Öte Diyar'a varana kadar ezilmişlerdi; hepsini yine de yedin.</t>
        </is>
      </c>
      <c r="J1670" s="6" t="inlineStr">
        <is>
          <t>Tamir başladı, sonra usta kayboldu. Duvarların yarısı boyalı; annen “Bu da moda” diyor.</t>
        </is>
      </c>
      <c r="K1670" s="6" t="inlineStr">
        <is>
          <t>Görüntülü aramada yanlış duvarı gösterdin; usta komşunun bahçe duvarını yıktı. Komşu annene “Gurbetçi parası duvar yıkar” dedi. Annen bir hafta pazara çıkamadı.</t>
        </is>
      </c>
      <c r="L1670" s="6" t="inlineStr"/>
      <c r="M1670" s="5" t="inlineStr"/>
      <c r="N1670" s="5" t="inlineStr"/>
      <c r="O1670" s="6" t="inlineStr"/>
      <c r="P1670" s="6" t="inlineStr"/>
      <c r="Q1670" s="5" t="inlineStr"/>
      <c r="R1670" s="5" t="inlineStr">
        <is>
          <t>memlekette-ev</t>
        </is>
      </c>
      <c r="S1670" s="5" t="inlineStr"/>
      <c r="T1670" s="5" t="inlineStr"/>
      <c r="U1670" s="5" t="inlineStr"/>
      <c r="V1670" s="5" t="inlineStr">
        <is>
          <t>donuse-hazir</t>
        </is>
      </c>
      <c r="W1670" s="5" t="inlineStr"/>
      <c r="X1670" s="5" t="inlineStr"/>
      <c r="Y1670" s="5" t="inlineStr"/>
      <c r="Z1670" s="6" t="inlineStr"/>
      <c r="AA1670" s="5" t="inlineStr"/>
      <c r="AB1670" s="5" t="inlineStr"/>
      <c r="AC1670" s="5" t="inlineStr"/>
      <c r="AD1670" s="5" t="inlineStr"/>
      <c r="AE1670" s="5" t="inlineStr"/>
      <c r="AF1670" s="5" t="inlineStr"/>
      <c r="AG1670" s="5" t="inlineStr"/>
      <c r="AH1670" s="5" t="inlineStr"/>
      <c r="AI1670" s="5" t="inlineStr"/>
      <c r="AJ1670" s="5" t="inlineStr"/>
    </row>
    <row r="1671">
      <c r="A1671" s="5" t="inlineStr">
        <is>
          <t>b8-goc-donsem-mi</t>
        </is>
      </c>
      <c r="B1671" s="5" t="n">
        <v>4</v>
      </c>
      <c r="C1671" s="6" t="inlineStr">
        <is>
          <t>Memlekettekileri arayıp nabız yokla</t>
        </is>
      </c>
      <c r="D1671" s="5" t="inlineStr">
        <is>
          <t>Sosyal Radar</t>
        </is>
      </c>
      <c r="E1671" s="5" t="inlineStr">
        <is>
          <t>Orta</t>
        </is>
      </c>
      <c r="F1671" s="5" t="inlineStr"/>
      <c r="G1671" s="6" t="inlineStr"/>
      <c r="H1671" s="6" t="inlineStr">
        <is>
          <t>Beş arkadaşını aradın. Üçü “Gel” dedi, ikisi “Sakın gelme”, biri de senden iş istedi. Hepsi telefonu aynı soruyla kapattı: “Annen nasıl?”</t>
        </is>
      </c>
      <c r="I1671" s="6" t="inlineStr">
        <is>
          <t>Arkadaşların karşılama komitesi bile kurdu. Dönmesen de gelecek yıl havalimanına gelecekler; tatbikat için.</t>
        </is>
      </c>
      <c r="J1671" s="6" t="inlineStr">
        <is>
          <t>Aradığın herkes sana Öte Diyar'da iş sordu. Biri özgeçmişini bile yolladı; vesikalığı düğününden kesilmişti.</t>
        </is>
      </c>
      <c r="K1671" s="6" t="inlineStr">
        <is>
          <t>Nabız yoklarken teyzene “Belki dönerim” dedin. Akşam bütün memleket biliyordu: annen perdeleri yıkamış, komşular hoş geldine gelmiş. Şimdi dönmemek için bir sebep bulman gerekiyor.</t>
        </is>
      </c>
      <c r="L1671" s="6" t="inlineStr"/>
      <c r="M1671" s="5" t="inlineStr"/>
      <c r="N1671" s="5" t="inlineStr"/>
      <c r="O1671" s="6" t="inlineStr"/>
      <c r="P1671" s="6" t="inlineStr"/>
      <c r="Q1671" s="5" t="inlineStr"/>
      <c r="R1671" s="5" t="inlineStr"/>
      <c r="S1671" s="5" t="inlineStr"/>
      <c r="T1671" s="5" t="inlineStr"/>
      <c r="U1671" s="5" t="inlineStr"/>
      <c r="V1671" s="5" t="inlineStr"/>
      <c r="W1671" s="5" t="inlineStr"/>
      <c r="X1671" s="5" t="inlineStr"/>
      <c r="Y1671" s="5" t="inlineStr"/>
      <c r="Z1671" s="6" t="inlineStr"/>
      <c r="AA1671" s="5" t="inlineStr"/>
      <c r="AB1671" s="5" t="inlineStr"/>
      <c r="AC1671" s="5" t="inlineStr"/>
      <c r="AD1671" s="5" t="inlineStr"/>
      <c r="AE1671" s="5" t="inlineStr"/>
      <c r="AF1671" s="5" t="inlineStr"/>
      <c r="AG1671" s="5" t="inlineStr"/>
      <c r="AH1671" s="5" t="inlineStr"/>
      <c r="AI1671" s="5" t="inlineStr"/>
      <c r="AJ1671" s="5" t="inlineStr"/>
    </row>
    <row r="1672">
      <c r="A1672" s="5" t="inlineStr">
        <is>
          <t>b9-goc-iki-dilde-emeklilik</t>
        </is>
      </c>
      <c r="B1672" s="5" t="n">
        <v>1</v>
      </c>
      <c r="C1672" s="6" t="inlineStr">
        <is>
          <t>İki kurumu aynı anda ara, iki hatta bekle</t>
        </is>
      </c>
      <c r="D1672" s="5" t="inlineStr"/>
      <c r="E1672" s="5" t="inlineStr"/>
      <c r="F1672" s="5" t="inlineStr">
        <is>
          <t>Dayanıklılık +1</t>
        </is>
      </c>
      <c r="G1672" s="6" t="inlineStr">
        <is>
          <t>Bir kulakta Öte Diyar'ın bekleme müziği, öbüründe Makarya'nınki. Dört saat sonra iki müzik aynı notaya geldi. Dosya yürümedi ama sen bir şarkı besteledin.</t>
        </is>
      </c>
      <c r="H1672" s="6" t="inlineStr"/>
      <c r="I1672" s="6" t="inlineStr"/>
      <c r="J1672" s="6" t="inlineStr"/>
      <c r="K1672" s="6" t="inlineStr"/>
      <c r="L1672" s="6" t="inlineStr"/>
      <c r="M1672" s="5" t="inlineStr"/>
      <c r="N1672" s="5" t="inlineStr"/>
      <c r="O1672" s="6" t="inlineStr"/>
      <c r="P1672" s="6" t="inlineStr"/>
      <c r="Q1672" s="5" t="inlineStr"/>
      <c r="R1672" s="5" t="inlineStr"/>
      <c r="S1672" s="5" t="inlineStr"/>
      <c r="T1672" s="5" t="inlineStr"/>
      <c r="U1672" s="5" t="inlineStr"/>
      <c r="V1672" s="5" t="inlineStr"/>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c r="AI1672" s="5" t="inlineStr"/>
      <c r="AJ1672" s="5" t="inlineStr"/>
    </row>
    <row r="1673">
      <c r="A1673" s="5" t="inlineStr">
        <is>
          <t>b9-goc-iki-dilde-emeklilik</t>
        </is>
      </c>
      <c r="B1673" s="5" t="n">
        <v>2</v>
      </c>
      <c r="C1673" s="6" t="inlineStr">
        <is>
          <t>Yazıları iki dilde kendin hazırla</t>
        </is>
      </c>
      <c r="D1673" s="5" t="inlineStr">
        <is>
          <t>Akıl</t>
        </is>
      </c>
      <c r="E1673" s="5" t="inlineStr">
        <is>
          <t>Orta</t>
        </is>
      </c>
      <c r="F1673" s="5" t="inlineStr"/>
      <c r="G1673" s="6" t="inlineStr"/>
      <c r="H1673" s="6" t="inlineStr">
        <is>
          <t>Dosyayı iki dilde, iki nüsha, iki mühürle götürdün. Emekli maaşın iki ayrı günde, iki ayrı kurla yatıyor. Hangisi fazla, hesaplamayı bıraktın.</t>
        </is>
      </c>
      <c r="I1673" s="6" t="inlineStr">
        <is>
          <t>Dosyan öyle düzgündü ki iki kurumda da memurlar fotokopisini çekip çekmecesine koydu. Senden sonra gelen gurbetçilere aynı cümleyi kuruyorlar: 'Şu dosya gibi getirin.'</t>
        </is>
      </c>
      <c r="J1673" s="6" t="inlineStr">
        <is>
          <t>Yazıları götürdün; birinde gün ile ay yer değiştirmiş. Emekliliğin kâğıt üzerinde bir ay ileri gitti.</t>
        </is>
      </c>
      <c r="K1673" s="6" t="inlineStr">
        <is>
          <t>Kopyaları karıştırdın. Makarya'daki kurum seni Öte Diyarlı sanıyor, Öte Diyar'daki Makaryalı. İkisi de haklı.</t>
        </is>
      </c>
      <c r="L1673" s="6" t="inlineStr"/>
      <c r="M1673" s="5" t="inlineStr"/>
      <c r="N1673" s="5" t="inlineStr"/>
      <c r="O1673" s="6" t="inlineStr"/>
      <c r="P1673" s="6" t="inlineStr"/>
      <c r="Q1673" s="5" t="inlineStr"/>
      <c r="R1673" s="5" t="inlineStr"/>
      <c r="S1673" s="5" t="inlineStr"/>
      <c r="T1673" s="5" t="inlineStr"/>
      <c r="U1673" s="5" t="inlineStr"/>
      <c r="V1673" s="5" t="inlineStr"/>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c r="AI1673" s="5" t="inlineStr"/>
      <c r="AJ1673" s="5" t="inlineStr"/>
    </row>
    <row r="1674">
      <c r="A1674" s="5" t="inlineStr">
        <is>
          <t>b9-goc-iki-dilde-emeklilik</t>
        </is>
      </c>
      <c r="B1674" s="5" t="n">
        <v>3</v>
      </c>
      <c r="C1674" s="6" t="inlineStr">
        <is>
          <t>Memleketteki eve yerleş, emekliliği oradan kovala</t>
        </is>
      </c>
      <c r="D1674" s="5" t="inlineStr">
        <is>
          <t>Cesaret</t>
        </is>
      </c>
      <c r="E1674" s="5" t="inlineStr">
        <is>
          <t>Orta</t>
        </is>
      </c>
      <c r="F1674" s="5" t="inlineStr"/>
      <c r="G1674" s="6" t="inlineStr"/>
      <c r="H1674" s="6" t="inlineStr">
        <is>
          <t>Yaz başında memleketteki eve yerleştin. Sabahları fırına gidiyorsun; kokusu hatırladığın gibi. Fırıncı değişmiş, seni o hatırlıyor.</t>
        </is>
      </c>
      <c r="I1674" s="6" t="inlineStr">
        <is>
          <t>Mahallede adın artık 'Öte Diyarlı'. Bahçede erik, balkonda mangal; burada yasak değil. Otuz yıldır ilk kez mangal yakıyorsun; duman bütün sokağa döndüğünü haber veriyor.</t>
        </is>
      </c>
      <c r="J1674" s="6" t="inlineStr">
        <is>
          <t>Eşyaları topladın, kargo kırk koli istedi. Yarısı geldi; hangi yarının gerekli olduğu tartışmalı.</t>
        </is>
      </c>
      <c r="K1674" s="6" t="inlineStr">
        <is>
          <t>Eve vardığında içeride yeğenin oturuyordu, nişanlısıyla. Sana misafir odasını verdiler; kendi evinde.</t>
        </is>
      </c>
      <c r="L1674" s="6" t="inlineStr"/>
      <c r="M1674" s="5" t="inlineStr"/>
      <c r="N1674" s="5" t="inlineStr"/>
      <c r="O1674" s="6" t="inlineStr"/>
      <c r="P1674" s="6" t="inlineStr"/>
      <c r="Q1674" s="5" t="inlineStr"/>
      <c r="R1674" s="5" t="inlineStr">
        <is>
          <t>memlekette-ev</t>
        </is>
      </c>
      <c r="S1674" s="5" t="inlineStr"/>
      <c r="T1674" s="5" t="inlineStr"/>
      <c r="U1674" s="5" t="inlineStr"/>
      <c r="V1674" s="5" t="inlineStr">
        <is>
          <t>yazliga-dondu</t>
        </is>
      </c>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c r="AI1674" s="5" t="inlineStr"/>
      <c r="AJ1674" s="5" t="inlineStr"/>
    </row>
    <row r="1675">
      <c r="A1675" s="5" t="inlineStr">
        <is>
          <t>b9-goc-iki-dilde-emeklilik</t>
        </is>
      </c>
      <c r="B1675" s="5" t="n">
        <v>4</v>
      </c>
      <c r="C1675" s="6" t="inlineStr">
        <is>
          <t>Kışı orada, yazı burada geçir</t>
        </is>
      </c>
      <c r="D1675" s="5" t="inlineStr">
        <is>
          <t>Sosyal Radar</t>
        </is>
      </c>
      <c r="E1675" s="5" t="inlineStr">
        <is>
          <t>Zor</t>
        </is>
      </c>
      <c r="F1675" s="5" t="inlineStr"/>
      <c r="G1675" s="6" t="inlineStr"/>
      <c r="H1675" s="6" t="inlineStr">
        <is>
          <t>Kasımda Öte Diyar'a, mayısta memlekete. İki yerde de “Yine mi geldin?” diyorlar; ikisinde de sevinerek.</t>
        </is>
      </c>
      <c r="I1675" s="6" t="inlineStr">
        <is>
          <t>İki mahallede de çayın ısmarlanıyor. Öte Diyar'daki komşular dönüşünü takvime işaretliyor, bahçelerini sana emanet ediyor; buradakiler de evlerinin anahtarını.</t>
        </is>
      </c>
      <c r="J1675" s="6" t="inlineStr">
        <is>
          <t>İki memleket arasında gidip gelirken iki tarafın faturası birikiyor. Posta kutuların iki ülkede birden dolu.</t>
        </is>
      </c>
      <c r="K1675" s="6" t="inlineStr">
        <is>
          <t>Biletleri karıştırdın; kışı memlekette, yazı Öte Diyar'da geçirdin. İki yerde de üşüdün.</t>
        </is>
      </c>
      <c r="L1675" s="6" t="inlineStr"/>
      <c r="M1675" s="5" t="inlineStr"/>
      <c r="N1675" s="5" t="inlineStr"/>
      <c r="O1675" s="6" t="inlineStr"/>
      <c r="P1675" s="6" t="inlineStr"/>
      <c r="Q1675" s="5" t="inlineStr"/>
      <c r="R1675" s="5" t="inlineStr"/>
      <c r="S1675" s="5" t="inlineStr"/>
      <c r="T1675" s="5" t="inlineStr">
        <is>
          <t>Odayı Okur</t>
        </is>
      </c>
      <c r="U1675" s="5" t="inlineStr"/>
      <c r="V1675" s="5" t="inlineStr">
        <is>
          <t>iki-memleketli</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c r="AI1675" s="5" t="inlineStr"/>
      <c r="AJ1675" s="5" t="inlineStr"/>
    </row>
    <row r="1676">
      <c r="A1676" s="5" t="inlineStr">
        <is>
          <t>b7-koy-keciler</t>
        </is>
      </c>
      <c r="B1676" s="5" t="n">
        <v>1</v>
      </c>
      <c r="C1676" s="6" t="inlineStr">
        <is>
          <t>Komşuya lahananın parasını öde</t>
        </is>
      </c>
      <c r="D1676" s="5" t="inlineStr"/>
      <c r="E1676" s="5" t="inlineStr"/>
      <c r="F1676" s="5" t="inlineStr">
        <is>
          <t>İtibar +2</t>
        </is>
      </c>
      <c r="G1676" s="6" t="inlineStr">
        <is>
          <t>Lahananın parasını uzattın, bir de özür. Komşu parayı almadı, özrü aldı. Akşam kapına bir tabak dolma bıraktı; lahanasız.</t>
        </is>
      </c>
      <c r="H1676" s="6" t="inlineStr"/>
      <c r="I1676" s="6" t="inlineStr"/>
      <c r="J1676" s="6" t="inlineStr"/>
      <c r="K1676" s="6" t="inlineStr"/>
      <c r="L1676" s="6" t="inlineStr"/>
      <c r="M1676" s="5" t="inlineStr"/>
      <c r="N1676" s="5" t="inlineStr"/>
      <c r="O1676" s="6" t="inlineStr"/>
      <c r="P1676" s="6" t="inlineStr"/>
      <c r="Q1676" s="5" t="inlineStr"/>
      <c r="R1676" s="5" t="inlineStr"/>
      <c r="S1676" s="5" t="inlineStr"/>
      <c r="T1676" s="5" t="inlineStr"/>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c r="AI1676" s="5" t="inlineStr"/>
      <c r="AJ1676" s="5" t="inlineStr"/>
    </row>
    <row r="1677">
      <c r="A1677" s="5" t="inlineStr">
        <is>
          <t>b7-koy-keciler</t>
        </is>
      </c>
      <c r="B1677" s="5" t="n">
        <v>2</v>
      </c>
      <c r="C1677" s="6" t="inlineStr">
        <is>
          <t>Sürünün liderini bul, onu ikna et</t>
        </is>
      </c>
      <c r="D1677" s="5" t="inlineStr">
        <is>
          <t>Sosyal Radar</t>
        </is>
      </c>
      <c r="E1677" s="5" t="inlineStr">
        <is>
          <t>Orta</t>
        </is>
      </c>
      <c r="F1677" s="5" t="inlineStr"/>
      <c r="G1677" s="6" t="inlineStr"/>
      <c r="H1677" s="6" t="inlineStr">
        <is>
          <t>Lider, sakallı yaşlı bir dişiymiş. Ona bir avuç arpa verdin; sürü eve döndü. Artık seni o yönetiyor, sen de itiraz etmiyorsun.</t>
        </is>
      </c>
      <c r="I1677" s="6" t="inlineStr">
        <is>
          <t>Lider keçiyle anlaştınız; sürüyü sabah o çıkarıyor, akşam o getiriyor. Köyde artık adın “Keçi Muhtarı”. Asıl muhtar bundan hoşlanmadı.</t>
        </is>
      </c>
      <c r="J1677" s="6" t="inlineStr">
        <is>
          <t>Lider sandığın keçi sürünün en çekingeniymiş. Sen onu ikna ettin; o da kimseyi. Akşama kadar ikiniz bahçe kapısında oturup sürüyü izlediniz.</t>
        </is>
      </c>
      <c r="K1677" s="6" t="inlineStr">
        <is>
          <t>Lider keçi göz temasını meydan okuma saydı; seni popo üstü lahana tarhına oturttu. Komşu elindeki lahanayı unuttu. Akşam kahvede anlatırken gülmekten iskemleden düştü.</t>
        </is>
      </c>
      <c r="L1677" s="6" t="inlineStr"/>
      <c r="M1677" s="5" t="inlineStr"/>
      <c r="N1677" s="5" t="inlineStr"/>
      <c r="O1677" s="6" t="inlineStr"/>
      <c r="P1677" s="6" t="inlineStr"/>
      <c r="Q1677" s="5" t="inlineStr"/>
      <c r="R1677" s="5" t="inlineStr"/>
      <c r="S1677" s="5" t="inlineStr"/>
      <c r="T1677" s="5" t="inlineStr"/>
      <c r="U1677" s="5" t="inlineStr"/>
      <c r="V1677" s="5" t="inlineStr">
        <is>
          <t>keci-dostu</t>
        </is>
      </c>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c r="AI1677" s="5" t="inlineStr"/>
      <c r="AJ1677" s="5" t="inlineStr"/>
    </row>
    <row r="1678">
      <c r="A1678" s="5" t="inlineStr">
        <is>
          <t>b7-koy-keciler</t>
        </is>
      </c>
      <c r="B1678" s="5" t="n">
        <v>3</v>
      </c>
      <c r="C1678" s="6" t="inlineStr">
        <is>
          <t>Bahçeye keçi geçirmez çit kur</t>
        </is>
      </c>
      <c r="D1678" s="5" t="inlineStr">
        <is>
          <t>Dayanıklılık</t>
        </is>
      </c>
      <c r="E1678" s="5" t="inlineStr">
        <is>
          <t>Zor</t>
        </is>
      </c>
      <c r="F1678" s="5" t="inlineStr"/>
      <c r="G1678" s="6" t="inlineStr"/>
      <c r="H1678" s="6" t="inlineStr">
        <is>
          <t>Üç gün, iki rulo tel, bir sürü kazık. Çit bitti. Keçiler bir gün çiti inceledi, sonra yan bahçeden vazgeçti; şimdilik.</t>
        </is>
      </c>
      <c r="I1678" s="6" t="inlineStr">
        <is>
          <t>Çitin öyle sağlam çıktı ki köyde herkes seni kendi bahçesi için çağırdı. Keçiler de gelip izledi; not alıyor gibiydiler.</t>
        </is>
      </c>
      <c r="J1678" s="6" t="inlineStr">
        <is>
          <t>Çiti kurdun; keçiler üstünden atlamadı, kapısını açtı. Mandalı sen takmıştın.</t>
        </is>
      </c>
      <c r="K1678" s="6" t="inlineStr">
        <is>
          <t>Çiti yanlış tarafa kurdun; keçiler bahçede, sen dışarıdasın. Komşu lahanaları çitin içinden sana uzatıyor.</t>
        </is>
      </c>
      <c r="L1678" s="6" t="inlineStr"/>
      <c r="M1678" s="5" t="inlineStr"/>
      <c r="N1678" s="5" t="inlineStr"/>
      <c r="O1678" s="6" t="inlineStr"/>
      <c r="P1678" s="6" t="inlineStr"/>
      <c r="Q1678" s="5" t="inlineStr"/>
      <c r="R1678" s="5" t="inlineStr"/>
      <c r="S1678" s="5" t="inlineStr"/>
      <c r="T1678" s="5" t="inlineStr">
        <is>
          <t>Bahçe Filozofu</t>
        </is>
      </c>
      <c r="U1678" s="5" t="inlineStr"/>
      <c r="V1678" s="5" t="inlineStr"/>
      <c r="W1678" s="5" t="inlineStr"/>
      <c r="X1678" s="5" t="inlineStr"/>
      <c r="Y1678" s="5" t="inlineStr"/>
      <c r="Z1678" s="6" t="inlineStr"/>
      <c r="AA1678" s="5" t="inlineStr"/>
      <c r="AB1678" s="5" t="inlineStr"/>
      <c r="AC1678" s="5" t="inlineStr"/>
      <c r="AD1678" s="5" t="inlineStr"/>
      <c r="AE1678" s="5" t="inlineStr"/>
      <c r="AF1678" s="5" t="inlineStr"/>
      <c r="AG1678" s="5" t="inlineStr"/>
      <c r="AH1678" s="5" t="inlineStr"/>
      <c r="AI1678" s="5" t="inlineStr"/>
      <c r="AJ1678" s="5" t="inlineStr"/>
    </row>
    <row r="1679">
      <c r="A1679" s="5" t="inlineStr">
        <is>
          <t>b7-koy-kooperatif</t>
        </is>
      </c>
      <c r="B1679" s="5" t="n">
        <v>1</v>
      </c>
      <c r="C1679" s="6" t="inlineStr">
        <is>
          <t>Söz alma, çayını iç, dinle</t>
        </is>
      </c>
      <c r="D1679" s="5" t="inlineStr"/>
      <c r="E1679" s="5" t="inlineStr"/>
      <c r="F1679" s="5" t="inlineStr">
        <is>
          <t>Sosyal Radar +1, Dayanıklılık +1</t>
        </is>
      </c>
      <c r="G1679" s="6" t="inlineStr">
        <is>
          <t>Üç saat dinledin. Tank hakkında bir şey öğrenmedin; kimin kime küs olduğunu, kimin kızının nereye gelin gittiğini öğrendin. Asıl gündem buydu.</t>
        </is>
      </c>
      <c r="H1679" s="6" t="inlineStr"/>
      <c r="I1679" s="6" t="inlineStr"/>
      <c r="J1679" s="6" t="inlineStr"/>
      <c r="K1679" s="6" t="inlineStr"/>
      <c r="L1679" s="6" t="inlineStr"/>
      <c r="M1679" s="5" t="inlineStr"/>
      <c r="N1679" s="5" t="inlineStr"/>
      <c r="O1679" s="6" t="inlineStr"/>
      <c r="P1679" s="6" t="inlineStr"/>
      <c r="Q1679" s="5" t="inlineStr"/>
      <c r="R1679" s="5" t="inlineStr"/>
      <c r="S1679" s="5" t="inlineStr"/>
      <c r="T1679" s="5" t="inlineStr"/>
      <c r="U1679" s="5" t="inlineStr"/>
      <c r="V1679" s="5" t="inlineStr"/>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c r="AI1679" s="5" t="inlineStr"/>
      <c r="AJ1679" s="5" t="inlineStr"/>
    </row>
    <row r="1680">
      <c r="A1680" s="5" t="inlineStr">
        <is>
          <t>b7-koy-kooperatif</t>
        </is>
      </c>
      <c r="B1680" s="5" t="n">
        <v>2</v>
      </c>
      <c r="C1680" s="6" t="inlineStr">
        <is>
          <t>Tankın hesabını çıkar, masaya koy</t>
        </is>
      </c>
      <c r="D1680" s="5" t="inlineStr">
        <is>
          <t>Akıl</t>
        </is>
      </c>
      <c r="E1680" s="5" t="inlineStr">
        <is>
          <t>Orta</t>
        </is>
      </c>
      <c r="F1680" s="5" t="inlineStr"/>
      <c r="G1680" s="6" t="inlineStr"/>
      <c r="H1680" s="6" t="inlineStr">
        <is>
          <t>Tankın kendini kaç yılda ödeyeceğini kâğıda döktün. Kâğıt elden ele dolaştı, Hüsnü Emmi'de kaldı. Tank onaylandı; kâğıt hâlâ Hüsnü Emmi'de.</t>
        </is>
      </c>
      <c r="I1680" s="6" t="inlineStr">
        <is>
          <t>Hesabın öyle netti ki kooperatif defteri sana verdi. Her ayın ilk pazartesi hesap sende; çay da.</t>
        </is>
      </c>
      <c r="J1680" s="6" t="inlineStr">
        <is>
          <t>Hesabı anlattın, biri “Okumuş çocuk” dedi. Kimse karşı çıkmadı, kimse el kaldırmadı. Karar bir sonraki toplantıya kaldı.</t>
        </is>
      </c>
      <c r="K1680" s="6" t="inlineStr">
        <is>
          <t>Hesapta bir sıfır kaçırdın. Kâğıda göre tank kendini üç yüz yılda ödüyor. Hüsnü Emmi kâğıdı çerçeveletti.</t>
        </is>
      </c>
      <c r="L1680" s="6" t="inlineStr"/>
      <c r="M1680" s="5" t="inlineStr"/>
      <c r="N1680" s="5" t="inlineStr"/>
      <c r="O1680" s="6" t="inlineStr"/>
      <c r="P1680" s="6" t="inlineStr"/>
      <c r="Q1680" s="5" t="inlineStr"/>
      <c r="R1680" s="5" t="inlineStr"/>
      <c r="S1680" s="5" t="inlineStr"/>
      <c r="T1680" s="5" t="inlineStr"/>
      <c r="U1680" s="5" t="inlineStr"/>
      <c r="V1680" s="5" t="inlineStr">
        <is>
          <t>kooperatif-defteri</t>
        </is>
      </c>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c r="AI1680" s="5" t="inlineStr"/>
      <c r="AJ1680" s="5" t="inlineStr"/>
    </row>
    <row r="1681">
      <c r="A1681" s="5" t="inlineStr">
        <is>
          <t>b7-koy-kooperatif</t>
        </is>
      </c>
      <c r="B1681" s="5" t="n">
        <v>3</v>
      </c>
      <c r="C1681" s="6" t="inlineStr">
        <is>
          <t>Küs iki üyeyi aynı masada barıştır</t>
        </is>
      </c>
      <c r="D1681" s="5" t="inlineStr">
        <is>
          <t>İtibar</t>
        </is>
      </c>
      <c r="E1681" s="5" t="inlineStr">
        <is>
          <t>Zor</t>
        </is>
      </c>
      <c r="F1681" s="5" t="inlineStr"/>
      <c r="G1681" s="6" t="inlineStr"/>
      <c r="H1681" s="6" t="inlineStr">
        <is>
          <t>Otuz yıllık bir tarla sınırı kavgasıydı. İki çay koydun, iki şeker; onlar da iki kelime etti. Tank oylamasında aynı eli kaldırdılar.</t>
        </is>
      </c>
      <c r="I1681" s="6" t="inlineStr">
        <is>
          <t>Barıştılar, üstüne çocuklarını evlendirmeye karar verdiler. Toplantı nişan hazırlığına döndü; tank da onaylandı.</t>
        </is>
      </c>
      <c r="J1681" s="6" t="inlineStr">
        <is>
          <t>İkisini aynı masaya oturttun; ikisi de sana küstü. Köyde artık üç kişilik bir küslük var.</t>
        </is>
      </c>
      <c r="K1681" s="6" t="inlineStr">
        <is>
          <t>Sınırı çözmek için tarlaya gittiniz. Tapuyu okurken ikisi birden sustu, sonra aynı anda sana döndü: “Asıl senin dedenin çiti bizim tarlada.” Akşam kahvede iki küs barışmıştı; sana karşı.</t>
        </is>
      </c>
      <c r="L1681" s="6" t="inlineStr"/>
      <c r="M1681" s="5" t="inlineStr"/>
      <c r="N1681" s="5" t="inlineStr"/>
      <c r="O1681" s="6" t="inlineStr"/>
      <c r="P1681" s="6" t="inlineStr"/>
      <c r="Q1681" s="5" t="inlineStr"/>
      <c r="R1681" s="5" t="inlineStr"/>
      <c r="S1681" s="5" t="inlineStr"/>
      <c r="T1681" s="5" t="inlineStr">
        <is>
          <t>Odayı Okur</t>
        </is>
      </c>
      <c r="U1681" s="5" t="inlineStr"/>
      <c r="V1681" s="5" t="inlineStr">
        <is>
          <t>kahvede-sozu-var</t>
        </is>
      </c>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c r="AI1681" s="5" t="inlineStr"/>
      <c r="AJ1681" s="5" t="inlineStr"/>
    </row>
    <row r="1682">
      <c r="A1682" s="5" t="inlineStr">
        <is>
          <t>b7-koy-sehirliler</t>
        </is>
      </c>
      <c r="B1682" s="5" t="n">
        <v>1</v>
      </c>
      <c r="C1682" s="6" t="inlineStr">
        <is>
          <t>Çifte bir koli yumurta götür, tanış</t>
        </is>
      </c>
      <c r="D1682" s="5" t="inlineStr"/>
      <c r="E1682" s="5" t="inlineStr"/>
      <c r="F1682" s="5" t="inlineStr">
        <is>
          <t>İtibar +1, Sosyal Radar +1</t>
        </is>
      </c>
      <c r="G1682" s="6" t="inlineStr">
        <is>
          <t>Yumurtaları götürdün, çay içtiniz. Horozun neden saat beşte öttüğünü sordular. “Beş olduğu için” dedin. İkna oldular; kulak tıkacı da aldılar.</t>
        </is>
      </c>
      <c r="H1682" s="6" t="inlineStr"/>
      <c r="I1682" s="6" t="inlineStr"/>
      <c r="J1682" s="6" t="inlineStr"/>
      <c r="K1682" s="6" t="inlineStr"/>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c r="AE1682" s="5" t="inlineStr"/>
      <c r="AF1682" s="5" t="inlineStr"/>
      <c r="AG1682" s="5" t="inlineStr"/>
      <c r="AH1682" s="5" t="inlineStr"/>
      <c r="AI1682" s="5" t="inlineStr"/>
      <c r="AJ1682" s="5" t="inlineStr"/>
    </row>
    <row r="1683">
      <c r="A1683" s="5" t="inlineStr">
        <is>
          <t>b7-koy-sehirliler</t>
        </is>
      </c>
      <c r="B1683" s="5" t="n">
        <v>2</v>
      </c>
      <c r="C1683" s="6" t="inlineStr">
        <is>
          <t>Horozla şehirlileri uzlaştır</t>
        </is>
      </c>
      <c r="D1683" s="5" t="inlineStr">
        <is>
          <t>Sosyal Radar</t>
        </is>
      </c>
      <c r="E1683" s="5" t="inlineStr">
        <is>
          <t>Orta</t>
        </is>
      </c>
      <c r="F1683" s="5" t="inlineStr"/>
      <c r="G1683" s="6" t="inlineStr"/>
      <c r="H1683" s="6" t="inlineStr">
        <is>
          <t>Kümesi köyün öbür ucuna taşıdın. Şehirliler teşekkür etti; öbür uçtaki Nazmi Dayı etmedi.</t>
        </is>
      </c>
      <c r="I1683" s="6" t="inlineStr">
        <is>
          <t>Şehirliler horozu o kadar sevdi ki ona ad koyup fotoğrafını çerçevelediler. Horoz artık saat altıda ötüyor; saygıdan.</t>
        </is>
      </c>
      <c r="J1683" s="6" t="inlineStr">
        <is>
          <t>Uzlaşma toplantısı yaptın; horoz katılmadı. Şikâyet sürüyor.</t>
        </is>
      </c>
      <c r="K1683" s="6" t="inlineStr">
        <is>
          <t>Toplantının ortasında horoz öttü, çiftin köpeği masaya fırladı. Toplantı bir çay bardağı eksik dağıldı.</t>
        </is>
      </c>
      <c r="L1683" s="6" t="inlineStr"/>
      <c r="M1683" s="5" t="inlineStr"/>
      <c r="N1683" s="5" t="inlineStr"/>
      <c r="O1683" s="6" t="inlineStr"/>
      <c r="P1683" s="6" t="inlineStr"/>
      <c r="Q1683" s="5" t="inlineStr"/>
      <c r="R1683" s="5" t="inlineStr"/>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c r="AI1683" s="5" t="inlineStr"/>
      <c r="AJ1683" s="5" t="inlineStr"/>
    </row>
    <row r="1684">
      <c r="A1684" s="5" t="inlineStr">
        <is>
          <t>b7-koy-sehirliler</t>
        </is>
      </c>
      <c r="B1684" s="5" t="n">
        <v>3</v>
      </c>
      <c r="C1684" s="6" t="inlineStr">
        <is>
          <t>Onlara köy hayatını ücretli tanıt</t>
        </is>
      </c>
      <c r="D1684" s="5" t="inlineStr">
        <is>
          <t>Kurnazlık</t>
        </is>
      </c>
      <c r="E1684" s="5" t="inlineStr">
        <is>
          <t>Orta</t>
        </is>
      </c>
      <c r="F1684" s="5" t="inlineStr"/>
      <c r="G1684" s="6" t="inlineStr"/>
      <c r="H1684" s="6" t="inlineStr">
        <is>
          <t>“Köyde Bir Gün” paketi hazırladın: keçi sağma, tandır ekmeği, horozla tanışma. Şehirliler arkadaşlarını getirdi; pakete kahvaltı eklendi.</t>
        </is>
      </c>
      <c r="I1684" s="6" t="inlineStr">
        <is>
          <t>Paket şehirde duyuldu, hafta sonları köyün girişinde otopark sıkıntısı var. Köy ilk kez bir sorundan memnun.</t>
        </is>
      </c>
      <c r="J1684" s="6" t="inlineStr">
        <is>
          <t>Paketi anlattın; şehirliler “Biz bunu zaten yaşıyoruz” dedi. Haklılar, horoz ücretsiz.</t>
        </is>
      </c>
      <c r="K1684" s="6" t="inlineStr">
        <is>
          <t>Sağma etkinliğinde keçi kova yerine şehirlinin ayakkabısını seçti. Paketin puanı iki yıldız; biri keçiye verilmiş.</t>
        </is>
      </c>
      <c r="L1684" s="6" t="inlineStr"/>
      <c r="M1684" s="5" t="inlineStr"/>
      <c r="N1684" s="5" t="inlineStr"/>
      <c r="O1684" s="6" t="inlineStr"/>
      <c r="P1684" s="6" t="inlineStr"/>
      <c r="Q1684" s="5" t="inlineStr"/>
      <c r="R1684" s="5" t="inlineStr"/>
      <c r="S1684" s="5" t="inlineStr"/>
      <c r="T1684" s="5" t="inlineStr"/>
      <c r="U1684" s="5" t="inlineStr"/>
      <c r="V1684" s="5" t="inlineStr"/>
      <c r="W1684" s="5" t="inlineStr"/>
      <c r="X1684" s="5" t="inlineStr"/>
      <c r="Y1684" s="5" t="inlineStr"/>
      <c r="Z1684" s="6" t="inlineStr"/>
      <c r="AA1684" s="5" t="inlineStr"/>
      <c r="AB1684" s="5" t="inlineStr"/>
      <c r="AC1684" s="5" t="inlineStr"/>
      <c r="AD1684" s="5" t="inlineStr">
        <is>
          <t>Orta</t>
        </is>
      </c>
      <c r="AE1684" s="5" t="inlineStr"/>
      <c r="AF1684" s="5" t="inlineStr"/>
      <c r="AG1684" s="5" t="inlineStr"/>
      <c r="AH1684" s="5" t="inlineStr"/>
      <c r="AI1684" s="5" t="inlineStr"/>
      <c r="AJ1684" s="5" t="inlineStr"/>
    </row>
    <row r="1685">
      <c r="A1685" s="5" t="inlineStr">
        <is>
          <t>b7-koy-sehirliler</t>
        </is>
      </c>
      <c r="B1685" s="5" t="n">
        <v>4</v>
      </c>
      <c r="C1685" s="6" t="inlineStr">
        <is>
          <t>Muhtar olarak ortak bir köy kuralı yaz</t>
        </is>
      </c>
      <c r="D1685" s="5" t="inlineStr">
        <is>
          <t>İtibar</t>
        </is>
      </c>
      <c r="E1685" s="5" t="inlineStr">
        <is>
          <t>Orta</t>
        </is>
      </c>
      <c r="F1685" s="5" t="inlineStr"/>
      <c r="G1685" s="6" t="inlineStr"/>
      <c r="H1685" s="6" t="inlineStr">
        <is>
          <t>Kuralı yazdın: “Horoz beşten önce ötmez, şehirli beşten önce şikâyet etmez.” İki taraf imzaladı; horoz adına sen.</t>
        </is>
      </c>
      <c r="I1685" s="6" t="inlineStr">
        <is>
          <t>Komşu köyün muhtarı kuralın bir kopyasını istedi. Fotokopide “horoz” yazan yere kendi horozunun adını yazdı, altına kendi mührünü bastı.</t>
        </is>
      </c>
      <c r="J1685" s="6" t="inlineStr">
        <is>
          <t>Kuralı astın; ertesi gün şehirliler bir ek madde yazdı, köylüler bir tane daha. Kural şimdi üç sayfa.</t>
        </is>
      </c>
      <c r="K1685" s="6" t="inlineStr">
        <is>
          <t>Mühürlü kuralı kümesin kapısına astın. Horoz kâğıdı yedi. Şehirliler “Kural geçersiz” dedi, köy “Horoz okudu” dedi.</t>
        </is>
      </c>
      <c r="L1685" s="6" t="inlineStr"/>
      <c r="M1685" s="5" t="inlineStr"/>
      <c r="N1685" s="5" t="inlineStr"/>
      <c r="O1685" s="6" t="inlineStr"/>
      <c r="P1685" s="6" t="inlineStr"/>
      <c r="Q1685" s="5" t="inlineStr"/>
      <c r="R1685" s="5" t="inlineStr">
        <is>
          <t>muhtar</t>
        </is>
      </c>
      <c r="S1685" s="5" t="inlineStr"/>
      <c r="T1685" s="5" t="inlineStr"/>
      <c r="U1685" s="5" t="inlineStr"/>
      <c r="V1685" s="5" t="inlineStr"/>
      <c r="W1685" s="5" t="inlineStr"/>
      <c r="X1685" s="5" t="inlineStr"/>
      <c r="Y1685" s="5" t="inlineStr"/>
      <c r="Z1685" s="6" t="inlineStr"/>
      <c r="AA1685" s="5" t="inlineStr"/>
      <c r="AB1685" s="5" t="inlineStr"/>
      <c r="AC1685" s="5" t="inlineStr"/>
      <c r="AD1685" s="5" t="inlineStr"/>
      <c r="AE1685" s="5" t="inlineStr"/>
      <c r="AF1685" s="5" t="inlineStr"/>
      <c r="AG1685" s="5" t="inlineStr"/>
      <c r="AH1685" s="5" t="inlineStr"/>
      <c r="AI1685" s="5" t="inlineStr"/>
      <c r="AJ1685" s="5" t="inlineStr"/>
    </row>
    <row r="1686">
      <c r="A1686" s="5" t="inlineStr">
        <is>
          <t>k10-koy</t>
        </is>
      </c>
      <c r="B1686" s="5" t="n">
        <v>1</v>
      </c>
      <c r="C1686" s="6" t="inlineStr">
        <is>
          <t>Muhtarlığa aday ol</t>
        </is>
      </c>
      <c r="D1686" s="5" t="inlineStr">
        <is>
          <t>İtibar</t>
        </is>
      </c>
      <c r="E1686" s="5" t="inlineStr">
        <is>
          <t>Zor</t>
        </is>
      </c>
      <c r="F1686" s="5" t="inlineStr"/>
      <c r="G1686" s="6" t="inlineStr"/>
      <c r="H1686" s="6" t="inlineStr">
        <is>
          <t>Tek vaadin vardı: “Kahveye ikinci soba.” Dört oyla kazandın. Mühür eline geçince ilk işin kahveyi ısıtmak oldu.</t>
        </is>
      </c>
      <c r="I1686" s="6" t="inlineStr">
        <is>
          <t>Rakibin sana oy verdiğini itiraf etti; kendine vermemiş. Mühür eski muhtardan sana bir poşet cevizle devredildi.</t>
        </is>
      </c>
      <c r="J1686" s="6" t="inlineStr">
        <is>
          <t>Yedi oyla kaybettin. Yeni muhtar ilk iş seni azaya aldı: “Senin çenen lazım.”</t>
        </is>
      </c>
      <c r="K1686" s="6" t="inlineStr">
        <is>
          <t>Seçim konuşmasında köyün adını iki kez yanlış söyledin. Sandıktan üç oy çıktı; ailen dört kişi. Dördüncüyü kimin vermediğini sofrada kimse sormuyor.</t>
        </is>
      </c>
      <c r="L1686" s="6" t="inlineStr"/>
      <c r="M1686" s="5" t="inlineStr"/>
      <c r="N1686" s="5" t="inlineStr"/>
      <c r="O1686" s="6" t="inlineStr"/>
      <c r="P1686" s="6" t="inlineStr"/>
      <c r="Q1686" s="5" t="inlineStr"/>
      <c r="R1686" s="5" t="inlineStr"/>
      <c r="S1686" s="5" t="inlineStr"/>
      <c r="T1686" s="5" t="inlineStr"/>
      <c r="U1686" s="5" t="inlineStr"/>
      <c r="V1686" s="5" t="inlineStr">
        <is>
          <t>muhtar</t>
        </is>
      </c>
      <c r="W1686" s="5" t="inlineStr"/>
      <c r="X1686" s="5" t="inlineStr"/>
      <c r="Y1686" s="5" t="inlineStr"/>
      <c r="Z1686" s="6" t="inlineStr"/>
      <c r="AA1686" s="5" t="inlineStr"/>
      <c r="AB1686" s="5" t="inlineStr"/>
      <c r="AC1686" s="5" t="inlineStr"/>
      <c r="AD1686" s="5" t="inlineStr"/>
      <c r="AE1686" s="5" t="inlineStr"/>
      <c r="AF1686" s="5" t="inlineStr"/>
      <c r="AG1686" s="5" t="inlineStr"/>
      <c r="AH1686" s="5" t="inlineStr"/>
      <c r="AI1686" s="5" t="inlineStr"/>
      <c r="AJ1686" s="5" t="inlineStr"/>
    </row>
    <row r="1687">
      <c r="A1687" s="5" t="inlineStr">
        <is>
          <t>k10-koy</t>
        </is>
      </c>
      <c r="B1687" s="5" t="n">
        <v>2</v>
      </c>
      <c r="C1687" s="6" t="inlineStr">
        <is>
          <t>Kooperatif kur</t>
        </is>
      </c>
      <c r="D1687" s="5" t="inlineStr">
        <is>
          <t>Sosyal Radar</t>
        </is>
      </c>
      <c r="E1687" s="5" t="inlineStr">
        <is>
          <t>Orta</t>
        </is>
      </c>
      <c r="F1687" s="5" t="inlineStr"/>
      <c r="G1687" s="6" t="inlineStr"/>
      <c r="H1687" s="6" t="inlineStr">
        <is>
          <t>Yirmi üç üye, bir süt tankı, bir peynir kazanı. İlk teneke peynir şehre gitti, karşılığı geri döndü. Toplantılar hâlâ uzun ama artık kâr payı da var.</t>
        </is>
      </c>
      <c r="I1687" s="6" t="inlineStr">
        <is>
          <t>Peynirin şehirde ödül aldı. Köyün gençlerinden ikisi şehirden geri döndü; peynir için.</t>
        </is>
      </c>
      <c r="J1687" s="6" t="inlineStr">
        <is>
          <t>Kuruluş toplantısına yirmi üç kişi geldi; imzaya üç kişi kaldı. Biri Nazmi Dayı'ydı, o da gözlüğünü evde unutmuştu. Kooperatifi bir bahara bıraktın.</t>
        </is>
      </c>
      <c r="K1687" s="6" t="inlineStr">
        <is>
          <t>Kuruluş toplantısı iki köyün sınır tartışmasına döndü. Kooperatif kurulmadı; arada yeni bir tabela var: “Burası bizim.”</t>
        </is>
      </c>
      <c r="L1687" s="6" t="inlineStr"/>
      <c r="M1687" s="5" t="inlineStr"/>
      <c r="N1687" s="5" t="inlineStr"/>
      <c r="O1687" s="6" t="inlineStr"/>
      <c r="P1687" s="6" t="inlineStr"/>
      <c r="Q1687" s="5" t="inlineStr"/>
      <c r="R1687" s="5" t="inlineStr"/>
      <c r="S1687" s="5" t="inlineStr"/>
      <c r="T1687" s="5" t="inlineStr"/>
      <c r="U1687" s="5" t="inlineStr"/>
      <c r="V1687" s="5" t="inlineStr">
        <is>
          <t>kooperatif</t>
        </is>
      </c>
      <c r="W1687" s="5" t="inlineStr"/>
      <c r="X1687" s="5" t="inlineStr"/>
      <c r="Y1687" s="5" t="inlineStr"/>
      <c r="Z1687" s="6" t="inlineStr"/>
      <c r="AA1687" s="5" t="inlineStr"/>
      <c r="AB1687" s="5" t="inlineStr"/>
      <c r="AC1687" s="5" t="inlineStr"/>
      <c r="AD1687" s="5" t="inlineStr">
        <is>
          <t>Orta</t>
        </is>
      </c>
      <c r="AE1687" s="5" t="inlineStr"/>
      <c r="AF1687" s="5" t="inlineStr"/>
      <c r="AG1687" s="5" t="inlineStr"/>
      <c r="AH1687" s="5" t="inlineStr"/>
      <c r="AI1687" s="5" t="inlineStr"/>
      <c r="AJ1687" s="5" t="inlineStr"/>
    </row>
    <row r="1688">
      <c r="A1688" s="5" t="inlineStr">
        <is>
          <t>k10-koy</t>
        </is>
      </c>
      <c r="B1688" s="5" t="n">
        <v>3</v>
      </c>
      <c r="C1688" s="6" t="inlineStr">
        <is>
          <t>Köy fenomeni ol</t>
        </is>
      </c>
      <c r="D1688" s="5" t="inlineStr">
        <is>
          <t>Pişkinlik</t>
        </is>
      </c>
      <c r="E1688" s="5" t="inlineStr">
        <is>
          <t>Zor</t>
        </is>
      </c>
      <c r="F1688" s="5" t="inlineStr"/>
      <c r="G1688" s="6" t="inlineStr"/>
      <c r="H1688" s="6" t="inlineStr">
        <is>
          <t>Keçilerle sabah videoları çektin. Keçilerin takipçisi on binleri geçti; birine reklam teklifi geldi. Pazarlığı sen yapıyorsun.</t>
        </is>
      </c>
      <c r="I1688" s="6" t="inlineStr">
        <is>
          <t>Bir videon ülke çapında yayıldı: keçi, sen ve bir traktör. Şehirden turist geliyor; kahve fiyat listesi bastırdı.</t>
        </is>
      </c>
      <c r="J1688" s="6" t="inlineStr">
        <is>
          <t>Videolar çektin, izleyenler köydekilerdi. Kahvede birbirlerine gösteriyorlar; beğeni yerine el sallıyorlar.</t>
        </is>
      </c>
      <c r="K1688" s="6" t="inlineStr">
        <is>
          <t>Canlı yayında keçi telefonu yedi. Yayın dört dakika keçinin içinden sürdü. En çok izlenen videon bu; telefonun yok.</t>
        </is>
      </c>
      <c r="L1688" s="6" t="inlineStr"/>
      <c r="M1688" s="5" t="inlineStr"/>
      <c r="N1688" s="5" t="inlineStr"/>
      <c r="O1688" s="6" t="inlineStr"/>
      <c r="P1688" s="6" t="inlineStr"/>
      <c r="Q1688" s="5" t="inlineStr"/>
      <c r="R1688" s="5" t="inlineStr"/>
      <c r="S1688" s="5" t="inlineStr"/>
      <c r="T1688" s="5" t="inlineStr"/>
      <c r="U1688" s="5" t="inlineStr"/>
      <c r="V1688" s="5" t="inlineStr">
        <is>
          <t>koy-fenomeni</t>
        </is>
      </c>
      <c r="W1688" s="5" t="inlineStr"/>
      <c r="X1688" s="5" t="inlineStr"/>
      <c r="Y1688" s="5" t="inlineStr"/>
      <c r="Z1688" s="6" t="inlineStr"/>
      <c r="AA1688" s="5" t="inlineStr"/>
      <c r="AB1688" s="5" t="inlineStr"/>
      <c r="AC1688" s="5" t="inlineStr"/>
      <c r="AD1688" s="5" t="inlineStr">
        <is>
          <t>Orta</t>
        </is>
      </c>
      <c r="AE1688" s="5" t="inlineStr"/>
      <c r="AF1688" s="5" t="inlineStr"/>
      <c r="AG1688" s="5" t="inlineStr"/>
      <c r="AH1688" s="5" t="inlineStr"/>
      <c r="AI1688" s="5" t="inlineStr"/>
      <c r="AJ1688" s="5" t="inlineStr"/>
    </row>
    <row r="1689">
      <c r="A1689" s="5" t="inlineStr">
        <is>
          <t>k10-koy</t>
        </is>
      </c>
      <c r="B1689" s="5" t="n">
        <v>4</v>
      </c>
      <c r="C1689" s="6" t="inlineStr">
        <is>
          <t>Şehre geri dön</t>
        </is>
      </c>
      <c r="D1689" s="5" t="inlineStr">
        <is>
          <t>Kurnazlık</t>
        </is>
      </c>
      <c r="E1689" s="5" t="inlineStr">
        <is>
          <t>Orta</t>
        </is>
      </c>
      <c r="F1689" s="5" t="inlineStr"/>
      <c r="G1689" s="6" t="inlineStr"/>
      <c r="H1689" s="6" t="inlineStr">
        <is>
          <t>Traktörü komşuya, keçileri akrabaya bıraktın. Şehirde bir dükkân kiraladın; tezgâhta köyden gelen peynir satıyorsun. Köyde adın hâlâ “döndü, gidecek.”</t>
        </is>
      </c>
      <c r="I1689" s="6" t="inlineStr">
        <is>
          <t>Şehirdeki dükkânın ilk haftasında kuyruk oldu; köyün peyniri şehirde “yöresel” diye iki kat fiyatla satılıyor.</t>
        </is>
      </c>
      <c r="J1689" s="6" t="inlineStr">
        <is>
          <t>Şehirde dükkân baktın; kiralar köydeki tarlanın yıllık gelirinden fazlaydı. Köye döndün; keçiler seni hiç özlememiş gibi yaptı.</t>
        </is>
      </c>
      <c r="K1689" s="6" t="inlineStr">
        <is>
          <t>Dükkânı tuttun, açılış günü köyden gelen peynir yolda ekşidi. Kepengi kapattın, köye döndün; kahvede kimse bir şey sormadı, herkes biliyordu.</t>
        </is>
      </c>
      <c r="L1689" s="6" t="inlineStr"/>
      <c r="M1689" s="5" t="inlineStr"/>
      <c r="N1689" s="5" t="inlineStr"/>
      <c r="O1689" s="6" t="inlineStr"/>
      <c r="P1689" s="6" t="inlineStr"/>
      <c r="Q1689" s="5" t="inlineStr"/>
      <c r="R1689" s="5" t="inlineStr"/>
      <c r="S1689" s="5" t="inlineStr"/>
      <c r="T1689" s="5" t="inlineStr"/>
      <c r="U1689" s="5" t="inlineStr"/>
      <c r="V1689" s="5" t="inlineStr">
        <is>
          <t>-hat-cete, -hat-dolandirici, -hat-girisimci, -hat-goc, -hat-hekim, -hat-koy, -hat-polis, -hat-politika, -hat-sohret, -hat-usta, -hat-yargi, -meslek-beyazyaka, -meslek-memur, -meslek-serbest, meslek-esnaf</t>
        </is>
      </c>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c r="AI1689" s="5" t="inlineStr"/>
      <c r="AJ1689" s="5" t="inlineStr"/>
    </row>
    <row r="1690">
      <c r="A1690" s="5" t="inlineStr">
        <is>
          <t>b8-koy-muhtarlik-secimi</t>
        </is>
      </c>
      <c r="B1690" s="5" t="n">
        <v>1</v>
      </c>
      <c r="C1690" s="6" t="inlineStr">
        <is>
          <t>Adaylıktan çekil, kuzenini destekle</t>
        </is>
      </c>
      <c r="D1690" s="5" t="inlineStr"/>
      <c r="E1690" s="5" t="inlineStr"/>
      <c r="F1690" s="5" t="inlineStr">
        <is>
          <t>İtibar +1, Sosyal Radar +1</t>
        </is>
      </c>
      <c r="G1690" s="6" t="inlineStr">
        <is>
          <t>Çekildin; kuzen kazandı, ilk icraatı hoparlörden sana teşekkür oldu. Köyde herkes muhtarın sen olduğunu sanıyor; mühür sadece onda.</t>
        </is>
      </c>
      <c r="H1690" s="6" t="inlineStr"/>
      <c r="I1690" s="6" t="inlineStr"/>
      <c r="J1690" s="6" t="inlineStr"/>
      <c r="K1690" s="6" t="inlineStr"/>
      <c r="L1690" s="6" t="inlineStr"/>
      <c r="M1690" s="5" t="inlineStr"/>
      <c r="N1690" s="5" t="inlineStr"/>
      <c r="O1690" s="6" t="inlineStr"/>
      <c r="P1690" s="6" t="inlineStr"/>
      <c r="Q1690" s="5" t="inlineStr"/>
      <c r="R1690" s="5" t="inlineStr"/>
      <c r="S1690" s="5" t="inlineStr"/>
      <c r="T1690" s="5" t="inlineStr"/>
      <c r="U1690" s="5" t="inlineStr"/>
      <c r="V1690" s="5" t="inlineStr"/>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c r="AI1690" s="5" t="inlineStr"/>
      <c r="AJ1690" s="5" t="inlineStr"/>
    </row>
    <row r="1691">
      <c r="A1691" s="5" t="inlineStr">
        <is>
          <t>b8-koy-muhtarlik-secimi</t>
        </is>
      </c>
      <c r="B1691" s="5" t="n">
        <v>2</v>
      </c>
      <c r="C1691" s="6" t="inlineStr">
        <is>
          <t>Kapı kapı dolaş, her evde çay iç</t>
        </is>
      </c>
      <c r="D1691" s="5" t="inlineStr">
        <is>
          <t>Sosyal Radar</t>
        </is>
      </c>
      <c r="E1691" s="5" t="inlineStr">
        <is>
          <t>Zor</t>
        </is>
      </c>
      <c r="F1691" s="5" t="inlineStr"/>
      <c r="G1691" s="6" t="inlineStr"/>
      <c r="H1691" s="6" t="inlineStr">
        <is>
          <t>Kırk iki ev, kırk iki çay, dokuz oy farkı. Mühür geldi; o gece uyuyamadın, çaydan.</t>
        </is>
      </c>
      <c r="I1691" s="6" t="inlineStr">
        <is>
          <t>Rakibin evine de gittin; sana çay ikram etti, sonra da oyunu. Sonuçlar okununca kahvedeki iki masa birleşti.</t>
        </is>
      </c>
      <c r="J1691" s="6" t="inlineStr">
        <is>
          <t>Her evde çay içtin, her evde söz aldın. Sandıktaki sözler çaylardan azdı. Kuzen kazandı; sana sandalye ayırdı.</t>
        </is>
      </c>
      <c r="K1691" s="6" t="inlineStr">
        <is>
          <t>Kuzeninin evine yanlışlıkla iki kez gittin. İkincisinde teyzen seni kapıda karşıladı. Oy vermedi; çay da vermedi.</t>
        </is>
      </c>
      <c r="L1691" s="6" t="inlineStr"/>
      <c r="M1691" s="5" t="inlineStr"/>
      <c r="N1691" s="5" t="inlineStr"/>
      <c r="O1691" s="6" t="inlineStr"/>
      <c r="P1691" s="6" t="inlineStr"/>
      <c r="Q1691" s="5" t="inlineStr"/>
      <c r="R1691" s="5" t="inlineStr"/>
      <c r="S1691" s="5" t="inlineStr"/>
      <c r="T1691" s="5" t="inlineStr">
        <is>
          <t>Odayı Okur</t>
        </is>
      </c>
      <c r="U1691" s="5" t="inlineStr"/>
      <c r="V1691" s="5" t="inlineStr">
        <is>
          <t>muhtar</t>
        </is>
      </c>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c r="AI1691" s="5" t="inlineStr"/>
      <c r="AJ1691" s="5" t="inlineStr"/>
    </row>
    <row r="1692">
      <c r="A1692" s="5" t="inlineStr">
        <is>
          <t>b8-koy-muhtarlik-secimi</t>
        </is>
      </c>
      <c r="B1692" s="5" t="n">
        <v>3</v>
      </c>
      <c r="C1692" s="6" t="inlineStr">
        <is>
          <t>Kahvede herkesin önünde vaatlerini anlat</t>
        </is>
      </c>
      <c r="D1692" s="5" t="inlineStr">
        <is>
          <t>İtibar</t>
        </is>
      </c>
      <c r="E1692" s="5" t="inlineStr">
        <is>
          <t>Orta</t>
        </is>
      </c>
      <c r="F1692" s="5" t="inlineStr"/>
      <c r="G1692" s="6" t="inlineStr"/>
      <c r="H1692" s="6" t="inlineStr">
        <is>
          <t>Yol, su, ikinci soba. Alkışı en çok soba aldı. Sandık açıldı, üç oyla kazandın; mühür sende, soba hâlâ sırada.</t>
        </is>
      </c>
      <c r="I1692" s="6" t="inlineStr">
        <is>
          <t>Konuşmanın sonunda rakibin, yani kuzenin, ayağa kalktı: “Ben de ona veriyorum.” Teyzen arkadan seslendi: “Ben vermiyorum!” Yine de kazandın.</t>
        </is>
      </c>
      <c r="J1692" s="6" t="inlineStr">
        <is>
          <t>Konuşurken elektrik kesildi. İkinci yarıyı karanlıkta anlattın; oylar da karanlıkta kaldı. Kuzen kazandı.</t>
        </is>
      </c>
      <c r="K1692" s="6" t="inlineStr">
        <is>
          <t>Vaatlerini okurken kâğıdı çevirdin; arkasında kuzeninin vaatleri yazılıymış. Kahve güldü. Sandık da.</t>
        </is>
      </c>
      <c r="L1692" s="6" t="inlineStr"/>
      <c r="M1692" s="5" t="inlineStr"/>
      <c r="N1692" s="5" t="inlineStr"/>
      <c r="O1692" s="6" t="inlineStr"/>
      <c r="P1692" s="6" t="inlineStr"/>
      <c r="Q1692" s="5" t="inlineStr"/>
      <c r="R1692" s="5" t="inlineStr"/>
      <c r="S1692" s="5" t="inlineStr"/>
      <c r="T1692" s="5" t="inlineStr"/>
      <c r="U1692" s="5" t="inlineStr"/>
      <c r="V1692" s="5" t="inlineStr">
        <is>
          <t>muhtar</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c r="AI1692" s="5" t="inlineStr"/>
      <c r="AJ1692" s="5" t="inlineStr"/>
    </row>
    <row r="1693">
      <c r="A1693" s="5" t="inlineStr">
        <is>
          <t>b8-koy-unlu-koylu</t>
        </is>
      </c>
      <c r="B1693" s="5" t="n">
        <v>1</v>
      </c>
      <c r="C1693" s="6" t="inlineStr">
        <is>
          <t>Köylüleri öne çıkar, kendin arkada dur</t>
        </is>
      </c>
      <c r="D1693" s="5" t="inlineStr"/>
      <c r="E1693" s="5" t="inlineStr"/>
      <c r="F1693" s="5" t="inlineStr">
        <is>
          <t>İtibar +1, Sosyal Radar +1</t>
        </is>
      </c>
      <c r="G1693" s="6" t="inlineStr">
        <is>
          <t>Kamerayı Fatma Nine'nin tandırına çevirdin. Belgesel yayınlanınca köy nineyi izledi; nine de kendini, ekmek pişirirken yorum yaparak.</t>
        </is>
      </c>
      <c r="H1693" s="6" t="inlineStr"/>
      <c r="I1693" s="6" t="inlineStr"/>
      <c r="J1693" s="6" t="inlineStr"/>
      <c r="K1693" s="6" t="inlineStr"/>
      <c r="L1693" s="6" t="inlineStr"/>
      <c r="M1693" s="5" t="inlineStr"/>
      <c r="N1693" s="5" t="inlineStr"/>
      <c r="O1693" s="6" t="inlineStr"/>
      <c r="P1693" s="6" t="inlineStr"/>
      <c r="Q1693" s="5" t="inlineStr"/>
      <c r="R1693" s="5" t="inlineStr"/>
      <c r="S1693" s="5" t="inlineStr"/>
      <c r="T1693" s="5" t="inlineStr"/>
      <c r="U1693" s="5" t="inlineStr"/>
      <c r="V1693" s="5" t="inlineStr"/>
      <c r="W1693" s="5" t="inlineStr"/>
      <c r="X1693" s="5" t="inlineStr"/>
      <c r="Y1693" s="5" t="inlineStr"/>
      <c r="Z1693" s="6" t="inlineStr"/>
      <c r="AA1693" s="5" t="inlineStr"/>
      <c r="AB1693" s="5" t="inlineStr"/>
      <c r="AC1693" s="5" t="inlineStr"/>
      <c r="AD1693" s="5" t="inlineStr"/>
      <c r="AE1693" s="5" t="inlineStr"/>
      <c r="AF1693" s="5" t="inlineStr"/>
      <c r="AG1693" s="5" t="inlineStr"/>
      <c r="AH1693" s="5" t="inlineStr"/>
      <c r="AI1693" s="5" t="inlineStr"/>
      <c r="AJ1693" s="5" t="inlineStr"/>
    </row>
    <row r="1694">
      <c r="A1694" s="5" t="inlineStr">
        <is>
          <t>b8-koy-unlu-koylu</t>
        </is>
      </c>
      <c r="B1694" s="5" t="n">
        <v>2</v>
      </c>
      <c r="C1694" s="6" t="inlineStr">
        <is>
          <t>Kameraya köyü sen anlat</t>
        </is>
      </c>
      <c r="D1694" s="5" t="inlineStr">
        <is>
          <t>Pişkinlik</t>
        </is>
      </c>
      <c r="E1694" s="5" t="inlineStr">
        <is>
          <t>Orta</t>
        </is>
      </c>
      <c r="F1694" s="5" t="inlineStr"/>
      <c r="G1694" s="6" t="inlineStr"/>
      <c r="H1694" s="6" t="inlineStr">
        <is>
          <t>Kuyuyu, çınarı, kahvedeki iki masayı anlattın. Belgesel yayınlandı; pazarda “Belgeselde konuşan bu mu?” diye seni soruyorlar, domatesi de.</t>
        </is>
      </c>
      <c r="I1694" s="6" t="inlineStr">
        <is>
          <t>Yönetmen seni sunucu yaptı. Belgesel ikinci sezon aldı: “Kaybolan Tatlar: Köy Kahvesi.” Kahveci ücret istiyor.</t>
        </is>
      </c>
      <c r="J1694" s="6" t="inlineStr">
        <is>
          <t>Anlattın ama kurguda sadece keçiler kaldı. Afişte sen yoksun, lider keçi var.</t>
        </is>
      </c>
      <c r="K1694" s="6" t="inlineStr">
        <is>
          <t>“Burada yağmur yağmaz” derken sağanak başladı. Belgeselin fragmanı o an.</t>
        </is>
      </c>
      <c r="L1694" s="6" t="inlineStr"/>
      <c r="M1694" s="5" t="inlineStr"/>
      <c r="N1694" s="5" t="inlineStr"/>
      <c r="O1694" s="6" t="inlineStr"/>
      <c r="P1694" s="6" t="inlineStr"/>
      <c r="Q1694" s="5" t="inlineStr"/>
      <c r="R1694" s="5" t="inlineStr"/>
      <c r="S1694" s="5" t="inlineStr"/>
      <c r="T1694" s="5" t="inlineStr"/>
      <c r="U1694" s="5" t="inlineStr"/>
      <c r="V1694" s="5" t="inlineStr">
        <is>
          <t>unlu-koylu</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c r="AI1694" s="5" t="inlineStr"/>
      <c r="AJ1694" s="5" t="inlineStr"/>
    </row>
    <row r="1695">
      <c r="A1695" s="5" t="inlineStr">
        <is>
          <t>b8-koy-unlu-koylu</t>
        </is>
      </c>
      <c r="B1695" s="5" t="n">
        <v>3</v>
      </c>
      <c r="C1695" s="6" t="inlineStr">
        <is>
          <t>Kooperatifin peynirini kadraja sok</t>
        </is>
      </c>
      <c r="D1695" s="5" t="inlineStr">
        <is>
          <t>Kurnazlık</t>
        </is>
      </c>
      <c r="E1695" s="5" t="inlineStr">
        <is>
          <t>Orta</t>
        </is>
      </c>
      <c r="F1695" s="5" t="inlineStr"/>
      <c r="G1695" s="6" t="inlineStr"/>
      <c r="H1695" s="6" t="inlineStr">
        <is>
          <t>Peynir her sahnede bir köşede durdu. Belgeselden sonra siparişler yağdı; tank yetmedi, ikincisi alındı.</t>
        </is>
      </c>
      <c r="I1695" s="6" t="inlineStr">
        <is>
          <t>Peynir belgeselin gizli yıldızı oldu. Şehirde bir lokanta menüsüne köyün adını yazdı; ilk kez doğru yazılmış.</t>
        </is>
      </c>
      <c r="J1695" s="6" t="inlineStr">
        <is>
          <t>Kurgucu peyniri çıkardı: “Reklam olmaz.” Peynir belgeselde yok, ekibin sofrasında var.</t>
        </is>
      </c>
      <c r="K1695" s="6" t="inlineStr">
        <is>
          <t>Peynir sıcakta eridi, masadan akıp kameranın ayağına ulaştı. Belgeselin adı değişti: “Kaybolan Peynir.”</t>
        </is>
      </c>
      <c r="L1695" s="6" t="inlineStr"/>
      <c r="M1695" s="5" t="inlineStr"/>
      <c r="N1695" s="5" t="inlineStr"/>
      <c r="O1695" s="6" t="inlineStr"/>
      <c r="P1695" s="6" t="inlineStr"/>
      <c r="Q1695" s="5" t="inlineStr"/>
      <c r="R1695" s="5" t="inlineStr">
        <is>
          <t>kooperatif</t>
        </is>
      </c>
      <c r="S1695" s="5" t="inlineStr"/>
      <c r="T1695" s="5" t="inlineStr"/>
      <c r="U1695" s="5" t="inlineStr"/>
      <c r="V1695" s="5" t="inlineStr"/>
      <c r="W1695" s="5" t="inlineStr"/>
      <c r="X1695" s="5" t="inlineStr"/>
      <c r="Y1695" s="5" t="inlineStr"/>
      <c r="Z1695" s="6" t="inlineStr"/>
      <c r="AA1695" s="5" t="inlineStr"/>
      <c r="AB1695" s="5" t="inlineStr"/>
      <c r="AC1695" s="5" t="inlineStr"/>
      <c r="AD1695" s="5" t="inlineStr">
        <is>
          <t>Rahat</t>
        </is>
      </c>
      <c r="AE1695" s="5" t="inlineStr"/>
      <c r="AF1695" s="5" t="inlineStr"/>
      <c r="AG1695" s="5" t="inlineStr"/>
      <c r="AH1695" s="5" t="inlineStr"/>
      <c r="AI1695" s="5" t="inlineStr"/>
      <c r="AJ1695" s="5" t="inlineStr"/>
    </row>
    <row r="1696">
      <c r="A1696" s="5" t="inlineStr">
        <is>
          <t>b8-koy-unlu-koylu</t>
        </is>
      </c>
      <c r="B1696" s="5" t="n">
        <v>4</v>
      </c>
      <c r="C1696" s="6" t="inlineStr">
        <is>
          <t>Yönetmeni kahveye götür, tavla oynat</t>
        </is>
      </c>
      <c r="D1696" s="5" t="inlineStr">
        <is>
          <t>Sosyal Radar</t>
        </is>
      </c>
      <c r="E1696" s="5" t="inlineStr">
        <is>
          <t>Zor</t>
        </is>
      </c>
      <c r="F1696" s="5" t="inlineStr"/>
      <c r="G1696" s="6" t="inlineStr"/>
      <c r="H1696" s="6" t="inlineStr">
        <is>
          <t>Yönetmen üç el kaybetti, dördüncüde senaryoyu değiştirdi: belgesel artık kahvede geçiyor. Her karede zar atan sensin.</t>
        </is>
      </c>
      <c r="I1696" s="6" t="inlineStr">
        <is>
          <t>Yönetmen köye vuruldu, yazlık için arsa sordu. Çekimler bir yıl sürdü; bir bölümün anlatıcısı sensin.</t>
        </is>
      </c>
      <c r="J1696" s="6" t="inlineStr">
        <is>
          <t>Yönetmen tavlayı bilmiyordu; iki saat kuralları anlattın. Işık kaçtı, çekim ertelendi.</t>
        </is>
      </c>
      <c r="K1696" s="6" t="inlineStr">
        <is>
          <t>Yönetmen tavlayı ilk kez oynuyordu; seni kahvenin önünde mars etti. Belgeselin açılış sahnesi bu. Kahvede artık sana adınla seslenen yok.</t>
        </is>
      </c>
      <c r="L1696" s="6" t="inlineStr"/>
      <c r="M1696" s="5" t="inlineStr"/>
      <c r="N1696" s="5" t="inlineStr"/>
      <c r="O1696" s="6" t="inlineStr"/>
      <c r="P1696" s="6" t="inlineStr"/>
      <c r="Q1696" s="5" t="inlineStr"/>
      <c r="R1696" s="5" t="inlineStr"/>
      <c r="S1696" s="5" t="inlineStr"/>
      <c r="T1696" s="5" t="inlineStr">
        <is>
          <t>Tavla Kurdu</t>
        </is>
      </c>
      <c r="U1696" s="5" t="inlineStr"/>
      <c r="V1696" s="5" t="inlineStr">
        <is>
          <t>unlu-koylu</t>
        </is>
      </c>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c r="AI1696" s="5" t="inlineStr">
        <is>
          <t>Mars</t>
        </is>
      </c>
      <c r="AJ1696" s="5" t="inlineStr"/>
    </row>
    <row r="1697">
      <c r="A1697" s="5" t="inlineStr">
        <is>
          <t>b9-koy-cinarin-alti</t>
        </is>
      </c>
      <c r="B1697" s="5" t="n">
        <v>1</v>
      </c>
      <c r="C1697" s="6" t="inlineStr">
        <is>
          <t>Genci dinle, kararı ona bırak</t>
        </is>
      </c>
      <c r="D1697" s="5" t="inlineStr"/>
      <c r="E1697" s="5" t="inlineStr"/>
      <c r="F1697" s="5" t="inlineStr">
        <is>
          <t>İtibar +1, Sosyal Radar +1</t>
        </is>
      </c>
      <c r="G1697" s="6" t="inlineStr">
        <is>
          <t>Bir saat dinledin, bir cümle söyledin: “Sen bilirsin.” Genç şehre gitti, beş yıl sonra döndü; ilk iş senin sandalyenin yanına bir sandalye daha koydu.</t>
        </is>
      </c>
      <c r="H1697" s="6" t="inlineStr"/>
      <c r="I1697" s="6" t="inlineStr"/>
      <c r="J1697" s="6" t="inlineStr"/>
      <c r="K1697" s="6" t="inlineStr"/>
      <c r="L1697" s="6" t="inlineStr"/>
      <c r="M1697" s="5" t="inlineStr"/>
      <c r="N1697" s="5" t="inlineStr"/>
      <c r="O1697" s="6" t="inlineStr"/>
      <c r="P1697" s="6" t="inlineStr"/>
      <c r="Q1697" s="5" t="inlineStr"/>
      <c r="R1697" s="5" t="inlineStr"/>
      <c r="S1697" s="5" t="inlineStr"/>
      <c r="T1697" s="5" t="inlineStr"/>
      <c r="U1697" s="5" t="inlineStr"/>
      <c r="V1697" s="5" t="inlineStr"/>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c r="AI1697" s="5" t="inlineStr"/>
      <c r="AJ1697" s="5" t="inlineStr"/>
    </row>
    <row r="1698">
      <c r="A1698" s="5" t="inlineStr">
        <is>
          <t>b9-koy-cinarin-alti</t>
        </is>
      </c>
      <c r="B1698" s="5" t="n">
        <v>2</v>
      </c>
      <c r="C1698" s="6" t="inlineStr">
        <is>
          <t>Köyün hikâyesini yaz, gençlere bırak</t>
        </is>
      </c>
      <c r="D1698" s="5" t="inlineStr">
        <is>
          <t>Akıl</t>
        </is>
      </c>
      <c r="E1698" s="5" t="inlineStr">
        <is>
          <t>Orta</t>
        </is>
      </c>
      <c r="F1698" s="5" t="inlineStr"/>
      <c r="G1698" s="6" t="inlineStr"/>
      <c r="H1698" s="6" t="inlineStr">
        <is>
          <t>Kış boyu yazdın: kuyu, kooperatif, keçilerin bütün adları. Defter köy okulunun rafına kondu; en çok keçi kısmı okunuyor.</t>
        </is>
      </c>
      <c r="I1698" s="6" t="inlineStr">
        <is>
          <t>Defterin kitap oldu. İl kütüphanesinde bir rafın var; yanında dedenin traktörünün fotoğrafı.</t>
        </is>
      </c>
      <c r="J1698" s="6" t="inlineStr">
        <is>
          <t>Yazdın, ama her hikâyenin sonundan başka bir hikâye çıktı. Defter bitmedi, kış bitti.</t>
        </is>
      </c>
      <c r="K1698" s="6" t="inlineStr">
        <is>
          <t>Defteri çınarın altında unuttun, keçiler buldu. Köyün tarihi şimdi keçilerin içinde; yine de köyde.</t>
        </is>
      </c>
      <c r="L1698" s="6" t="inlineStr"/>
      <c r="M1698" s="5" t="inlineStr"/>
      <c r="N1698" s="5" t="inlineStr"/>
      <c r="O1698" s="6" t="inlineStr"/>
      <c r="P1698" s="6" t="inlineStr"/>
      <c r="Q1698" s="5" t="inlineStr"/>
      <c r="R1698" s="5" t="inlineStr"/>
      <c r="S1698" s="5" t="inlineStr"/>
      <c r="T1698" s="5" t="inlineStr"/>
      <c r="U1698" s="5" t="inlineStr"/>
      <c r="V1698" s="5" t="inlineStr">
        <is>
          <t>koy-hafizasi</t>
        </is>
      </c>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c r="AI1698" s="5" t="inlineStr"/>
      <c r="AJ1698" s="5" t="inlineStr"/>
    </row>
    <row r="1699">
      <c r="A1699" s="5" t="inlineStr">
        <is>
          <t>b9-koy-cinarin-alti</t>
        </is>
      </c>
      <c r="B1699" s="5" t="n">
        <v>3</v>
      </c>
      <c r="C1699" s="6" t="inlineStr">
        <is>
          <t>Kahvede gençlere tavla turnuvası düzenle</t>
        </is>
      </c>
      <c r="D1699" s="5" t="inlineStr">
        <is>
          <t>Sosyal Radar</t>
        </is>
      </c>
      <c r="E1699" s="5" t="inlineStr">
        <is>
          <t>Orta</t>
        </is>
      </c>
      <c r="F1699" s="5" t="inlineStr"/>
      <c r="G1699" s="6" t="inlineStr"/>
      <c r="H1699" s="6" t="inlineStr">
        <is>
          <t>Turnuvaya on bir genç geldi, ikisi şehirden. Final gece yarısı bitti. Kazanan köyde kalmaya karar verdi; kaybeden de, rövanş için.</t>
        </is>
      </c>
      <c r="I1699" s="6" t="inlineStr">
        <is>
          <t>Turnuva her yaz yapılıyor; şehirdeki köylüler iznini turnuvaya göre alıyor. Kahvenin önü bayram yeri.</t>
        </is>
      </c>
      <c r="J1699" s="6" t="inlineStr">
        <is>
          <t>Gençler gelmedi, emekliler geldi. Final seninle Nazmi Dayı arasındaydı; kaybettin.</t>
        </is>
      </c>
      <c r="K1699" s="6" t="inlineStr">
        <is>
          <t>Finalde zarlar kayboldu. Herkes keçilere baktı. Zarlar senin ceketinin cebinden çıktı; köyde kırk yıldır sana kimse bu gözle bakmamıştı.</t>
        </is>
      </c>
      <c r="L1699" s="6" t="inlineStr"/>
      <c r="M1699" s="5" t="inlineStr"/>
      <c r="N1699" s="5" t="inlineStr"/>
      <c r="O1699" s="6" t="inlineStr"/>
      <c r="P1699" s="6" t="inlineStr"/>
      <c r="Q1699" s="5" t="inlineStr"/>
      <c r="R1699" s="5" t="inlineStr"/>
      <c r="S1699" s="5" t="inlineStr"/>
      <c r="T1699" s="5" t="inlineStr"/>
      <c r="U1699" s="5" t="inlineStr"/>
      <c r="V1699" s="5" t="inlineStr"/>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c r="AI1699" s="5" t="inlineStr"/>
      <c r="AJ1699" s="5" t="inlineStr"/>
    </row>
    <row r="1700">
      <c r="A1700" s="5" t="inlineStr">
        <is>
          <t>b7-usta-ilk-cirak</t>
        </is>
      </c>
      <c r="B1700" s="5" t="n">
        <v>1</v>
      </c>
      <c r="C1700" s="6" t="inlineStr">
        <is>
          <t>İlk hafta sadece süpürt, çay demlet</t>
        </is>
      </c>
      <c r="D1700" s="5" t="inlineStr"/>
      <c r="E1700" s="5" t="inlineStr"/>
      <c r="F1700" s="5" t="inlineStr">
        <is>
          <t>Dayanıklılık +1, İtibar +1</t>
        </is>
      </c>
      <c r="G1700" s="6" t="inlineStr">
        <is>
          <t>Bir hafta süpürdü, çay demledi. Çayı berbattı ama süpürmesi iyiydi. Ustalığın yarısı yere bakmaktır; çırak şimdilik yere bakıyor, telefona da.</t>
        </is>
      </c>
      <c r="H1700" s="6" t="inlineStr"/>
      <c r="I1700" s="6" t="inlineStr"/>
      <c r="J1700" s="6" t="inlineStr"/>
      <c r="K1700" s="6" t="inlineStr"/>
      <c r="L1700" s="6" t="inlineStr"/>
      <c r="M1700" s="5" t="inlineStr"/>
      <c r="N1700" s="5" t="inlineStr"/>
      <c r="O1700" s="6" t="inlineStr"/>
      <c r="P1700" s="6" t="inlineStr"/>
      <c r="Q1700" s="5" t="inlineStr"/>
      <c r="R1700" s="5" t="inlineStr"/>
      <c r="S1700" s="5" t="inlineStr"/>
      <c r="T1700" s="5" t="inlineStr"/>
      <c r="U1700" s="5" t="inlineStr"/>
      <c r="V1700" s="5" t="inlineStr"/>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c r="AI1700" s="5" t="inlineStr"/>
      <c r="AJ1700" s="5" t="inlineStr"/>
    </row>
    <row r="1701">
      <c r="A1701" s="5" t="inlineStr">
        <is>
          <t>b7-usta-ilk-cirak</t>
        </is>
      </c>
      <c r="B1701" s="5" t="n">
        <v>2</v>
      </c>
      <c r="C1701" s="6" t="inlineStr">
        <is>
          <t>Ona sesle arıza bulmayı öğret</t>
        </is>
      </c>
      <c r="D1701" s="5" t="inlineStr">
        <is>
          <t>Akıl</t>
        </is>
      </c>
      <c r="E1701" s="5" t="inlineStr">
        <is>
          <t>Orta</t>
        </is>
      </c>
      <c r="F1701" s="5" t="inlineStr"/>
      <c r="G1701" s="6" t="inlineStr"/>
      <c r="H1701" s="6" t="inlineStr">
        <is>
          <t>Kaputu açtın, dinledin, “Duydun mu?” dedin. Üçüncü gün duydu. Artık telefonuyla değil, kulağıyla geliyor.</t>
        </is>
      </c>
      <c r="I1701" s="6" t="inlineStr">
        <is>
          <t>Bir hafta sonra sen yokken bir arızayı sesinden buldu. Müşteri aradı: “Çırağın usta olmuş.” Biraz kıskandın.</t>
        </is>
      </c>
      <c r="J1701" s="6" t="inlineStr">
        <is>
          <t>Sesi dinledi, “Bu bir şarkıya benziyor” dedi. Arızayı bulamadı ama şarkıyı buldu.</t>
        </is>
      </c>
      <c r="K1701" s="6" t="inlineStr">
        <is>
          <t>Motoru dinlesin diye kaputu açtın. O, sesi kaydedip üstüne müzik koydu ve paylaştı. Video tuttu; yorumlar “Bu ses rot balansı” diyor. Müşteri videoyu görünce arabasını karşı dükkâna götürdü.</t>
        </is>
      </c>
      <c r="L1701" s="6" t="inlineStr"/>
      <c r="M1701" s="5" t="inlineStr"/>
      <c r="N1701" s="5" t="inlineStr"/>
      <c r="O1701" s="6" t="inlineStr"/>
      <c r="P1701" s="6" t="inlineStr"/>
      <c r="Q1701" s="5" t="inlineStr"/>
      <c r="R1701" s="5" t="inlineStr"/>
      <c r="S1701" s="5" t="inlineStr"/>
      <c r="T1701" s="5" t="inlineStr"/>
      <c r="U1701" s="5" t="inlineStr"/>
      <c r="V1701" s="5" t="inlineStr">
        <is>
          <t>usta-ciragi-var</t>
        </is>
      </c>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c r="AI1701" s="5" t="inlineStr"/>
      <c r="AJ1701" s="5" t="inlineStr"/>
    </row>
    <row r="1702">
      <c r="A1702" s="5" t="inlineStr">
        <is>
          <t>b7-usta-ilk-cirak</t>
        </is>
      </c>
      <c r="B1702" s="5" t="n">
        <v>3</v>
      </c>
      <c r="C1702" s="6" t="inlineStr">
        <is>
          <t>Videolarını dükkânın reklamına çevir</t>
        </is>
      </c>
      <c r="D1702" s="5" t="inlineStr">
        <is>
          <t>Kurnazlık</t>
        </is>
      </c>
      <c r="E1702" s="5" t="inlineStr">
        <is>
          <t>Zor</t>
        </is>
      </c>
      <c r="F1702" s="5" t="inlineStr"/>
      <c r="G1702" s="6" t="inlineStr"/>
      <c r="H1702" s="6" t="inlineStr">
        <is>
          <t>Çırak tamir videoları çekti, sen anlattın. Sanayiye gençler gelmeye başladı; kimi arabasıyla, kimi sadece izlemeye.</t>
        </is>
      </c>
      <c r="I1702" s="6" t="inlineStr">
        <is>
          <t>Videon yayıldı: “Sesinden arıza bulan usta.” Kapında arabasız bir kuyruk var; sesleri telefonla getiriyorlar.</t>
        </is>
      </c>
      <c r="J1702" s="6" t="inlineStr">
        <is>
          <t>Video çektiniz; izleyenler arızayı değil, arkadaki takvimi sordu. Takvim dört yıl eski.</t>
        </is>
      </c>
      <c r="K1702" s="6" t="inlineStr">
        <is>
          <t>Videoda yanlış parçayı yanlış yere taktın; yorumlara sanayinin yarısı yazdı: “Usta, o parça orada durmaz.” Çırak videoyu silmedi; telefonunun kilit ekranı yaptı.</t>
        </is>
      </c>
      <c r="L1702" s="6" t="inlineStr"/>
      <c r="M1702" s="5" t="inlineStr"/>
      <c r="N1702" s="5" t="inlineStr"/>
      <c r="O1702" s="6" t="inlineStr"/>
      <c r="P1702" s="6" t="inlineStr"/>
      <c r="Q1702" s="5" t="inlineStr"/>
      <c r="R1702" s="5" t="inlineStr"/>
      <c r="S1702" s="5" t="inlineStr"/>
      <c r="T1702" s="5" t="inlineStr">
        <is>
          <t>Kendine Gülebilir</t>
        </is>
      </c>
      <c r="U1702" s="5" t="inlineStr"/>
      <c r="V1702" s="5" t="inlineStr">
        <is>
          <t>usta-ciragi-var</t>
        </is>
      </c>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c r="AI1702" s="5" t="inlineStr"/>
      <c r="AJ1702" s="5" t="inlineStr"/>
    </row>
    <row r="1703">
      <c r="A1703" s="5" t="inlineStr">
        <is>
          <t>b7-usta-karsi-dukkan</t>
        </is>
      </c>
      <c r="B1703" s="5" t="n">
        <v>1</v>
      </c>
      <c r="C1703" s="6" t="inlineStr">
        <is>
          <t>Ortak çalışın: cihaz ondan, el senden</t>
        </is>
      </c>
      <c r="D1703" s="5" t="inlineStr"/>
      <c r="E1703" s="5" t="inlineStr"/>
      <c r="F1703" s="5" t="inlineStr">
        <is>
          <t>Sosyal Radar +1, Akıl +1</t>
        </is>
      </c>
      <c r="G1703" s="6" t="inlineStr">
        <is>
          <t>Anlaştınız: arızayı cihaz söylüyor, sen düzeltiyorsun. Cihaz yanıldığında da sen söylüyorsun. Cihaz sık yanılıyor; ortaklık uzun sürecek.</t>
        </is>
      </c>
      <c r="H1703" s="6" t="inlineStr"/>
      <c r="I1703" s="6" t="inlineStr"/>
      <c r="J1703" s="6" t="inlineStr"/>
      <c r="K1703" s="6" t="inlineStr"/>
      <c r="L1703" s="6" t="inlineStr"/>
      <c r="M1703" s="5" t="inlineStr"/>
      <c r="N1703" s="5" t="inlineStr"/>
      <c r="O1703" s="6" t="inlineStr"/>
      <c r="P1703" s="6" t="inlineStr"/>
      <c r="Q1703" s="5" t="inlineStr"/>
      <c r="R1703" s="5" t="inlineStr"/>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c r="AI1703" s="5" t="inlineStr"/>
      <c r="AJ1703" s="5" t="inlineStr"/>
    </row>
    <row r="1704">
      <c r="A1704" s="5" t="inlineStr">
        <is>
          <t>b7-usta-karsi-dukkan</t>
        </is>
      </c>
      <c r="B1704" s="5" t="n">
        <v>2</v>
      </c>
      <c r="C1704" s="6" t="inlineStr">
        <is>
          <t>Cihazla yarış: sesle daha hızlı bul</t>
        </is>
      </c>
      <c r="D1704" s="5" t="inlineStr">
        <is>
          <t>Akıl</t>
        </is>
      </c>
      <c r="E1704" s="5" t="inlineStr">
        <is>
          <t>Zor</t>
        </is>
      </c>
      <c r="F1704" s="5" t="inlineStr"/>
      <c r="G1704" s="6" t="inlineStr"/>
      <c r="H1704" s="6" t="inlineStr">
        <is>
          <t>Müşterinin önünde yarıştınız. Cihaz açılırken sen arızayı söyledin. Cihaz yüklendiğinde aynı şeyi söyledi; geç.</t>
        </is>
      </c>
      <c r="I1704" s="6" t="inlineStr">
        <is>
          <t>Üç araba, üç arıza, üç galibiyet. Karşının ustası cihazı sana sattı; artık cihaz da senin, kulak da.</t>
        </is>
      </c>
      <c r="J1704" s="6" t="inlineStr">
        <is>
          <t>Cihaz bir arıza buldu, sen başka bir arıza. İkisi de doğruymuş. Müşteri ikisini de ödemek istemedi.</t>
        </is>
      </c>
      <c r="K1704" s="6" t="inlineStr">
        <is>
          <t>Sesle teşhis koydun, cihaz başka dedi. Cihaz haklıydı. Sanayide bu yarış hâlâ anlatılıyor; adın geçmiyor ama herkes biliyor.</t>
        </is>
      </c>
      <c r="L1704" s="6" t="inlineStr">
        <is>
          <t>Cihazla aynı anda söylediniz. Müşteri kime ödeyeceğini bilemedi; ikinize de çay ısmarladı.</t>
        </is>
      </c>
      <c r="M1704" s="5" t="inlineStr">
        <is>
          <t>hidden</t>
        </is>
      </c>
      <c r="N1704" s="5" t="inlineStr">
        <is>
          <t>Arıza Avı</t>
        </is>
      </c>
      <c r="O1704" s="6" t="inlineStr">
        <is>
          <t>Motorun içinde arızanın kaynağını (🔧) bul.</t>
        </is>
      </c>
      <c r="P1704" s="6" t="inlineStr">
        <is>
          <t>{"target": "🔧", "decoys": ["⚙️", "🔩", "🔌", "🔋", "💡"]}</t>
        </is>
      </c>
      <c r="Q1704" s="5" t="inlineStr"/>
      <c r="R1704" s="5" t="inlineStr"/>
      <c r="S1704" s="5" t="inlineStr"/>
      <c r="T1704" s="5" t="inlineStr">
        <is>
          <t>Ukala Ama Haklı</t>
        </is>
      </c>
      <c r="U1704" s="5" t="inlineStr"/>
      <c r="V1704" s="5" t="inlineStr"/>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c r="AI1704" s="5" t="inlineStr"/>
      <c r="AJ1704" s="5" t="inlineStr"/>
    </row>
    <row r="1705">
      <c r="A1705" s="5" t="inlineStr">
        <is>
          <t>b7-usta-karsi-dukkan</t>
        </is>
      </c>
      <c r="B1705" s="5" t="n">
        <v>3</v>
      </c>
      <c r="C1705" s="6" t="inlineStr">
        <is>
          <t>Kışla arkadaşlarının taksilerini sana yönlendir</t>
        </is>
      </c>
      <c r="D1705" s="5" t="inlineStr">
        <is>
          <t>Çene</t>
        </is>
      </c>
      <c r="E1705" s="5" t="inlineStr">
        <is>
          <t>Orta</t>
        </is>
      </c>
      <c r="F1705" s="5" t="inlineStr"/>
      <c r="G1705" s="6" t="inlineStr"/>
      <c r="H1705" s="6" t="inlineStr">
        <is>
          <t>Üç kışla arkadaşın taksici olmuş; bütün durağı sana getirdiler. Karşıdaki cihaz boşta dönüyor.</t>
        </is>
      </c>
      <c r="I1705" s="6" t="inlineStr">
        <is>
          <t>Taksiciler dükkânını durağa çevirdi; çay senden, sohbet onlardan. Karşının ustası da çaya geliyor.</t>
        </is>
      </c>
      <c r="J1705" s="6" t="inlineStr">
        <is>
          <t>Arkadaşların geldi ama arabaları yeni; arıza yok. Üç gün üst üste çay içip gittiler.</t>
        </is>
      </c>
      <c r="K1705" s="6" t="inlineStr">
        <is>
          <t>Taksileri getirdiler; sen heyecandan üçüncü taksiye birincinin parçasını taktın. Taksi duraktan çıkar çıkmaz durdu. Kışla arkadaşın camı indirdi: “Komutan bile bize bunu yapmamıştı.”</t>
        </is>
      </c>
      <c r="L1705" s="6" t="inlineStr"/>
      <c r="M1705" s="5" t="inlineStr"/>
      <c r="N1705" s="5" t="inlineStr"/>
      <c r="O1705" s="6" t="inlineStr"/>
      <c r="P1705" s="6" t="inlineStr"/>
      <c r="Q1705" s="5" t="inlineStr"/>
      <c r="R1705" s="5" t="inlineStr">
        <is>
          <t>kisla-kankasi</t>
        </is>
      </c>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c r="AI1705" s="5" t="inlineStr"/>
      <c r="AJ1705" s="5" t="inlineStr"/>
    </row>
    <row r="1706">
      <c r="A1706" s="5" t="inlineStr">
        <is>
          <t>b7-usta-karsi-dukkan</t>
        </is>
      </c>
      <c r="B1706" s="5" t="n">
        <v>4</v>
      </c>
      <c r="C1706" s="6" t="inlineStr">
        <is>
          <t>İşçiliği indir, müşteriyi geri çek</t>
        </is>
      </c>
      <c r="D1706" s="5" t="inlineStr">
        <is>
          <t>Kurnazlık</t>
        </is>
      </c>
      <c r="E1706" s="5" t="inlineStr">
        <is>
          <t>Orta</t>
        </is>
      </c>
      <c r="F1706" s="5" t="inlineStr"/>
      <c r="G1706" s="6" t="inlineStr"/>
      <c r="H1706" s="6" t="inlineStr">
        <is>
          <t>İşçiliği biraz indirdin, çayı ücretsiz yaptın. Müşteriler döndü; çayı sevdiler, işçilik zaten iyiydi.</t>
        </is>
      </c>
      <c r="I1706" s="6" t="inlineStr">
        <is>
          <t>İndirim pankartın sanayide moda oldu. Karşı dükkân da astı; seninkinden kopyalamış, yazım hatasıyla.</t>
        </is>
      </c>
      <c r="J1706" s="6" t="inlineStr">
        <is>
          <t>Fiyatları kırdın, karşı da kırdı. Ay sonunda iki dükkân da kalabalıktı; ikisi de zarardaydı.</t>
        </is>
      </c>
      <c r="K1706" s="6" t="inlineStr">
        <is>
          <t>Fiyatı öyle kırdın ki karşının ustası da arabasını sana getirdi. Tamir ettin, zarar ettin, teşekkür aldın.</t>
        </is>
      </c>
      <c r="L1706" s="6" t="inlineStr"/>
      <c r="M1706" s="5" t="inlineStr"/>
      <c r="N1706" s="5" t="inlineStr"/>
      <c r="O1706" s="6" t="inlineStr"/>
      <c r="P1706" s="6" t="inlineStr"/>
      <c r="Q1706" s="5" t="inlineStr"/>
      <c r="R1706" s="5" t="inlineStr"/>
      <c r="S1706" s="5" t="inlineStr"/>
      <c r="T1706" s="5" t="inlineStr"/>
      <c r="U1706" s="5" t="inlineStr"/>
      <c r="V1706" s="5" t="inlineStr"/>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c r="AI1706" s="5" t="inlineStr"/>
      <c r="AJ1706" s="5" t="inlineStr"/>
      <c r="AL1706" t="n">
        <v>1</v>
      </c>
    </row>
    <row r="1707">
      <c r="A1707" s="5" t="inlineStr">
        <is>
          <t>b7-usta-sanayi-hakemi</t>
        </is>
      </c>
      <c r="B1707" s="5" t="n">
        <v>1</v>
      </c>
      <c r="C1707" s="6" t="inlineStr">
        <is>
          <t>Park yerini sırayla kullanmalarını söyle</t>
        </is>
      </c>
      <c r="D1707" s="5" t="inlineStr"/>
      <c r="E1707" s="5" t="inlineStr"/>
      <c r="F1707" s="5" t="inlineStr">
        <is>
          <t>İtibar +1, Akıl +1</t>
        </is>
      </c>
      <c r="G1707" s="6" t="inlineStr">
        <is>
          <t>Tek günler kaportacı, çift günler boyacı. İkisi de kabul etti. Ayın otuz birinde yeniden küstüler.</t>
        </is>
      </c>
      <c r="H1707" s="6" t="inlineStr"/>
      <c r="I1707" s="6" t="inlineStr"/>
      <c r="J1707" s="6" t="inlineStr"/>
      <c r="K1707" s="6" t="inlineStr"/>
      <c r="L1707" s="6" t="inlineStr"/>
      <c r="M1707" s="5" t="inlineStr"/>
      <c r="N1707" s="5" t="inlineStr"/>
      <c r="O1707" s="6" t="inlineStr"/>
      <c r="P1707" s="6" t="inlineStr"/>
      <c r="Q1707" s="5" t="inlineStr"/>
      <c r="R1707" s="5" t="inlineStr"/>
      <c r="S1707" s="5" t="inlineStr"/>
      <c r="T1707" s="5" t="inlineStr"/>
      <c r="U1707" s="5" t="inlineStr"/>
      <c r="V1707" s="5" t="inlineStr"/>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c r="AI1707" s="5" t="inlineStr"/>
      <c r="AJ1707" s="5" t="inlineStr"/>
    </row>
    <row r="1708">
      <c r="A1708" s="5" t="inlineStr">
        <is>
          <t>b7-usta-sanayi-hakemi</t>
        </is>
      </c>
      <c r="B1708" s="5" t="n">
        <v>2</v>
      </c>
      <c r="C1708" s="6" t="inlineStr">
        <is>
          <t>İkisini çay ocağında konuştur</t>
        </is>
      </c>
      <c r="D1708" s="5" t="inlineStr">
        <is>
          <t>Sosyal Radar</t>
        </is>
      </c>
      <c r="E1708" s="5" t="inlineStr">
        <is>
          <t>Orta</t>
        </is>
      </c>
      <c r="F1708" s="5" t="inlineStr"/>
      <c r="G1708" s="6" t="inlineStr"/>
      <c r="H1708" s="6" t="inlineStr">
        <is>
          <t>Üç çay, iki şeker, bir sessizlik. Sonra biri öbürünün boyasını övdü. Park kavgası “kim daha iyi boyar” kavgasına döndü; o daha keyifli.</t>
        </is>
      </c>
      <c r="I1708" s="6" t="inlineStr">
        <is>
          <t>Barıştılar, ortak dükkân açtılar: “Kaporta ve Boya.” Tabelanın rengine hâlâ karar veremediler; sana soracaklar.</t>
        </is>
      </c>
      <c r="J1708" s="6" t="inlineStr">
        <is>
          <t>Çay ocağında konuştular; sesleri ocaktan taştı, bütün sanayi dinledi. Sorun çözülmedi, yayıldı.</t>
        </is>
      </c>
      <c r="K1708" s="6" t="inlineStr">
        <is>
          <t>İkisini barıştırdın; sonra ikisi birlikte sana döndü: “Bu meseleyi sen büyüttün.” Şimdi ikisi dost, sen küssün; park yerine de senin araban sığmıyor.</t>
        </is>
      </c>
      <c r="L1708" s="6" t="inlineStr"/>
      <c r="M1708" s="5" t="inlineStr"/>
      <c r="N1708" s="5" t="inlineStr"/>
      <c r="O1708" s="6" t="inlineStr"/>
      <c r="P1708" s="6" t="inlineStr"/>
      <c r="Q1708" s="5" t="inlineStr"/>
      <c r="R1708" s="5" t="inlineStr"/>
      <c r="S1708" s="5" t="inlineStr"/>
      <c r="T1708" s="5" t="inlineStr"/>
      <c r="U1708" s="5" t="inlineStr"/>
      <c r="V1708" s="5" t="inlineStr">
        <is>
          <t>sanayi-hakemi</t>
        </is>
      </c>
      <c r="W1708" s="5" t="inlineStr"/>
      <c r="X1708" s="5" t="inlineStr"/>
      <c r="Y1708" s="5" t="inlineStr"/>
      <c r="Z1708" s="6" t="inlineStr"/>
      <c r="AA1708" s="5" t="inlineStr"/>
      <c r="AB1708" s="5" t="inlineStr"/>
      <c r="AC1708" s="5" t="inlineStr"/>
      <c r="AD1708" s="5" t="inlineStr"/>
      <c r="AE1708" s="5" t="inlineStr"/>
      <c r="AF1708" s="5" t="inlineStr"/>
      <c r="AG1708" s="5" t="inlineStr"/>
      <c r="AH1708" s="5" t="inlineStr"/>
      <c r="AI1708" s="5" t="inlineStr"/>
      <c r="AJ1708" s="5" t="inlineStr"/>
    </row>
    <row r="1709">
      <c r="A1709" s="5" t="inlineStr">
        <is>
          <t>b7-usta-sanayi-hakemi</t>
        </is>
      </c>
      <c r="B1709" s="5" t="n">
        <v>3</v>
      </c>
      <c r="C1709" s="6" t="inlineStr">
        <is>
          <t>Park yerine ikinci kat yap, kendi elinle</t>
        </is>
      </c>
      <c r="D1709" s="5" t="inlineStr">
        <is>
          <t>Dayanıklılık</t>
        </is>
      </c>
      <c r="E1709" s="5" t="inlineStr">
        <is>
          <t>Zor</t>
        </is>
      </c>
      <c r="F1709" s="5" t="inlineStr"/>
      <c r="G1709" s="6" t="inlineStr"/>
      <c r="H1709" s="6" t="inlineStr">
        <is>
          <t>Hafta sonu demir kaynak, pazartesi sabahı iki katlı park yeri. Site yönetimi ne diyeceğini bilemedi; o yüzden onayladı.</t>
        </is>
      </c>
      <c r="I1709" s="6" t="inlineStr">
        <is>
          <t>Rampa öyle iyi çıktı ki bütün sanayi ikinci kat istedi. Toplantılarda adın “mühendis” diye geçiyor; diploma soran yok.</t>
        </is>
      </c>
      <c r="J1709" s="6" t="inlineStr">
        <is>
          <t>İskeleti kurdun ama rampa yetmedi. Park yerinin üstünde şimdi bir çardak var; iki usta orada çay içiyor.</t>
        </is>
      </c>
      <c r="K1709" s="6" t="inlineStr">
        <is>
          <t>Rampa ilk arabada biraz eğildi, sonra durdu. Araba havada kaldı, neyse ki boştu. Sanayide yeni bir anıt var.</t>
        </is>
      </c>
      <c r="L1709" s="6" t="inlineStr"/>
      <c r="M1709" s="5" t="inlineStr"/>
      <c r="N1709" s="5" t="inlineStr"/>
      <c r="O1709" s="6" t="inlineStr"/>
      <c r="P1709" s="6" t="inlineStr"/>
      <c r="Q1709" s="5" t="inlineStr"/>
      <c r="R1709" s="5" t="inlineStr"/>
      <c r="S1709" s="5" t="inlineStr"/>
      <c r="T1709" s="5" t="inlineStr">
        <is>
          <t>Gözüne Uyku Girmez</t>
        </is>
      </c>
      <c r="U1709" s="5" t="inlineStr"/>
      <c r="V1709" s="5" t="inlineStr">
        <is>
          <t>sanayi-hakemi</t>
        </is>
      </c>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c r="AI1709" s="5" t="inlineStr"/>
      <c r="AJ1709" s="5" t="inlineStr"/>
    </row>
    <row r="1710">
      <c r="A1710" s="5" t="inlineStr">
        <is>
          <t>k10-usta</t>
        </is>
      </c>
      <c r="B1710" s="5" t="n">
        <v>1</v>
      </c>
      <c r="C1710" s="6" t="inlineStr">
        <is>
          <t>Yeni siteye taşın, büyü</t>
        </is>
      </c>
      <c r="D1710" s="5" t="inlineStr">
        <is>
          <t>Dayanıklılık</t>
        </is>
      </c>
      <c r="E1710" s="5" t="inlineStr">
        <is>
          <t>Orta</t>
        </is>
      </c>
      <c r="F1710" s="5" t="inlineStr"/>
      <c r="G1710" s="6" t="inlineStr"/>
      <c r="H1710" s="6" t="inlineStr">
        <is>
          <t>İki katlı dükkân, üç lift, iki kalfa. Eski müşterilerin gerçekten geldi; adresi sorarak.</t>
        </is>
      </c>
      <c r="I1710" s="6" t="inlineStr">
        <is>
          <t>İlk ay sitenin en kalabalık dükkânı oldun. Yönetim girişe tabela astı: “Sesinden bulan usta burada.”</t>
        </is>
      </c>
      <c r="J1710" s="6" t="inlineStr">
        <is>
          <t>Taşındın ama müşteriler eski sanayiye gitmeye devam etti; orası artık otopark. Sitenin en küçük dükkânını aldın; yine senin.</t>
        </is>
      </c>
      <c r="K1710" s="6" t="inlineStr">
        <is>
          <t>Taşınırken takımların yarısı başka bir dükkâna gitti. O dükkânın ustası senin takımlarla çalışıyor; iyi de çalışıyor.</t>
        </is>
      </c>
      <c r="L1710" s="6" t="inlineStr"/>
      <c r="M1710" s="5" t="inlineStr"/>
      <c r="N1710" s="5" t="inlineStr"/>
      <c r="O1710" s="6" t="inlineStr"/>
      <c r="P1710" s="6" t="inlineStr"/>
      <c r="Q1710" s="5" t="inlineStr"/>
      <c r="R1710" s="5" t="inlineStr"/>
      <c r="S1710" s="5" t="inlineStr"/>
      <c r="T1710" s="5" t="inlineStr"/>
      <c r="U1710" s="5" t="inlineStr"/>
      <c r="V1710" s="5" t="inlineStr">
        <is>
          <t>usta-buyudu</t>
        </is>
      </c>
      <c r="W1710" s="5" t="inlineStr"/>
      <c r="X1710" s="5" t="inlineStr"/>
      <c r="Y1710" s="5" t="inlineStr"/>
      <c r="Z1710" s="6" t="inlineStr"/>
      <c r="AA1710" s="5" t="inlineStr"/>
      <c r="AB1710" s="5" t="inlineStr"/>
      <c r="AC1710" s="5" t="inlineStr"/>
      <c r="AD1710" s="5" t="inlineStr">
        <is>
          <t>Rahat</t>
        </is>
      </c>
      <c r="AE1710" s="5" t="inlineStr"/>
      <c r="AF1710" s="5" t="inlineStr"/>
      <c r="AG1710" s="5" t="inlineStr"/>
      <c r="AH1710" s="5" t="inlineStr"/>
      <c r="AI1710" s="5" t="inlineStr"/>
      <c r="AJ1710" s="5" t="inlineStr"/>
    </row>
    <row r="1711">
      <c r="A1711" s="5" t="inlineStr">
        <is>
          <t>k10-usta</t>
        </is>
      </c>
      <c r="B1711" s="5" t="n">
        <v>2</v>
      </c>
      <c r="C1711" s="6" t="inlineStr">
        <is>
          <t>Fabrikada usta başı ol</t>
        </is>
      </c>
      <c r="D1711" s="5" t="inlineStr">
        <is>
          <t>Akıl</t>
        </is>
      </c>
      <c r="E1711" s="5" t="inlineStr">
        <is>
          <t>Orta</t>
        </is>
      </c>
      <c r="F1711" s="5" t="inlineStr"/>
      <c r="G1711" s="6" t="inlineStr"/>
      <c r="H1711" s="6" t="inlineStr">
        <is>
          <t>Kepengi son kez indirdin. Fabrikada beyaz önlük, kartlı giriş, öğlen tabldot. Sesle arıza bulunca mühendisler not alıyor; maaş her ayın on beşinde.</t>
        </is>
      </c>
      <c r="I1711" s="6" t="inlineStr">
        <is>
          <t>Fabrikada ilk hafta üç arızayı sesinden buldun. Mühendisler cihazlarını bırakıp senin kulağını izlemeye başladı. Cuma günü genel müdür yanına geldi, alçak sesle: “Benim arabada da bir tıkırtı var, bir bakar mısın?”</t>
        </is>
      </c>
      <c r="J1711" s="6" t="inlineStr">
        <is>
          <t>Fabrikanın mülakatında makine yerine kâğıt sınav verdiler; motorun sesini kâğıda yazamadın. Yeni siteye taşındın, kendi tezgâhına.</t>
        </is>
      </c>
      <c r="K1711" s="6" t="inlineStr">
        <is>
          <t>İlk gün kartlı girişte kartını ters okuttun, turnike seni içeri almadı. Üç gün böyle geçti; dördüncü gün yeni sanayi sitesinde kendi kepengini açıyordun.</t>
        </is>
      </c>
      <c r="L1711" s="6" t="inlineStr"/>
      <c r="M1711" s="5" t="inlineStr"/>
      <c r="N1711" s="5" t="inlineStr"/>
      <c r="O1711" s="6" t="inlineStr"/>
      <c r="P1711" s="6" t="inlineStr"/>
      <c r="Q1711" s="5" t="inlineStr"/>
      <c r="R1711" s="5" t="inlineStr"/>
      <c r="S1711" s="5" t="inlineStr"/>
      <c r="T1711" s="5" t="inlineStr"/>
      <c r="U1711" s="5" t="inlineStr"/>
      <c r="V1711" s="5" t="inlineStr">
        <is>
          <t>-hat-cete, -hat-dolandirici, -hat-girisimci, -hat-goc, -hat-hekim, -hat-koy, -hat-polis, -hat-politika, -hat-sohret, -hat-usta, -hat-yargi, -meslek-esnaf, -meslek-memur, -meslek-serbest, meslek-beyazyaka</t>
        </is>
      </c>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c r="AI1711" s="5" t="inlineStr"/>
      <c r="AJ1711" s="5" t="inlineStr"/>
    </row>
    <row r="1712">
      <c r="A1712" s="5" t="inlineStr">
        <is>
          <t>k10-usta</t>
        </is>
      </c>
      <c r="B1712" s="5" t="n">
        <v>3</v>
      </c>
      <c r="C1712" s="6" t="inlineStr">
        <is>
          <t>Kendi atölye markanı kur</t>
        </is>
      </c>
      <c r="D1712" s="5" t="inlineStr">
        <is>
          <t>Cesaret</t>
        </is>
      </c>
      <c r="E1712" s="5" t="inlineStr">
        <is>
          <t>Zor</t>
        </is>
      </c>
      <c r="F1712" s="5" t="inlineStr"/>
      <c r="G1712" s="6" t="inlineStr"/>
      <c r="H1712" s="6" t="inlineStr">
        <is>
          <t>Atölyene bir ad, bir logo, tulumlara işleme. Şehirde üç şubelik bir plan yaptın; ilk şube açıldı, planın ikinci sayfası bankada.</t>
        </is>
      </c>
      <c r="I1712" s="6" t="inlineStr">
        <is>
          <t>Markan tuttu: kendi filtren, kendi takım çantan, kendi tulumun. Sanayide artık seninle değil, markanla pazarlık ediyorlar.</t>
        </is>
      </c>
      <c r="J1712" s="6" t="inlineStr">
        <is>
          <t>Tabelayı yaptırdın, sonra hesabı yaptın. Tabelayı yeni sitedeki dükkânına astın; marka orada, sen yine tezgâhın başında.</t>
        </is>
      </c>
      <c r="K1712" s="6" t="inlineStr">
        <is>
          <t>Adı tescile götürdün; biri bir hafta önce almış. Tabela depoda, sen yine tezgâhtasın; kira da iki katı.</t>
        </is>
      </c>
      <c r="L1712" s="6" t="inlineStr"/>
      <c r="M1712" s="5" t="inlineStr"/>
      <c r="N1712" s="5" t="inlineStr"/>
      <c r="O1712" s="6" t="inlineStr"/>
      <c r="P1712" s="6" t="inlineStr"/>
      <c r="Q1712" s="5" t="inlineStr"/>
      <c r="R1712" s="5" t="inlineStr"/>
      <c r="S1712" s="5" t="inlineStr"/>
      <c r="T1712" s="5" t="inlineStr"/>
      <c r="U1712" s="5" t="inlineStr"/>
      <c r="V1712" s="5" t="inlineStr">
        <is>
          <t>-hat-cete, -hat-dolandirici, -hat-goc, -hat-hekim, -hat-koy, -hat-polis, -hat-politika, -hat-sohret, -hat-usta, -hat-yargi, -meslek-beyazyaka, -meslek-esnaf, -meslek-memur, hat-girisimci, meslek-serbest</t>
        </is>
      </c>
      <c r="W1712" s="5" t="inlineStr"/>
      <c r="X1712" s="5" t="inlineStr"/>
      <c r="Y1712" s="5" t="inlineStr"/>
      <c r="Z1712" s="6" t="inlineStr"/>
      <c r="AA1712" s="5" t="inlineStr"/>
      <c r="AB1712" s="5" t="inlineStr"/>
      <c r="AC1712" s="5" t="inlineStr"/>
      <c r="AD1712" s="5" t="inlineStr"/>
      <c r="AE1712" s="5" t="inlineStr"/>
      <c r="AF1712" s="5" t="inlineStr"/>
      <c r="AG1712" s="5" t="inlineStr"/>
      <c r="AH1712" s="5" t="inlineStr"/>
      <c r="AI1712" s="5" t="inlineStr"/>
      <c r="AJ1712" s="5" t="inlineStr"/>
    </row>
    <row r="1713">
      <c r="A1713" s="5" t="inlineStr">
        <is>
          <t>b8-usta-sessiz-motor</t>
        </is>
      </c>
      <c r="B1713" s="5" t="n">
        <v>1</v>
      </c>
      <c r="C1713" s="6" t="inlineStr">
        <is>
          <t>Kalfaya bırak, kenardan izle</t>
        </is>
      </c>
      <c r="D1713" s="5" t="inlineStr"/>
      <c r="E1713" s="5" t="inlineStr"/>
      <c r="F1713" s="5" t="inlineStr">
        <is>
          <t>İtibar +1, Akıl +1</t>
        </is>
      </c>
      <c r="G1713" s="6" t="inlineStr">
        <is>
          <t>Kalfa tabletle arızayı buldu. Sen kenardan “Vidayı sağa çevir” dedin; doğruydu. Kalfa bunu kimseye söylemedi, sana da.</t>
        </is>
      </c>
      <c r="H1713" s="6" t="inlineStr"/>
      <c r="I1713" s="6" t="inlineStr"/>
      <c r="J1713" s="6" t="inlineStr"/>
      <c r="K1713" s="6" t="inlineStr"/>
      <c r="L1713" s="6" t="inlineStr"/>
      <c r="M1713" s="5" t="inlineStr"/>
      <c r="N1713" s="5" t="inlineStr"/>
      <c r="O1713" s="6" t="inlineStr"/>
      <c r="P1713" s="6" t="inlineStr"/>
      <c r="Q1713" s="5" t="inlineStr"/>
      <c r="R1713" s="5" t="inlineStr"/>
      <c r="S1713" s="5" t="inlineStr"/>
      <c r="T1713" s="5" t="inlineStr"/>
      <c r="U1713" s="5" t="inlineStr"/>
      <c r="V1713" s="5" t="inlineStr"/>
      <c r="W1713" s="5" t="inlineStr"/>
      <c r="X1713" s="5" t="inlineStr"/>
      <c r="Y1713" s="5" t="inlineStr"/>
      <c r="Z1713" s="6" t="inlineStr"/>
      <c r="AA1713" s="5" t="inlineStr"/>
      <c r="AB1713" s="5" t="inlineStr"/>
      <c r="AC1713" s="5" t="inlineStr"/>
      <c r="AD1713" s="5" t="inlineStr"/>
      <c r="AE1713" s="5" t="inlineStr"/>
      <c r="AF1713" s="5" t="inlineStr"/>
      <c r="AG1713" s="5" t="inlineStr"/>
      <c r="AH1713" s="5" t="inlineStr"/>
      <c r="AI1713" s="5" t="inlineStr"/>
      <c r="AJ1713" s="5" t="inlineStr"/>
    </row>
    <row r="1714">
      <c r="A1714" s="5" t="inlineStr">
        <is>
          <t>b8-usta-sessiz-motor</t>
        </is>
      </c>
      <c r="B1714" s="5" t="n">
        <v>2</v>
      </c>
      <c r="C1714" s="6" t="inlineStr">
        <is>
          <t>Kursa yazıl, akşamları öğren</t>
        </is>
      </c>
      <c r="D1714" s="5" t="inlineStr">
        <is>
          <t>Akıl</t>
        </is>
      </c>
      <c r="E1714" s="5" t="inlineStr">
        <is>
          <t>Zor</t>
        </is>
      </c>
      <c r="F1714" s="5" t="inlineStr"/>
      <c r="G1714" s="6" t="inlineStr"/>
      <c r="H1714" s="6" t="inlineStr">
        <is>
          <t>Altı ay boyunca akşamları gençlerle aynı sırada oturdun. Sertifikayı dükkâna astın, gözlüğünle. Sessiz arabalar da artık seninle konuşuyor.</t>
        </is>
      </c>
      <c r="I1714" s="6" t="inlineStr">
        <is>
          <t>Hocanın cevaplayamadığı soruyu sen cevapladın: “Sessiz de olsa titrer.” Kurs seni eğitmen yaptı.</t>
        </is>
      </c>
      <c r="J1714" s="6" t="inlineStr">
        <is>
          <t>Derslerin yarısı bilgisayardaydı; şifreni unuttun. Kalan yarısını dinledin. Sertifika seneye.</t>
        </is>
      </c>
      <c r="K1714" s="6" t="inlineStr">
        <is>
          <t>Sınavda motoru dinlemek için kulağını dayadın. Gözetmen bunu kopya sandı. Yeniden kayıt: bir dönem sonra.</t>
        </is>
      </c>
      <c r="L1714" s="6" t="inlineStr"/>
      <c r="M1714" s="5" t="inlineStr"/>
      <c r="N1714" s="5" t="inlineStr"/>
      <c r="O1714" s="6" t="inlineStr"/>
      <c r="P1714" s="6" t="inlineStr"/>
      <c r="Q1714" s="5" t="inlineStr"/>
      <c r="R1714" s="5" t="inlineStr"/>
      <c r="S1714" s="5" t="inlineStr"/>
      <c r="T1714" s="5" t="inlineStr">
        <is>
          <t>Nöbet Disiplini</t>
        </is>
      </c>
      <c r="U1714" s="5" t="inlineStr"/>
      <c r="V1714" s="5" t="inlineStr">
        <is>
          <t>yeni-motor-ustasi</t>
        </is>
      </c>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c r="AI1714" s="5" t="inlineStr"/>
      <c r="AJ1714" s="5" t="inlineStr"/>
    </row>
    <row r="1715">
      <c r="A1715" s="5" t="inlineStr">
        <is>
          <t>b8-usta-sessiz-motor</t>
        </is>
      </c>
      <c r="B1715" s="5" t="n">
        <v>3</v>
      </c>
      <c r="C1715" s="6" t="inlineStr">
        <is>
          <t>Tık sesini kendin bul</t>
        </is>
      </c>
      <c r="D1715" s="5" t="inlineStr">
        <is>
          <t>Dayanıklılık</t>
        </is>
      </c>
      <c r="E1715" s="5" t="inlineStr">
        <is>
          <t>Orta</t>
        </is>
      </c>
      <c r="F1715" s="5" t="inlineStr"/>
      <c r="G1715" s="6" t="inlineStr"/>
      <c r="H1715" s="6" t="inlineStr">
        <is>
          <t>Arabanın altında iki saat yattın. Tıkı buldun: torpidoda bir anahtarlık. Sahibi utandı, sen işçiliği yazdın.</t>
        </is>
      </c>
      <c r="I1715" s="6" t="inlineStr">
        <is>
          <t>Tıkı buldun, bir de gerçek arızayı: fren hortumu. Sahibi seni bütün elektrikli araç grubuna önerdi. Sessiz arabalar sessizce sırada.</t>
        </is>
      </c>
      <c r="J1715" s="6" t="inlineStr">
        <is>
          <t>Üç saat aradın, tık gelmedi. Sahibi arabayı aldı; kapıdan çıkarken tık etti.</t>
        </is>
      </c>
      <c r="K1715" s="6" t="inlineStr">
        <is>
          <t>Arabanın altındayken sırtın tutuldu. Arabayı sahibi, seni kalfa çıkardı. Kalfa bunu hâlâ anlatıyor.</t>
        </is>
      </c>
      <c r="L1715" s="6" t="inlineStr"/>
      <c r="M1715" s="5" t="inlineStr"/>
      <c r="N1715" s="5" t="inlineStr"/>
      <c r="O1715" s="6" t="inlineStr"/>
      <c r="P1715" s="6" t="inlineStr"/>
      <c r="Q1715" s="5" t="inlineStr"/>
      <c r="R1715" s="5" t="inlineStr"/>
      <c r="S1715" s="5" t="inlineStr"/>
      <c r="T1715" s="5" t="inlineStr"/>
      <c r="U1715" s="5" t="inlineStr"/>
      <c r="V1715" s="5" t="inlineStr"/>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c r="AI1715" s="5" t="inlineStr"/>
      <c r="AJ1715" s="5" t="inlineStr"/>
    </row>
    <row r="1716">
      <c r="A1716" s="5" t="inlineStr">
        <is>
          <t>b8-usta-ustalarin-ustasi</t>
        </is>
      </c>
      <c r="B1716" s="5" t="n">
        <v>1</v>
      </c>
      <c r="C1716" s="6" t="inlineStr">
        <is>
          <t>Kurdeleyi kes, kısa konuş</t>
        </is>
      </c>
      <c r="D1716" s="5" t="inlineStr"/>
      <c r="E1716" s="5" t="inlineStr"/>
      <c r="F1716" s="5" t="inlineStr">
        <is>
          <t>İtibar +1, Sosyal Radar +1</t>
        </is>
      </c>
      <c r="G1716" s="6" t="inlineStr">
        <is>
          <t>Kurdeleyi kestin, tek cümle söyledin: “Bol kazançlar; önce dükkânın önünü süpür.” Alkış aldın. Ertesi sabah kapının önünü süpürürken çektiği fotoğrafı sana yolladı.</t>
        </is>
      </c>
      <c r="H1716" s="6" t="inlineStr"/>
      <c r="I1716" s="6" t="inlineStr"/>
      <c r="J1716" s="6" t="inlineStr"/>
      <c r="K1716" s="6" t="inlineStr"/>
      <c r="L1716" s="6" t="inlineStr"/>
      <c r="M1716" s="5" t="inlineStr"/>
      <c r="N1716" s="5" t="inlineStr"/>
      <c r="O1716" s="6" t="inlineStr"/>
      <c r="P1716" s="6" t="inlineStr"/>
      <c r="Q1716" s="5" t="inlineStr"/>
      <c r="R1716" s="5" t="inlineStr"/>
      <c r="S1716" s="5" t="inlineStr"/>
      <c r="T1716" s="5" t="inlineStr"/>
      <c r="U1716" s="5" t="inlineStr"/>
      <c r="V1716" s="5" t="inlineStr"/>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c r="AI1716" s="5" t="inlineStr"/>
      <c r="AJ1716" s="5" t="inlineStr"/>
    </row>
    <row r="1717">
      <c r="A1717" s="5" t="inlineStr">
        <is>
          <t>b8-usta-ustalarin-ustasi</t>
        </is>
      </c>
      <c r="B1717" s="5" t="n">
        <v>2</v>
      </c>
      <c r="C1717" s="6" t="inlineStr">
        <is>
          <t>İlk müşterinin arabasını birlikte tamir edin</t>
        </is>
      </c>
      <c r="D1717" s="5" t="inlineStr">
        <is>
          <t>Akıl</t>
        </is>
      </c>
      <c r="E1717" s="5" t="inlineStr">
        <is>
          <t>Orta</t>
        </is>
      </c>
      <c r="F1717" s="5" t="inlineStr"/>
      <c r="G1717" s="6" t="inlineStr"/>
      <c r="H1717" s="6" t="inlineStr">
        <is>
          <t>Kaputu birlikte açtınız, aynı anda “Triger” dediniz. Çırak siftah parasını öpüp alnına koydu, sonra yarısını sana uzattı: “Senin hakkın, usta.”</t>
        </is>
      </c>
      <c r="I1717" s="6" t="inlineStr">
        <is>
          <t>Tamiri birlikte yaptınız; sanayi toplanıp izledi. Akşama doğru bir genç geldi, önce çırağa, sonra sana baktı: “Ustanın ustası sen misin?” Çırak olmak istiyor; makasını da kendi getirmiş.</t>
        </is>
      </c>
      <c r="J1717" s="6" t="inlineStr">
        <is>
          <t>Kaputu birlikte açtınız, farklı şeyler dediniz. İkiniz de haklıydınız; müşteri ikinize de kızdı.</t>
        </is>
      </c>
      <c r="K1717" s="6" t="inlineStr">
        <is>
          <t>Tamirin ortasında tezgâhta kendi makasını gördün: “Bu benim değil mi?” Çırak kızardı, müşteri kaputun altından başını çıkardı. Açılış günü bütün sanayi makasın kimin olduğunu tartıştı; araba akşama kadar açık kaldı.</t>
        </is>
      </c>
      <c r="L1717" s="6" t="inlineStr"/>
      <c r="M1717" s="5" t="inlineStr"/>
      <c r="N1717" s="5" t="inlineStr"/>
      <c r="O1717" s="6" t="inlineStr"/>
      <c r="P1717" s="6" t="inlineStr"/>
      <c r="Q1717" s="5" t="inlineStr"/>
      <c r="R1717" s="5" t="inlineStr"/>
      <c r="S1717" s="5" t="inlineStr"/>
      <c r="T1717" s="5" t="inlineStr"/>
      <c r="U1717" s="5" t="inlineStr"/>
      <c r="V1717" s="5" t="inlineStr">
        <is>
          <t>ustalarin-ustasi</t>
        </is>
      </c>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c r="AI1717" s="5" t="inlineStr"/>
      <c r="AJ1717" s="5" t="inlineStr"/>
    </row>
    <row r="1718">
      <c r="A1718" s="5" t="inlineStr">
        <is>
          <t>b8-usta-ustalarin-ustasi</t>
        </is>
      </c>
      <c r="B1718" s="5" t="n">
        <v>3</v>
      </c>
      <c r="C1718" s="6" t="inlineStr">
        <is>
          <t>Sanayide çıraklar için okul kur</t>
        </is>
      </c>
      <c r="D1718" s="5" t="inlineStr">
        <is>
          <t>Dayanıklılık</t>
        </is>
      </c>
      <c r="E1718" s="5" t="inlineStr">
        <is>
          <t>Zor</t>
        </is>
      </c>
      <c r="F1718" s="5" t="inlineStr"/>
      <c r="G1718" s="6" t="inlineStr"/>
      <c r="H1718" s="6" t="inlineStr">
        <is>
          <t>Boş bir dükkânı sınıfa çevirdin. Her cumartesi on iki çırak, bir motor, bir çaydanlık. Gençler ilk kez telefonlarını kapıda bırakıyor.</t>
        </is>
      </c>
      <c r="I1718" s="6" t="inlineStr">
        <is>
          <t>Belediye okulu tanıdı, kapıya tabela astı: “Usta Okulu.” Mezuniyette her çırağa bir anahtar takımı verdin. İçlerinden biri takımı göğsüne bastırdı: “Babam bile bana alet vermemişti.”</t>
        </is>
      </c>
      <c r="J1718" s="6" t="inlineStr">
        <is>
          <t>Okulu açtın, çıraklar geldi, ustalar gelmedi. Bütün dersleri sen verdin; cumartesi akşamı sesin kısıldı.</t>
        </is>
      </c>
      <c r="K1718" s="6" t="inlineStr">
        <is>
          <t>İlk derste motoru çalıştırdın; motor öksürdü, sonra sınıfı dumana boğdu. İtfaiye geldi. Çıraklar okulun ilk dersini itfaiyeciden aldı: yangın tüpü nasıl kullanılır.</t>
        </is>
      </c>
      <c r="L1718" s="6" t="inlineStr"/>
      <c r="M1718" s="5" t="inlineStr"/>
      <c r="N1718" s="5" t="inlineStr"/>
      <c r="O1718" s="6" t="inlineStr"/>
      <c r="P1718" s="6" t="inlineStr"/>
      <c r="Q1718" s="5" t="inlineStr"/>
      <c r="R1718" s="5" t="inlineStr"/>
      <c r="S1718" s="5" t="inlineStr"/>
      <c r="T1718" s="5" t="inlineStr">
        <is>
          <t>Selamı Var</t>
        </is>
      </c>
      <c r="U1718" s="5" t="inlineStr"/>
      <c r="V1718" s="5" t="inlineStr">
        <is>
          <t>ustalarin-ustasi</t>
        </is>
      </c>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c r="AI1718" s="5" t="inlineStr"/>
      <c r="AJ1718" s="5" t="inlineStr"/>
    </row>
    <row r="1719">
      <c r="A1719" s="5" t="inlineStr">
        <is>
          <t>b9-usta-son-kepenk</t>
        </is>
      </c>
      <c r="B1719" s="5" t="n">
        <v>1</v>
      </c>
      <c r="C1719" s="6" t="inlineStr">
        <is>
          <t>Dükkânı kalfana devret, anahtarı ver</t>
        </is>
      </c>
      <c r="D1719" s="5" t="inlineStr"/>
      <c r="E1719" s="5" t="inlineStr"/>
      <c r="F1719" s="5" t="inlineStr">
        <is>
          <t>İtibar +1</t>
        </is>
      </c>
      <c r="G1719" s="6" t="inlineStr">
        <is>
          <t>Anahtarı verdin, tabelayı bıraktın. Kalfa altına küçük bir satır ekledi: “Kurucusu her salı gelir.” Her salı gidiyorsun; perşembeleri de.</t>
        </is>
      </c>
      <c r="H1719" s="6" t="inlineStr"/>
      <c r="I1719" s="6" t="inlineStr"/>
      <c r="J1719" s="6" t="inlineStr"/>
      <c r="K1719" s="6" t="inlineStr"/>
      <c r="L1719" s="6" t="inlineStr"/>
      <c r="M1719" s="5" t="inlineStr"/>
      <c r="N1719" s="5" t="inlineStr"/>
      <c r="O1719" s="6" t="inlineStr"/>
      <c r="P1719" s="6" t="inlineStr"/>
      <c r="Q1719" s="5" t="inlineStr"/>
      <c r="R1719" s="5" t="inlineStr"/>
      <c r="S1719" s="5" t="inlineStr"/>
      <c r="T1719" s="5" t="inlineStr"/>
      <c r="U1719" s="5" t="inlineStr"/>
      <c r="V1719" s="5" t="inlineStr"/>
      <c r="W1719" s="5" t="inlineStr"/>
      <c r="X1719" s="5" t="inlineStr"/>
      <c r="Y1719" s="5" t="inlineStr"/>
      <c r="Z1719" s="6" t="inlineStr"/>
      <c r="AA1719" s="5" t="inlineStr"/>
      <c r="AB1719" s="5" t="inlineStr"/>
      <c r="AC1719" s="5" t="inlineStr"/>
      <c r="AD1719" s="5" t="inlineStr"/>
      <c r="AE1719" s="5" t="inlineStr"/>
      <c r="AF1719" s="5" t="inlineStr"/>
      <c r="AG1719" s="5" t="inlineStr"/>
      <c r="AH1719" s="5" t="inlineStr"/>
      <c r="AI1719" s="5" t="inlineStr"/>
      <c r="AJ1719" s="5" t="inlineStr"/>
    </row>
    <row r="1720">
      <c r="A1720" s="5" t="inlineStr">
        <is>
          <t>b9-usta-son-kepenk</t>
        </is>
      </c>
      <c r="B1720" s="5" t="n">
        <v>2</v>
      </c>
      <c r="C1720" s="6" t="inlineStr">
        <is>
          <t>Telefonda teşhise devam et, ücretini iste</t>
        </is>
      </c>
      <c r="D1720" s="5" t="inlineStr">
        <is>
          <t>Kurnazlık</t>
        </is>
      </c>
      <c r="E1720" s="5" t="inlineStr">
        <is>
          <t>Orta</t>
        </is>
      </c>
      <c r="F1720" s="5" t="inlineStr"/>
      <c r="G1720" s="6" t="inlineStr"/>
      <c r="H1720" s="6" t="inlineStr">
        <is>
          <t>Arama başına küçük bir ücret koydun. Arayanlar azalmadı; havale açıklamasına sesi yazıyorlar: “Tık tık vıyyy.”</t>
        </is>
      </c>
      <c r="I1720" s="6" t="inlineStr">
        <is>
          <t>Genç ustalar zor vakaları sana telefonla bağlıyor; sanayide 'Bir de büyük ustaya soralım' lafı çıktı. Emekli maaşından fazla kazanıyorsun; terlikle, balkonda.</t>
        </is>
      </c>
      <c r="J1720" s="6" t="inlineStr">
        <is>
          <t>Ücret koydun; arayanlar kalfayı aramaya başladı. Kalfa da seni arıyor; ücretsiz.</t>
        </is>
      </c>
      <c r="K1720" s="6" t="inlineStr">
        <is>
          <t>Telefondaki sese 'Şanzıman' dedin. Müşteri arabayı çekiciyle sanayiye getirdi; ses torpidodaki şarj aletiymiş. Sanayi bu olayı bir yıl, senin sesini taklit ederek anlattı.</t>
        </is>
      </c>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c r="AI1720" s="5" t="inlineStr"/>
      <c r="AJ1720" s="5" t="inlineStr"/>
    </row>
    <row r="1721">
      <c r="A1721" s="5" t="inlineStr">
        <is>
          <t>b9-usta-son-kepenk</t>
        </is>
      </c>
      <c r="B1721" s="5" t="n">
        <v>3</v>
      </c>
      <c r="C1721" s="6" t="inlineStr">
        <is>
          <t>Son bir motoru baştan sona kendin topla</t>
        </is>
      </c>
      <c r="D1721" s="5" t="inlineStr">
        <is>
          <t>Dayanıklılık</t>
        </is>
      </c>
      <c r="E1721" s="5" t="inlineStr">
        <is>
          <t>Zor</t>
        </is>
      </c>
      <c r="F1721" s="5" t="inlineStr"/>
      <c r="G1721" s="6" t="inlineStr"/>
      <c r="H1721" s="6" t="inlineStr">
        <is>
          <t>Otuz yıllık bir motoru kış boyu parça parça topladın. İlk marşta çalıştı. Sanayi kepenklerini açıp dinledi; kimse konuşmadı.</t>
        </is>
      </c>
      <c r="I1721" s="6" t="inlineStr">
        <is>
          <t>Motor çalıştığında eski çırakların hepsi oradaydı. Motoru sanayi sitesinin girişine koydular; altına adını yazdılar, yanına da iki kelime: “Tık yok.”</t>
        </is>
      </c>
      <c r="J1721" s="6" t="inlineStr">
        <is>
          <t>Motoru topladın, bir vida arttı. Motor çalışıyor ama vida seni rahatsız ediyor. Vidayı cebinde taşıyorsun.</t>
        </is>
      </c>
      <c r="K1721" s="6" t="inlineStr">
        <is>
          <t>Motor ilk marşta çalıştı, ikincide dükkânın sigortasını attırdı, üçüncüde bütün sitenin. Sanayi seni emekliliğe karanlıkta uğurladı.</t>
        </is>
      </c>
      <c r="L1721" s="6" t="inlineStr"/>
      <c r="M1721" s="5" t="inlineStr"/>
      <c r="N1721" s="5" t="inlineStr"/>
      <c r="O1721" s="6" t="inlineStr"/>
      <c r="P1721" s="6" t="inlineStr"/>
      <c r="Q1721" s="5" t="inlineStr"/>
      <c r="R1721" s="5" t="inlineStr"/>
      <c r="S1721" s="5" t="inlineStr"/>
      <c r="T1721" s="5" t="inlineStr"/>
      <c r="U1721" s="5" t="inlineStr"/>
      <c r="V1721" s="5" t="inlineStr">
        <is>
          <t>son-motor</t>
        </is>
      </c>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c r="AI1721" s="5" t="inlineStr"/>
      <c r="AJ1721" s="5" t="inlineStr"/>
    </row>
    <row r="1722">
      <c r="A1722" s="5" t="inlineStr">
        <is>
          <t>b7-kiz-isteme</t>
        </is>
      </c>
      <c r="B1722" s="5" t="n">
        <v>1</v>
      </c>
      <c r="C1722" s="6" t="inlineStr">
        <is>
          <t>Tuzlu kahveyi iç, gülümse</t>
        </is>
      </c>
      <c r="D1722" s="5" t="inlineStr"/>
      <c r="E1722" s="5" t="inlineStr"/>
      <c r="F1722" s="5" t="inlineStr">
        <is>
          <t>Dayanıklılık +1, Gönül +1</t>
        </is>
      </c>
      <c r="G1722" s="6" t="inlineStr">
        <is>
          <t>Kahveyi son yudumuna kadar içtin ve gülümsedin. Kayınpederin “Bu çocuk dayanır” dedi. Dilin iki gün tuz tattı.</t>
        </is>
      </c>
      <c r="H1722" s="6" t="inlineStr"/>
      <c r="I1722" s="6" t="inlineStr"/>
      <c r="J1722" s="6" t="inlineStr"/>
      <c r="K1722" s="6" t="inlineStr"/>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c r="AI1722" s="5" t="inlineStr"/>
      <c r="AJ1722" s="5" t="inlineStr"/>
    </row>
    <row r="1723">
      <c r="A1723" s="5" t="inlineStr">
        <is>
          <t>b7-kiz-isteme</t>
        </is>
      </c>
      <c r="B1723" s="5" t="n">
        <v>2</v>
      </c>
      <c r="C1723" s="6" t="inlineStr">
        <is>
          <t>Kahveyi “Tam kıvamında” diye öv</t>
        </is>
      </c>
      <c r="D1723" s="5" t="inlineStr">
        <is>
          <t>Pişkinlik</t>
        </is>
      </c>
      <c r="E1723" s="5" t="inlineStr">
        <is>
          <t>Orta</t>
        </is>
      </c>
      <c r="F1723" s="5" t="inlineStr"/>
      <c r="G1723" s="6" t="inlineStr"/>
      <c r="H1723" s="6" t="inlineStr">
        <is>
          <t>“Tam kıvamında” dedin ve bir yudum daha aldın. Salon güldü, müstakbel eşin utandı, kayınvalide not aldı: “Yalan söylerken gözünü kırpmıyor.”</t>
        </is>
      </c>
      <c r="I1723" s="6" t="inlineStr">
        <is>
          <t>Kahveyi öyle övdün ki kayınvalide tarifini istedi. Tarif tek kelimeydi: tuz. İki aile ilk kez aynı anda güldü.</t>
        </is>
      </c>
      <c r="J1723" s="6" t="inlineStr">
        <is>
          <t>“Tam kıvamında” derken yüzün başka bir şey söyledi. Herkes yüzüne inandı.</t>
        </is>
      </c>
      <c r="K1723" s="6" t="inlineStr">
        <is>
          <t>Övgünün ortasında öksürdün; kahve halıya fıskiye gibi püskürdü. Halı çeyizdi. Leke çıktı, ad çıkmadı.</t>
        </is>
      </c>
      <c r="L1723" s="6" t="inlineStr">
        <is>
          <t>“Tam kıvamında” dedin; sol kaşın bir an kalktı. Kayınvalide kaşı gördü, kimseye söylemedi; şimdilik.</t>
        </is>
      </c>
      <c r="M1723" s="5" t="inlineStr">
        <is>
          <t>duel</t>
        </is>
      </c>
      <c r="N1723" s="5" t="inlineStr">
        <is>
          <t>Tuzlu Kahve</t>
        </is>
      </c>
      <c r="O1723" s="6" t="inlineStr">
        <is>
          <t>Karşındakinin sabrı bitmeden en iyi cevabı seç.</t>
        </is>
      </c>
      <c r="P1723" s="6" t="inlineStr">
        <is>
          <t>{"who": "Büyükler", "rounds": [{"q": "Kahve nasıl olmuş?", "o": [{"t": "Tam kıvamında; elinize sağlık.", "s": 1}, {"t": "Biraz tuzlu galiba.", "s": 0.2}, {"t": "Çok güzel (yüzünü buruştur).", "s": 0.5}]}, {"q": "İkinci fincan?", "o": [{"t": "Memnuniyetle, bu seferki daha da güzel olur.", "s": 1}, {"t": "Şeker olsun belki.", "s": 0.4}, {"t": "Teşekkürler, yeterli.", "s": 0.35}]}, {"q": "Peki, ne kadar sürer evlenmeniz?", "o": [{"t": "Siz izin verirseniz bir an önce.", "s": 1}, {"t": "Bilmiyorum.", "s": 0.3}, {"t": "Kahveden sonra düşünürüz.", "s": 0.5}]}]}</t>
        </is>
      </c>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inlineStr"/>
      <c r="AG1723" s="5" t="inlineStr"/>
      <c r="AH1723" s="5" t="inlineStr"/>
      <c r="AI1723" s="5" t="inlineStr">
        <is>
          <t>Fıskiye</t>
        </is>
      </c>
      <c r="AJ1723" s="5" t="inlineStr"/>
    </row>
    <row r="1724">
      <c r="A1724" s="5" t="inlineStr">
        <is>
          <t>b7-kiz-isteme</t>
        </is>
      </c>
      <c r="B1724" s="5" t="n">
        <v>3</v>
      </c>
      <c r="C1724" s="6" t="inlineStr">
        <is>
          <t>Konuşmayı sen yap, babanı kurtar</t>
        </is>
      </c>
      <c r="D1724" s="5" t="inlineStr">
        <is>
          <t>Çene</t>
        </is>
      </c>
      <c r="E1724" s="5" t="inlineStr">
        <is>
          <t>Orta</t>
        </is>
      </c>
      <c r="F1724" s="5" t="inlineStr"/>
      <c r="G1724" s="6" t="inlineStr"/>
      <c r="H1724" s="6" t="inlineStr">
        <is>
          <t>Baban cümleye başlarken tıkandı; sen tamamladın. Geleneksel kısmı ona bıraktın, gerisini sen söyledin. “Verdik” dediler; baban “Ben de onu diyecektim” dedi.</t>
        </is>
      </c>
      <c r="I1724" s="6" t="inlineStr">
        <is>
          <t>Konuşman o kadar iyiydi ki kayınpeder söz kesmeyi hemen oracıkta yapmak istedi. Yüzükler cebindeydi; annen her ihtimale karşı getirmiş.</t>
        </is>
      </c>
      <c r="J1724" s="6" t="inlineStr">
        <is>
          <t>Konuşmaya başladın, baban da başladı; ikiniz aynı anda sustunuz. Kayınpeder “Siz bir karar verin, sonra gelin” dedi.</t>
        </is>
      </c>
      <c r="K1724" s="6" t="inlineStr">
        <is>
          <t>Heyecandan konuşmayı iş görüşmesine çevirdin: “Beş yıl sonra kendimi bu ailenin içinde görüyorum.” Kayınpeder “Maaş beklentin?” diye sordu. Baban cevap verdi; daha kötüsü, rakam söyledi.</t>
        </is>
      </c>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c r="AI1724" s="5" t="inlineStr"/>
      <c r="AJ1724" s="5" t="inlineStr"/>
    </row>
    <row r="1725">
      <c r="A1725" s="5" t="inlineStr">
        <is>
          <t>b7-gorucu-kahve</t>
        </is>
      </c>
      <c r="B1725" s="5" t="n">
        <v>1</v>
      </c>
      <c r="C1725" s="6" t="inlineStr">
        <is>
          <t>Havadan sudan konuş</t>
        </is>
      </c>
      <c r="D1725" s="5" t="inlineStr"/>
      <c r="E1725" s="5" t="inlineStr"/>
      <c r="F1725" s="5" t="inlineStr">
        <is>
          <t>Sosyal Radar +1, Gönül +1</t>
        </is>
      </c>
      <c r="G1725" s="6" t="inlineStr">
        <is>
          <t>Kira fiyatlarından başladınız, ikinizin annesinde buluştunuz. Kahve soğudu, muhabbet soğumadı; garson iki kez “Başka bir şey?” diye geldi, ikisinde de “Biraz daha” dediniz.</t>
        </is>
      </c>
      <c r="H1725" s="6" t="inlineStr"/>
      <c r="I1725" s="6" t="inlineStr"/>
      <c r="J1725" s="6" t="inlineStr"/>
      <c r="K1725" s="6" t="inlineStr"/>
      <c r="L1725" s="6" t="inlineStr"/>
      <c r="M1725" s="5" t="inlineStr"/>
      <c r="N1725" s="5" t="inlineStr"/>
      <c r="O1725" s="6" t="inlineStr"/>
      <c r="P1725" s="6" t="inlineStr"/>
      <c r="Q1725" s="5" t="inlineStr"/>
      <c r="R1725" s="5" t="inlineStr"/>
      <c r="S1725" s="5" t="inlineStr"/>
      <c r="T1725" s="5" t="inlineStr"/>
      <c r="U1725" s="5" t="inlineStr"/>
      <c r="V1725" s="5" t="inlineStr"/>
      <c r="W1725" s="5" t="inlineStr"/>
      <c r="X1725" s="5" t="inlineStr"/>
      <c r="Y1725" s="5" t="inlineStr"/>
      <c r="Z1725" s="6" t="inlineStr"/>
      <c r="AA1725" s="5" t="inlineStr"/>
      <c r="AB1725" s="5" t="inlineStr"/>
      <c r="AC1725" s="5" t="inlineStr"/>
      <c r="AD1725" s="5" t="inlineStr"/>
      <c r="AE1725" s="5" t="inlineStr"/>
      <c r="AF1725" s="5" t="inlineStr"/>
      <c r="AG1725" s="5" t="inlineStr"/>
      <c r="AH1725" s="5" t="inlineStr"/>
      <c r="AI1725" s="5" t="inlineStr"/>
      <c r="AJ1725" s="5" t="inlineStr"/>
    </row>
    <row r="1726">
      <c r="A1726" s="5" t="inlineStr">
        <is>
          <t>b7-gorucu-kahve</t>
        </is>
      </c>
      <c r="B1726" s="5" t="n">
        <v>2</v>
      </c>
      <c r="C1726" s="6" t="inlineStr">
        <is>
          <t>Annelere el salla</t>
        </is>
      </c>
      <c r="D1726" s="5" t="inlineStr">
        <is>
          <t>Pişkinlik</t>
        </is>
      </c>
      <c r="E1726" s="5" t="inlineStr">
        <is>
          <t>Kolay</t>
        </is>
      </c>
      <c r="F1726" s="5" t="inlineStr"/>
      <c r="G1726" s="6" t="inlineStr"/>
      <c r="H1726" s="6" t="inlineStr">
        <is>
          <t>Döndün, iki anneye el salladın. Anneler gazeteyi indirdi, kıkırdadı, sonra yine kaldırdı; bu sefer düz. Karşındaki ilk kez gerçekten güldü.</t>
        </is>
      </c>
      <c r="I1726" s="6" t="inlineStr">
        <is>
          <t>Anneleri masanıza davet ettin. Dört kişilik bir kahve oldu; ikinci buluşmayı anneler ayarladı, üçüncüyü siz.</t>
        </is>
      </c>
      <c r="J1726" s="6" t="inlineStr">
        <is>
          <t>El salladın; anneler görmezden geldi. Gazetenin arkasından “Otur yerine” fısıltısı duyuldu.</t>
        </is>
      </c>
      <c r="K1726" s="6" t="inlineStr">
        <is>
          <t>El sallarken fincanı devirdin; kahve karşındakinin açık renk gömleğine gitti. İki anne gazeteyi atıp peçeteyle koştu. Akşam telefonda anlaştılar: “Leke çıkar, kısmet kaçmaz.” İkinci kahveyi onlar ayarladı, sana sormadılar.</t>
        </is>
      </c>
      <c r="L1726" s="6" t="inlineStr"/>
      <c r="M1726" s="5" t="inlineStr"/>
      <c r="N1726" s="5" t="inlineStr"/>
      <c r="O1726" s="6" t="inlineStr"/>
      <c r="P1726" s="6" t="inlineStr"/>
      <c r="Q1726" s="5" t="inlineStr"/>
      <c r="R1726" s="5" t="inlineStr"/>
      <c r="S1726" s="5" t="inlineStr"/>
      <c r="T1726" s="5" t="inlineStr"/>
      <c r="U1726" s="5" t="inlineStr"/>
      <c r="V1726" s="5" t="inlineStr"/>
      <c r="W1726" s="5" t="inlineStr"/>
      <c r="X1726" s="5" t="inlineStr"/>
      <c r="Y1726" s="5" t="inlineStr"/>
      <c r="Z1726" s="6" t="inlineStr"/>
      <c r="AA1726" s="5" t="inlineStr"/>
      <c r="AB1726" s="5" t="inlineStr"/>
      <c r="AC1726" s="5" t="inlineStr"/>
      <c r="AD1726" s="5" t="inlineStr"/>
      <c r="AE1726" s="5" t="inlineStr"/>
      <c r="AF1726" s="5" t="inlineStr"/>
      <c r="AG1726" s="5" t="inlineStr"/>
      <c r="AH1726" s="5" t="inlineStr"/>
      <c r="AI1726" s="5" t="inlineStr"/>
      <c r="AJ1726" s="5" t="inlineStr"/>
    </row>
    <row r="1727">
      <c r="A1727" s="5" t="inlineStr">
        <is>
          <t>b7-gorucu-kahve</t>
        </is>
      </c>
      <c r="B1727" s="5" t="n">
        <v>3</v>
      </c>
      <c r="C1727" s="6" t="inlineStr">
        <is>
          <t>Dürüstçe “Ben de istemeden geldim” de</t>
        </is>
      </c>
      <c r="D1727" s="5" t="inlineStr">
        <is>
          <t>Cesaret</t>
        </is>
      </c>
      <c r="E1727" s="5" t="inlineStr">
        <is>
          <t>Orta</t>
        </is>
      </c>
      <c r="F1727" s="5" t="inlineStr"/>
      <c r="G1727" s="6" t="inlineStr"/>
      <c r="H1727" s="6" t="inlineStr">
        <is>
          <t>“Ben de” dedi. İkiniz de istemeden gelmişsiniz; ikiniz de şimdi istemeden kalmak istiyorsunuz.</t>
        </is>
      </c>
      <c r="I1727" s="6" t="inlineStr">
        <is>
          <t>Dürüstlüğün öyle iyi geldi ki sohbet üç saat sürdü. Anneler sıkılıp eve gitti; siz fark etmediniz.</t>
        </is>
      </c>
      <c r="J1727" s="6" t="inlineStr">
        <is>
          <t>“Ben istemeden gelmedim” dedi. Kahvenin geri kalanı çok uzun sürdü.</t>
        </is>
      </c>
      <c r="K1727" s="6" t="inlineStr">
        <is>
          <t>Cümleyi söylediğin an iki anne aynı anda arkanda belirdi. Gazete ellerindeydi; düz tutuyorlardı.</t>
        </is>
      </c>
      <c r="L1727" s="6" t="inlineStr"/>
      <c r="M1727" s="5" t="inlineStr"/>
      <c r="N1727" s="5" t="inlineStr"/>
      <c r="O1727" s="6" t="inlineStr"/>
      <c r="P1727" s="6" t="inlineStr"/>
      <c r="Q1727" s="5" t="inlineStr"/>
      <c r="R1727" s="5" t="inlineStr"/>
      <c r="S1727" s="5" t="inlineStr"/>
      <c r="T1727" s="5" t="inlineStr"/>
      <c r="U1727" s="5" t="inlineStr"/>
      <c r="V1727" s="5" t="inlineStr"/>
      <c r="W1727" s="5" t="inlineStr"/>
      <c r="X1727" s="5" t="inlineStr"/>
      <c r="Y1727" s="5" t="inlineStr"/>
      <c r="Z1727" s="6" t="inlineStr"/>
      <c r="AA1727" s="5" t="inlineStr"/>
      <c r="AB1727" s="5" t="inlineStr"/>
      <c r="AC1727" s="5" t="inlineStr"/>
      <c r="AD1727" s="5" t="inlineStr"/>
      <c r="AE1727" s="5" t="inlineStr"/>
      <c r="AF1727" s="5" t="inlineStr"/>
      <c r="AG1727" s="5" t="inlineStr"/>
      <c r="AH1727" s="5" t="inlineStr"/>
      <c r="AI1727" s="5" t="inlineStr"/>
      <c r="AJ1727" s="5" t="inlineStr"/>
    </row>
    <row r="1728">
      <c r="A1728" s="5" t="inlineStr">
        <is>
          <t>b7-capkin-rezervasyon</t>
        </is>
      </c>
      <c r="B1728" s="5" t="n">
        <v>1</v>
      </c>
      <c r="C1728" s="6" t="inlineStr">
        <is>
          <t>Hepsine dürüst ol, tek tek bitir</t>
        </is>
      </c>
      <c r="D1728" s="5" t="inlineStr"/>
      <c r="E1728" s="5" t="inlineStr"/>
      <c r="F1728" s="5" t="inlineStr">
        <is>
          <t>İtibar +2</t>
        </is>
      </c>
      <c r="G1728" s="6" t="inlineStr">
        <is>
          <t>Üç ayrı kahve, üç ayrı veda. İkisi rahatladı, biri tebrik etti. Garson sana ücretsiz tatlı getirdi: “Bu kahramanlık.”</t>
        </is>
      </c>
      <c r="H1728" s="6" t="inlineStr"/>
      <c r="I1728" s="6" t="inlineStr"/>
      <c r="J1728" s="6" t="inlineStr"/>
      <c r="K1728" s="6" t="inlineStr"/>
      <c r="L1728" s="6" t="inlineStr"/>
      <c r="M1728" s="5" t="inlineStr"/>
      <c r="N1728" s="5" t="inlineStr"/>
      <c r="O1728" s="6" t="inlineStr"/>
      <c r="P1728" s="6" t="inlineStr"/>
      <c r="Q1728" s="5" t="inlineStr"/>
      <c r="R1728" s="5" t="inlineStr"/>
      <c r="S1728" s="5" t="inlineStr"/>
      <c r="T1728" s="5" t="inlineStr"/>
      <c r="U1728" s="5" t="inlineStr">
        <is>
          <t>-capkin, bekar</t>
        </is>
      </c>
      <c r="V1728" s="5" t="inlineStr"/>
      <c r="W1728" s="5" t="inlineStr"/>
      <c r="X1728" s="5" t="inlineStr"/>
      <c r="Y1728" s="5" t="inlineStr"/>
      <c r="Z1728" s="6" t="inlineStr"/>
      <c r="AA1728" s="5" t="inlineStr"/>
      <c r="AB1728" s="5" t="inlineStr"/>
      <c r="AC1728" s="5" t="inlineStr"/>
      <c r="AD1728" s="5" t="inlineStr"/>
      <c r="AE1728" s="5" t="inlineStr"/>
      <c r="AF1728" s="5" t="inlineStr"/>
      <c r="AG1728" s="5" t="inlineStr"/>
      <c r="AH1728" s="5" t="inlineStr"/>
      <c r="AI1728" s="5" t="inlineStr"/>
      <c r="AJ1728" s="5" t="inlineStr"/>
    </row>
    <row r="1729">
      <c r="A1729" s="5" t="inlineStr">
        <is>
          <t>b7-capkin-rezervasyon</t>
        </is>
      </c>
      <c r="B1729" s="5" t="n">
        <v>2</v>
      </c>
      <c r="C1729" s="6" t="inlineStr">
        <is>
          <t>Masayı çabucak değiştir</t>
        </is>
      </c>
      <c r="D1729" s="5" t="inlineStr">
        <is>
          <t>Kurnazlık</t>
        </is>
      </c>
      <c r="E1729" s="5" t="inlineStr">
        <is>
          <t>Zor</t>
        </is>
      </c>
      <c r="F1729" s="5" t="inlineStr"/>
      <c r="G1729" s="6" t="inlineStr"/>
      <c r="H1729" s="6" t="inlineStr">
        <is>
          <t>Garsonla göz göze geldiniz; masa iki saniyede değişti, mum yeniden yandı, menü yeniden geldi. Kimse bir şey anlamadı; garson bahşişi anladı.</t>
        </is>
      </c>
      <c r="I1729" s="6" t="inlineStr">
        <is>
          <t>Öyle ustaca geçtin ki ikinci akşamın kişisi de aynı restorana başkasıyla gelmişti; iki masa arasında iki saat idare ettin.</t>
        </is>
      </c>
      <c r="J1729" s="6" t="inlineStr">
        <is>
          <t>Masa değişti ama ceket eski masada kaldı. Ceketin cebinde bir fatura var; faturada iki tatlı yazıyor.</t>
        </is>
      </c>
      <c r="K1729" s="6" t="inlineStr">
        <is>
          <t>Masayı değiştirirken iki masadaki kişiler tanıştı. Şimdi arkadaşlar; tek ortak konuları sen.</t>
        </is>
      </c>
      <c r="L1729" s="6" t="inlineStr"/>
      <c r="M1729" s="5" t="inlineStr"/>
      <c r="N1729" s="5" t="inlineStr"/>
      <c r="O1729" s="6" t="inlineStr"/>
      <c r="P1729" s="6" t="inlineStr"/>
      <c r="Q1729" s="5" t="inlineStr"/>
      <c r="R1729" s="5" t="inlineStr"/>
      <c r="S1729" s="5" t="inlineStr"/>
      <c r="T1729" s="5" t="inlineStr"/>
      <c r="U1729" s="5" t="inlineStr"/>
      <c r="V1729" s="5" t="inlineStr"/>
      <c r="W1729" s="5" t="inlineStr">
        <is>
          <t>capkin-ifsa</t>
        </is>
      </c>
      <c r="X1729" s="5" t="inlineStr"/>
      <c r="Y1729" s="5" t="inlineStr"/>
      <c r="Z1729" s="6" t="inlineStr"/>
      <c r="AA1729" s="5" t="inlineStr"/>
      <c r="AB1729" s="5" t="inlineStr"/>
      <c r="AC1729" s="5" t="inlineStr"/>
      <c r="AD1729" s="5" t="inlineStr"/>
      <c r="AE1729" s="5" t="inlineStr"/>
      <c r="AF1729" s="5" t="inlineStr"/>
      <c r="AG1729" s="5" t="inlineStr"/>
      <c r="AH1729" s="5" t="inlineStr"/>
      <c r="AI1729" s="5" t="inlineStr"/>
      <c r="AJ1729" s="5" t="inlineStr"/>
    </row>
    <row r="1730">
      <c r="A1730" s="5" t="inlineStr">
        <is>
          <t>b7-capkin-rezervasyon</t>
        </is>
      </c>
      <c r="B1730" s="5" t="n">
        <v>3</v>
      </c>
      <c r="C1730" s="6" t="inlineStr">
        <is>
          <t>Erken geleni bara al, oyala</t>
        </is>
      </c>
      <c r="D1730" s="5" t="inlineStr">
        <is>
          <t>Çene</t>
        </is>
      </c>
      <c r="E1730" s="5" t="inlineStr">
        <is>
          <t>Orta</t>
        </is>
      </c>
      <c r="F1730" s="5" t="inlineStr"/>
      <c r="G1730" s="6" t="inlineStr"/>
      <c r="H1730" s="6" t="inlineStr">
        <is>
          <t>Erken geleni bara aldın: “Masa hazırlanıyor.” Öbür masaya gidip “Acil bir işim çıktı” dedin, geri döndün. Akşam tek kişiyle devam etti; garson hesabı getirirken yalnızca “Kolay gelsin” dedi.</t>
        </is>
      </c>
      <c r="I1730" s="6" t="inlineStr">
        <is>
          <t>Erken geleni bara aldın; sohbet öyle aktı ki öbür masaya gitmeyi unuttun. Bir saat sonra garson fısıldadı: “Öbür masa gitti.” “İyi” dedin; ilk kez gerçekten öyle düşünerek.</t>
        </is>
      </c>
      <c r="J1730" s="6" t="inlineStr">
        <is>
          <t>Barda konuşurken diğer masadaki kişi seni gördü ve sana el salladı. Sen de salladın; alışkanlık.</t>
        </is>
      </c>
      <c r="K1730" s="6" t="inlineStr">
        <is>
          <t>Bardaki kişi, diğer masadakinin kuzeni çıktı. Aile grubunda bir fotoğraf dolaşıyor; iyi çıkmışsın.</t>
        </is>
      </c>
      <c r="L1730" s="6" t="inlineStr"/>
      <c r="M1730" s="5" t="inlineStr"/>
      <c r="N1730" s="5" t="inlineStr"/>
      <c r="O1730" s="6" t="inlineStr"/>
      <c r="P1730" s="6" t="inlineStr"/>
      <c r="Q1730" s="5" t="inlineStr"/>
      <c r="R1730" s="5" t="inlineStr"/>
      <c r="S1730" s="5" t="inlineStr"/>
      <c r="T1730" s="5" t="inlineStr"/>
      <c r="U1730" s="5" t="inlineStr"/>
      <c r="V1730" s="5" t="inlineStr"/>
      <c r="W1730" s="5" t="inlineStr">
        <is>
          <t>capkin-ifsa</t>
        </is>
      </c>
      <c r="X1730" s="5" t="inlineStr"/>
      <c r="Y1730" s="5" t="inlineStr"/>
      <c r="Z1730" s="6" t="inlineStr"/>
      <c r="AA1730" s="5" t="inlineStr"/>
      <c r="AB1730" s="5" t="inlineStr"/>
      <c r="AC1730" s="5" t="inlineStr"/>
      <c r="AD1730" s="5" t="inlineStr"/>
      <c r="AE1730" s="5" t="inlineStr"/>
      <c r="AF1730" s="5" t="inlineStr"/>
      <c r="AG1730" s="5" t="inlineStr"/>
      <c r="AH1730" s="5" t="inlineStr"/>
      <c r="AI1730" s="5" t="inlineStr"/>
      <c r="AJ1730" s="5" t="inlineStr"/>
    </row>
    <row r="1731">
      <c r="A1731" s="5" t="inlineStr">
        <is>
          <t>b8-capkin-orta-yas</t>
        </is>
      </c>
      <c r="B1731" s="5" t="n">
        <v>1</v>
      </c>
      <c r="C1731" s="6" t="inlineStr">
        <is>
          <t>Hesabı öde, kalk, eve git</t>
        </is>
      </c>
      <c r="D1731" s="5" t="inlineStr"/>
      <c r="E1731" s="5" t="inlineStr"/>
      <c r="F1731" s="5" t="inlineStr">
        <is>
          <t>İtibar +1, Dayanıklılık +1</t>
        </is>
      </c>
      <c r="G1731" s="6" t="inlineStr">
        <is>
          <t>Kalktın, hesabı ödedin, eve yürüdün. Yolda ilk kez bir restoranın önünden içeri bakmadan geçtin.</t>
        </is>
      </c>
      <c r="H1731" s="6" t="inlineStr"/>
      <c r="I1731" s="6" t="inlineStr"/>
      <c r="J1731" s="6" t="inlineStr"/>
      <c r="K1731" s="6" t="inlineStr"/>
      <c r="L1731" s="6" t="inlineStr"/>
      <c r="M1731" s="5" t="inlineStr"/>
      <c r="N1731" s="5" t="inlineStr"/>
      <c r="O1731" s="6" t="inlineStr"/>
      <c r="P1731" s="6" t="inlineStr"/>
      <c r="Q1731" s="5" t="inlineStr"/>
      <c r="R1731" s="5" t="inlineStr"/>
      <c r="S1731" s="5" t="inlineStr"/>
      <c r="T1731" s="5" t="inlineStr"/>
      <c r="U1731" s="5" t="inlineStr"/>
      <c r="V1731" s="5" t="inlineStr"/>
      <c r="W1731" s="5" t="inlineStr"/>
      <c r="X1731" s="5" t="inlineStr"/>
      <c r="Y1731" s="5" t="inlineStr"/>
      <c r="Z1731" s="6" t="inlineStr"/>
      <c r="AA1731" s="5" t="inlineStr"/>
      <c r="AB1731" s="5" t="inlineStr"/>
      <c r="AC1731" s="5" t="inlineStr"/>
      <c r="AD1731" s="5" t="inlineStr"/>
      <c r="AE1731" s="5" t="inlineStr"/>
      <c r="AF1731" s="5" t="inlineStr"/>
      <c r="AG1731" s="5" t="inlineStr"/>
      <c r="AH1731" s="5" t="inlineStr"/>
      <c r="AI1731" s="5" t="inlineStr"/>
      <c r="AJ1731" s="5" t="inlineStr"/>
    </row>
    <row r="1732">
      <c r="A1732" s="5" t="inlineStr">
        <is>
          <t>b8-capkin-orta-yas</t>
        </is>
      </c>
      <c r="B1732" s="5" t="n">
        <v>2</v>
      </c>
      <c r="C1732" s="6" t="inlineStr">
        <is>
          <t>Durulmayı dene: tek birine teklif et</t>
        </is>
      </c>
      <c r="D1732" s="5" t="inlineStr">
        <is>
          <t>Gönül</t>
        </is>
      </c>
      <c r="E1732" s="5" t="inlineStr">
        <is>
          <t>Zor</t>
        </is>
      </c>
      <c r="F1732" s="5" t="inlineStr"/>
      <c r="G1732" s="6" t="inlineStr"/>
      <c r="H1732" s="6" t="inlineStr">
        <is>
          <t>Kırk dört yaşında ilk kez tek birine “Gel, bir ömür deneyelim” dedin. “Nihayet” dedi; bekliyormuş.</t>
        </is>
      </c>
      <c r="I1732" s="6" t="inlineStr">
        <is>
          <t>Teklifin öyle samimiydi ki düğüne eski buluşmalarının yarısı geldi. Hepsi aynı masaya düştü; takı sırasında birbirlerine “Sen de mi?” diye fısıldadılar ve kendi aralarında bir mesaj grubu kurdular.</t>
        </is>
      </c>
      <c r="J1732" s="6" t="inlineStr">
        <is>
          <t>Teklif ettin; “Seni tanıyorum” dedi. Bu cümle hem bir cevap hem bir özetti.</t>
        </is>
      </c>
      <c r="K1732" s="6" t="inlineStr">
        <is>
          <t>Tam “Bir ömür deneyelim” dedin ki yan masadan bir ses geldi: “Bana da aynı cümleyi kurmuştun.” Eski bir buluşman. Karşındaki kişi peçetesini katladı, kalktı, hesabı sana bıraktı.</t>
        </is>
      </c>
      <c r="L1732" s="6" t="inlineStr"/>
      <c r="M1732" s="5" t="inlineStr"/>
      <c r="N1732" s="5" t="inlineStr"/>
      <c r="O1732" s="6" t="inlineStr"/>
      <c r="P1732" s="6" t="inlineStr"/>
      <c r="Q1732" s="5" t="inlineStr"/>
      <c r="R1732" s="5" t="inlineStr"/>
      <c r="S1732" s="5" t="inlineStr"/>
      <c r="T1732" s="5" t="inlineStr"/>
      <c r="U1732" s="5" t="inlineStr"/>
      <c r="V1732" s="5" t="inlineStr">
        <is>
          <t>evli, -capkin</t>
        </is>
      </c>
      <c r="W1732" s="5" t="inlineStr"/>
      <c r="X1732" s="5" t="inlineStr"/>
      <c r="Y1732" s="5" t="inlineStr"/>
      <c r="Z1732" s="6" t="inlineStr"/>
      <c r="AA1732" s="5" t="inlineStr"/>
      <c r="AB1732" s="5" t="inlineStr"/>
      <c r="AC1732" s="5" t="inlineStr"/>
      <c r="AD1732" s="5" t="inlineStr"/>
      <c r="AE1732" s="5" t="inlineStr"/>
      <c r="AF1732" s="5" t="inlineStr"/>
      <c r="AG1732" s="5" t="inlineStr"/>
      <c r="AH1732" s="5" t="inlineStr"/>
      <c r="AI1732" s="5" t="inlineStr"/>
      <c r="AJ1732" s="5" t="inlineStr"/>
    </row>
    <row r="1733">
      <c r="A1733" s="5" t="inlineStr">
        <is>
          <t>b8-capkin-orta-yas</t>
        </is>
      </c>
      <c r="B1733" s="5" t="n">
        <v>3</v>
      </c>
      <c r="C1733" s="6" t="inlineStr">
        <is>
          <t>Genç garsona usta dersi ver</t>
        </is>
      </c>
      <c r="D1733" s="5" t="inlineStr">
        <is>
          <t>Pişkinlik</t>
        </is>
      </c>
      <c r="E1733" s="5" t="inlineStr">
        <is>
          <t>Orta</t>
        </is>
      </c>
      <c r="F1733" s="5" t="inlineStr"/>
      <c r="G1733" s="6" t="inlineStr"/>
      <c r="H1733" s="6" t="inlineStr">
        <is>
          <t>Garsona masa değiştirmenin inceliklerini anlattın. Not aldı. Bir efsane böyle devrediliyor.</t>
        </is>
      </c>
      <c r="I1733" s="6" t="inlineStr">
        <is>
          <t>Garson o kadar etkilendi ki restoran masanın üstüne küçük bir plaket astı. Adın yok; tarih var.</t>
        </is>
      </c>
      <c r="J1733" s="6" t="inlineStr">
        <is>
          <t>Garson seni dinledi, sonra kibarca “Sizin zamanınızda kolaymış” dedi. Kırk dört yaşın o “sizin” kelimesinde.</t>
        </is>
      </c>
      <c r="K1733" s="6" t="inlineStr">
        <is>
          <t>Garsona ders verirken arkandan bir ses geldi: “Bu masada bana da aynısını anlatmıştın.” Eski bir buluşman. Garson defterini kapattı: “Tamam, bu kısmı anladım.”</t>
        </is>
      </c>
      <c r="L1733" s="6" t="inlineStr"/>
      <c r="M1733" s="5" t="inlineStr"/>
      <c r="N1733" s="5" t="inlineStr"/>
      <c r="O1733" s="6" t="inlineStr"/>
      <c r="P1733" s="6" t="inlineStr"/>
      <c r="Q1733" s="5" t="inlineStr"/>
      <c r="R1733" s="5" t="inlineStr"/>
      <c r="S1733" s="5" t="inlineStr"/>
      <c r="T1733" s="5" t="inlineStr"/>
      <c r="U1733" s="5" t="inlineStr"/>
      <c r="V1733" s="5" t="inlineStr"/>
      <c r="W1733" s="5" t="inlineStr"/>
      <c r="X1733" s="5" t="inlineStr"/>
      <c r="Y1733" s="5" t="inlineStr"/>
      <c r="Z1733" s="6" t="inlineStr"/>
      <c r="AA1733" s="5" t="inlineStr"/>
      <c r="AB1733" s="5" t="inlineStr"/>
      <c r="AC1733" s="5" t="inlineStr"/>
      <c r="AD1733" s="5" t="inlineStr"/>
      <c r="AE1733" s="5" t="inlineStr"/>
      <c r="AF1733" s="5" t="inlineStr"/>
      <c r="AG1733" s="5" t="inlineStr"/>
      <c r="AH1733" s="5" t="inlineStr"/>
      <c r="AI1733" s="5" t="inlineStr"/>
      <c r="AJ1733" s="5" t="inlineStr"/>
    </row>
    <row r="1734">
      <c r="A1734" s="5" t="inlineStr">
        <is>
          <t>b7-evin-oglu</t>
        </is>
      </c>
      <c r="B1734" s="5" t="n">
        <v>1</v>
      </c>
      <c r="C1734" s="6" t="inlineStr">
        <is>
          <t>Durumu kabullen, annenin sofrasına otur</t>
        </is>
      </c>
      <c r="D1734" s="5" t="inlineStr"/>
      <c r="E1734" s="5" t="inlineStr"/>
      <c r="F1734" s="5" t="inlineStr">
        <is>
          <t>Dayanıklılık +1, Gönül +1</t>
        </is>
      </c>
      <c r="G1734" s="6" t="inlineStr">
        <is>
          <t>Sofraya oturdun. Annen sana hâlâ “Üşüme” diyor; kırk derecede. Ev sıcak, yemek sıcak, soru yok. Soru bayramda geliyor, halandan: “Bu hâlâ burada mı?”</t>
        </is>
      </c>
      <c r="H1734" s="6" t="inlineStr"/>
      <c r="I1734" s="6" t="inlineStr"/>
      <c r="J1734" s="6" t="inlineStr"/>
      <c r="K1734" s="6" t="inlineStr"/>
      <c r="L1734" s="6" t="inlineStr"/>
      <c r="M1734" s="5" t="inlineStr"/>
      <c r="N1734" s="5" t="inlineStr"/>
      <c r="O1734" s="6" t="inlineStr"/>
      <c r="P1734" s="6" t="inlineStr"/>
      <c r="Q1734" s="5" t="inlineStr"/>
      <c r="R1734" s="5" t="inlineStr"/>
      <c r="S1734" s="5" t="inlineStr"/>
      <c r="T1734" s="5" t="inlineStr"/>
      <c r="U1734" s="5" t="inlineStr">
        <is>
          <t>evin-oglu</t>
        </is>
      </c>
      <c r="V1734" s="5" t="inlineStr"/>
      <c r="W1734" s="5" t="inlineStr"/>
      <c r="X1734" s="5" t="inlineStr"/>
      <c r="Y1734" s="5" t="inlineStr"/>
      <c r="Z1734" s="6" t="inlineStr"/>
      <c r="AA1734" s="5" t="inlineStr"/>
      <c r="AB1734" s="5" t="inlineStr"/>
      <c r="AC1734" s="5" t="inlineStr"/>
      <c r="AD1734" s="5" t="inlineStr"/>
      <c r="AE1734" s="5" t="inlineStr"/>
      <c r="AF1734" s="5" t="inlineStr"/>
      <c r="AG1734" s="5" t="inlineStr"/>
      <c r="AH1734" s="5" t="inlineStr"/>
      <c r="AI1734" s="5" t="inlineStr"/>
      <c r="AJ1734" s="5" t="inlineStr"/>
    </row>
    <row r="1735">
      <c r="A1735" s="5" t="inlineStr">
        <is>
          <t>b7-evin-oglu</t>
        </is>
      </c>
      <c r="B1735" s="5" t="n">
        <v>2</v>
      </c>
      <c r="C1735" s="6" t="inlineStr">
        <is>
          <t>Annenle yetişkin sözleşmesi yap</t>
        </is>
      </c>
      <c r="D1735" s="5" t="inlineStr">
        <is>
          <t>Çene</t>
        </is>
      </c>
      <c r="E1735" s="5" t="inlineStr">
        <is>
          <t>Orta</t>
        </is>
      </c>
      <c r="F1735" s="5" t="inlineStr"/>
      <c r="G1735" s="6" t="inlineStr"/>
      <c r="H1735" s="6" t="inlineStr">
        <is>
          <t>Mutfak masasında bir sözleşme imzaladınız: çamaşır senin, yemek onun, soru saat dokuzdan sonra yok. Annen sözleşmeyi buzdolabına astı.</t>
        </is>
      </c>
      <c r="I1735" s="6" t="inlineStr">
        <is>
          <t>Sözleşme öyle adil oldu ki baban da imzalamak istedi. Evde ilk kez kimse kimseye “Nereye?” demiyor.</t>
        </is>
      </c>
      <c r="J1735" s="6" t="inlineStr">
        <is>
          <t>Sözleşmeyi okudu, “Güzel yazmışsın” dedi ve çekmeceye koydu. Çekmecede senin ilkokul karnen de var.</t>
        </is>
      </c>
      <c r="K1735" s="6" t="inlineStr">
        <is>
          <t>İlk maddeyi okudun: “Odama kapı çalınarak girilir.” Annen kapıyı çaldı, girdi, “Oldu mu?” dedi, kirli çamaşırlarını alıp çıktı. Sözleşme o akşam sarmanın altına serildi.</t>
        </is>
      </c>
      <c r="L1735" s="6" t="inlineStr"/>
      <c r="M1735" s="5" t="inlineStr"/>
      <c r="N1735" s="5" t="inlineStr"/>
      <c r="O1735" s="6" t="inlineStr"/>
      <c r="P1735" s="6" t="inlineStr"/>
      <c r="Q1735" s="5" t="inlineStr"/>
      <c r="R1735" s="5" t="inlineStr"/>
      <c r="S1735" s="5" t="inlineStr"/>
      <c r="T1735" s="5" t="inlineStr"/>
      <c r="U1735" s="5" t="inlineStr">
        <is>
          <t>evin-oglu</t>
        </is>
      </c>
      <c r="V1735" s="5" t="inlineStr"/>
      <c r="W1735" s="5" t="inlineStr"/>
      <c r="X1735" s="5" t="inlineStr"/>
      <c r="Y1735" s="5" t="inlineStr"/>
      <c r="Z1735" s="6" t="inlineStr"/>
      <c r="AA1735" s="5" t="inlineStr"/>
      <c r="AB1735" s="5" t="inlineStr"/>
      <c r="AC1735" s="5" t="inlineStr"/>
      <c r="AD1735" s="5" t="inlineStr"/>
      <c r="AE1735" s="5" t="inlineStr"/>
      <c r="AF1735" s="5" t="inlineStr"/>
      <c r="AG1735" s="5" t="inlineStr"/>
      <c r="AH1735" s="5" t="inlineStr"/>
      <c r="AI1735" s="5" t="inlineStr"/>
      <c r="AJ1735" s="5" t="inlineStr"/>
    </row>
    <row r="1736">
      <c r="A1736" s="5" t="inlineStr">
        <is>
          <t>b7-evin-oglu</t>
        </is>
      </c>
      <c r="B1736" s="5" t="n">
        <v>3</v>
      </c>
      <c r="C1736" s="6" t="inlineStr">
        <is>
          <t>Sonunda kendi evine taşın</t>
        </is>
      </c>
      <c r="D1736" s="5" t="inlineStr">
        <is>
          <t>Cesaret</t>
        </is>
      </c>
      <c r="E1736" s="5" t="inlineStr">
        <is>
          <t>Zor</t>
        </is>
      </c>
      <c r="F1736" s="5" t="inlineStr"/>
      <c r="G1736" s="6" t="inlineStr"/>
      <c r="H1736" s="6" t="inlineStr">
        <is>
          <t>Otuz beşinde kendi anahtarın var. Annen ilk hafta her gün yemek getirdi, ikinci hafta gün aşırı. Üçüncü hafta kendi yemeğini yaptın; yandı ama senindi.</t>
        </is>
      </c>
      <c r="I1736" s="6" t="inlineStr">
        <is>
          <t>Taşındığın ev annenin evine tam iki sokak uzak. Uzaklık tam kıvamında: yemek sıcak gelir, soru soğuk.</t>
        </is>
      </c>
      <c r="J1736" s="6" t="inlineStr">
        <is>
          <t>Ev baktın, kira baktın, annene baktın. Annen “Neyin eksik?” dedi. Cevap veremedin; kaldın.</t>
        </is>
      </c>
      <c r="K1736" s="6" t="inlineStr">
        <is>
          <t>Taşındın, ilk gece su borusu patladı. Annenin evine döndün; odan hâlâ hazırdı, sanki biliyormuş.</t>
        </is>
      </c>
      <c r="L1736" s="6" t="inlineStr"/>
      <c r="M1736" s="5" t="inlineStr"/>
      <c r="N1736" s="5" t="inlineStr"/>
      <c r="O1736" s="6" t="inlineStr"/>
      <c r="P1736" s="6" t="inlineStr"/>
      <c r="Q1736" s="5" t="inlineStr"/>
      <c r="R1736" s="5" t="inlineStr"/>
      <c r="S1736" s="5" t="inlineStr"/>
      <c r="T1736" s="5" t="inlineStr"/>
      <c r="U1736" s="5" t="inlineStr"/>
      <c r="V1736" s="5" t="inlineStr">
        <is>
          <t>kiraci, -evde-kaldi</t>
        </is>
      </c>
      <c r="W1736" s="5" t="inlineStr"/>
      <c r="X1736" s="5" t="inlineStr"/>
      <c r="Y1736" s="5" t="inlineStr"/>
      <c r="Z1736" s="6" t="inlineStr"/>
      <c r="AA1736" s="5" t="inlineStr"/>
      <c r="AB1736" s="5" t="inlineStr">
        <is>
          <t>evin-oglu</t>
        </is>
      </c>
      <c r="AC1736" s="5" t="inlineStr"/>
      <c r="AD1736" s="5" t="inlineStr"/>
      <c r="AE1736" s="5" t="inlineStr"/>
      <c r="AF1736" s="5" t="inlineStr"/>
      <c r="AG1736" s="5" t="inlineStr"/>
      <c r="AH1736" s="5" t="inlineStr"/>
      <c r="AI1736" s="5" t="inlineStr"/>
      <c r="AJ1736" s="5" t="inlineStr"/>
    </row>
    <row r="1737">
      <c r="A1737" s="5" t="inlineStr">
        <is>
          <t>b8-evin-oglu-orta</t>
        </is>
      </c>
      <c r="B1737" s="5" t="n">
        <v>1</v>
      </c>
      <c r="C1737" s="6" t="inlineStr">
        <is>
          <t>Takvime uy</t>
        </is>
      </c>
      <c r="D1737" s="5" t="inlineStr"/>
      <c r="E1737" s="5" t="inlineStr"/>
      <c r="F1737" s="5" t="inlineStr">
        <is>
          <t>Gönül +1</t>
        </is>
      </c>
      <c r="G1737" s="6" t="inlineStr">
        <is>
          <t>Pazartesi mercimek, salı fasulye. Hayatının en düzenli yılları annenin tencere takviminde geçiyor. Kimse itiraz edemiyor; tencereye itiraz edilmez.</t>
        </is>
      </c>
      <c r="H1737" s="6" t="inlineStr"/>
      <c r="I1737" s="6" t="inlineStr"/>
      <c r="J1737" s="6" t="inlineStr"/>
      <c r="K1737" s="6" t="inlineStr"/>
      <c r="L1737" s="6" t="inlineStr"/>
      <c r="M1737" s="5" t="inlineStr"/>
      <c r="N1737" s="5" t="inlineStr"/>
      <c r="O1737" s="6" t="inlineStr"/>
      <c r="P1737" s="6" t="inlineStr"/>
      <c r="Q1737" s="5" t="inlineStr"/>
      <c r="R1737" s="5" t="inlineStr"/>
      <c r="S1737" s="5" t="inlineStr"/>
      <c r="T1737" s="5" t="inlineStr"/>
      <c r="U1737" s="5" t="inlineStr"/>
      <c r="V1737" s="5" t="inlineStr"/>
      <c r="W1737" s="5" t="inlineStr"/>
      <c r="X1737" s="5" t="inlineStr"/>
      <c r="Y1737" s="5" t="inlineStr"/>
      <c r="Z1737" s="6" t="inlineStr"/>
      <c r="AA1737" s="5" t="inlineStr"/>
      <c r="AB1737" s="5" t="inlineStr"/>
      <c r="AC1737" s="5" t="inlineStr"/>
      <c r="AD1737" s="5" t="inlineStr"/>
      <c r="AE1737" s="5" t="inlineStr"/>
      <c r="AF1737" s="5" t="inlineStr"/>
      <c r="AG1737" s="5" t="inlineStr"/>
      <c r="AH1737" s="5" t="inlineStr"/>
      <c r="AI1737" s="5" t="inlineStr"/>
      <c r="AJ1737" s="5" t="inlineStr"/>
    </row>
    <row r="1738">
      <c r="A1738" s="5" t="inlineStr">
        <is>
          <t>b8-evin-oglu-orta</t>
        </is>
      </c>
      <c r="B1738" s="5" t="n">
        <v>2</v>
      </c>
      <c r="C1738" s="6" t="inlineStr">
        <is>
          <t>Bu sefer yemeği sen yap</t>
        </is>
      </c>
      <c r="D1738" s="5" t="inlineStr">
        <is>
          <t>Akıl</t>
        </is>
      </c>
      <c r="E1738" s="5" t="inlineStr">
        <is>
          <t>Orta</t>
        </is>
      </c>
      <c r="F1738" s="5" t="inlineStr"/>
      <c r="G1738" s="6" t="inlineStr"/>
      <c r="H1738" s="6" t="inlineStr">
        <is>
          <t>Salı günü fasulyeyi sen yaptın. Annen bir kaşık aldı, uzun sustu, sonra “Tuzu biraz az” dedi. Ertesi hafta kendi fasulyesine de az tuz attı.</t>
        </is>
      </c>
      <c r="I1738" s="6" t="inlineStr">
        <is>
          <t>Yemeğin öyle güzel oldu ki annen komşulara tabak tabak dağıttı: “Evladım yaptı.” Ertesi gün kendi fasulyesini yaptı, onu da dağıttı; karşılaştırsınlar diye.</t>
        </is>
      </c>
      <c r="J1738" s="6" t="inlineStr">
        <is>
          <t>Fasulyeyi yaptın; annen tadına baktı, üstüne biraz tuz, biraz salça, biraz daha ekledi. Sonunda kendi fasulyesi oldu.</t>
        </is>
      </c>
      <c r="K1738" s="6" t="inlineStr">
        <is>
          <t>Fasulyeyi yaktın; annenin çeyizinden kalan tencereyle birlikte. Annen tencereyi balkona koydu, bir saat başında bekledi. Akşam yine mercimek pişti; salı olduğu hâlde.</t>
        </is>
      </c>
      <c r="L1738" s="6" t="inlineStr"/>
      <c r="M1738" s="5" t="inlineStr"/>
      <c r="N1738" s="5" t="inlineStr"/>
      <c r="O1738" s="6" t="inlineStr"/>
      <c r="P1738" s="6" t="inlineStr"/>
      <c r="Q1738" s="5" t="inlineStr"/>
      <c r="R1738" s="5" t="inlineStr"/>
      <c r="S1738" s="5" t="inlineStr"/>
      <c r="T1738" s="5" t="inlineStr"/>
      <c r="U1738" s="5" t="inlineStr"/>
      <c r="V1738" s="5" t="inlineStr"/>
      <c r="W1738" s="5" t="inlineStr"/>
      <c r="X1738" s="5" t="inlineStr"/>
      <c r="Y1738" s="5" t="inlineStr"/>
      <c r="Z1738" s="6" t="inlineStr"/>
      <c r="AA1738" s="5" t="inlineStr"/>
      <c r="AB1738" s="5" t="inlineStr"/>
      <c r="AC1738" s="5" t="inlineStr"/>
      <c r="AD1738" s="5" t="inlineStr"/>
      <c r="AE1738" s="5" t="inlineStr"/>
      <c r="AF1738" s="5" t="inlineStr"/>
      <c r="AG1738" s="5" t="inlineStr"/>
      <c r="AH1738" s="5" t="inlineStr"/>
      <c r="AI1738" s="5" t="inlineStr"/>
      <c r="AJ1738" s="5" t="inlineStr"/>
    </row>
    <row r="1739">
      <c r="A1739" s="5" t="inlineStr">
        <is>
          <t>b8-evin-oglu-orta</t>
        </is>
      </c>
      <c r="B1739" s="5" t="n">
        <v>3</v>
      </c>
      <c r="C1739" s="6" t="inlineStr">
        <is>
          <t>Annene de bir hayat öner: kurs, gezi, arkadaş</t>
        </is>
      </c>
      <c r="D1739" s="5" t="inlineStr">
        <is>
          <t>Sosyal Radar</t>
        </is>
      </c>
      <c r="E1739" s="5" t="inlineStr">
        <is>
          <t>Zor</t>
        </is>
      </c>
      <c r="F1739" s="5" t="inlineStr"/>
      <c r="G1739" s="6" t="inlineStr"/>
      <c r="H1739" s="6" t="inlineStr">
        <is>
          <t>Annene bir resim kursu buldun. Artık salı akşamları fasulye yok; resim var. İkiniz de yeni bir şey öğreniyorsunuz: yalnız kalmayı.</t>
        </is>
      </c>
      <c r="I1739" s="6" t="inlineStr">
        <is>
          <t>Annen kurstan bir arkadaş grubu edindi. Artık senden izin istemeden geziye gidiyor; sen de ilk kez evde tek başına yemek yiyorsun.</t>
        </is>
      </c>
      <c r="J1739" s="6" t="inlineStr">
        <is>
          <t>Annen kursa bir kez gitti, döndü: “Orada kimse tencere konuşmuyor.”</t>
        </is>
      </c>
      <c r="K1739" s="6" t="inlineStr">
        <is>
          <t>Önerini duyunca annen seni evlendirmeye karar verdi. Kursun yerini görücü kahveleri aldı.</t>
        </is>
      </c>
      <c r="L1739" s="6" t="inlineStr"/>
      <c r="M1739" s="5" t="inlineStr"/>
      <c r="N1739" s="5" t="inlineStr"/>
      <c r="O1739" s="6" t="inlineStr"/>
      <c r="P1739" s="6" t="inlineStr"/>
      <c r="Q1739" s="5" t="inlineStr"/>
      <c r="R1739" s="5" t="inlineStr"/>
      <c r="S1739" s="5" t="inlineStr"/>
      <c r="T1739" s="5" t="inlineStr"/>
      <c r="U1739" s="5" t="inlineStr"/>
      <c r="V1739" s="5" t="inlineStr"/>
      <c r="W1739" s="5" t="inlineStr"/>
      <c r="X1739" s="5" t="inlineStr"/>
      <c r="Y1739" s="5" t="inlineStr"/>
      <c r="Z1739" s="6" t="inlineStr"/>
      <c r="AA1739" s="5" t="inlineStr"/>
      <c r="AB1739" s="5" t="inlineStr"/>
      <c r="AC1739" s="5" t="inlineStr"/>
      <c r="AD1739" s="5" t="inlineStr"/>
      <c r="AE1739" s="5" t="inlineStr"/>
      <c r="AF1739" s="5" t="inlineStr"/>
      <c r="AG1739" s="5" t="inlineStr"/>
      <c r="AH1739" s="5" t="inlineStr"/>
      <c r="AI1739" s="5" t="inlineStr"/>
      <c r="AJ1739" s="5" t="inlineStr"/>
    </row>
    <row r="1740">
      <c r="A1740" s="5" t="inlineStr">
        <is>
          <t>kriz-7</t>
        </is>
      </c>
      <c r="B1740" s="5" t="n">
        <v>1</v>
      </c>
      <c r="C1740" s="6" t="inlineStr">
        <is>
          <t>Dişini sık, dayan</t>
        </is>
      </c>
      <c r="D1740" s="5" t="inlineStr"/>
      <c r="E1740" s="5" t="inlineStr"/>
      <c r="F1740" s="5" t="inlineStr">
        <is>
          <t>Dayanıklılık +1, Gönül +1</t>
        </is>
      </c>
      <c r="G1740" s="6" t="inlineStr">
        <is>
          <t>Dişini sıktın, birikim eridi. Bir akşam annen bileziğini çıkarıp masaya, “Şimdi?” yazan kâğıdın yanına koydu. Almadın; ama o gece ilk kez rahat uyudun.</t>
        </is>
      </c>
      <c r="H1740" s="6" t="inlineStr"/>
      <c r="I1740" s="6" t="inlineStr"/>
      <c r="J1740" s="6" t="inlineStr"/>
      <c r="K1740" s="6" t="inlineStr"/>
      <c r="L1740" s="6" t="inlineStr"/>
      <c r="M1740" s="5" t="inlineStr"/>
      <c r="N1740" s="5" t="inlineStr"/>
      <c r="O1740" s="6" t="inlineStr"/>
      <c r="P1740" s="6" t="inlineStr"/>
      <c r="Q1740" s="5" t="inlineStr"/>
      <c r="R1740" s="5" t="inlineStr"/>
      <c r="S1740" s="5" t="inlineStr"/>
      <c r="T1740" s="5" t="inlineStr"/>
      <c r="U1740" s="5" t="inlineStr"/>
      <c r="V1740" s="5" t="inlineStr"/>
      <c r="W1740" s="5" t="inlineStr"/>
      <c r="X1740" s="5" t="inlineStr"/>
      <c r="Y1740" s="5" t="inlineStr"/>
      <c r="Z1740" s="6" t="inlineStr"/>
      <c r="AA1740" s="5" t="inlineStr"/>
      <c r="AB1740" s="5" t="inlineStr"/>
      <c r="AC1740" s="5" t="inlineStr"/>
      <c r="AD1740" s="5" t="inlineStr"/>
      <c r="AE1740" s="5" t="inlineStr"/>
      <c r="AF1740" s="5" t="n">
        <v>1</v>
      </c>
      <c r="AG1740" s="5" t="inlineStr"/>
      <c r="AH1740" s="5" t="inlineStr"/>
      <c r="AI1740" s="5" t="inlineStr"/>
      <c r="AJ1740" s="5" t="inlineStr"/>
    </row>
    <row r="1741">
      <c r="A1741" s="5" t="inlineStr">
        <is>
          <t>kriz-7</t>
        </is>
      </c>
      <c r="B1741" s="5" t="n">
        <v>2</v>
      </c>
      <c r="C1741" s="6" t="inlineStr">
        <is>
          <t>Mahalleden borç iste</t>
        </is>
      </c>
      <c r="D1741" s="5" t="inlineStr"/>
      <c r="E1741" s="5" t="inlineStr"/>
      <c r="F1741" s="5" t="inlineStr">
        <is>
          <t>İtibar +1, Dayanıklılık +1</t>
        </is>
      </c>
      <c r="G1741" s="6" t="inlineStr">
        <is>
          <t>Kahvede bir cümle kurdun, akşama kadar üç zarf geldi; hiçbirinde senet yok. Birikimin yerinde kaldı; borcun mahalleye. Ödeyeceğin gün herkes ayrı ayrı “Ne gerek vardı” diyecek.</t>
        </is>
      </c>
      <c r="H1741" s="6" t="inlineStr"/>
      <c r="I1741" s="6" t="inlineStr"/>
      <c r="J1741" s="6" t="inlineStr"/>
      <c r="K1741" s="6" t="inlineStr"/>
      <c r="L1741" s="6" t="inlineStr"/>
      <c r="M1741" s="5" t="inlineStr"/>
      <c r="N1741" s="5" t="inlineStr"/>
      <c r="O1741" s="6" t="inlineStr"/>
      <c r="P1741" s="6" t="inlineStr"/>
      <c r="Q1741" s="5" t="inlineStr"/>
      <c r="R1741" s="5" t="inlineStr"/>
      <c r="S1741" s="5" t="inlineStr"/>
      <c r="T1741" s="5" t="inlineStr"/>
      <c r="U1741" s="5" t="inlineStr"/>
      <c r="V1741" s="5" t="inlineStr"/>
      <c r="W1741" s="5" t="inlineStr"/>
      <c r="X1741" s="5" t="inlineStr"/>
      <c r="Y1741" s="5" t="inlineStr"/>
      <c r="Z1741" s="6" t="inlineStr"/>
      <c r="AA1741" s="5" t="inlineStr"/>
      <c r="AB1741" s="5" t="inlineStr"/>
      <c r="AC1741" s="5" t="inlineStr"/>
      <c r="AD1741" s="5" t="inlineStr"/>
      <c r="AE1741" s="5" t="inlineStr"/>
      <c r="AF1741" s="5" t="inlineStr"/>
      <c r="AG1741" s="5" t="inlineStr"/>
      <c r="AH1741" s="5" t="inlineStr">
        <is>
          <t>İtibar 37</t>
        </is>
      </c>
      <c r="AI1741" s="5" t="inlineStr"/>
      <c r="AJ1741" s="5" t="inlineStr"/>
    </row>
    <row r="1742">
      <c r="A1742" s="5" t="inlineStr">
        <is>
          <t>kriz-7</t>
        </is>
      </c>
      <c r="B1742" s="5" t="n">
        <v>3</v>
      </c>
      <c r="C1742" s="6" t="inlineStr">
        <is>
          <t>Tezgâh aç, esnaflığa geç</t>
        </is>
      </c>
      <c r="D1742" s="5" t="inlineStr">
        <is>
          <t>Kurnazlık</t>
        </is>
      </c>
      <c r="E1742" s="5" t="inlineStr">
        <is>
          <t>Zor</t>
        </is>
      </c>
      <c r="F1742" s="5" t="inlineStr"/>
      <c r="G1742" s="6" t="inlineStr"/>
      <c r="H1742" s="6" t="inlineStr">
        <is>
          <t>Elindeki son birikimle küçük bir dükkân tuttun. Tabelayı astığın gün annen gelip kapıya nazar boncuğu astı; ilk alışverişi de o yaptı: bir paket çay, “Üstü kalsın.”</t>
        </is>
      </c>
      <c r="I1742" s="6" t="inlineStr">
        <is>
          <t>Dükkân ilk ay kirayı çıkardı. Annen herkese “Bizim çocuğun dükkânı” diyor; müşterilerin yarısı annenin telefon rehberi.</t>
        </is>
      </c>
      <c r="J1742" s="6" t="inlineStr">
        <is>
          <t>Dükkân tutmaya gittin; kira cebindekinin iki katıydı. Eski işine, eski yorgunluğuna döndün.</t>
        </is>
      </c>
      <c r="K1742" s="6" t="inlineStr">
        <is>
          <t>Dükkânı açtın, açılış günü sokak kazıldı. Üç ay kimse kapına ulaşamadı; sen de kapattın, eski işine döndün.</t>
        </is>
      </c>
      <c r="L1742" s="6" t="inlineStr"/>
      <c r="M1742" s="5" t="inlineStr"/>
      <c r="N1742" s="5" t="inlineStr"/>
      <c r="O1742" s="6" t="inlineStr"/>
      <c r="P1742" s="6" t="inlineStr"/>
      <c r="Q1742" s="5" t="inlineStr"/>
      <c r="R1742" s="5" t="inlineStr"/>
      <c r="S1742" s="5" t="inlineStr"/>
      <c r="T1742" s="5" t="inlineStr"/>
      <c r="U1742" s="5" t="inlineStr"/>
      <c r="V1742" s="5" t="inlineStr">
        <is>
          <t>-hat-cete, -hat-dolandirici, -hat-girisimci, -hat-goc, -hat-hekim, -hat-koy, -hat-polis, -hat-politika, -hat-sohret, -hat-usta, -hat-yargi, -meslek-beyazyaka, -meslek-memur, -meslek-serbest, meslek-esnaf</t>
        </is>
      </c>
      <c r="W1742" s="5" t="inlineStr"/>
      <c r="X1742" s="5" t="inlineStr"/>
      <c r="Y1742" s="5" t="inlineStr"/>
      <c r="Z1742" s="6" t="inlineStr"/>
      <c r="AA1742" s="5" t="inlineStr"/>
      <c r="AB1742" s="5" t="inlineStr"/>
      <c r="AC1742" s="5" t="inlineStr"/>
      <c r="AD1742" s="5" t="inlineStr"/>
      <c r="AE1742" s="5" t="inlineStr"/>
      <c r="AF1742" s="5" t="inlineStr"/>
      <c r="AG1742" s="5" t="inlineStr">
        <is>
          <t>meslek-esnaf</t>
        </is>
      </c>
      <c r="AH1742" s="5" t="inlineStr"/>
      <c r="AI1742" s="5" t="inlineStr"/>
      <c r="AJ1742" s="5" t="inlineStr"/>
    </row>
    <row r="1743">
      <c r="A1743" s="5" t="inlineStr">
        <is>
          <t>kriz-7</t>
        </is>
      </c>
      <c r="B1743" s="5" t="n">
        <v>4</v>
      </c>
      <c r="C1743" s="6" t="inlineStr">
        <is>
          <t>Kendi girişimini kur</t>
        </is>
      </c>
      <c r="D1743" s="5" t="inlineStr">
        <is>
          <t>Cesaret</t>
        </is>
      </c>
      <c r="E1743" s="5" t="inlineStr">
        <is>
          <t>Zor</t>
        </is>
      </c>
      <c r="F1743" s="5" t="inlineStr"/>
      <c r="G1743" s="6" t="inlineStr"/>
      <c r="H1743" s="6" t="inlineStr">
        <is>
          <t>Bir fikir, bir sunum, bir kafe masası. Şirketin kuruldu. Annen komşulara hâlâ “Bilgisayarla ilgili bir şey” diye anlatıyor.</t>
        </is>
      </c>
      <c r="I1743" s="6" t="inlineStr">
        <is>
          <t>İlk sunumda yatırımcı dosyana baktı, sonra sana: “Batıp çıkmış birini arıyorduk.” Mutfak masasındaki “Şimdi?” kâğıdını çerçeveletip yeni ofisin duvarına astın.</t>
        </is>
      </c>
      <c r="J1743" s="6" t="inlineStr">
        <is>
          <t>Fikrin güzeldi, zamanlaman değil. Eski işine döndün; fikir çekmecede bekliyor.</t>
        </is>
      </c>
      <c r="K1743" s="6" t="inlineStr">
        <is>
          <t>Şirketi kurdun, ilk hafta ortağın fikrinle birlikte ortadan kayboldu. Eski işine döndün; bir de avukatın var artık.</t>
        </is>
      </c>
      <c r="L1743" s="6" t="inlineStr"/>
      <c r="M1743" s="5" t="inlineStr"/>
      <c r="N1743" s="5" t="inlineStr"/>
      <c r="O1743" s="6" t="inlineStr"/>
      <c r="P1743" s="6" t="inlineStr"/>
      <c r="Q1743" s="5" t="inlineStr"/>
      <c r="R1743" s="5" t="inlineStr"/>
      <c r="S1743" s="5" t="inlineStr"/>
      <c r="T1743" s="5" t="inlineStr"/>
      <c r="U1743" s="5" t="inlineStr"/>
      <c r="V1743" s="5" t="inlineStr">
        <is>
          <t>-hat-cete, -hat-dolandirici, -hat-goc, -hat-hekim, -hat-koy, -hat-polis, -hat-politika, -hat-sohret, -hat-usta, -hat-yargi, -meslek-beyazyaka, -meslek-esnaf, -meslek-memur, hat-girisimci, meslek-serbest</t>
        </is>
      </c>
      <c r="W1743" s="5" t="inlineStr"/>
      <c r="X1743" s="5" t="inlineStr"/>
      <c r="Y1743" s="5" t="inlineStr"/>
      <c r="Z1743" s="6" t="inlineStr"/>
      <c r="AA1743" s="5" t="inlineStr"/>
      <c r="AB1743" s="5" t="inlineStr"/>
      <c r="AC1743" s="5" t="inlineStr"/>
      <c r="AD1743" s="5" t="inlineStr"/>
      <c r="AE1743" s="5" t="inlineStr"/>
      <c r="AF1743" s="5" t="inlineStr"/>
      <c r="AG1743" s="5" t="inlineStr">
        <is>
          <t>hat-girisimci</t>
        </is>
      </c>
      <c r="AH1743" s="5" t="inlineStr"/>
      <c r="AI1743" s="5" t="inlineStr"/>
      <c r="AJ1743" s="5" t="inlineStr"/>
    </row>
    <row r="1744">
      <c r="A1744" s="5" t="inlineStr">
        <is>
          <t>kriz-7</t>
        </is>
      </c>
      <c r="B1744" s="5" t="n">
        <v>5</v>
      </c>
      <c r="C1744" s="6" t="inlineStr">
        <is>
          <t>Abinin eski adamlarını ara</t>
        </is>
      </c>
      <c r="D1744" s="5" t="inlineStr">
        <is>
          <t>Cesaret</t>
        </is>
      </c>
      <c r="E1744" s="5" t="inlineStr">
        <is>
          <t>Zor</t>
        </is>
      </c>
      <c r="F1744" s="5" t="inlineStr"/>
      <c r="G1744" s="6" t="inlineStr"/>
      <c r="H1744" s="6" t="inlineStr">
        <is>
          <t>Bir telefon açtın, ertesi gün bir dükkânın başındaydın. Kasa hep dolu; nereden dolduğunu sormamak da işin parçası.</t>
        </is>
      </c>
      <c r="I1744" s="6" t="inlineStr">
        <is>
          <t>Yeni işinde hızla yükseldin; herkes sana “abi” demeye başladı. Bu kelimenin ağırlığını ilk kez omzunda hissettin.</t>
        </is>
      </c>
      <c r="J1744" s="6" t="inlineStr">
        <is>
          <t>Telefonu açtılar ama “Sen bu işlerin adamı değilsin” dediler. Belki de haklıydılar; eski işine döndün.</t>
        </is>
      </c>
      <c r="K1744" s="6" t="inlineStr">
        <is>
          <t>Telefonu yanlış kişiye açtın; komiser çıktı. Bir sohbet oldu, bir tutanak oldu. Eski işine döndün; bir dosyan var artık.</t>
        </is>
      </c>
      <c r="L1744" s="6" t="inlineStr"/>
      <c r="M1744" s="5" t="inlineStr"/>
      <c r="N1744" s="5" t="inlineStr"/>
      <c r="O1744" s="6" t="inlineStr"/>
      <c r="P1744" s="6" t="inlineStr"/>
      <c r="Q1744" s="5" t="inlineStr"/>
      <c r="R1744" s="5" t="inlineStr"/>
      <c r="S1744" s="5" t="inlineStr"/>
      <c r="T1744" s="5" t="inlineStr"/>
      <c r="U1744" s="5" t="inlineStr"/>
      <c r="V1744" s="5" t="inlineStr">
        <is>
          <t>-hat-dolandirici, -hat-girisimci, -hat-goc, -hat-hekim, -hat-koy, -hat-polis, -hat-politika, -hat-sohret, -hat-usta, -hat-yargi, -meslek-beyazyaka, -meslek-memur, -meslek-serbest, hat-cete, meslek-esnaf</t>
        </is>
      </c>
      <c r="W1744" s="5" t="inlineStr"/>
      <c r="X1744" s="5" t="inlineStr"/>
      <c r="Y1744" s="5" t="inlineStr"/>
      <c r="Z1744" s="6" t="inlineStr"/>
      <c r="AA1744" s="5" t="inlineStr">
        <is>
          <t>hepsi -1</t>
        </is>
      </c>
      <c r="AB1744" s="5" t="inlineStr"/>
      <c r="AC1744" s="5" t="inlineStr"/>
      <c r="AD1744" s="5" t="inlineStr"/>
      <c r="AE1744" s="5" t="inlineStr"/>
      <c r="AF1744" s="5" t="inlineStr"/>
      <c r="AG1744" s="5" t="inlineStr">
        <is>
          <t>hat-cete</t>
        </is>
      </c>
      <c r="AH1744" s="5" t="inlineStr"/>
      <c r="AI1744" s="5" t="inlineStr"/>
      <c r="AJ1744" s="5" t="inlineStr"/>
    </row>
    <row r="1745">
      <c r="A1745" s="5" t="inlineStr">
        <is>
          <t>kriz-7</t>
        </is>
      </c>
      <c r="B1745" s="5" t="n">
        <v>6</v>
      </c>
      <c r="C1745" s="6" t="inlineStr">
        <is>
          <t>Kolay para ilanına cevap ver</t>
        </is>
      </c>
      <c r="D1745" s="5" t="inlineStr">
        <is>
          <t>Kurnazlık</t>
        </is>
      </c>
      <c r="E1745" s="5" t="inlineStr">
        <is>
          <t>Zor</t>
        </is>
      </c>
      <c r="F1745" s="5" t="inlineStr"/>
      <c r="G1745" s="6" t="inlineStr"/>
      <c r="H1745" s="6" t="inlineStr">
        <is>
          <t>Bir ilan, üç telefon, bir sunum. Para geldi; nereden geldiğini sormamaya karar verdin. Vicdanın da sormadı; şimdilik.</t>
        </is>
      </c>
      <c r="I1745" s="6" t="inlineStr">
        <is>
          <t>Öyle hızlı büyüdün ki bir ay içinde kendi seminerini veriyordun. Salon doluydu; arka sırada vicdanın oturuyordu.</t>
        </is>
      </c>
      <c r="J1745" s="6" t="inlineStr">
        <is>
          <t>İlanın ilk cevabını veren kişi bir dolandırıcıydı. Seni dolandırmaya çalıştı; ikiniz de vazgeçtiniz.</t>
        </is>
      </c>
      <c r="K1745" s="6" t="inlineStr">
        <is>
          <t>İlk “fırsatı” yakından inceleyince kendini bir tüketici programında buldun. Adın yok, sesin var.</t>
        </is>
      </c>
      <c r="L1745" s="6" t="inlineStr"/>
      <c r="M1745" s="5" t="inlineStr"/>
      <c r="N1745" s="5" t="inlineStr"/>
      <c r="O1745" s="6" t="inlineStr"/>
      <c r="P1745" s="6" t="inlineStr"/>
      <c r="Q1745" s="5" t="inlineStr"/>
      <c r="R1745" s="5" t="inlineStr"/>
      <c r="S1745" s="5" t="inlineStr"/>
      <c r="T1745" s="5" t="inlineStr"/>
      <c r="U1745" s="5" t="inlineStr"/>
      <c r="V1745" s="5" t="inlineStr">
        <is>
          <t>-hat-cete, -hat-girisimci, -hat-goc, -hat-hekim, -hat-koy, -hat-polis, -hat-politika, -hat-sohret, -hat-usta, -hat-yargi, -meslek-beyazyaka, -meslek-esnaf, -meslek-memur, hat-dolandirici, meslek-serbest</t>
        </is>
      </c>
      <c r="W1745" s="5" t="inlineStr"/>
      <c r="X1745" s="5" t="inlineStr"/>
      <c r="Y1745" s="5" t="inlineStr"/>
      <c r="Z1745" s="6" t="inlineStr"/>
      <c r="AA1745" s="5" t="inlineStr">
        <is>
          <t>hepsi -1</t>
        </is>
      </c>
      <c r="AB1745" s="5" t="inlineStr"/>
      <c r="AC1745" s="5" t="inlineStr"/>
      <c r="AD1745" s="5" t="inlineStr"/>
      <c r="AE1745" s="5" t="inlineStr"/>
      <c r="AF1745" s="5" t="inlineStr"/>
      <c r="AG1745" s="5" t="inlineStr">
        <is>
          <t>hat-dolandirici</t>
        </is>
      </c>
      <c r="AH1745" s="5" t="inlineStr"/>
      <c r="AI1745" s="5" t="inlineStr"/>
      <c r="AJ1745" s="5" t="inlineStr"/>
    </row>
    <row r="1746">
      <c r="A1746" s="5" t="inlineStr">
        <is>
          <t>kriz-8</t>
        </is>
      </c>
      <c r="B1746" s="5" t="n">
        <v>1</v>
      </c>
      <c r="C1746" s="6" t="inlineStr">
        <is>
          <t>Dişini sık, dayan</t>
        </is>
      </c>
      <c r="D1746" s="5" t="inlineStr"/>
      <c r="E1746" s="5" t="inlineStr"/>
      <c r="F1746" s="5" t="inlineStr">
        <is>
          <t>Dayanıklılık +2</t>
        </is>
      </c>
      <c r="G1746" s="6" t="inlineStr">
        <is>
          <t>Dişini sıktın. Birikim eridi, ama yerinde durdun. Annen her akşam aradı: “Sen bir şey yedin mi?”</t>
        </is>
      </c>
      <c r="H1746" s="6" t="inlineStr"/>
      <c r="I1746" s="6" t="inlineStr"/>
      <c r="J1746" s="6" t="inlineStr"/>
      <c r="K1746" s="6" t="inlineStr"/>
      <c r="L1746" s="6" t="inlineStr"/>
      <c r="M1746" s="5" t="inlineStr"/>
      <c r="N1746" s="5" t="inlineStr"/>
      <c r="O1746" s="6" t="inlineStr"/>
      <c r="P1746" s="6" t="inlineStr"/>
      <c r="Q1746" s="5" t="inlineStr"/>
      <c r="R1746" s="5" t="inlineStr"/>
      <c r="S1746" s="5" t="inlineStr"/>
      <c r="T1746" s="5" t="inlineStr"/>
      <c r="U1746" s="5" t="inlineStr"/>
      <c r="V1746" s="5" t="inlineStr"/>
      <c r="W1746" s="5" t="inlineStr"/>
      <c r="X1746" s="5" t="inlineStr"/>
      <c r="Y1746" s="5" t="inlineStr"/>
      <c r="Z1746" s="6" t="inlineStr"/>
      <c r="AA1746" s="5" t="inlineStr"/>
      <c r="AB1746" s="5" t="inlineStr"/>
      <c r="AC1746" s="5" t="inlineStr"/>
      <c r="AD1746" s="5" t="inlineStr"/>
      <c r="AE1746" s="5" t="inlineStr"/>
      <c r="AF1746" s="5" t="n">
        <v>1</v>
      </c>
      <c r="AG1746" s="5" t="inlineStr"/>
      <c r="AH1746" s="5" t="inlineStr"/>
      <c r="AI1746" s="5" t="inlineStr"/>
      <c r="AJ1746" s="5" t="inlineStr"/>
    </row>
    <row r="1747">
      <c r="A1747" s="5" t="inlineStr">
        <is>
          <t>kriz-8</t>
        </is>
      </c>
      <c r="B1747" s="5" t="n">
        <v>2</v>
      </c>
      <c r="C1747" s="6" t="inlineStr">
        <is>
          <t>Mahalleden borç iste</t>
        </is>
      </c>
      <c r="D1747" s="5" t="inlineStr"/>
      <c r="E1747" s="5" t="inlineStr"/>
      <c r="F1747" s="5" t="inlineStr">
        <is>
          <t>İtibar +1, Dayanıklılık +1</t>
        </is>
      </c>
      <c r="G1747" s="6" t="inlineStr">
        <is>
          <t>Bakkala, kasaba ve alt kattaki teyzeye birer cümle kurdun; akşama kadar kapına üç zarf bırakıldı, hiçbirinde senet yok. Birikimin yerinde kaldı; borcun mahalleye. Ödeyeceğin gün herkes ayrı ayrı “Ne gerek vardı” diyecek.</t>
        </is>
      </c>
      <c r="H1747" s="6" t="inlineStr"/>
      <c r="I1747" s="6" t="inlineStr"/>
      <c r="J1747" s="6" t="inlineStr"/>
      <c r="K1747" s="6" t="inlineStr"/>
      <c r="L1747" s="6" t="inlineStr"/>
      <c r="M1747" s="5" t="inlineStr"/>
      <c r="N1747" s="5" t="inlineStr"/>
      <c r="O1747" s="6" t="inlineStr"/>
      <c r="P1747" s="6" t="inlineStr"/>
      <c r="Q1747" s="5" t="inlineStr"/>
      <c r="R1747" s="5" t="inlineStr"/>
      <c r="S1747" s="5" t="inlineStr"/>
      <c r="T1747" s="5" t="inlineStr"/>
      <c r="U1747" s="5" t="inlineStr"/>
      <c r="V1747" s="5" t="inlineStr"/>
      <c r="W1747" s="5" t="inlineStr"/>
      <c r="X1747" s="5" t="inlineStr"/>
      <c r="Y1747" s="5" t="inlineStr"/>
      <c r="Z1747" s="6" t="inlineStr"/>
      <c r="AA1747" s="5" t="inlineStr"/>
      <c r="AB1747" s="5" t="inlineStr"/>
      <c r="AC1747" s="5" t="inlineStr"/>
      <c r="AD1747" s="5" t="inlineStr"/>
      <c r="AE1747" s="5" t="inlineStr"/>
      <c r="AF1747" s="5" t="inlineStr"/>
      <c r="AG1747" s="5" t="inlineStr"/>
      <c r="AH1747" s="5" t="inlineStr">
        <is>
          <t>İtibar 37</t>
        </is>
      </c>
      <c r="AI1747" s="5" t="inlineStr"/>
      <c r="AJ1747" s="5" t="inlineStr"/>
    </row>
    <row r="1748">
      <c r="A1748" s="5" t="inlineStr">
        <is>
          <t>kriz-8</t>
        </is>
      </c>
      <c r="B1748" s="5" t="n">
        <v>3</v>
      </c>
      <c r="C1748" s="6" t="inlineStr">
        <is>
          <t>Tezgâh aç, esnaflığa geç</t>
        </is>
      </c>
      <c r="D1748" s="5" t="inlineStr">
        <is>
          <t>Kurnazlık</t>
        </is>
      </c>
      <c r="E1748" s="5" t="inlineStr">
        <is>
          <t>Zor</t>
        </is>
      </c>
      <c r="F1748" s="5" t="inlineStr"/>
      <c r="G1748" s="6" t="inlineStr"/>
      <c r="H1748" s="6" t="inlineStr">
        <is>
          <t>Elindeki son birikimle küçük bir dükkân tuttun. Tabela senin, kira senin, veresiye defteri de senin. Defterin ilk sayfasına annenin adı yazıldı: yarım ekmek.</t>
        </is>
      </c>
      <c r="I1748" s="6" t="inlineStr">
        <is>
          <t>Dükkân ilk ayında kira çıkardı, ikinci ayında seni. Mahallede artık “Yeni esnaf” diye biliniyorsun; yeni ama ağzı laf yapan.</t>
        </is>
      </c>
      <c r="J1748" s="6" t="inlineStr">
        <is>
          <t>Dükkân tutmaya gittin; kira cebindekinin iki katıydı. Eski işine, eski yorgunluğuna döndün.</t>
        </is>
      </c>
      <c r="K1748" s="6" t="inlineStr">
        <is>
          <t>Dükkânı açtın, açılış günü sokak kazıldı. Üç ay kimse kapına ulaşamadı; sen de kapattın, eski işine döndün.</t>
        </is>
      </c>
      <c r="L1748" s="6" t="inlineStr"/>
      <c r="M1748" s="5" t="inlineStr"/>
      <c r="N1748" s="5" t="inlineStr"/>
      <c r="O1748" s="6" t="inlineStr"/>
      <c r="P1748" s="6" t="inlineStr"/>
      <c r="Q1748" s="5" t="inlineStr"/>
      <c r="R1748" s="5" t="inlineStr"/>
      <c r="S1748" s="5" t="inlineStr"/>
      <c r="T1748" s="5" t="inlineStr"/>
      <c r="U1748" s="5" t="inlineStr"/>
      <c r="V1748" s="5" t="inlineStr">
        <is>
          <t>-hat-cete, -hat-dolandirici, -hat-girisimci, -hat-goc, -hat-hekim, -hat-koy, -hat-polis, -hat-politika, -hat-sohret, -hat-usta, -hat-yargi, -meslek-beyazyaka, -meslek-memur, -meslek-serbest, meslek-esnaf</t>
        </is>
      </c>
      <c r="W1748" s="5" t="inlineStr"/>
      <c r="X1748" s="5" t="inlineStr"/>
      <c r="Y1748" s="5" t="inlineStr"/>
      <c r="Z1748" s="6" t="inlineStr"/>
      <c r="AA1748" s="5" t="inlineStr"/>
      <c r="AB1748" s="5" t="inlineStr"/>
      <c r="AC1748" s="5" t="inlineStr"/>
      <c r="AD1748" s="5" t="inlineStr"/>
      <c r="AE1748" s="5" t="inlineStr"/>
      <c r="AF1748" s="5" t="inlineStr"/>
      <c r="AG1748" s="5" t="inlineStr">
        <is>
          <t>meslek-esnaf</t>
        </is>
      </c>
      <c r="AH1748" s="5" t="inlineStr"/>
      <c r="AI1748" s="5" t="inlineStr"/>
      <c r="AJ1748" s="5" t="inlineStr"/>
    </row>
    <row r="1749">
      <c r="A1749" s="5" t="inlineStr">
        <is>
          <t>kriz-8</t>
        </is>
      </c>
      <c r="B1749" s="5" t="n">
        <v>4</v>
      </c>
      <c r="C1749" s="6" t="inlineStr">
        <is>
          <t>Kendi girişimini kur</t>
        </is>
      </c>
      <c r="D1749" s="5" t="inlineStr">
        <is>
          <t>Cesaret</t>
        </is>
      </c>
      <c r="E1749" s="5" t="inlineStr">
        <is>
          <t>Zor</t>
        </is>
      </c>
      <c r="F1749" s="5" t="inlineStr"/>
      <c r="G1749" s="6" t="inlineStr"/>
      <c r="H1749" s="6" t="inlineStr">
        <is>
          <t>Bir fikir, bir sunum, bir kafe masası. Şirketin kuruldu. Yaşın kimseyi ilgilendirmedi; tecrüben herkesi ilgilendirdi.</t>
        </is>
      </c>
      <c r="I1749" s="6" t="inlineStr">
        <is>
          <t>İlk sunumda yatırımcı özgeçmişine baktı: “Bu kadar batıp çıkan birini arıyorduk.” Kırk yedi yaşında ilk kez biri krizini alkışladı.</t>
        </is>
      </c>
      <c r="J1749" s="6" t="inlineStr">
        <is>
          <t>Fikrin güzeldi, zamanlaman değil. Eski işine döndün; fikir çekmecede bekliyor.</t>
        </is>
      </c>
      <c r="K1749" s="6" t="inlineStr">
        <is>
          <t>Şirketi kurdun, ilk hafta ortağın fikrinle birlikte ortadan kayboldu. Eski işine döndün; bir de avukatın var artık.</t>
        </is>
      </c>
      <c r="L1749" s="6" t="inlineStr"/>
      <c r="M1749" s="5" t="inlineStr"/>
      <c r="N1749" s="5" t="inlineStr"/>
      <c r="O1749" s="6" t="inlineStr"/>
      <c r="P1749" s="6" t="inlineStr"/>
      <c r="Q1749" s="5" t="inlineStr"/>
      <c r="R1749" s="5" t="inlineStr"/>
      <c r="S1749" s="5" t="inlineStr"/>
      <c r="T1749" s="5" t="inlineStr"/>
      <c r="U1749" s="5" t="inlineStr"/>
      <c r="V1749" s="5" t="inlineStr">
        <is>
          <t>-hat-cete, -hat-dolandirici, -hat-goc, -hat-hekim, -hat-koy, -hat-polis, -hat-politika, -hat-sohret, -hat-usta, -hat-yargi, -meslek-beyazyaka, -meslek-esnaf, -meslek-memur, hat-girisimci, meslek-serbest</t>
        </is>
      </c>
      <c r="W1749" s="5" t="inlineStr"/>
      <c r="X1749" s="5" t="inlineStr"/>
      <c r="Y1749" s="5" t="inlineStr"/>
      <c r="Z1749" s="6" t="inlineStr"/>
      <c r="AA1749" s="5" t="inlineStr"/>
      <c r="AB1749" s="5" t="inlineStr"/>
      <c r="AC1749" s="5" t="inlineStr"/>
      <c r="AD1749" s="5" t="inlineStr"/>
      <c r="AE1749" s="5" t="inlineStr"/>
      <c r="AF1749" s="5" t="inlineStr"/>
      <c r="AG1749" s="5" t="inlineStr">
        <is>
          <t>hat-girisimci</t>
        </is>
      </c>
      <c r="AH1749" s="5" t="inlineStr"/>
      <c r="AI1749" s="5" t="inlineStr"/>
      <c r="AJ1749" s="5" t="inlineStr"/>
    </row>
    <row r="1750">
      <c r="A1750" s="5" t="inlineStr">
        <is>
          <t>kriz-8</t>
        </is>
      </c>
      <c r="B1750" s="5" t="n">
        <v>5</v>
      </c>
      <c r="C1750" s="6" t="inlineStr">
        <is>
          <t>Mahallenin eski abisine uğra</t>
        </is>
      </c>
      <c r="D1750" s="5" t="inlineStr">
        <is>
          <t>Cesaret</t>
        </is>
      </c>
      <c r="E1750" s="5" t="inlineStr">
        <is>
          <t>Zor</t>
        </is>
      </c>
      <c r="F1750" s="5" t="inlineStr"/>
      <c r="G1750" s="6" t="inlineStr"/>
      <c r="H1750" s="6" t="inlineStr">
        <is>
          <t>Bir telefon açtın, ertesi gün bir dükkânın başındaydın. Kasa hep dolu; nereden dolduğunu sormamak da işin parçası.</t>
        </is>
      </c>
      <c r="I1750" s="6" t="inlineStr">
        <is>
          <t>Yeni işinde hızla yükseldin; kahveye girince masalar ayağa kalkmaya başladı. Annen bir gün sordu: “Bu insanlar sana neden çay koyuyor?” Cevap veremedin.</t>
        </is>
      </c>
      <c r="J1750" s="6" t="inlineStr">
        <is>
          <t>Telefonu açtılar ama “Sen bu işlere göre değilsin” dediler. Belki de haklıydılar; eski işine döndün.</t>
        </is>
      </c>
      <c r="K1750" s="6" t="inlineStr">
        <is>
          <t>Telefonu yanlış kişiye açtın; komiser çıktı. Bir sohbet oldu, bir tutanak oldu. Eski işine döndün; bir dosyan var artık.</t>
        </is>
      </c>
      <c r="L1750" s="6" t="inlineStr"/>
      <c r="M1750" s="5" t="inlineStr"/>
      <c r="N1750" s="5" t="inlineStr"/>
      <c r="O1750" s="6" t="inlineStr"/>
      <c r="P1750" s="6" t="inlineStr"/>
      <c r="Q1750" s="5" t="inlineStr"/>
      <c r="R1750" s="5" t="inlineStr"/>
      <c r="S1750" s="5" t="inlineStr"/>
      <c r="T1750" s="5" t="inlineStr"/>
      <c r="U1750" s="5" t="inlineStr"/>
      <c r="V1750" s="5" t="inlineStr">
        <is>
          <t>-hat-dolandirici, -hat-girisimci, -hat-goc, -hat-hekim, -hat-koy, -hat-polis, -hat-politika, -hat-sohret, -hat-usta, -hat-yargi, -meslek-beyazyaka, -meslek-memur, -meslek-serbest, hat-cete, meslek-esnaf</t>
        </is>
      </c>
      <c r="W1750" s="5" t="inlineStr"/>
      <c r="X1750" s="5" t="inlineStr"/>
      <c r="Y1750" s="5" t="inlineStr"/>
      <c r="Z1750" s="6" t="inlineStr"/>
      <c r="AA1750" s="5" t="inlineStr">
        <is>
          <t>hepsi -1</t>
        </is>
      </c>
      <c r="AB1750" s="5" t="inlineStr"/>
      <c r="AC1750" s="5" t="inlineStr"/>
      <c r="AD1750" s="5" t="inlineStr"/>
      <c r="AE1750" s="5" t="inlineStr"/>
      <c r="AF1750" s="5" t="inlineStr"/>
      <c r="AG1750" s="5" t="inlineStr">
        <is>
          <t>hat-cete</t>
        </is>
      </c>
      <c r="AH1750" s="5" t="inlineStr"/>
      <c r="AI1750" s="5" t="inlineStr"/>
      <c r="AJ1750" s="5" t="inlineStr"/>
    </row>
    <row r="1751">
      <c r="A1751" s="5" t="inlineStr">
        <is>
          <t>kriz-8</t>
        </is>
      </c>
      <c r="B1751" s="5" t="n">
        <v>6</v>
      </c>
      <c r="C1751" s="6" t="inlineStr">
        <is>
          <t>Emeklilik birikimini “fırsata” yatır</t>
        </is>
      </c>
      <c r="D1751" s="5" t="inlineStr">
        <is>
          <t>Kurnazlık</t>
        </is>
      </c>
      <c r="E1751" s="5" t="inlineStr">
        <is>
          <t>Zor</t>
        </is>
      </c>
      <c r="F1751" s="5" t="inlineStr"/>
      <c r="G1751" s="6" t="inlineStr"/>
      <c r="H1751" s="6" t="inlineStr">
        <is>
          <t>Bir ilan, üç telefon, bir sunum. Para geldi; nereden geldiğini sormamaya karar verdin. Vicdanın da sormadı; şimdilik.</t>
        </is>
      </c>
      <c r="I1751" s="6" t="inlineStr">
        <is>
          <t>Öyle hızlı büyüdün ki bir ay içinde kendi seminerini veriyordun. Salon doluydu; arka sırada vicdanın oturuyordu.</t>
        </is>
      </c>
      <c r="J1751" s="6" t="inlineStr">
        <is>
          <t>İlanın ilk cevabını veren kişi bir dolandırıcıydı. Seni dolandırmaya çalıştı; ikiniz de vazgeçtiniz.</t>
        </is>
      </c>
      <c r="K1751" s="6" t="inlineStr">
        <is>
          <t>İlk “fırsat” bir saadet zinciriymiş; birikimin bir haftada gitti. Akşam haberlerinde sesi değiştirilmiş bir mağdur konuştu. Kimse tanımadı. Annen tanıdı.</t>
        </is>
      </c>
      <c r="L1751" s="6" t="inlineStr"/>
      <c r="M1751" s="5" t="inlineStr"/>
      <c r="N1751" s="5" t="inlineStr"/>
      <c r="O1751" s="6" t="inlineStr"/>
      <c r="P1751" s="6" t="inlineStr"/>
      <c r="Q1751" s="5" t="inlineStr"/>
      <c r="R1751" s="5" t="inlineStr"/>
      <c r="S1751" s="5" t="inlineStr"/>
      <c r="T1751" s="5" t="inlineStr"/>
      <c r="U1751" s="5" t="inlineStr"/>
      <c r="V1751" s="5" t="inlineStr">
        <is>
          <t>-hat-cete, -hat-girisimci, -hat-goc, -hat-hekim, -hat-koy, -hat-polis, -hat-politika, -hat-sohret, -hat-usta, -hat-yargi, -meslek-beyazyaka, -meslek-esnaf, -meslek-memur, hat-dolandirici, meslek-serbest</t>
        </is>
      </c>
      <c r="W1751" s="5" t="inlineStr"/>
      <c r="X1751" s="5" t="inlineStr"/>
      <c r="Y1751" s="5" t="inlineStr"/>
      <c r="Z1751" s="6" t="inlineStr"/>
      <c r="AA1751" s="5" t="inlineStr">
        <is>
          <t>hepsi -1</t>
        </is>
      </c>
      <c r="AB1751" s="5" t="inlineStr"/>
      <c r="AC1751" s="5" t="inlineStr"/>
      <c r="AD1751" s="5" t="inlineStr"/>
      <c r="AE1751" s="5" t="inlineStr"/>
      <c r="AF1751" s="5" t="inlineStr"/>
      <c r="AG1751" s="5" t="inlineStr">
        <is>
          <t>hat-dolandirici</t>
        </is>
      </c>
      <c r="AH1751" s="5" t="inlineStr"/>
      <c r="AI1751" s="5" t="inlineStr"/>
      <c r="AJ1751" s="5" t="inlineStr"/>
    </row>
    <row r="1752">
      <c r="A1752" s="5" t="inlineStr">
        <is>
          <t>kriz-9</t>
        </is>
      </c>
      <c r="B1752" s="5" t="n">
        <v>1</v>
      </c>
      <c r="C1752" s="6" t="inlineStr">
        <is>
          <t>Dişini sık, dayan</t>
        </is>
      </c>
      <c r="D1752" s="5" t="inlineStr"/>
      <c r="E1752" s="5" t="inlineStr"/>
      <c r="F1752" s="5" t="inlineStr">
        <is>
          <t>Dayanıklılık +2</t>
        </is>
      </c>
      <c r="G1752" s="6" t="inlineStr">
        <is>
          <t>Dişini sıktın. Kahveyi evde içmeye, pazara kapanışta gitmeye başladın. Kimseye bir şey söylemedin; bakkal anladı, ekmeği deftere yazmadan uzattı.</t>
        </is>
      </c>
      <c r="H1752" s="6" t="inlineStr"/>
      <c r="I1752" s="6" t="inlineStr"/>
      <c r="J1752" s="6" t="inlineStr"/>
      <c r="K1752" s="6" t="inlineStr"/>
      <c r="L1752" s="6" t="inlineStr"/>
      <c r="M1752" s="5" t="inlineStr"/>
      <c r="N1752" s="5" t="inlineStr"/>
      <c r="O1752" s="6" t="inlineStr"/>
      <c r="P1752" s="6" t="inlineStr"/>
      <c r="Q1752" s="5" t="inlineStr"/>
      <c r="R1752" s="5" t="inlineStr"/>
      <c r="S1752" s="5" t="inlineStr"/>
      <c r="T1752" s="5" t="inlineStr"/>
      <c r="U1752" s="5" t="inlineStr"/>
      <c r="V1752" s="5" t="inlineStr"/>
      <c r="W1752" s="5" t="inlineStr"/>
      <c r="X1752" s="5" t="inlineStr"/>
      <c r="Y1752" s="5" t="inlineStr"/>
      <c r="Z1752" s="6" t="inlineStr"/>
      <c r="AA1752" s="5" t="inlineStr"/>
      <c r="AB1752" s="5" t="inlineStr"/>
      <c r="AC1752" s="5" t="inlineStr"/>
      <c r="AD1752" s="5" t="inlineStr"/>
      <c r="AE1752" s="5" t="inlineStr"/>
      <c r="AF1752" s="5" t="n">
        <v>1</v>
      </c>
      <c r="AG1752" s="5" t="inlineStr"/>
      <c r="AH1752" s="5" t="inlineStr"/>
      <c r="AI1752" s="5" t="inlineStr"/>
      <c r="AJ1752" s="5" t="inlineStr"/>
    </row>
    <row r="1753">
      <c r="A1753" s="5" t="inlineStr">
        <is>
          <t>kriz-9</t>
        </is>
      </c>
      <c r="B1753" s="5" t="n">
        <v>2</v>
      </c>
      <c r="C1753" s="6" t="inlineStr">
        <is>
          <t>Mahalleden borç iste</t>
        </is>
      </c>
      <c r="D1753" s="5" t="inlineStr"/>
      <c r="E1753" s="5" t="inlineStr"/>
      <c r="F1753" s="5" t="inlineStr">
        <is>
          <t>İtibar +1, Dayanıklılık +1</t>
        </is>
      </c>
      <c r="G1753" s="6" t="inlineStr">
        <is>
          <t>Kahvede bir cümle kurdun, akşama kadar üç zarf geldi; hiçbirinde senet yok. Birikimin yerinde kaldı; borcun mahalleye. Ödeyeceğin gün herkes ayrı ayrı “Ne gerek vardı” diyecek.</t>
        </is>
      </c>
      <c r="H1753" s="6" t="inlineStr"/>
      <c r="I1753" s="6" t="inlineStr"/>
      <c r="J1753" s="6" t="inlineStr"/>
      <c r="K1753" s="6" t="inlineStr"/>
      <c r="L1753" s="6" t="inlineStr"/>
      <c r="M1753" s="5" t="inlineStr"/>
      <c r="N1753" s="5" t="inlineStr"/>
      <c r="O1753" s="6" t="inlineStr"/>
      <c r="P1753" s="6" t="inlineStr"/>
      <c r="Q1753" s="5" t="inlineStr"/>
      <c r="R1753" s="5" t="inlineStr"/>
      <c r="S1753" s="5" t="inlineStr"/>
      <c r="T1753" s="5" t="inlineStr"/>
      <c r="U1753" s="5" t="inlineStr"/>
      <c r="V1753" s="5" t="inlineStr"/>
      <c r="W1753" s="5" t="inlineStr"/>
      <c r="X1753" s="5" t="inlineStr"/>
      <c r="Y1753" s="5" t="inlineStr"/>
      <c r="Z1753" s="6" t="inlineStr"/>
      <c r="AA1753" s="5" t="inlineStr"/>
      <c r="AB1753" s="5" t="inlineStr"/>
      <c r="AC1753" s="5" t="inlineStr"/>
      <c r="AD1753" s="5" t="inlineStr"/>
      <c r="AE1753" s="5" t="inlineStr"/>
      <c r="AF1753" s="5" t="inlineStr"/>
      <c r="AG1753" s="5" t="inlineStr"/>
      <c r="AH1753" s="5" t="inlineStr">
        <is>
          <t>İtibar 38</t>
        </is>
      </c>
      <c r="AI1753" s="5" t="inlineStr"/>
      <c r="AJ1753" s="5" t="inlineStr"/>
    </row>
    <row r="1754">
      <c r="A1754" s="5" t="inlineStr">
        <is>
          <t>kriz-9</t>
        </is>
      </c>
      <c r="B1754" s="5" t="n">
        <v>3</v>
      </c>
      <c r="C1754" s="6" t="inlineStr">
        <is>
          <t>Tezgâh aç, esnaflığa geç</t>
        </is>
      </c>
      <c r="D1754" s="5" t="inlineStr">
        <is>
          <t>Kurnazlık</t>
        </is>
      </c>
      <c r="E1754" s="5" t="inlineStr">
        <is>
          <t>Zor</t>
        </is>
      </c>
      <c r="F1754" s="5" t="inlineStr"/>
      <c r="G1754" s="6" t="inlineStr"/>
      <c r="H1754" s="6" t="inlineStr">
        <is>
          <t>Elindeki son birikimle küçük bir dükkân tuttun. Tabela senin, kira senin, veresiye defteri de senin. Hayat yeniden bir ritim buldu.</t>
        </is>
      </c>
      <c r="I1754" s="6" t="inlineStr">
        <is>
          <t>Dükkân ilk ayında kira çıkardı, ikinci ayında seni. Mahallede artık “Yeni esnaf” diye biliniyorsun; yeni ama ağzı laf yapan.</t>
        </is>
      </c>
      <c r="J1754" s="6" t="inlineStr">
        <is>
          <t>Dükkân tutmaya gittin; kira cebindekinin iki katıydı. Eski işine, eski yorgunluğuna döndün.</t>
        </is>
      </c>
      <c r="K1754" s="6" t="inlineStr">
        <is>
          <t>Dükkânı açtın, açılış günü sokak kazıldı. Üç ay kimse kapına ulaşamadı; sen de kapattın, eski işine döndün.</t>
        </is>
      </c>
      <c r="L1754" s="6" t="inlineStr"/>
      <c r="M1754" s="5" t="inlineStr"/>
      <c r="N1754" s="5" t="inlineStr"/>
      <c r="O1754" s="6" t="inlineStr"/>
      <c r="P1754" s="6" t="inlineStr"/>
      <c r="Q1754" s="5" t="inlineStr"/>
      <c r="R1754" s="5" t="inlineStr"/>
      <c r="S1754" s="5" t="inlineStr"/>
      <c r="T1754" s="5" t="inlineStr"/>
      <c r="U1754" s="5" t="inlineStr"/>
      <c r="V1754" s="5" t="inlineStr">
        <is>
          <t>-hat-cete, -hat-dolandirici, -hat-girisimci, -hat-goc, -hat-hekim, -hat-koy, -hat-polis, -hat-politika, -hat-sohret, -hat-usta, -hat-yargi, -meslek-beyazyaka, -meslek-memur, -meslek-serbest, meslek-esnaf</t>
        </is>
      </c>
      <c r="W1754" s="5" t="inlineStr"/>
      <c r="X1754" s="5" t="inlineStr"/>
      <c r="Y1754" s="5" t="inlineStr"/>
      <c r="Z1754" s="6" t="inlineStr"/>
      <c r="AA1754" s="5" t="inlineStr"/>
      <c r="AB1754" s="5" t="inlineStr"/>
      <c r="AC1754" s="5" t="inlineStr"/>
      <c r="AD1754" s="5" t="inlineStr"/>
      <c r="AE1754" s="5" t="inlineStr"/>
      <c r="AF1754" s="5" t="inlineStr"/>
      <c r="AG1754" s="5" t="inlineStr">
        <is>
          <t>meslek-esnaf</t>
        </is>
      </c>
      <c r="AH1754" s="5" t="inlineStr"/>
      <c r="AI1754" s="5" t="inlineStr"/>
      <c r="AJ1754" s="5" t="inlineStr"/>
    </row>
    <row r="1755">
      <c r="A1755" s="5" t="inlineStr">
        <is>
          <t>kriz-9</t>
        </is>
      </c>
      <c r="B1755" s="5" t="n">
        <v>4</v>
      </c>
      <c r="C1755" s="6" t="inlineStr">
        <is>
          <t>Kendi girişimini kur</t>
        </is>
      </c>
      <c r="D1755" s="5" t="inlineStr">
        <is>
          <t>Cesaret</t>
        </is>
      </c>
      <c r="E1755" s="5" t="inlineStr">
        <is>
          <t>Zor</t>
        </is>
      </c>
      <c r="F1755" s="5" t="inlineStr"/>
      <c r="G1755" s="6" t="inlineStr"/>
      <c r="H1755" s="6" t="inlineStr">
        <is>
          <t>Bir fikir, bir sunum, bir kafe masası. Şirketin kuruldu. Yaşın kimseyi ilgilendirmedi; tecrüben herkesi ilgilendirdi.</t>
        </is>
      </c>
      <c r="I1755" s="6" t="inlineStr">
        <is>
          <t>İlk sunumda bir yatırımcı “Sizin gibi tecrübeli birini arıyorduk” dedi. Kriz, özgeçmişinin en iyi satırı oldu.</t>
        </is>
      </c>
      <c r="J1755" s="6" t="inlineStr">
        <is>
          <t>Fikrin güzeldi, zamanlaman değil. Eski işine döndün; fikir çekmecede bekliyor.</t>
        </is>
      </c>
      <c r="K1755" s="6" t="inlineStr">
        <is>
          <t>Şirketi kurdun, ilk hafta ortağın fikrinle birlikte ortadan kayboldu. Eski işine döndün; bir de avukatın var artık.</t>
        </is>
      </c>
      <c r="L1755" s="6" t="inlineStr"/>
      <c r="M1755" s="5" t="inlineStr"/>
      <c r="N1755" s="5" t="inlineStr"/>
      <c r="O1755" s="6" t="inlineStr"/>
      <c r="P1755" s="6" t="inlineStr"/>
      <c r="Q1755" s="5" t="inlineStr"/>
      <c r="R1755" s="5" t="inlineStr"/>
      <c r="S1755" s="5" t="inlineStr"/>
      <c r="T1755" s="5" t="inlineStr"/>
      <c r="U1755" s="5" t="inlineStr"/>
      <c r="V1755" s="5" t="inlineStr">
        <is>
          <t>-hat-cete, -hat-dolandirici, -hat-goc, -hat-hekim, -hat-koy, -hat-polis, -hat-politika, -hat-sohret, -hat-usta, -hat-yargi, -meslek-beyazyaka, -meslek-esnaf, -meslek-memur, hat-girisimci, meslek-serbest</t>
        </is>
      </c>
      <c r="W1755" s="5" t="inlineStr"/>
      <c r="X1755" s="5" t="inlineStr"/>
      <c r="Y1755" s="5" t="inlineStr"/>
      <c r="Z1755" s="6" t="inlineStr"/>
      <c r="AA1755" s="5" t="inlineStr"/>
      <c r="AB1755" s="5" t="inlineStr"/>
      <c r="AC1755" s="5" t="inlineStr"/>
      <c r="AD1755" s="5" t="inlineStr"/>
      <c r="AE1755" s="5" t="inlineStr"/>
      <c r="AF1755" s="5" t="inlineStr"/>
      <c r="AG1755" s="5" t="inlineStr">
        <is>
          <t>hat-girisimci</t>
        </is>
      </c>
      <c r="AH1755" s="5" t="inlineStr"/>
      <c r="AI1755" s="5" t="inlineStr"/>
      <c r="AJ1755" s="5" t="inlineStr"/>
    </row>
    <row r="1756">
      <c r="A1756" s="5" t="inlineStr">
        <is>
          <t>kriz-9</t>
        </is>
      </c>
      <c r="B1756" s="5" t="n">
        <v>5</v>
      </c>
      <c r="C1756" s="6" t="inlineStr">
        <is>
          <t>Eski bir tanıdığın “ufak işine” gir</t>
        </is>
      </c>
      <c r="D1756" s="5" t="inlineStr">
        <is>
          <t>Cesaret</t>
        </is>
      </c>
      <c r="E1756" s="5" t="inlineStr">
        <is>
          <t>Zor</t>
        </is>
      </c>
      <c r="F1756" s="5" t="inlineStr"/>
      <c r="G1756" s="6" t="inlineStr"/>
      <c r="H1756" s="6" t="inlineStr">
        <is>
          <t>Bir telefon açtın, ertesi gün bir dükkânın başındaydın. Kasa hep dolu; nereden dolduğunu sormamak da işin parçası.</t>
        </is>
      </c>
      <c r="I1756" s="6" t="inlineStr">
        <is>
          <t>Yeni işinde hızla yükseldin. Çay ocağındaki genç çayını sormadan getiriyor, kapıdakiler sen girince ayağa kalkıyor. Bu saygının ağırlığını ilk kez omzunda hissettin.</t>
        </is>
      </c>
      <c r="J1756" s="6" t="inlineStr">
        <is>
          <t>Telefonu açtılar ama 'Sen bu işlere göre değilsin' dediler. Belki de haklıydılar; eski işine döndün.</t>
        </is>
      </c>
      <c r="K1756" s="6" t="inlineStr">
        <is>
          <t>Telefonu yanlış kişiye açtın; komiser çıktı. Bir sohbet oldu, bir tutanak oldu. Eski işine döndün; bir dosyan var artık.</t>
        </is>
      </c>
      <c r="L1756" s="6" t="inlineStr"/>
      <c r="M1756" s="5" t="inlineStr"/>
      <c r="N1756" s="5" t="inlineStr"/>
      <c r="O1756" s="6" t="inlineStr"/>
      <c r="P1756" s="6" t="inlineStr"/>
      <c r="Q1756" s="5" t="inlineStr"/>
      <c r="R1756" s="5" t="inlineStr"/>
      <c r="S1756" s="5" t="inlineStr"/>
      <c r="T1756" s="5" t="inlineStr"/>
      <c r="U1756" s="5" t="inlineStr"/>
      <c r="V1756" s="5" t="inlineStr">
        <is>
          <t>-hat-dolandirici, -hat-girisimci, -hat-goc, -hat-hekim, -hat-koy, -hat-polis, -hat-politika, -hat-sohret, -hat-usta, -hat-yargi, -meslek-beyazyaka, -meslek-memur, -meslek-serbest, hat-cete, meslek-esnaf</t>
        </is>
      </c>
      <c r="W1756" s="5" t="inlineStr"/>
      <c r="X1756" s="5" t="inlineStr"/>
      <c r="Y1756" s="5" t="inlineStr"/>
      <c r="Z1756" s="6" t="inlineStr"/>
      <c r="AA1756" s="5" t="inlineStr">
        <is>
          <t>hepsi -1</t>
        </is>
      </c>
      <c r="AB1756" s="5" t="inlineStr"/>
      <c r="AC1756" s="5" t="inlineStr"/>
      <c r="AD1756" s="5" t="inlineStr"/>
      <c r="AE1756" s="5" t="inlineStr"/>
      <c r="AF1756" s="5" t="inlineStr"/>
      <c r="AG1756" s="5" t="inlineStr">
        <is>
          <t>hat-cete</t>
        </is>
      </c>
      <c r="AH1756" s="5" t="inlineStr"/>
      <c r="AI1756" s="5" t="inlineStr"/>
      <c r="AJ1756" s="5" t="inlineStr"/>
    </row>
    <row r="1757">
      <c r="A1757" s="5" t="inlineStr">
        <is>
          <t>kriz-9</t>
        </is>
      </c>
      <c r="B1757" s="5" t="n">
        <v>6</v>
      </c>
      <c r="C1757" s="6" t="inlineStr">
        <is>
          <t>Emekli yatırım kulübüne üye topla</t>
        </is>
      </c>
      <c r="D1757" s="5" t="inlineStr">
        <is>
          <t>Kurnazlık</t>
        </is>
      </c>
      <c r="E1757" s="5" t="inlineStr">
        <is>
          <t>Zor</t>
        </is>
      </c>
      <c r="F1757" s="5" t="inlineStr"/>
      <c r="G1757" s="6" t="inlineStr"/>
      <c r="H1757" s="6" t="inlineStr">
        <is>
          <t>Bir ilan, üç telefon, bir sunum. Para geldi; nereden geldiğini sormamaya karar verdin. Vicdanın da sormadı; şimdilik.</t>
        </is>
      </c>
      <c r="I1757" s="6" t="inlineStr">
        <is>
          <t>Öyle hızlı büyüdün ki bir ay içinde kendi seminerini veriyordun. Salon doluydu; arka sırada vicdanın oturuyordu.</t>
        </is>
      </c>
      <c r="J1757" s="6" t="inlineStr">
        <is>
          <t>İlanın ilk cevabını veren kişi bir dolandırıcıydı. Seni dolandırmaya çalıştı; ikiniz de vazgeçtiniz.</t>
        </is>
      </c>
      <c r="K1757" s="6" t="inlineStr">
        <is>
          <t>İlk “fırsatı” yakından inceleyince kendini bir tüketici programında buldun. Adın yok, sesin var.</t>
        </is>
      </c>
      <c r="L1757" s="6" t="inlineStr"/>
      <c r="M1757" s="5" t="inlineStr"/>
      <c r="N1757" s="5" t="inlineStr"/>
      <c r="O1757" s="6" t="inlineStr"/>
      <c r="P1757" s="6" t="inlineStr"/>
      <c r="Q1757" s="5" t="inlineStr"/>
      <c r="R1757" s="5" t="inlineStr"/>
      <c r="S1757" s="5" t="inlineStr"/>
      <c r="T1757" s="5" t="inlineStr"/>
      <c r="U1757" s="5" t="inlineStr"/>
      <c r="V1757" s="5" t="inlineStr">
        <is>
          <t>-hat-cete, -hat-girisimci, -hat-goc, -hat-hekim, -hat-koy, -hat-polis, -hat-politika, -hat-sohret, -hat-usta, -hat-yargi, -meslek-beyazyaka, -meslek-esnaf, -meslek-memur, hat-dolandirici, meslek-serbest</t>
        </is>
      </c>
      <c r="W1757" s="5" t="inlineStr"/>
      <c r="X1757" s="5" t="inlineStr"/>
      <c r="Y1757" s="5" t="inlineStr"/>
      <c r="Z1757" s="6" t="inlineStr"/>
      <c r="AA1757" s="5" t="inlineStr">
        <is>
          <t>hepsi -1</t>
        </is>
      </c>
      <c r="AB1757" s="5" t="inlineStr"/>
      <c r="AC1757" s="5" t="inlineStr"/>
      <c r="AD1757" s="5" t="inlineStr"/>
      <c r="AE1757" s="5" t="inlineStr"/>
      <c r="AF1757" s="5" t="inlineStr"/>
      <c r="AG1757" s="5" t="inlineStr">
        <is>
          <t>hat-dolandirici</t>
        </is>
      </c>
      <c r="AH1757" s="5" t="inlineStr"/>
      <c r="AI1757" s="5" t="inlineStr"/>
      <c r="AJ1757" s="5" t="inlineStr"/>
    </row>
    <row r="1758">
      <c r="A1758" s="5" t="inlineStr">
        <is>
          <t>b8-orta-yas</t>
        </is>
      </c>
      <c r="B1758" s="5" t="n">
        <v>1</v>
      </c>
      <c r="C1758" s="6" t="inlineStr">
        <is>
          <t>Hiçbir şey olmamış gibi devam et</t>
        </is>
      </c>
      <c r="D1758" s="5" t="inlineStr"/>
      <c r="E1758" s="5" t="inlineStr"/>
      <c r="F1758" s="5" t="inlineStr">
        <is>
          <t>Dayanıklılık +1</t>
        </is>
      </c>
      <c r="G1758" s="6" t="inlineStr">
        <is>
          <t>Orta yaş krizini sessizce atlattın. Sadece bir kez, markette, indirimli portakalların önünde ağladın.</t>
        </is>
      </c>
      <c r="H1758" s="6" t="inlineStr"/>
      <c r="I1758" s="6" t="inlineStr"/>
      <c r="J1758" s="6" t="inlineStr"/>
      <c r="K1758" s="6" t="inlineStr"/>
      <c r="L1758" s="6" t="inlineStr"/>
      <c r="M1758" s="5" t="inlineStr"/>
      <c r="N1758" s="5" t="inlineStr"/>
      <c r="O1758" s="6" t="inlineStr"/>
      <c r="P1758" s="6" t="inlineStr"/>
      <c r="Q1758" s="5" t="inlineStr"/>
      <c r="R1758" s="5" t="inlineStr"/>
      <c r="S1758" s="5" t="inlineStr"/>
      <c r="T1758" s="5" t="inlineStr"/>
      <c r="U1758" s="5" t="inlineStr"/>
      <c r="V1758" s="5" t="inlineStr"/>
      <c r="W1758" s="5" t="inlineStr"/>
      <c r="X1758" s="5" t="inlineStr"/>
      <c r="Y1758" s="5" t="inlineStr"/>
      <c r="Z1758" s="6" t="inlineStr"/>
      <c r="AA1758" s="5" t="inlineStr"/>
      <c r="AB1758" s="5" t="inlineStr"/>
      <c r="AC1758" s="5" t="inlineStr"/>
      <c r="AD1758" s="5" t="inlineStr"/>
      <c r="AE1758" s="5" t="inlineStr"/>
      <c r="AF1758" s="5" t="inlineStr"/>
      <c r="AG1758" s="5" t="inlineStr"/>
      <c r="AH1758" s="5" t="inlineStr"/>
      <c r="AI1758" s="5" t="inlineStr"/>
      <c r="AJ1758" s="5" t="inlineStr"/>
    </row>
    <row r="1759">
      <c r="A1759" s="5" t="inlineStr">
        <is>
          <t>b8-orta-yas</t>
        </is>
      </c>
      <c r="B1759" s="5" t="n">
        <v>2</v>
      </c>
      <c r="C1759" s="6" t="inlineStr">
        <is>
          <t>Her şeyi bırak, köye dön</t>
        </is>
      </c>
      <c r="D1759" s="5" t="inlineStr">
        <is>
          <t>Cesaret</t>
        </is>
      </c>
      <c r="E1759" s="5" t="inlineStr">
        <is>
          <t>Zor</t>
        </is>
      </c>
      <c r="F1759" s="5" t="inlineStr"/>
      <c r="G1759" s="6" t="inlineStr"/>
      <c r="H1759" s="6" t="inlineStr">
        <is>
          <t>Kırk dördünde köye taşındın. İlk hafta bir keçi seni kovaladı; köylülere göre bu bir kabul töreniydi.</t>
        </is>
      </c>
      <c r="I1759" s="6" t="inlineStr">
        <is>
          <t>Köye taşındığın hafta muhtar seni kahveye çağırdı, ikinci hafta kooperatife. Köy seni şehirden daha çabuk sevdi.</t>
        </is>
      </c>
      <c r="J1759" s="6" t="inlineStr">
        <is>
          <t>Valizleri topladın, otogara kadar gittin, bilet kuyruğunda bir saat bekledin. Sonra eve döndün; valizler hâlâ kapının önünde.</t>
        </is>
      </c>
      <c r="K1759" s="6" t="inlineStr">
        <is>
          <t>Köye gittin; dedenin evinin çatısı yoktu, tarlası da başkasınındı. Bir hafta sonra şehre, eski işine döndün; biraz güneşlenmiş olarak.</t>
        </is>
      </c>
      <c r="L1759" s="6" t="inlineStr"/>
      <c r="M1759" s="5" t="inlineStr"/>
      <c r="N1759" s="5" t="inlineStr"/>
      <c r="O1759" s="6" t="inlineStr"/>
      <c r="P1759" s="6" t="inlineStr"/>
      <c r="Q1759" s="5" t="inlineStr"/>
      <c r="R1759" s="5" t="inlineStr"/>
      <c r="S1759" s="5" t="inlineStr"/>
      <c r="T1759" s="5" t="inlineStr"/>
      <c r="U1759" s="5" t="inlineStr"/>
      <c r="V1759" s="5" t="inlineStr">
        <is>
          <t>-hat-cete, -hat-dolandirici, -hat-girisimci, -hat-goc, -hat-hekim, -hat-polis, -hat-politika, -hat-sohret, -hat-usta, -hat-yargi, -meslek-beyazyaka, -meslek-memur, -meslek-serbest, hat-koy, meslek-esnaf</t>
        </is>
      </c>
      <c r="W1759" s="5" t="inlineStr"/>
      <c r="X1759" s="5" t="inlineStr"/>
      <c r="Y1759" s="5" t="inlineStr"/>
      <c r="Z1759" s="6" t="inlineStr"/>
      <c r="AA1759" s="5" t="inlineStr">
        <is>
          <t>Yalçın +1, Şen +1, Tan -1, Varlı -1</t>
        </is>
      </c>
      <c r="AB1759" s="5" t="inlineStr"/>
      <c r="AC1759" s="5" t="inlineStr"/>
      <c r="AD1759" s="5" t="inlineStr"/>
      <c r="AE1759" s="5" t="inlineStr"/>
      <c r="AF1759" s="5" t="inlineStr"/>
      <c r="AG1759" s="5" t="inlineStr">
        <is>
          <t>hat-koy</t>
        </is>
      </c>
      <c r="AH1759" s="5" t="inlineStr"/>
      <c r="AI1759" s="5" t="inlineStr"/>
      <c r="AJ1759" s="5" t="inlineStr"/>
    </row>
    <row r="1760">
      <c r="A1760" s="5" t="inlineStr">
        <is>
          <t>b8-orta-yas</t>
        </is>
      </c>
      <c r="B1760" s="5" t="n">
        <v>3</v>
      </c>
      <c r="C1760" s="6" t="inlineStr">
        <is>
          <t>Motosiklet al, saçını uzat</t>
        </is>
      </c>
      <c r="D1760" s="5" t="inlineStr"/>
      <c r="E1760" s="5" t="inlineStr"/>
      <c r="F1760" s="5" t="inlineStr">
        <is>
          <t>Cesaret +1, Pişkinlik +1</t>
        </is>
      </c>
      <c r="G1760" s="6" t="inlineStr">
        <is>
          <t>Motosikleti aldın, saçını uzatmaya karar verdin. Motosiklet geldi; saç gelmedi. Kaskın altında kimse fark etmiyor.</t>
        </is>
      </c>
      <c r="H1760" s="6" t="inlineStr"/>
      <c r="I1760" s="6" t="inlineStr"/>
      <c r="J1760" s="6" t="inlineStr"/>
      <c r="K1760" s="6" t="inlineStr"/>
      <c r="L1760" s="6" t="inlineStr"/>
      <c r="M1760" s="5" t="inlineStr"/>
      <c r="N1760" s="5" t="inlineStr"/>
      <c r="O1760" s="6" t="inlineStr"/>
      <c r="P1760" s="6" t="inlineStr"/>
      <c r="Q1760" s="5" t="inlineStr"/>
      <c r="R1760" s="5" t="inlineStr"/>
      <c r="S1760" s="5" t="inlineStr"/>
      <c r="T1760" s="5" t="inlineStr"/>
      <c r="U1760" s="5" t="inlineStr">
        <is>
          <t>motosikletli</t>
        </is>
      </c>
      <c r="V1760" s="5" t="inlineStr"/>
      <c r="W1760" s="5" t="inlineStr"/>
      <c r="X1760" s="5" t="inlineStr"/>
      <c r="Y1760" s="5" t="inlineStr"/>
      <c r="Z1760" s="6" t="inlineStr"/>
      <c r="AA1760" s="5" t="inlineStr"/>
      <c r="AB1760" s="5" t="inlineStr"/>
      <c r="AC1760" s="5" t="inlineStr">
        <is>
          <t>Orta</t>
        </is>
      </c>
      <c r="AD1760" s="5" t="inlineStr"/>
      <c r="AE1760" s="5" t="inlineStr"/>
      <c r="AF1760" s="5" t="inlineStr"/>
      <c r="AG1760" s="5" t="inlineStr">
        <is>
          <t>evli</t>
        </is>
      </c>
      <c r="AH1760" s="5" t="inlineStr"/>
      <c r="AI1760" s="5" t="inlineStr"/>
      <c r="AJ1760" s="5" t="inlineStr"/>
    </row>
    <row r="1761">
      <c r="A1761" s="5" t="inlineStr">
        <is>
          <t>b8-orta-yas</t>
        </is>
      </c>
      <c r="B1761" s="5" t="n">
        <v>4</v>
      </c>
      <c r="C1761" s="6" t="inlineStr">
        <is>
          <t>Motosiklet al, eşine sonra söyle</t>
        </is>
      </c>
      <c r="D1761" s="5" t="inlineStr">
        <is>
          <t>Pişkinlik</t>
        </is>
      </c>
      <c r="E1761" s="5" t="inlineStr">
        <is>
          <t>Zor</t>
        </is>
      </c>
      <c r="F1761" s="5" t="inlineStr"/>
      <c r="G1761" s="6" t="inlineStr"/>
      <c r="H1761" s="6" t="inlineStr">
        <is>
          <t>Motosikleti eve getirdin. Eşin önce güldü, sonra kaskı aldı, sonra arkana bindi. Pazar sabahları artık sahil yolundasınız.</t>
        </is>
      </c>
      <c r="I1761" s="6" t="inlineStr">
        <is>
          <t>Eşin motosikleti öyle sevdi ki ehliyet kursuna yazıldı. Şimdi iki motosikletiniz var; biri onun, daha büyüğü.</t>
        </is>
      </c>
      <c r="J1761" s="6" t="inlineStr">
        <is>
          <t>Eşin motosikleti gördü ve hiçbir şey demedi. İki hafta boyunca hiçbir şey demedi. Motosikleti sattın.</t>
        </is>
      </c>
      <c r="K1761" s="6" t="inlineStr">
        <is>
          <t>Eşin motosikleti gördü, sonra seni, sonra bir avukatı aradı. Motosiklet sende kaldı; ev onda.</t>
        </is>
      </c>
      <c r="L1761" s="6" t="inlineStr"/>
      <c r="M1761" s="5" t="inlineStr"/>
      <c r="N1761" s="5" t="inlineStr"/>
      <c r="O1761" s="6" t="inlineStr"/>
      <c r="P1761" s="6" t="inlineStr"/>
      <c r="Q1761" s="5" t="inlineStr"/>
      <c r="R1761" s="5" t="inlineStr">
        <is>
          <t>evli</t>
        </is>
      </c>
      <c r="S1761" s="5" t="inlineStr"/>
      <c r="T1761" s="5" t="inlineStr"/>
      <c r="U1761" s="5" t="inlineStr"/>
      <c r="V1761" s="5" t="inlineStr">
        <is>
          <t>motosikletli</t>
        </is>
      </c>
      <c r="W1761" s="5" t="inlineStr">
        <is>
          <t>-evli, bosandi</t>
        </is>
      </c>
      <c r="X1761" s="5" t="inlineStr"/>
      <c r="Y1761" s="5" t="n">
        <v>3</v>
      </c>
      <c r="Z1761" s="6" t="inlineStr">
        <is>
          <t>Motosikletle çıkan ilk gece turunun ilk virajında. Eşi “Ben söylemiştim” diyemedi; telefon hâlâ sessizde.</t>
        </is>
      </c>
      <c r="AA1761" s="5" t="inlineStr"/>
      <c r="AB1761" s="5" t="inlineStr"/>
      <c r="AC1761" s="5" t="inlineStr">
        <is>
          <t>Orta</t>
        </is>
      </c>
      <c r="AD1761" s="5" t="inlineStr"/>
      <c r="AE1761" s="5" t="inlineStr"/>
      <c r="AF1761" s="5" t="inlineStr"/>
      <c r="AG1761" s="5" t="inlineStr"/>
      <c r="AH1761" s="5" t="inlineStr"/>
      <c r="AI1761" s="5" t="inlineStr"/>
      <c r="AJ1761" s="5" t="inlineStr"/>
    </row>
    <row r="1762">
      <c r="A1762" s="5" t="inlineStr">
        <is>
          <t>b8-orta-yas</t>
        </is>
      </c>
      <c r="B1762" s="5" t="n">
        <v>5</v>
      </c>
      <c r="C1762" s="6" t="inlineStr">
        <is>
          <t>Müdürlüğe son bir kez oyna</t>
        </is>
      </c>
      <c r="D1762" s="5" t="inlineStr">
        <is>
          <t>Dayanıklılık</t>
        </is>
      </c>
      <c r="E1762" s="5" t="inlineStr">
        <is>
          <t>Zor</t>
        </is>
      </c>
      <c r="F1762" s="5" t="inlineStr"/>
      <c r="G1762" s="6" t="inlineStr"/>
      <c r="H1762" s="6" t="inlineStr">
        <is>
          <t>Müdür oldun. Kapına “Lütfen kapıyı çalınız” yazısı asıldı; ilk çalan, eski müdürün.</t>
        </is>
      </c>
      <c r="I1762" s="6" t="inlineStr">
        <is>
          <t>Genel müdürlüğe çağrıldın. Yeni masanda üç telefon var; biri hiç çalmıyor, sadece duruyor.</t>
        </is>
      </c>
      <c r="J1762" s="6" t="inlineStr">
        <is>
          <t>Müdürlük mülakatında yirmi yıllık tecrüben tek bir çoktan seçmeli soruya sığmadı. Masan yerinde kaldı; çayın da.</t>
        </is>
      </c>
      <c r="K1762" s="6" t="inlineStr">
        <is>
          <t>Terfi dilekçeni yanlış birime verdin. Üç ay sonra dilekçe sana geri geldi, üstünde “Gereği için” yazıyordu. Kendi terfini kendin reddettin; mevzuat öyle diyor.</t>
        </is>
      </c>
      <c r="L1762" s="6" t="inlineStr"/>
      <c r="M1762" s="5" t="inlineStr"/>
      <c r="N1762" s="5" t="inlineStr"/>
      <c r="O1762" s="6" t="inlineStr"/>
      <c r="P1762" s="6" t="inlineStr"/>
      <c r="Q1762" s="5" t="inlineStr"/>
      <c r="R1762" s="5" t="inlineStr">
        <is>
          <t>meslek-memur</t>
        </is>
      </c>
      <c r="S1762" s="5" t="inlineStr"/>
      <c r="T1762" s="5" t="inlineStr"/>
      <c r="U1762" s="5" t="inlineStr"/>
      <c r="V1762" s="5" t="inlineStr">
        <is>
          <t>zirve</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hat-polis, hat-yargi, hat-hekim, memur-terfi</t>
        </is>
      </c>
      <c r="AH1762" s="5" t="inlineStr"/>
      <c r="AI1762" s="5" t="inlineStr"/>
      <c r="AJ1762" s="5" t="inlineStr"/>
    </row>
    <row r="1763">
      <c r="A1763" s="5" t="inlineStr">
        <is>
          <t>b8-orta-yas</t>
        </is>
      </c>
      <c r="B1763" s="5" t="n">
        <v>6</v>
      </c>
      <c r="C1763" s="6" t="inlineStr">
        <is>
          <t>Direktörlüğe son bir kez oyna</t>
        </is>
      </c>
      <c r="D1763" s="5" t="inlineStr">
        <is>
          <t>Akıl</t>
        </is>
      </c>
      <c r="E1763" s="5" t="inlineStr">
        <is>
          <t>Zor</t>
        </is>
      </c>
      <c r="F1763" s="5" t="inlineStr"/>
      <c r="G1763" s="6" t="inlineStr"/>
      <c r="H1763" s="6" t="inlineStr">
        <is>
          <t>Direktör oldun. Takviminde tek boş saat kendi doğum günün; o da “belki” olarak işaretli.</t>
        </is>
      </c>
      <c r="I1763" s="6" t="inlineStr">
        <is>
          <t>Yönetim kuruluna girdin. Kartvizitini annene verdin; çerçeveletip vitrinde kristal şekerliğin yanına koydu.</t>
        </is>
      </c>
      <c r="J1763" s="6" t="inlineStr">
        <is>
          <t>Direktörlük otuz yaşındaki bir “yetenek”e gitti. Sen ona sunum yapmayı öğretiyorsun.</t>
        </is>
      </c>
      <c r="K1763" s="6" t="inlineStr">
        <is>
          <t>Terfi sunumunu bitirdin, “Sorusu olan?” dedin. Genel müdür elini kaldırdı: “Siz hangi birimdeydiniz?” Yirmi iki yıldır aynı kattasın.</t>
        </is>
      </c>
      <c r="L1763" s="6" t="inlineStr"/>
      <c r="M1763" s="5" t="inlineStr"/>
      <c r="N1763" s="5" t="inlineStr"/>
      <c r="O1763" s="6" t="inlineStr"/>
      <c r="P1763" s="6" t="inlineStr"/>
      <c r="Q1763" s="5" t="inlineStr"/>
      <c r="R1763" s="5" t="inlineStr">
        <is>
          <t>meslek-beyazyaka</t>
        </is>
      </c>
      <c r="S1763" s="5" t="inlineStr"/>
      <c r="T1763" s="5" t="inlineStr"/>
      <c r="U1763" s="5" t="inlineStr"/>
      <c r="V1763" s="5" t="inlineStr">
        <is>
          <t>zirve</t>
        </is>
      </c>
      <c r="W1763" s="5" t="inlineStr"/>
      <c r="X1763" s="5" t="inlineStr"/>
      <c r="Y1763" s="5" t="inlineStr"/>
      <c r="Z1763" s="6" t="inlineStr"/>
      <c r="AA1763" s="5" t="inlineStr"/>
      <c r="AB1763" s="5" t="inlineStr"/>
      <c r="AC1763" s="5" t="inlineStr"/>
      <c r="AD1763" s="5" t="inlineStr">
        <is>
          <t>Rahat</t>
        </is>
      </c>
      <c r="AE1763" s="5" t="inlineStr"/>
      <c r="AF1763" s="5" t="inlineStr"/>
      <c r="AG1763" s="5" t="inlineStr">
        <is>
          <t>hat-goc</t>
        </is>
      </c>
      <c r="AH1763" s="5" t="inlineStr"/>
      <c r="AI1763" s="5" t="inlineStr"/>
      <c r="AJ1763" s="5" t="inlineStr"/>
      <c r="AL1763" t="n">
        <v>1</v>
      </c>
    </row>
    <row r="1764">
      <c r="A1764" s="5" t="inlineStr">
        <is>
          <t>b8-orta-yas</t>
        </is>
      </c>
      <c r="B1764" s="5" t="n">
        <v>7</v>
      </c>
      <c r="C1764" s="6" t="inlineStr">
        <is>
          <t>Çarşı başkanlığına oyna</t>
        </is>
      </c>
      <c r="D1764" s="5" t="inlineStr">
        <is>
          <t>Çene</t>
        </is>
      </c>
      <c r="E1764" s="5" t="inlineStr">
        <is>
          <t>Zor</t>
        </is>
      </c>
      <c r="F1764" s="5" t="inlineStr"/>
      <c r="G1764" s="6" t="inlineStr"/>
      <c r="H1764" s="6" t="inlineStr">
        <is>
          <t>Çarşı derneği başkanı oldun. Senin onayın olmadan kimse tabela asamıyor.</t>
        </is>
      </c>
      <c r="I1764" s="6" t="inlineStr">
        <is>
          <t>Çarşı gayriresmî olarak senin adınla anılıyor. Belediye tabelayı değiştirmeyi ciddi ciddi düşünüyor.</t>
        </is>
      </c>
      <c r="J1764" s="6" t="inlineStr">
        <is>
          <t>Dernek seçimini karşı dükkân bir oy farkla kazandı. O oy, senin çırağınındı.</t>
        </is>
      </c>
      <c r="K1764" s="6" t="inlineStr">
        <is>
          <t>Seçim günü kepenk kapandı, içeride kaldın, oy kullanamadın. Fark bir oydu.</t>
        </is>
      </c>
      <c r="L1764" s="6" t="inlineStr"/>
      <c r="M1764" s="5" t="inlineStr"/>
      <c r="N1764" s="5" t="inlineStr"/>
      <c r="O1764" s="6" t="inlineStr"/>
      <c r="P1764" s="6" t="inlineStr"/>
      <c r="Q1764" s="5" t="inlineStr"/>
      <c r="R1764" s="5" t="inlineStr">
        <is>
          <t>meslek-esnaf</t>
        </is>
      </c>
      <c r="S1764" s="5" t="inlineStr"/>
      <c r="T1764" s="5" t="inlineStr"/>
      <c r="U1764" s="5" t="inlineStr"/>
      <c r="V1764" s="5" t="inlineStr">
        <is>
          <t>zirve</t>
        </is>
      </c>
      <c r="W1764" s="5" t="inlineStr"/>
      <c r="X1764" s="5" t="inlineStr"/>
      <c r="Y1764" s="5" t="inlineStr"/>
      <c r="Z1764" s="6" t="inlineStr"/>
      <c r="AA1764" s="5" t="inlineStr"/>
      <c r="AB1764" s="5" t="inlineStr"/>
      <c r="AC1764" s="5" t="inlineStr"/>
      <c r="AD1764" s="5" t="inlineStr">
        <is>
          <t>Rahat</t>
        </is>
      </c>
      <c r="AE1764" s="5" t="inlineStr"/>
      <c r="AF1764" s="5" t="inlineStr"/>
      <c r="AG1764" s="5" t="inlineStr">
        <is>
          <t>hat-cete, hat-koy, hat-usta, esnaf-dernek-baskani</t>
        </is>
      </c>
      <c r="AH1764" s="5" t="inlineStr"/>
      <c r="AI1764" s="5" t="inlineStr"/>
      <c r="AJ1764" s="5" t="inlineStr"/>
    </row>
    <row r="1765">
      <c r="A1765" s="5" t="inlineStr">
        <is>
          <t>b8-orta-yas</t>
        </is>
      </c>
      <c r="B1765" s="5" t="n">
        <v>8</v>
      </c>
      <c r="C1765" s="6" t="inlineStr">
        <is>
          <t>Kendi ajansını kur</t>
        </is>
      </c>
      <c r="D1765" s="5" t="inlineStr">
        <is>
          <t>Pişkinlik</t>
        </is>
      </c>
      <c r="E1765" s="5" t="inlineStr">
        <is>
          <t>Zor</t>
        </is>
      </c>
      <c r="F1765" s="5" t="inlineStr"/>
      <c r="G1765" s="6" t="inlineStr"/>
      <c r="H1765" s="6" t="inlineStr">
        <is>
          <t>Kendi ajansını kurdun. Artık gece yarısı “Küçük bir revizyon” mesajını sen atıyorsun.</t>
        </is>
      </c>
      <c r="I1765" s="6" t="inlineStr">
        <is>
          <t>Ajansın büyüdü; eski müşterilerin artık seni kovalıyor, fatura için değil, randevu için.</t>
        </is>
      </c>
      <c r="J1765" s="6" t="inlineStr">
        <is>
          <t>Ajans planın bir sunumda kaldı. Sunum güzeldi; faturası hâlâ ödenmedi.</t>
        </is>
      </c>
      <c r="K1765" s="6" t="inlineStr">
        <is>
          <t>Ortağın müşterileri alıp gitti. Sana ajansın logosu kaldı; o da senin tasarımındı.</t>
        </is>
      </c>
      <c r="L1765" s="6" t="inlineStr"/>
      <c r="M1765" s="5" t="inlineStr"/>
      <c r="N1765" s="5" t="inlineStr"/>
      <c r="O1765" s="6" t="inlineStr"/>
      <c r="P1765" s="6" t="inlineStr"/>
      <c r="Q1765" s="5" t="inlineStr"/>
      <c r="R1765" s="5" t="inlineStr">
        <is>
          <t>meslek-serbest</t>
        </is>
      </c>
      <c r="S1765" s="5" t="inlineStr"/>
      <c r="T1765" s="5" t="inlineStr"/>
      <c r="U1765" s="5" t="inlineStr"/>
      <c r="V1765" s="5" t="inlineStr">
        <is>
          <t>zirve</t>
        </is>
      </c>
      <c r="W1765" s="5" t="inlineStr"/>
      <c r="X1765" s="5" t="inlineStr"/>
      <c r="Y1765" s="5" t="inlineStr"/>
      <c r="Z1765" s="6" t="inlineStr"/>
      <c r="AA1765" s="5" t="inlineStr"/>
      <c r="AB1765" s="5" t="inlineStr"/>
      <c r="AC1765" s="5" t="inlineStr"/>
      <c r="AD1765" s="5" t="inlineStr">
        <is>
          <t>Rahat</t>
        </is>
      </c>
      <c r="AE1765" s="5" t="inlineStr"/>
      <c r="AF1765" s="5" t="inlineStr"/>
      <c r="AG1765" s="5" t="inlineStr">
        <is>
          <t>hat-sohret, hat-dolandirici, hat-girisimci</t>
        </is>
      </c>
      <c r="AH1765" s="5" t="inlineStr"/>
      <c r="AI1765" s="5" t="inlineStr"/>
      <c r="AJ1765" s="5" t="inlineStr"/>
      <c r="AL1765" t="n">
        <v>1</v>
      </c>
    </row>
    <row r="1766">
      <c r="A1766" s="5" t="inlineStr">
        <is>
          <t>b8-orta-yas</t>
        </is>
      </c>
      <c r="B1766" s="5" t="n">
        <v>9</v>
      </c>
      <c r="C1766" s="6" t="inlineStr">
        <is>
          <t>Emniyet müdürlüğüne oyna</t>
        </is>
      </c>
      <c r="D1766" s="5" t="inlineStr">
        <is>
          <t>Cesaret</t>
        </is>
      </c>
      <c r="E1766" s="5" t="inlineStr">
        <is>
          <t>Zor</t>
        </is>
      </c>
      <c r="F1766" s="5" t="inlineStr"/>
      <c r="G1766" s="6" t="inlineStr"/>
      <c r="H1766" s="6" t="inlineStr">
        <is>
          <t>Emniyet müdürü oldun. İlk gün eski devriye arkadaşların kapıyı çalmadan girdi: “Müdürüm, çay var mı?” Vardı; sen koydun.</t>
        </is>
      </c>
      <c r="I1766" s="6" t="inlineStr">
        <is>
          <t>İlk gününde yirmi yıllık bir dosyayı kapattın: karakolun kayıp çaydanlığı. Bulundu; müdürün odasındaydı.</t>
        </is>
      </c>
      <c r="J1766" s="6" t="inlineStr">
        <is>
          <t>Müdürlük başka birine gitti. Masanda kalan tek terfi, yeni bir mühür.</t>
        </is>
      </c>
      <c r="K1766" s="6" t="inlineStr">
        <is>
          <t>Tören provasında selamı ters verdin; video herkese ulaştı. Terfi başka bahara.</t>
        </is>
      </c>
      <c r="L1766" s="6" t="inlineStr"/>
      <c r="M1766" s="5" t="inlineStr"/>
      <c r="N1766" s="5" t="inlineStr"/>
      <c r="O1766" s="6" t="inlineStr"/>
      <c r="P1766" s="6" t="inlineStr"/>
      <c r="Q1766" s="5" t="inlineStr"/>
      <c r="R1766" s="5" t="inlineStr">
        <is>
          <t>hat-polis</t>
        </is>
      </c>
      <c r="S1766" s="5" t="inlineStr"/>
      <c r="T1766" s="5" t="inlineStr"/>
      <c r="U1766" s="5" t="inlineStr"/>
      <c r="V1766" s="5" t="inlineStr">
        <is>
          <t>zirve</t>
        </is>
      </c>
      <c r="W1766" s="5" t="inlineStr"/>
      <c r="X1766" s="5" t="inlineStr"/>
      <c r="Y1766" s="5" t="inlineStr"/>
      <c r="Z1766" s="6" t="inlineStr"/>
      <c r="AA1766" s="5" t="inlineStr"/>
      <c r="AB1766" s="5" t="inlineStr"/>
      <c r="AC1766" s="5" t="inlineStr"/>
      <c r="AD1766" s="5" t="inlineStr">
        <is>
          <t>Rahat</t>
        </is>
      </c>
      <c r="AE1766" s="5" t="inlineStr"/>
      <c r="AF1766" s="5" t="inlineStr"/>
      <c r="AG1766" s="5" t="inlineStr">
        <is>
          <t>polis-mudur</t>
        </is>
      </c>
      <c r="AH1766" s="5" t="inlineStr"/>
      <c r="AI1766" s="5" t="inlineStr"/>
      <c r="AJ1766" s="5" t="inlineStr"/>
    </row>
    <row r="1767">
      <c r="A1767" s="5" t="inlineStr">
        <is>
          <t>b8-orta-yas</t>
        </is>
      </c>
      <c r="B1767" s="5" t="n">
        <v>10</v>
      </c>
      <c r="C1767" s="6" t="inlineStr">
        <is>
          <t>Yüksek mahkemeye oyna</t>
        </is>
      </c>
      <c r="D1767" s="5" t="inlineStr">
        <is>
          <t>Akıl</t>
        </is>
      </c>
      <c r="E1767" s="5" t="inlineStr">
        <is>
          <t>Zor</t>
        </is>
      </c>
      <c r="F1767" s="5" t="inlineStr"/>
      <c r="G1767" s="6" t="inlineStr"/>
      <c r="H1767" s="6" t="inlineStr">
        <is>
          <t>Yüksek mahkemeye seçildin. Cübben artık tam oturuyor; terzi haklıymış.</t>
        </is>
      </c>
      <c r="I1767" s="6" t="inlineStr">
        <is>
          <t>Yazdığın bir karar ders kitaplarına girdi. Öğrenciler senin cümlelerinle sınava giriyor; seni hâlâ tanımıyorlar.</t>
        </is>
      </c>
      <c r="J1767" s="6" t="inlineStr">
        <is>
          <t>Listede adın vardı, sonra yoktu. Kimse nedenini açıklamadı; gerekçeli karar da gelmedi.</t>
        </is>
      </c>
      <c r="K1767" s="6" t="inlineStr">
        <is>
          <t>Mülakatta farkında olmadan kendi eski kararını eleştirdin. Kurul çok güldü; seçmedi.</t>
        </is>
      </c>
      <c r="L1767" s="6" t="inlineStr"/>
      <c r="M1767" s="5" t="inlineStr"/>
      <c r="N1767" s="5" t="inlineStr"/>
      <c r="O1767" s="6" t="inlineStr"/>
      <c r="P1767" s="6" t="inlineStr"/>
      <c r="Q1767" s="5" t="inlineStr"/>
      <c r="R1767" s="5" t="inlineStr">
        <is>
          <t>hat-yargi</t>
        </is>
      </c>
      <c r="S1767" s="5" t="inlineStr"/>
      <c r="T1767" s="5" t="inlineStr"/>
      <c r="U1767" s="5" t="inlineStr"/>
      <c r="V1767" s="5" t="inlineStr">
        <is>
          <t>zirve</t>
        </is>
      </c>
      <c r="W1767" s="5" t="inlineStr"/>
      <c r="X1767" s="5" t="inlineStr"/>
      <c r="Y1767" s="5" t="inlineStr"/>
      <c r="Z1767" s="6" t="inlineStr"/>
      <c r="AA1767" s="5" t="inlineStr"/>
      <c r="AB1767" s="5" t="inlineStr"/>
      <c r="AC1767" s="5" t="inlineStr"/>
      <c r="AD1767" s="5" t="inlineStr">
        <is>
          <t>Rahat</t>
        </is>
      </c>
      <c r="AE1767" s="5" t="inlineStr"/>
      <c r="AF1767" s="5" t="inlineStr"/>
      <c r="AG1767" s="5" t="inlineStr">
        <is>
          <t>yargi-yuksek</t>
        </is>
      </c>
      <c r="AH1767" s="5" t="inlineStr"/>
      <c r="AI1767" s="5" t="inlineStr"/>
      <c r="AJ1767" s="5" t="inlineStr"/>
    </row>
    <row r="1768">
      <c r="A1768" s="5" t="inlineStr">
        <is>
          <t>b8-orta-yas</t>
        </is>
      </c>
      <c r="B1768" s="5" t="n">
        <v>11</v>
      </c>
      <c r="C1768" s="6" t="inlineStr">
        <is>
          <t>Profesörlüğe oyna</t>
        </is>
      </c>
      <c r="D1768" s="5" t="inlineStr">
        <is>
          <t>Akıl</t>
        </is>
      </c>
      <c r="E1768" s="5" t="inlineStr">
        <is>
          <t>Zor</t>
        </is>
      </c>
      <c r="F1768" s="5" t="inlineStr"/>
      <c r="G1768" s="6" t="inlineStr"/>
      <c r="H1768" s="6" t="inlineStr">
        <is>
          <t>Profesör oldun. Aile grubundaki teyzen artık seni “Hocam” diye etiketliyor; semptomlarla birlikte.</t>
        </is>
      </c>
      <c r="I1768" s="6" t="inlineStr">
        <is>
          <t>Adını taşıyan bir ameliyat tekniği var. Kimse doğru telaffuz edemiyor; herkes uyguluyor.</t>
        </is>
      </c>
      <c r="J1768" s="6" t="inlineStr">
        <is>
          <t>Profesörlük jürisi dosyanı bir yıl erteledi. Sen de bir yıl daha nöbet tuttun.</t>
        </is>
      </c>
      <c r="K1768" s="6" t="inlineStr">
        <is>
          <t>Jüri sunumunda slaytların yerine tatil fotoğrafların açıldı. Jüri denizi beğendi, dosyayı beğenmedi.</t>
        </is>
      </c>
      <c r="L1768" s="6" t="inlineStr"/>
      <c r="M1768" s="5" t="inlineStr"/>
      <c r="N1768" s="5" t="inlineStr"/>
      <c r="O1768" s="6" t="inlineStr"/>
      <c r="P1768" s="6" t="inlineStr"/>
      <c r="Q1768" s="5" t="inlineStr"/>
      <c r="R1768" s="5" t="inlineStr">
        <is>
          <t>hat-hekim</t>
        </is>
      </c>
      <c r="S1768" s="5" t="inlineStr"/>
      <c r="T1768" s="5" t="inlineStr"/>
      <c r="U1768" s="5" t="inlineStr"/>
      <c r="V1768" s="5" t="inlineStr">
        <is>
          <t>zirve</t>
        </is>
      </c>
      <c r="W1768" s="5" t="inlineStr"/>
      <c r="X1768" s="5" t="inlineStr"/>
      <c r="Y1768" s="5" t="inlineStr"/>
      <c r="Z1768" s="6" t="inlineStr"/>
      <c r="AA1768" s="5" t="inlineStr"/>
      <c r="AB1768" s="5" t="inlineStr"/>
      <c r="AC1768" s="5" t="inlineStr"/>
      <c r="AD1768" s="5" t="inlineStr">
        <is>
          <t>Rahat</t>
        </is>
      </c>
      <c r="AE1768" s="5" t="inlineStr"/>
      <c r="AF1768" s="5" t="inlineStr"/>
      <c r="AG1768" s="5" t="inlineStr">
        <is>
          <t>hekim-profesor</t>
        </is>
      </c>
      <c r="AH1768" s="5" t="inlineStr"/>
      <c r="AI1768" s="5" t="inlineStr"/>
      <c r="AJ1768" s="5" t="inlineStr"/>
    </row>
    <row r="1769">
      <c r="A1769" s="5" t="inlineStr">
        <is>
          <t>b8-orta-yas</t>
        </is>
      </c>
      <c r="B1769" s="5" t="n">
        <v>12</v>
      </c>
      <c r="C1769" s="6" t="inlineStr">
        <is>
          <t>Meclise girmeye oyna</t>
        </is>
      </c>
      <c r="D1769" s="5" t="inlineStr">
        <is>
          <t>Çene</t>
        </is>
      </c>
      <c r="E1769" s="5" t="inlineStr">
        <is>
          <t>Zor</t>
        </is>
      </c>
      <c r="F1769" s="5" t="inlineStr"/>
      <c r="G1769" s="6" t="inlineStr"/>
      <c r="H1769" s="6" t="inlineStr">
        <is>
          <t>Makarya Meclisi'ne girdin. İlk konuşmanda mikrofon kapalıydı; yine de alkış aldın.</t>
        </is>
      </c>
      <c r="I1769" s="6" t="inlineStr">
        <is>
          <t>İlk konuşman öyle yankı yaptı ki iki parti seni transfer etmek istedi. Birinin adını hâlâ bilmiyorsun.</t>
        </is>
      </c>
      <c r="J1769" s="6" t="inlineStr">
        <is>
          <t>Listede bir sıra aşağıdaydın. Bir oy fark etti; o oy senin de değildi, sandığa geç kaldın.</t>
        </is>
      </c>
      <c r="K1769" s="6" t="inlineStr">
        <is>
          <t>Mitingde rakibin sloganını söyledin. Kalabalık coştu; rakibin kazandı.</t>
        </is>
      </c>
      <c r="L1769" s="6" t="inlineStr"/>
      <c r="M1769" s="5" t="inlineStr"/>
      <c r="N1769" s="5" t="inlineStr"/>
      <c r="O1769" s="6" t="inlineStr"/>
      <c r="P1769" s="6" t="inlineStr"/>
      <c r="Q1769" s="5" t="inlineStr"/>
      <c r="R1769" s="5" t="inlineStr">
        <is>
          <t>hat-politika</t>
        </is>
      </c>
      <c r="S1769" s="5" t="inlineStr"/>
      <c r="T1769" s="5" t="inlineStr"/>
      <c r="U1769" s="5" t="inlineStr"/>
      <c r="V1769" s="5" t="inlineStr">
        <is>
          <t>zirve</t>
        </is>
      </c>
      <c r="W1769" s="5" t="inlineStr"/>
      <c r="X1769" s="5" t="inlineStr"/>
      <c r="Y1769" s="5" t="inlineStr"/>
      <c r="Z1769" s="6" t="inlineStr"/>
      <c r="AA1769" s="5" t="inlineStr"/>
      <c r="AB1769" s="5" t="inlineStr"/>
      <c r="AC1769" s="5" t="inlineStr"/>
      <c r="AD1769" s="5" t="inlineStr">
        <is>
          <t>Rahat</t>
        </is>
      </c>
      <c r="AE1769" s="5" t="inlineStr"/>
      <c r="AF1769" s="5" t="inlineStr"/>
      <c r="AG1769" s="5" t="inlineStr"/>
      <c r="AH1769" s="5" t="inlineStr"/>
      <c r="AI1769" s="5" t="inlineStr"/>
      <c r="AJ1769" s="5" t="inlineStr"/>
    </row>
    <row r="1770">
      <c r="A1770" s="5" t="inlineStr">
        <is>
          <t>b8-orta-yas</t>
        </is>
      </c>
      <c r="B1770" s="5" t="n">
        <v>13</v>
      </c>
      <c r="C1770" s="6" t="inlineStr">
        <is>
          <t>Semtin büyük masasına oyna</t>
        </is>
      </c>
      <c r="D1770" s="5" t="inlineStr">
        <is>
          <t>Cesaret</t>
        </is>
      </c>
      <c r="E1770" s="5" t="inlineStr">
        <is>
          <t>Zor</t>
        </is>
      </c>
      <c r="F1770" s="5" t="inlineStr"/>
      <c r="G1770" s="6" t="inlineStr"/>
      <c r="H1770" s="6" t="inlineStr">
        <is>
          <t>Semtin bütün kahveleri seni tanıyor. Düğünlerde takı sırası artık senden başlıyor.</t>
        </is>
      </c>
      <c r="I1770" s="6" t="inlineStr">
        <is>
          <t>Üç mahalle sana bağlandı. Belediye bile bir çukuru kapatmadan önce kahveye uğruyor.</t>
        </is>
      </c>
      <c r="J1770" s="6" t="inlineStr">
        <is>
          <t>Semtin büyük masası yaşlı bir abiye kaldı. Sen yine yanındasın; çayı sen koyuyorsun.</t>
        </is>
      </c>
      <c r="K1770" s="6" t="inlineStr">
        <is>
          <t>Toplantıda yanlış masaya oturdun: rakip abinin masasına. Üç ay kimse selamını almadı.</t>
        </is>
      </c>
      <c r="L1770" s="6" t="inlineStr"/>
      <c r="M1770" s="5" t="inlineStr"/>
      <c r="N1770" s="5" t="inlineStr"/>
      <c r="O1770" s="6" t="inlineStr"/>
      <c r="P1770" s="6" t="inlineStr"/>
      <c r="Q1770" s="5" t="inlineStr"/>
      <c r="R1770" s="5" t="inlineStr">
        <is>
          <t>hat-cete</t>
        </is>
      </c>
      <c r="S1770" s="5" t="inlineStr"/>
      <c r="T1770" s="5" t="inlineStr"/>
      <c r="U1770" s="5" t="inlineStr"/>
      <c r="V1770" s="5" t="inlineStr">
        <is>
          <t>zirve</t>
        </is>
      </c>
      <c r="W1770" s="5" t="inlineStr">
        <is>
          <t>hapis</t>
        </is>
      </c>
      <c r="X1770" s="5" t="inlineStr"/>
      <c r="Y1770" s="5" t="inlineStr"/>
      <c r="Z1770" s="6" t="inlineStr"/>
      <c r="AA1770" s="5" t="inlineStr"/>
      <c r="AB1770" s="5" t="inlineStr"/>
      <c r="AC1770" s="5" t="inlineStr"/>
      <c r="AD1770" s="5" t="inlineStr">
        <is>
          <t>Zengin</t>
        </is>
      </c>
      <c r="AE1770" s="5" t="inlineStr"/>
      <c r="AF1770" s="5" t="inlineStr"/>
      <c r="AG1770" s="5" t="inlineStr"/>
      <c r="AH1770" s="5" t="inlineStr"/>
      <c r="AI1770" s="5" t="inlineStr"/>
      <c r="AJ1770" s="5" t="inlineStr"/>
      <c r="AL1770" t="n">
        <v>1</v>
      </c>
    </row>
    <row r="1771">
      <c r="A1771" s="5" t="inlineStr">
        <is>
          <t>b8-orta-yas</t>
        </is>
      </c>
      <c r="B1771" s="5" t="n">
        <v>14</v>
      </c>
      <c r="C1771" s="6" t="inlineStr">
        <is>
          <t>Stadyum seminerine oyna</t>
        </is>
      </c>
      <c r="D1771" s="5" t="inlineStr">
        <is>
          <t>Kurnazlık</t>
        </is>
      </c>
      <c r="E1771" s="5" t="inlineStr">
        <is>
          <t>Zor</t>
        </is>
      </c>
      <c r="F1771" s="5" t="inlineStr"/>
      <c r="G1771" s="6" t="inlineStr"/>
      <c r="H1771" s="6" t="inlineStr">
        <is>
          <t>Yatırım kulübünün üye sayısı on bini geçti. Hiçbiri ne sattığını bilmiyor; sen de.</t>
        </is>
      </c>
      <c r="I1771" s="6" t="inlineStr">
        <is>
          <t>Seminerlerin artık stadyumda. Kapıda satılan kitabının adı “Kolay Para Yoktur.” En çok satan kitap.</t>
        </is>
      </c>
      <c r="J1771" s="6" t="inlineStr">
        <is>
          <t>Büyük seminer için tuttuğun salon boş kaldı. Katılan tek kişi iade istedi; hayatında ilk kez iade ettin.</t>
        </is>
      </c>
      <c r="K1771" s="6" t="inlineStr">
        <is>
          <t>Ön sırada oturan izleyici bir müfettişti. Sunumun ilk slaytında sohbet, ikincisinde tutanak başladı.</t>
        </is>
      </c>
      <c r="L1771" s="6" t="inlineStr"/>
      <c r="M1771" s="5" t="inlineStr"/>
      <c r="N1771" s="5" t="inlineStr"/>
      <c r="O1771" s="6" t="inlineStr"/>
      <c r="P1771" s="6" t="inlineStr"/>
      <c r="Q1771" s="5" t="inlineStr"/>
      <c r="R1771" s="5" t="inlineStr">
        <is>
          <t>hat-dolandirici</t>
        </is>
      </c>
      <c r="S1771" s="5" t="inlineStr"/>
      <c r="T1771" s="5" t="inlineStr"/>
      <c r="U1771" s="5" t="inlineStr"/>
      <c r="V1771" s="5" t="inlineStr">
        <is>
          <t>zirve</t>
        </is>
      </c>
      <c r="W1771" s="5" t="inlineStr">
        <is>
          <t>hapis</t>
        </is>
      </c>
      <c r="X1771" s="5" t="inlineStr"/>
      <c r="Y1771" s="5" t="inlineStr"/>
      <c r="Z1771" s="6" t="inlineStr"/>
      <c r="AA1771" s="5" t="inlineStr"/>
      <c r="AB1771" s="5" t="inlineStr"/>
      <c r="AC1771" s="5" t="inlineStr"/>
      <c r="AD1771" s="5" t="inlineStr">
        <is>
          <t>Zengin</t>
        </is>
      </c>
      <c r="AE1771" s="5" t="inlineStr"/>
      <c r="AF1771" s="5" t="inlineStr"/>
      <c r="AG1771" s="5" t="inlineStr"/>
      <c r="AH1771" s="5" t="inlineStr"/>
      <c r="AI1771" s="5" t="inlineStr"/>
      <c r="AJ1771" s="5" t="inlineStr"/>
      <c r="AL1771" t="n">
        <v>1</v>
      </c>
    </row>
    <row r="1772">
      <c r="A1772" s="5" t="inlineStr">
        <is>
          <t>b8-orta-yas</t>
        </is>
      </c>
      <c r="B1772" s="5" t="n">
        <v>15</v>
      </c>
      <c r="C1772" s="6" t="inlineStr">
        <is>
          <t>Yılın yüzü olmaya oyna</t>
        </is>
      </c>
      <c r="D1772" s="5" t="inlineStr">
        <is>
          <t>Pişkinlik</t>
        </is>
      </c>
      <c r="E1772" s="5" t="inlineStr">
        <is>
          <t>Zor</t>
        </is>
      </c>
      <c r="F1772" s="5" t="inlineStr"/>
      <c r="G1772" s="6" t="inlineStr"/>
      <c r="H1772" s="6" t="inlineStr">
        <is>
          <t>Yılın yüzü seçildin. Teşekkür listen annenden başlayıp kuaförünle bitti.</t>
        </is>
      </c>
      <c r="I1772" s="6" t="inlineStr">
        <is>
          <t>Bir balmumu heykelin yapıldı. Heykel senden genç duruyor; biraz kıskanıyorsun.</t>
        </is>
      </c>
      <c r="J1772" s="6" t="inlineStr">
        <is>
          <t>Ödül rakibine gitti. Sen alkışlarken kamera sana döndü; alkışın biraz kısa kaldı.</t>
        </is>
      </c>
      <c r="K1772" s="6" t="inlineStr">
        <is>
          <t>Ödül töreninde eski menajerine teşekkür ettin, yanlışlıkla. Menajer ertesi gün aradı; barıştınız, işin yok.</t>
        </is>
      </c>
      <c r="L1772" s="6" t="inlineStr"/>
      <c r="M1772" s="5" t="inlineStr"/>
      <c r="N1772" s="5" t="inlineStr"/>
      <c r="O1772" s="6" t="inlineStr"/>
      <c r="P1772" s="6" t="inlineStr"/>
      <c r="Q1772" s="5" t="inlineStr"/>
      <c r="R1772" s="5" t="inlineStr">
        <is>
          <t>hat-sohret</t>
        </is>
      </c>
      <c r="S1772" s="5" t="inlineStr"/>
      <c r="T1772" s="5" t="inlineStr"/>
      <c r="U1772" s="5" t="inlineStr"/>
      <c r="V1772" s="5" t="inlineStr">
        <is>
          <t>zirve</t>
        </is>
      </c>
      <c r="W1772" s="5" t="inlineStr"/>
      <c r="X1772" s="5" t="inlineStr"/>
      <c r="Y1772" s="5" t="inlineStr"/>
      <c r="Z1772" s="6" t="inlineStr"/>
      <c r="AA1772" s="5" t="inlineStr"/>
      <c r="AB1772" s="5" t="inlineStr"/>
      <c r="AC1772" s="5" t="inlineStr"/>
      <c r="AD1772" s="5" t="inlineStr">
        <is>
          <t>Zengin</t>
        </is>
      </c>
      <c r="AE1772" s="5" t="inlineStr"/>
      <c r="AF1772" s="5" t="inlineStr"/>
      <c r="AG1772" s="5" t="inlineStr"/>
      <c r="AH1772" s="5" t="inlineStr"/>
      <c r="AI1772" s="5" t="inlineStr"/>
      <c r="AJ1772" s="5" t="inlineStr"/>
    </row>
    <row r="1773">
      <c r="A1773" s="5" t="inlineStr">
        <is>
          <t>b8-orta-yas</t>
        </is>
      </c>
      <c r="B1773" s="5" t="n">
        <v>16</v>
      </c>
      <c r="C1773" s="6" t="inlineStr">
        <is>
          <t>Şirketi büyütmeye oyna</t>
        </is>
      </c>
      <c r="D1773" s="5" t="inlineStr">
        <is>
          <t>Akıl</t>
        </is>
      </c>
      <c r="E1773" s="5" t="inlineStr">
        <is>
          <t>Zor</t>
        </is>
      </c>
      <c r="F1773" s="5" t="inlineStr"/>
      <c r="G1773" s="6" t="inlineStr"/>
      <c r="H1773" s="6" t="inlineStr">
        <is>
          <t>Şirketin sektörünün en büyüğü oldu. Logoyu değiştirmek için üç ay toplantı yaptınız.</t>
        </is>
      </c>
      <c r="I1773" s="6" t="inlineStr">
        <is>
          <t>Şirketin halka açıldı. Annen hisse aldı; her sabah fiyatı sana soruyor.</t>
        </is>
      </c>
      <c r="J1773" s="6" t="inlineStr">
        <is>
          <t>Büyüme turu kapanmadı. Şirketin küçük ve kârlı kaldı; bu cümleyi yatırımcılara hâlâ anlatamıyorsun.</t>
        </is>
      </c>
      <c r="K1773" s="6" t="inlineStr">
        <is>
          <t>Büyük anlaşmanın imza gününde kalemi unuttun. Karşı taraf “Bu bir işaret” dedi ve kalktı.</t>
        </is>
      </c>
      <c r="L1773" s="6" t="inlineStr"/>
      <c r="M1773" s="5" t="inlineStr"/>
      <c r="N1773" s="5" t="inlineStr"/>
      <c r="O1773" s="6" t="inlineStr"/>
      <c r="P1773" s="6" t="inlineStr"/>
      <c r="Q1773" s="5" t="inlineStr"/>
      <c r="R1773" s="5" t="inlineStr">
        <is>
          <t>hat-girisimci</t>
        </is>
      </c>
      <c r="S1773" s="5" t="inlineStr"/>
      <c r="T1773" s="5" t="inlineStr"/>
      <c r="U1773" s="5" t="inlineStr"/>
      <c r="V1773" s="5" t="inlineStr">
        <is>
          <t>zirve</t>
        </is>
      </c>
      <c r="W1773" s="5" t="inlineStr"/>
      <c r="X1773" s="5" t="inlineStr"/>
      <c r="Y1773" s="5" t="inlineStr"/>
      <c r="Z1773" s="6" t="inlineStr"/>
      <c r="AA1773" s="5" t="inlineStr"/>
      <c r="AB1773" s="5" t="inlineStr"/>
      <c r="AC1773" s="5" t="inlineStr"/>
      <c r="AD1773" s="5" t="inlineStr">
        <is>
          <t>Zengin</t>
        </is>
      </c>
      <c r="AE1773" s="5" t="inlineStr"/>
      <c r="AF1773" s="5" t="inlineStr"/>
      <c r="AG1773" s="5" t="inlineStr"/>
      <c r="AH1773" s="5" t="inlineStr"/>
      <c r="AI1773" s="5" t="inlineStr"/>
      <c r="AJ1773" s="5" t="inlineStr"/>
      <c r="AL1773" t="n">
        <v>1</v>
      </c>
    </row>
    <row r="1774">
      <c r="A1774" s="5" t="inlineStr">
        <is>
          <t>b8-orta-yas</t>
        </is>
      </c>
      <c r="B1774" s="5" t="n">
        <v>17</v>
      </c>
      <c r="C1774" s="6" t="inlineStr">
        <is>
          <t>Öte Diyar'da kendi dükkânını aç</t>
        </is>
      </c>
      <c r="D1774" s="5" t="inlineStr">
        <is>
          <t>Dayanıklılık</t>
        </is>
      </c>
      <c r="E1774" s="5" t="inlineStr">
        <is>
          <t>Zor</t>
        </is>
      </c>
      <c r="F1774" s="5" t="inlineStr"/>
      <c r="G1774" s="6" t="inlineStr"/>
      <c r="H1774" s="6" t="inlineStr">
        <is>
          <t>Öte Diyar'da kendi dükkânını açtın; tabelada adın ilk kez doğru yazılmış.</t>
        </is>
      </c>
      <c r="I1774" s="6" t="inlineStr">
        <is>
          <t>Öte Diyar'ın bir gazetesi seni “yılın göçmeni” seçti. Memlekette haberin başlığını “Bizim çocuk” diye çevirdiler.</t>
        </is>
      </c>
      <c r="J1774" s="6" t="inlineStr">
        <is>
          <t>Dükkân başvurusunun bir sayfası iki dilde de eksik çıktı. Başkasının tezgâhında devam ediyorsun; tabelada yine başkasının adı var.</t>
        </is>
      </c>
      <c r="K1774" s="6" t="inlineStr">
        <is>
          <t>Açılış günü kurdeleyi kestin, içeri bir müfettiş girdi. İzin belgen başka bir dükkânınmış. Açılış ve kapanış aynı fotoğrafta.</t>
        </is>
      </c>
      <c r="L1774" s="6" t="inlineStr"/>
      <c r="M1774" s="5" t="inlineStr"/>
      <c r="N1774" s="5" t="inlineStr"/>
      <c r="O1774" s="6" t="inlineStr"/>
      <c r="P1774" s="6" t="inlineStr"/>
      <c r="Q1774" s="5" t="inlineStr"/>
      <c r="R1774" s="5" t="inlineStr">
        <is>
          <t>hat-goc</t>
        </is>
      </c>
      <c r="S1774" s="5" t="inlineStr"/>
      <c r="T1774" s="5" t="inlineStr"/>
      <c r="U1774" s="5" t="inlineStr"/>
      <c r="V1774" s="5" t="inlineStr">
        <is>
          <t>zirve</t>
        </is>
      </c>
      <c r="W1774" s="5" t="inlineStr"/>
      <c r="X1774" s="5" t="inlineStr"/>
      <c r="Y1774" s="5" t="inlineStr"/>
      <c r="Z1774" s="6" t="inlineStr"/>
      <c r="AA1774" s="5" t="inlineStr"/>
      <c r="AB1774" s="5" t="inlineStr"/>
      <c r="AC1774" s="5" t="inlineStr"/>
      <c r="AD1774" s="5" t="inlineStr">
        <is>
          <t>Rahat</t>
        </is>
      </c>
      <c r="AE1774" s="5" t="inlineStr"/>
      <c r="AF1774" s="5" t="inlineStr"/>
      <c r="AG1774" s="5" t="inlineStr">
        <is>
          <t>ote-diyar-dukkani</t>
        </is>
      </c>
      <c r="AH1774" s="5" t="inlineStr"/>
      <c r="AI1774" s="5" t="inlineStr"/>
      <c r="AJ1774" s="5" t="inlineStr"/>
      <c r="AL1774" t="n">
        <v>1</v>
      </c>
    </row>
    <row r="1775">
      <c r="A1775" s="5" t="inlineStr">
        <is>
          <t>b8-orta-yas</t>
        </is>
      </c>
      <c r="B1775" s="5" t="n">
        <v>18</v>
      </c>
      <c r="C1775" s="6" t="inlineStr">
        <is>
          <t>Muhtarlığa aday ol</t>
        </is>
      </c>
      <c r="D1775" s="5" t="inlineStr">
        <is>
          <t>Sosyal Radar</t>
        </is>
      </c>
      <c r="E1775" s="5" t="inlineStr">
        <is>
          <t>Zor</t>
        </is>
      </c>
      <c r="F1775" s="5" t="inlineStr"/>
      <c r="G1775" s="6" t="inlineStr"/>
      <c r="H1775" s="6" t="inlineStr">
        <is>
          <t>Köyün muhtarı seçildin. İlk icraatın keçiler için hız sınırı.</t>
        </is>
      </c>
      <c r="I1775" s="6" t="inlineStr">
        <is>
          <t>Köyün ünlü oldu; şehirden tur otobüsleri geliyor. Keçilerle fotoğraf ücretli.</t>
        </is>
      </c>
      <c r="J1775" s="6" t="inlineStr">
        <is>
          <t>Muhtarlık seçimini yirmi yıllık muhtara kaybettin. Seni kahvede yardımcısı ilan etti; maaşsız.</t>
        </is>
      </c>
      <c r="K1775" s="6" t="inlineStr">
        <is>
          <t>Seçim günü keçiler sandığı devirdi. Oylar yeniden sayıldı; keçiler karşı tarafı destekliyormuş.</t>
        </is>
      </c>
      <c r="L1775" s="6" t="inlineStr"/>
      <c r="M1775" s="5" t="inlineStr"/>
      <c r="N1775" s="5" t="inlineStr"/>
      <c r="O1775" s="6" t="inlineStr"/>
      <c r="P1775" s="6" t="inlineStr"/>
      <c r="Q1775" s="5" t="inlineStr"/>
      <c r="R1775" s="5" t="inlineStr">
        <is>
          <t>hat-koy</t>
        </is>
      </c>
      <c r="S1775" s="5" t="inlineStr"/>
      <c r="T1775" s="5" t="inlineStr"/>
      <c r="U1775" s="5" t="inlineStr"/>
      <c r="V1775" s="5" t="inlineStr">
        <is>
          <t>zirve</t>
        </is>
      </c>
      <c r="W1775" s="5" t="inlineStr"/>
      <c r="X1775" s="5" t="inlineStr"/>
      <c r="Y1775" s="5" t="inlineStr"/>
      <c r="Z1775" s="6" t="inlineStr"/>
      <c r="AA1775" s="5" t="inlineStr"/>
      <c r="AB1775" s="5" t="inlineStr"/>
      <c r="AC1775" s="5" t="inlineStr"/>
      <c r="AD1775" s="5" t="inlineStr">
        <is>
          <t>Orta</t>
        </is>
      </c>
      <c r="AE1775" s="5" t="inlineStr"/>
      <c r="AF1775" s="5" t="inlineStr"/>
      <c r="AG1775" s="5" t="inlineStr">
        <is>
          <t>muhtar</t>
        </is>
      </c>
      <c r="AH1775" s="5" t="inlineStr"/>
      <c r="AI1775" s="5" t="inlineStr"/>
      <c r="AJ1775" s="5" t="inlineStr"/>
    </row>
    <row r="1776">
      <c r="A1776" s="5" t="inlineStr">
        <is>
          <t>b8-orta-yas</t>
        </is>
      </c>
      <c r="B1776" s="5" t="n">
        <v>19</v>
      </c>
      <c r="C1776" s="6" t="inlineStr">
        <is>
          <t>Ustaların ustası olmaya oyna</t>
        </is>
      </c>
      <c r="D1776" s="5" t="inlineStr">
        <is>
          <t>Akıl</t>
        </is>
      </c>
      <c r="E1776" s="5" t="inlineStr">
        <is>
          <t>Zor</t>
        </is>
      </c>
      <c r="F1776" s="5" t="inlineStr"/>
      <c r="G1776" s="6" t="inlineStr"/>
      <c r="H1776" s="6" t="inlineStr">
        <is>
          <t>Sanayinin “ustaların ustası” oldun. Çözülemeyen arıza sana gelir; ya çözülür ya efsane olur.</t>
        </is>
      </c>
      <c r="I1776" s="6" t="inlineStr">
        <is>
          <t>Yetiştirdiğin çıraklar üç sanayide dükkân açtı. Hepsinin duvarında senin fotoğrafın var; biraz gençken çekilmiş.</t>
        </is>
      </c>
      <c r="J1776" s="6" t="inlineStr">
        <is>
          <t>Sanayi ustaları çözülemeyen bir arızayı sana getirdi; çözemedin. Genç bir çırak çözdü: seninki.</t>
        </is>
      </c>
      <c r="K1776" s="6" t="inlineStr">
        <is>
          <t>Ustalık gösterisinde motoru ters taktın. Motor çalıştı; ters yöne.</t>
        </is>
      </c>
      <c r="L1776" s="6" t="inlineStr"/>
      <c r="M1776" s="5" t="inlineStr"/>
      <c r="N1776" s="5" t="inlineStr"/>
      <c r="O1776" s="6" t="inlineStr"/>
      <c r="P1776" s="6" t="inlineStr"/>
      <c r="Q1776" s="5" t="inlineStr"/>
      <c r="R1776" s="5" t="inlineStr">
        <is>
          <t>hat-usta</t>
        </is>
      </c>
      <c r="S1776" s="5" t="inlineStr"/>
      <c r="T1776" s="5" t="inlineStr"/>
      <c r="U1776" s="5" t="inlineStr"/>
      <c r="V1776" s="5" t="inlineStr">
        <is>
          <t>zirve</t>
        </is>
      </c>
      <c r="W1776" s="5" t="inlineStr"/>
      <c r="X1776" s="5" t="inlineStr"/>
      <c r="Y1776" s="5" t="inlineStr"/>
      <c r="Z1776" s="6" t="inlineStr"/>
      <c r="AA1776" s="5" t="inlineStr"/>
      <c r="AB1776" s="5" t="inlineStr"/>
      <c r="AC1776" s="5" t="inlineStr"/>
      <c r="AD1776" s="5" t="inlineStr">
        <is>
          <t>Rahat</t>
        </is>
      </c>
      <c r="AE1776" s="5" t="inlineStr"/>
      <c r="AF1776" s="5" t="inlineStr"/>
      <c r="AG1776" s="5" t="inlineStr">
        <is>
          <t>ustalarin-ustasi</t>
        </is>
      </c>
      <c r="AH1776" s="5" t="inlineStr"/>
      <c r="AI1776" s="5" t="inlineStr"/>
      <c r="AJ1776" s="5" t="inlineStr"/>
    </row>
    <row r="1777">
      <c r="A1777" s="5" t="inlineStr">
        <is>
          <t>b8-buyuk-firsat</t>
        </is>
      </c>
      <c r="B1777" s="5" t="n">
        <v>1</v>
      </c>
      <c r="C1777" s="6" t="inlineStr">
        <is>
          <t>Üçünü de kibarca geri çevir</t>
        </is>
      </c>
      <c r="D1777" s="5" t="inlineStr"/>
      <c r="E1777" s="5" t="inlineStr"/>
      <c r="F1777" s="5" t="inlineStr">
        <is>
          <t>İtibar +1, Dayanıklılık +1</t>
        </is>
      </c>
      <c r="G1777" s="6" t="inlineStr">
        <is>
          <t>Üç telefonu da kibarca kapattın. Akşam pastanın başında annen sordu: “Kimdi o arayanlar?” “Yanlış numara” dedin. Mumları üflerken bir dilek tuttun; üçünden biri olabilirdi.</t>
        </is>
      </c>
      <c r="H1777" s="6" t="inlineStr"/>
      <c r="I1777" s="6" t="inlineStr"/>
      <c r="J1777" s="6" t="inlineStr"/>
      <c r="K1777" s="6" t="inlineStr"/>
      <c r="L1777" s="6" t="inlineStr"/>
      <c r="M1777" s="5" t="inlineStr"/>
      <c r="N1777" s="5" t="inlineStr"/>
      <c r="O1777" s="6" t="inlineStr"/>
      <c r="P1777" s="6" t="inlineStr"/>
      <c r="Q1777" s="5" t="inlineStr"/>
      <c r="R1777" s="5" t="inlineStr"/>
      <c r="S1777" s="5" t="inlineStr"/>
      <c r="T1777" s="5" t="inlineStr"/>
      <c r="U1777" s="5" t="inlineStr"/>
      <c r="V1777" s="5" t="inlineStr"/>
      <c r="W1777" s="5" t="inlineStr"/>
      <c r="X1777" s="5" t="inlineStr"/>
      <c r="Y1777" s="5" t="inlineStr"/>
      <c r="Z1777" s="6" t="inlineStr"/>
      <c r="AA1777" s="5" t="inlineStr"/>
      <c r="AB1777" s="5" t="inlineStr"/>
      <c r="AC1777" s="5" t="inlineStr"/>
      <c r="AD1777" s="5" t="inlineStr"/>
      <c r="AE1777" s="5" t="inlineStr"/>
      <c r="AF1777" s="5" t="inlineStr"/>
      <c r="AG1777" s="5" t="inlineStr"/>
      <c r="AH1777" s="5" t="inlineStr"/>
      <c r="AI1777" s="5" t="inlineStr"/>
      <c r="AJ1777" s="5" t="inlineStr"/>
    </row>
    <row r="1778">
      <c r="A1778" s="5" t="inlineStr">
        <is>
          <t>b8-buyuk-firsat</t>
        </is>
      </c>
      <c r="B1778" s="5" t="n">
        <v>2</v>
      </c>
      <c r="C1778" s="6" t="inlineStr">
        <is>
          <t>Adaylık teklifini kabul et</t>
        </is>
      </c>
      <c r="D1778" s="5" t="inlineStr">
        <is>
          <t>Çene</t>
        </is>
      </c>
      <c r="E1778" s="5" t="inlineStr">
        <is>
          <t>Zor</t>
        </is>
      </c>
      <c r="F1778" s="5" t="inlineStr"/>
      <c r="G1778" s="6" t="inlineStr"/>
      <c r="H1778" s="6" t="inlineStr">
        <is>
          <t>İl başkanı seni listenin üst sırasına koydu. Afişin ertesi hafta basıldı; fotoğrafın yirmi yıl önceden, sloganın dünden.</t>
        </is>
      </c>
      <c r="I1778" s="6" t="inlineStr">
        <is>
          <t>Adaylığın açıklandığı gün mahallede kendiliğinden bir miting oldu. Kürsü bir çay ocağıydı, kalabalık gerçekti.</t>
        </is>
      </c>
      <c r="J1778" s="6" t="inlineStr">
        <is>
          <t>İl başkanı seni dinledi, sonra listeyi dinledi. Liste senden kalabalıktı; adın yedek sıraya yazıldı.</t>
        </is>
      </c>
      <c r="K1778" s="6" t="inlineStr">
        <is>
          <t>Tanışma toplantısında kürsüye çıktın, heyecanla bağırdın: “Yaşasın…” Ağzından rakip partinin adı çıktı. Salon aynı anda öksürdü. İl başkanı numaranı gözünün önünde rehberden sildi.</t>
        </is>
      </c>
      <c r="L1778" s="6" t="inlineStr"/>
      <c r="M1778" s="5" t="inlineStr"/>
      <c r="N1778" s="5" t="inlineStr"/>
      <c r="O1778" s="6" t="inlineStr"/>
      <c r="P1778" s="6" t="inlineStr"/>
      <c r="Q1778" s="5" t="inlineStr"/>
      <c r="R1778" s="5" t="inlineStr"/>
      <c r="S1778" s="5" t="inlineStr"/>
      <c r="T1778" s="5" t="inlineStr"/>
      <c r="U1778" s="5" t="inlineStr"/>
      <c r="V1778" s="5" t="inlineStr">
        <is>
          <t>-hat-cete, -hat-dolandirici, -hat-girisimci, -hat-goc, -hat-hekim, -hat-koy, -hat-polis, -hat-sohret, -hat-usta, -hat-yargi, -meslek-beyazyaka, -meslek-esnaf, -meslek-memur, -meslek-serbest, hat-politika</t>
        </is>
      </c>
      <c r="W1778" s="5" t="inlineStr"/>
      <c r="X1778" s="5" t="inlineStr"/>
      <c r="Y1778" s="5" t="inlineStr"/>
      <c r="Z1778" s="6" t="inlineStr"/>
      <c r="AA1778" s="5" t="inlineStr"/>
      <c r="AB1778" s="5" t="inlineStr"/>
      <c r="AC1778" s="5" t="inlineStr"/>
      <c r="AD1778" s="5" t="inlineStr"/>
      <c r="AE1778" s="5" t="inlineStr"/>
      <c r="AF1778" s="5" t="inlineStr"/>
      <c r="AG1778" s="5" t="inlineStr">
        <is>
          <t>hat-politika</t>
        </is>
      </c>
      <c r="AH1778" s="5" t="inlineStr">
        <is>
          <t>Çene 41</t>
        </is>
      </c>
      <c r="AI1778" s="5" t="inlineStr"/>
      <c r="AJ1778" s="5" t="inlineStr"/>
    </row>
    <row r="1779">
      <c r="A1779" s="5" t="inlineStr">
        <is>
          <t>b8-buyuk-firsat</t>
        </is>
      </c>
      <c r="B1779" s="5" t="n">
        <v>3</v>
      </c>
      <c r="C1779" s="6" t="inlineStr">
        <is>
          <t>Öte Diyar'daki teklife evet de</t>
        </is>
      </c>
      <c r="D1779" s="5" t="inlineStr">
        <is>
          <t>Akıl</t>
        </is>
      </c>
      <c r="E1779" s="5" t="inlineStr">
        <is>
          <t>Zor</t>
        </is>
      </c>
      <c r="F1779" s="5" t="inlineStr"/>
      <c r="G1779" s="6" t="inlineStr"/>
      <c r="H1779" s="6" t="inlineStr">
        <is>
          <t>Elli yaşında valiz topladın. Valizin köşesinden annenin sıkıştırdığı bir dizi kuru biber çıktı. Öte Diyar'daki ilk sabah kahveni tek başına içtin; biberleri mutfağa astın.</t>
        </is>
      </c>
      <c r="I1779" s="6" t="inlineStr">
        <is>
          <t>Şirket seni bir bölüm müdürü olarak aldı; memlekette herkes seni zengin sanıyor. Yarı haklılar.</t>
        </is>
      </c>
      <c r="J1779" s="6" t="inlineStr">
        <is>
          <t>Mülakatın dil bölümünde takıldın. Şirket “Bir sonraki sefere” dedi; sonraki sefer yaşına bağlı.</t>
        </is>
      </c>
      <c r="K1779" s="6" t="inlineStr">
        <is>
          <t>Vize görüşmesinde memuru eski bir komşuya benzetip camın üstünden sarılmaya çalıştın. Komşu değildi. Vize reddedildi; gerekçe kutusunda tek kelime: “Sarıldı.”</t>
        </is>
      </c>
      <c r="L1779" s="6" t="inlineStr"/>
      <c r="M1779" s="5" t="inlineStr"/>
      <c r="N1779" s="5" t="inlineStr"/>
      <c r="O1779" s="6" t="inlineStr"/>
      <c r="P1779" s="6" t="inlineStr"/>
      <c r="Q1779" s="5" t="inlineStr"/>
      <c r="R1779" s="5" t="inlineStr"/>
      <c r="S1779" s="5" t="inlineStr"/>
      <c r="T1779" s="5" t="inlineStr"/>
      <c r="U1779" s="5" t="inlineStr"/>
      <c r="V1779" s="5" t="inlineStr">
        <is>
          <t>-hat-cete, -hat-dolandirici, -hat-girisimci, -hat-hekim, -hat-koy, -hat-polis, -hat-politika, -hat-sohret, -hat-usta, -hat-yargi, -meslek-esnaf, -meslek-memur, -meslek-serbest, hat-goc, meslek-beyazyaka</t>
        </is>
      </c>
      <c r="W1779" s="5" t="inlineStr"/>
      <c r="X1779" s="5" t="inlineStr"/>
      <c r="Y1779" s="5" t="inlineStr"/>
      <c r="Z1779" s="6" t="inlineStr"/>
      <c r="AA1779" s="5" t="inlineStr"/>
      <c r="AB1779" s="5" t="inlineStr"/>
      <c r="AC1779" s="5" t="inlineStr"/>
      <c r="AD1779" s="5" t="inlineStr">
        <is>
          <t>Rahat</t>
        </is>
      </c>
      <c r="AE1779" s="5" t="inlineStr"/>
      <c r="AF1779" s="5" t="inlineStr"/>
      <c r="AG1779" s="5" t="inlineStr">
        <is>
          <t>hat-goc</t>
        </is>
      </c>
      <c r="AH1779" s="5" t="inlineStr">
        <is>
          <t>Akıl 36</t>
        </is>
      </c>
      <c r="AI1779" s="5" t="inlineStr"/>
      <c r="AJ1779" s="5" t="inlineStr"/>
    </row>
    <row r="1780">
      <c r="A1780" s="5" t="inlineStr">
        <is>
          <t>b8-buyuk-firsat</t>
        </is>
      </c>
      <c r="B1780" s="5" t="n">
        <v>4</v>
      </c>
      <c r="C1780" s="6" t="inlineStr">
        <is>
          <t>Yarışma programına katıl</t>
        </is>
      </c>
      <c r="D1780" s="5" t="inlineStr">
        <is>
          <t>Pişkinlik</t>
        </is>
      </c>
      <c r="E1780" s="5" t="inlineStr">
        <is>
          <t>Zor</t>
        </is>
      </c>
      <c r="F1780" s="5" t="inlineStr"/>
      <c r="G1780" s="6" t="inlineStr"/>
      <c r="H1780" s="6" t="inlineStr">
        <is>
          <t>Programda son üçe kaldın; ülke seni sevdi. Ertesi hafta bir dizide “bilge komşu” rolün var.</t>
        </is>
      </c>
      <c r="I1780" s="6" t="inlineStr">
        <is>
          <t>Programı kazandın. Ödül ikinci planda kaldı; asıl ödül, pazarda seninle fotoğraf çekmek isteyen teyzeler.</t>
        </is>
      </c>
      <c r="J1780" s="6" t="inlineStr">
        <is>
          <t>İlk turda elendin. Ama elendiğin bölüm çok izlendi; eleniş videon hâlâ dolaşıyor.</t>
        </is>
      </c>
      <c r="K1780" s="6" t="inlineStr">
        <is>
          <t>Son soruda telefon jokerini kullanıp anneni aradın. Annen yanlış cevap verdi, sonra canlı yayında sordu: “Yavrum, yemeğini yedin mi?” Elendin; o an her yılbaşı yeniden yayında.</t>
        </is>
      </c>
      <c r="L1780" s="6" t="inlineStr"/>
      <c r="M1780" s="5" t="inlineStr"/>
      <c r="N1780" s="5" t="inlineStr"/>
      <c r="O1780" s="6" t="inlineStr"/>
      <c r="P1780" s="6" t="inlineStr"/>
      <c r="Q1780" s="5" t="inlineStr"/>
      <c r="R1780" s="5" t="inlineStr"/>
      <c r="S1780" s="5" t="inlineStr"/>
      <c r="T1780" s="5" t="inlineStr"/>
      <c r="U1780" s="5" t="inlineStr"/>
      <c r="V1780" s="5" t="inlineStr">
        <is>
          <t>-hat-cete, -hat-dolandirici, -hat-girisimci, -hat-goc, -hat-hekim, -hat-koy, -hat-polis, -hat-politika, -hat-usta, -hat-yargi, -meslek-beyazyaka, -meslek-esnaf, -meslek-memur, hat-sohret, meslek-serbest</t>
        </is>
      </c>
      <c r="W1780" s="5" t="inlineStr"/>
      <c r="X1780" s="5" t="inlineStr"/>
      <c r="Y1780" s="5" t="inlineStr"/>
      <c r="Z1780" s="6" t="inlineStr"/>
      <c r="AA1780" s="5" t="inlineStr"/>
      <c r="AB1780" s="5" t="inlineStr"/>
      <c r="AC1780" s="5" t="inlineStr"/>
      <c r="AD1780" s="5" t="inlineStr"/>
      <c r="AE1780" s="5" t="inlineStr"/>
      <c r="AF1780" s="5" t="inlineStr"/>
      <c r="AG1780" s="5" t="inlineStr">
        <is>
          <t>hat-sohret</t>
        </is>
      </c>
      <c r="AH1780" s="5" t="inlineStr"/>
      <c r="AI1780" s="5" t="inlineStr"/>
      <c r="AJ1780" s="5" t="inlineStr"/>
    </row>
    <row r="1781">
      <c r="A1781" s="5" t="inlineStr">
        <is>
          <t>b8-buyuk-firsat</t>
        </is>
      </c>
      <c r="B1781" s="5" t="n">
        <v>5</v>
      </c>
      <c r="C1781" s="6" t="inlineStr">
        <is>
          <t>Mahallenin önerisiyle aday ol</t>
        </is>
      </c>
      <c r="D1781" s="5" t="inlineStr">
        <is>
          <t>İtibar</t>
        </is>
      </c>
      <c r="E1781" s="5" t="inlineStr">
        <is>
          <t>Zor</t>
        </is>
      </c>
      <c r="F1781" s="5" t="inlineStr"/>
      <c r="G1781" s="6" t="inlineStr"/>
      <c r="H1781" s="6" t="inlineStr">
        <is>
          <t>Telefon açan il başkanı değil, mahallenin kendisiydi: kahveciler, esnaf, öğretmenler. Adaylığın bir dilekçeyle başladı, iki yüz imzayla.</t>
        </is>
      </c>
      <c r="I1781" s="6" t="inlineStr">
        <is>
          <t>İmza listesi uzadıkça kahveci masaları birleştirdi, bakkal kalemini verdi. Partiye iki dosyayla gittin; il başkanı dosyaları eliyle tarttı ve adını listenin başına yazdı.</t>
        </is>
      </c>
      <c r="J1781" s="6" t="inlineStr">
        <is>
          <t>Dilekçe partinin il binasına ulaştı ve bir çekmeceye girdi. Çekmece hâlâ kapalı.</t>
        </is>
      </c>
      <c r="K1781" s="6" t="inlineStr">
        <is>
          <t>İmza listesinde mahallenin kedisinin adı da vardı. Parti bunu ciddiyetsizlik saydı; kedi sana küstü.</t>
        </is>
      </c>
      <c r="L1781" s="6" t="inlineStr"/>
      <c r="M1781" s="5" t="inlineStr"/>
      <c r="N1781" s="5" t="inlineStr"/>
      <c r="O1781" s="6" t="inlineStr"/>
      <c r="P1781" s="6" t="inlineStr"/>
      <c r="Q1781" s="5" t="inlineStr"/>
      <c r="R1781" s="5" t="inlineStr"/>
      <c r="S1781" s="5" t="inlineStr"/>
      <c r="T1781" s="5" t="inlineStr"/>
      <c r="U1781" s="5" t="inlineStr"/>
      <c r="V1781" s="5" t="inlineStr">
        <is>
          <t>-hat-cete, -hat-dolandirici, -hat-girisimci, -hat-goc, -hat-hekim, -hat-koy, -hat-polis, -hat-sohret, -hat-usta, -hat-yargi, -meslek-beyazyaka, -meslek-esnaf, -meslek-memur, -meslek-serbest, hat-politika</t>
        </is>
      </c>
      <c r="W1781" s="5" t="inlineStr"/>
      <c r="X1781" s="5" t="inlineStr"/>
      <c r="Y1781" s="5" t="inlineStr"/>
      <c r="Z1781" s="6" t="inlineStr"/>
      <c r="AA1781" s="5" t="inlineStr"/>
      <c r="AB1781" s="5" t="inlineStr"/>
      <c r="AC1781" s="5" t="inlineStr"/>
      <c r="AD1781" s="5" t="inlineStr"/>
      <c r="AE1781" s="5" t="inlineStr"/>
      <c r="AF1781" s="5" t="inlineStr"/>
      <c r="AG1781" s="5" t="inlineStr">
        <is>
          <t>hat-politika</t>
        </is>
      </c>
      <c r="AH1781" s="5" t="inlineStr">
        <is>
          <t>İtibar 37</t>
        </is>
      </c>
      <c r="AI1781" s="5" t="inlineStr"/>
      <c r="AJ1781" s="5" t="inlineStr"/>
    </row>
    <row r="1782">
      <c r="A1782" s="5" t="inlineStr">
        <is>
          <t>b7-erken-tahliye</t>
        </is>
      </c>
      <c r="B1782" s="5" t="n">
        <v>1</v>
      </c>
      <c r="C1782" s="6" t="inlineStr">
        <is>
          <t>Islah kursundan esnaflığa geç</t>
        </is>
      </c>
      <c r="D1782" s="5" t="inlineStr"/>
      <c r="E1782" s="5" t="inlineStr"/>
      <c r="F1782" s="5" t="inlineStr">
        <is>
          <t>Dayanıklılık +1, İtibar +1</t>
        </is>
      </c>
      <c r="G1782" s="6" t="inlineStr">
        <is>
          <t>Mahallede küçük bir dükkân kiraladın; tabelaya “Kursta öğrendim” yazdırdın. İlk müşterin koğuşun çaycısıydı; senden önce çıkmış.</t>
        </is>
      </c>
      <c r="H1782" s="6" t="inlineStr"/>
      <c r="I1782" s="6" t="inlineStr"/>
      <c r="J1782" s="6" t="inlineStr"/>
      <c r="K1782" s="6" t="inlineStr"/>
      <c r="L1782" s="6" t="inlineStr"/>
      <c r="M1782" s="5" t="inlineStr"/>
      <c r="N1782" s="5" t="inlineStr"/>
      <c r="O1782" s="6" t="inlineStr"/>
      <c r="P1782" s="6" t="inlineStr"/>
      <c r="Q1782" s="5" t="inlineStr"/>
      <c r="R1782" s="5" t="inlineStr"/>
      <c r="S1782" s="5" t="inlineStr"/>
      <c r="T1782" s="5" t="inlineStr"/>
      <c r="U1782" s="5" t="inlineStr">
        <is>
          <t>-hat-cete, -hat-dolandirici, -hat-girisimci, -hat-goc, -hat-hekim, -hat-koy, -hat-polis, -hat-politika, -hat-sohret, -hat-usta, -hat-yargi, -meslek-beyazyaka, -meslek-memur, -meslek-serbest, meslek-esnaf, -hapis, eski-hukumlu, -ceza-indirimi</t>
        </is>
      </c>
      <c r="V1782" s="5" t="inlineStr"/>
      <c r="W1782" s="5" t="inlineStr"/>
      <c r="X1782" s="5" t="inlineStr"/>
      <c r="Y1782" s="5" t="inlineStr"/>
      <c r="Z1782" s="6" t="inlineStr"/>
      <c r="AA1782" s="5" t="inlineStr"/>
      <c r="AB1782" s="5" t="inlineStr"/>
      <c r="AC1782" s="5" t="inlineStr"/>
      <c r="AD1782" s="5" t="inlineStr">
        <is>
          <t>Fakir</t>
        </is>
      </c>
      <c r="AE1782" s="5" t="inlineStr"/>
      <c r="AF1782" s="5" t="inlineStr"/>
      <c r="AG1782" s="5" t="inlineStr"/>
      <c r="AH1782" s="5" t="inlineStr"/>
      <c r="AI1782" s="5" t="inlineStr"/>
      <c r="AJ1782" s="5" t="inlineStr"/>
    </row>
    <row r="1783">
      <c r="A1783" s="5" t="inlineStr">
        <is>
          <t>b7-erken-tahliye</t>
        </is>
      </c>
      <c r="B1783" s="5" t="n">
        <v>2</v>
      </c>
      <c r="C1783" s="6" t="inlineStr">
        <is>
          <t>Eski işine dön</t>
        </is>
      </c>
      <c r="D1783" s="5" t="inlineStr"/>
      <c r="E1783" s="5" t="inlineStr"/>
      <c r="F1783" s="5" t="inlineStr">
        <is>
          <t>Pişkinlik +1, Cesaret +1</t>
        </is>
      </c>
      <c r="G1783" s="6" t="inlineStr">
        <is>
          <t>Eski telefonunu açtın: kırk iki cevapsız arama. Hiçbiri seni özlememiş, hepsi işi soruyor. Kaldığın yerden devam; biraz daha dikkatli.</t>
        </is>
      </c>
      <c r="H1783" s="6" t="inlineStr"/>
      <c r="I1783" s="6" t="inlineStr"/>
      <c r="J1783" s="6" t="inlineStr"/>
      <c r="K1783" s="6" t="inlineStr"/>
      <c r="L1783" s="6" t="inlineStr"/>
      <c r="M1783" s="5" t="inlineStr"/>
      <c r="N1783" s="5" t="inlineStr"/>
      <c r="O1783" s="6" t="inlineStr"/>
      <c r="P1783" s="6" t="inlineStr"/>
      <c r="Q1783" s="5" t="inlineStr"/>
      <c r="R1783" s="5" t="inlineStr"/>
      <c r="S1783" s="5" t="inlineStr"/>
      <c r="T1783" s="5" t="inlineStr"/>
      <c r="U1783" s="5" t="inlineStr">
        <is>
          <t>-hapis, eski-hukumlu, -ceza-indirimi</t>
        </is>
      </c>
      <c r="V1783" s="5" t="inlineStr"/>
      <c r="W1783" s="5" t="inlineStr"/>
      <c r="X1783" s="5" t="inlineStr"/>
      <c r="Y1783" s="5" t="inlineStr"/>
      <c r="Z1783" s="6" t="inlineStr"/>
      <c r="AA1783" s="5" t="inlineStr"/>
      <c r="AB1783" s="5" t="inlineStr"/>
      <c r="AC1783" s="5" t="inlineStr"/>
      <c r="AD1783" s="5" t="inlineStr"/>
      <c r="AE1783" s="5" t="inlineStr"/>
      <c r="AF1783" s="5" t="inlineStr"/>
      <c r="AG1783" s="5" t="inlineStr"/>
      <c r="AH1783" s="5" t="inlineStr"/>
      <c r="AI1783" s="5" t="inlineStr"/>
      <c r="AJ1783" s="5" t="inlineStr"/>
    </row>
    <row r="1784">
      <c r="A1784" s="5" t="inlineStr">
        <is>
          <t>b7-erken-tahliye</t>
        </is>
      </c>
      <c r="B1784" s="5" t="n">
        <v>3</v>
      </c>
      <c r="C1784" s="6" t="inlineStr">
        <is>
          <t>Koğuş anılarını kitap yap</t>
        </is>
      </c>
      <c r="D1784" s="5" t="inlineStr">
        <is>
          <t>Çene</t>
        </is>
      </c>
      <c r="E1784" s="5" t="inlineStr">
        <is>
          <t>Zor</t>
        </is>
      </c>
      <c r="F1784" s="5" t="inlineStr"/>
      <c r="G1784" s="6" t="inlineStr"/>
      <c r="H1784" s="6" t="inlineStr">
        <is>
          <t>“Koğuşta Çay Nasıl Demlenir” çıktı. İlk imza gününe çaycı da geldi; kitaba bakmadan “Şekeri az yazmışsın” dedi.</t>
        </is>
      </c>
      <c r="I1784" s="6" t="inlineStr">
        <is>
          <t>Kitap çok satanlar rafında. Bir yapımcı dizisini çekmek istiyor; sen kendi rolünü oynamak istedin, kabul etti.</t>
        </is>
      </c>
      <c r="J1784" s="6" t="inlineStr">
        <is>
          <t>Kitabı yazdın, yayınevi “Bu fazla gerçekçi” dedi. Taslak çekmecede; sen eski hayatına dönüyorsun.</t>
        </is>
      </c>
      <c r="K1784" s="6" t="inlineStr">
        <is>
          <t>Kitaba bütün koğuşun lakaplarını yazdın. Basılmadı ama koğuşta okundu; kırk mektup geldi, hepsi düzeltme istiyor.</t>
        </is>
      </c>
      <c r="L1784" s="6" t="inlineStr"/>
      <c r="M1784" s="5" t="inlineStr"/>
      <c r="N1784" s="5" t="inlineStr"/>
      <c r="O1784" s="6" t="inlineStr"/>
      <c r="P1784" s="6" t="inlineStr"/>
      <c r="Q1784" s="5" t="inlineStr"/>
      <c r="R1784" s="5" t="inlineStr"/>
      <c r="S1784" s="5" t="inlineStr"/>
      <c r="T1784" s="5" t="inlineStr"/>
      <c r="U1784" s="5" t="inlineStr"/>
      <c r="V1784" s="5" t="inlineStr">
        <is>
          <t>-hat-cete, -hat-dolandirici, -hat-girisimci, -hat-goc, -hat-hekim, -hat-koy, -hat-polis, -hat-politika, -hat-usta, -hat-yargi, -meslek-beyazyaka, -meslek-esnaf, -meslek-memur, hat-sohret, meslek-serbest, -hapis, eski-hukumlu, -ceza-indirimi</t>
        </is>
      </c>
      <c r="W1784" s="5" t="inlineStr">
        <is>
          <t>-hapis, eski-hukumlu, -ceza-indirimi</t>
        </is>
      </c>
      <c r="X1784" s="5" t="inlineStr"/>
      <c r="Y1784" s="5" t="inlineStr"/>
      <c r="Z1784" s="6" t="inlineStr"/>
      <c r="AA1784" s="5" t="inlineStr"/>
      <c r="AB1784" s="5" t="inlineStr">
        <is>
          <t>-hapis, eski-hukumlu, -ceza-indirimi</t>
        </is>
      </c>
      <c r="AC1784" s="5" t="inlineStr"/>
      <c r="AD1784" s="5" t="inlineStr"/>
      <c r="AE1784" s="5" t="inlineStr"/>
      <c r="AF1784" s="5" t="inlineStr"/>
      <c r="AG1784" s="5" t="inlineStr"/>
      <c r="AH1784" s="5" t="inlineStr"/>
      <c r="AI1784" s="5" t="inlineStr"/>
      <c r="AJ1784" s="5" t="inlineStr"/>
    </row>
    <row r="1785">
      <c r="A1785" s="5" t="inlineStr">
        <is>
          <t>b7-erken-tahliye</t>
        </is>
      </c>
      <c r="B1785" s="5" t="n">
        <v>4</v>
      </c>
      <c r="C1785" s="6" t="inlineStr">
        <is>
          <t>“Sistemi içeriden tanıyorum” diye siyasete gir</t>
        </is>
      </c>
      <c r="D1785" s="5" t="inlineStr">
        <is>
          <t>Pişkinlik</t>
        </is>
      </c>
      <c r="E1785" s="5" t="inlineStr">
        <is>
          <t>Zor</t>
        </is>
      </c>
      <c r="F1785" s="5" t="inlineStr"/>
      <c r="G1785" s="6" t="inlineStr"/>
      <c r="H1785" s="6" t="inlineStr">
        <is>
          <t>Slogan tuttu. Bir partinin ilçe teşkilatı seni kapıda karşıladı; ilk mitingde en önde koğuştan çıkmış arkadaşların alkışlıyordu.</t>
        </is>
      </c>
      <c r="I1785" s="6" t="inlineStr">
        <is>
          <t>Sloganın afişlere basıldı. Rakiplerinin geçmişi sorulunca “Benimki belli” diyorsun; salon ayağa kalkıyor.</t>
        </is>
      </c>
      <c r="J1785" s="6" t="inlineStr">
        <is>
          <t>Parti binasında sloganını söyledin. Kapıdaki görevli başını salladı: “Bu hafta üçüncü geliyor bu slogan. Öbürleri de içeriden.” Eski hayatına döndün.</t>
        </is>
      </c>
      <c r="K1785" s="6" t="inlineStr">
        <is>
          <t>Eski hayatına döndün; ama önce parti binasının kapısında görevli “Buyurun” dedi ve sen alışkanlıkla ellerini kaldırdın.</t>
        </is>
      </c>
      <c r="L1785" s="6" t="inlineStr"/>
      <c r="M1785" s="5" t="inlineStr"/>
      <c r="N1785" s="5" t="inlineStr"/>
      <c r="O1785" s="6" t="inlineStr"/>
      <c r="P1785" s="6" t="inlineStr"/>
      <c r="Q1785" s="5" t="inlineStr"/>
      <c r="R1785" s="5" t="inlineStr"/>
      <c r="S1785" s="5" t="inlineStr"/>
      <c r="T1785" s="5" t="inlineStr"/>
      <c r="U1785" s="5" t="inlineStr"/>
      <c r="V1785" s="5" t="inlineStr">
        <is>
          <t>-hat-cete, -hat-dolandirici, -hat-girisimci, -hat-goc, -hat-hekim, -hat-koy, -hat-polis, -hat-sohret, -hat-usta, -hat-yargi, -meslek-beyazyaka, -meslek-esnaf, -meslek-memur, -meslek-serbest, hat-politika, -hapis, eski-hukumlu, -ceza-indirimi</t>
        </is>
      </c>
      <c r="W1785" s="5" t="inlineStr">
        <is>
          <t>-hapis, eski-hukumlu, -ceza-indirimi</t>
        </is>
      </c>
      <c r="X1785" s="5" t="inlineStr"/>
      <c r="Y1785" s="5" t="inlineStr"/>
      <c r="Z1785" s="6" t="inlineStr"/>
      <c r="AA1785" s="5" t="inlineStr"/>
      <c r="AB1785" s="5" t="inlineStr">
        <is>
          <t>-hapis, eski-hukumlu, -ceza-indirimi</t>
        </is>
      </c>
      <c r="AC1785" s="5" t="inlineStr"/>
      <c r="AD1785" s="5" t="inlineStr"/>
      <c r="AE1785" s="5" t="inlineStr"/>
      <c r="AF1785" s="5" t="inlineStr"/>
      <c r="AG1785" s="5" t="inlineStr"/>
      <c r="AH1785" s="5" t="inlineStr"/>
      <c r="AI1785" s="5" t="inlineStr"/>
      <c r="AJ1785" s="5" t="inlineStr"/>
    </row>
    <row r="1786">
      <c r="A1786" s="5" t="inlineStr">
        <is>
          <t>b7-erken-tahliye</t>
        </is>
      </c>
      <c r="B1786" s="5" t="n">
        <v>5</v>
      </c>
      <c r="C1786" s="6" t="inlineStr">
        <is>
          <t>Mahallenin kefaletiyle iş bul</t>
        </is>
      </c>
      <c r="D1786" s="5" t="inlineStr"/>
      <c r="E1786" s="5" t="inlineStr"/>
      <c r="F1786" s="5" t="inlineStr">
        <is>
          <t>İtibar +1, Dayanıklılık +1</t>
        </is>
      </c>
      <c r="G1786" s="6" t="inlineStr">
        <is>
          <t>Kapıda seni çarşının en eski esnafı bekliyordu: “Senin için söz verdim, dükkânın arka tarafı senin.” Mahallede kimse geçmişini sormadı; sordurmadılar.</t>
        </is>
      </c>
      <c r="H1786" s="6" t="inlineStr"/>
      <c r="I1786" s="6" t="inlineStr"/>
      <c r="J1786" s="6" t="inlineStr"/>
      <c r="K1786" s="6" t="inlineStr"/>
      <c r="L1786" s="6" t="inlineStr"/>
      <c r="M1786" s="5" t="inlineStr"/>
      <c r="N1786" s="5" t="inlineStr"/>
      <c r="O1786" s="6" t="inlineStr"/>
      <c r="P1786" s="6" t="inlineStr"/>
      <c r="Q1786" s="5" t="inlineStr"/>
      <c r="R1786" s="5" t="inlineStr"/>
      <c r="S1786" s="5" t="inlineStr"/>
      <c r="T1786" s="5" t="inlineStr"/>
      <c r="U1786" s="5" t="inlineStr">
        <is>
          <t>-hat-cete, -hat-dolandirici, -hat-girisimci, -hat-goc, -hat-hekim, -hat-koy, -hat-polis, -hat-politika, -hat-sohret, -hat-usta, -hat-yargi, -meslek-beyazyaka, -meslek-memur, -meslek-serbest, meslek-esnaf, -hapis, eski-hukumlu, -ceza-indirimi</t>
        </is>
      </c>
      <c r="V1786" s="5" t="inlineStr"/>
      <c r="W1786" s="5" t="inlineStr"/>
      <c r="X1786" s="5" t="inlineStr"/>
      <c r="Y1786" s="5" t="inlineStr"/>
      <c r="Z1786" s="6" t="inlineStr"/>
      <c r="AA1786" s="5" t="inlineStr"/>
      <c r="AB1786" s="5" t="inlineStr"/>
      <c r="AC1786" s="5" t="inlineStr"/>
      <c r="AD1786" s="5" t="inlineStr">
        <is>
          <t>Fakir</t>
        </is>
      </c>
      <c r="AE1786" s="5" t="inlineStr"/>
      <c r="AF1786" s="5" t="inlineStr"/>
      <c r="AG1786" s="5" t="inlineStr"/>
      <c r="AH1786" s="5" t="inlineStr">
        <is>
          <t>İtibar 37</t>
        </is>
      </c>
      <c r="AI1786" s="5" t="inlineStr"/>
      <c r="AJ1786" s="5" t="inlineStr"/>
    </row>
    <row r="1787">
      <c r="A1787" s="5" t="inlineStr">
        <is>
          <t>b8-erken-tahliye</t>
        </is>
      </c>
      <c r="B1787" s="5" t="n">
        <v>1</v>
      </c>
      <c r="C1787" s="6" t="inlineStr">
        <is>
          <t>Kursta öğrendiğinle esnaf ol</t>
        </is>
      </c>
      <c r="D1787" s="5" t="inlineStr"/>
      <c r="E1787" s="5" t="inlineStr"/>
      <c r="F1787" s="5" t="inlineStr">
        <is>
          <t>Dayanıklılık +1, Akıl +1</t>
        </is>
      </c>
      <c r="G1787" s="6" t="inlineStr">
        <is>
          <t>Sanayinin ucunda küçük bir dükkân tuttun: sabun, kaşık, bir de tavla tamiri. Müşterilerin yarısı eski koğuş arkadaşların; hepsi pazarlık ediyor, hepsi kaybediyor.</t>
        </is>
      </c>
      <c r="H1787" s="6" t="inlineStr"/>
      <c r="I1787" s="6" t="inlineStr"/>
      <c r="J1787" s="6" t="inlineStr"/>
      <c r="K1787" s="6" t="inlineStr"/>
      <c r="L1787" s="6" t="inlineStr"/>
      <c r="M1787" s="5" t="inlineStr"/>
      <c r="N1787" s="5" t="inlineStr"/>
      <c r="O1787" s="6" t="inlineStr"/>
      <c r="P1787" s="6" t="inlineStr"/>
      <c r="Q1787" s="5" t="inlineStr"/>
      <c r="R1787" s="5" t="inlineStr"/>
      <c r="S1787" s="5" t="inlineStr"/>
      <c r="T1787" s="5" t="inlineStr"/>
      <c r="U1787" s="5" t="inlineStr">
        <is>
          <t>-hat-cete, -hat-dolandirici, -hat-girisimci, -hat-goc, -hat-hekim, -hat-koy, -hat-polis, -hat-politika, -hat-sohret, -hat-usta, -hat-yargi, -meslek-beyazyaka, -meslek-memur, -meslek-serbest, meslek-esnaf, -hapis, eski-hukumlu, -ceza-indirimi</t>
        </is>
      </c>
      <c r="V1787" s="5" t="inlineStr"/>
      <c r="W1787" s="5" t="inlineStr"/>
      <c r="X1787" s="5" t="inlineStr"/>
      <c r="Y1787" s="5" t="inlineStr"/>
      <c r="Z1787" s="6" t="inlineStr"/>
      <c r="AA1787" s="5" t="inlineStr"/>
      <c r="AB1787" s="5" t="inlineStr"/>
      <c r="AC1787" s="5" t="inlineStr"/>
      <c r="AD1787" s="5" t="inlineStr">
        <is>
          <t>Fakir</t>
        </is>
      </c>
      <c r="AE1787" s="5" t="inlineStr"/>
      <c r="AF1787" s="5" t="inlineStr"/>
      <c r="AG1787" s="5" t="inlineStr"/>
      <c r="AH1787" s="5" t="inlineStr"/>
      <c r="AI1787" s="5" t="inlineStr"/>
      <c r="AJ1787" s="5" t="inlineStr"/>
    </row>
    <row r="1788">
      <c r="A1788" s="5" t="inlineStr">
        <is>
          <t>b8-erken-tahliye</t>
        </is>
      </c>
      <c r="B1788" s="5" t="n">
        <v>2</v>
      </c>
      <c r="C1788" s="6" t="inlineStr">
        <is>
          <t>Eski işine dön</t>
        </is>
      </c>
      <c r="D1788" s="5" t="inlineStr"/>
      <c r="E1788" s="5" t="inlineStr"/>
      <c r="F1788" s="5" t="inlineStr">
        <is>
          <t>Pişkinlik +1, Kurnazlık +1</t>
        </is>
      </c>
      <c r="G1788" s="6" t="inlineStr">
        <is>
          <t>Eski defterini açtın; isimlerin yarısı emekli, yarısı taşınmış. Kalanlarla devam ediyorsun; masan eskisinden küçük, gözlüğün kalın.</t>
        </is>
      </c>
      <c r="H1788" s="6" t="inlineStr"/>
      <c r="I1788" s="6" t="inlineStr"/>
      <c r="J1788" s="6" t="inlineStr"/>
      <c r="K1788" s="6" t="inlineStr"/>
      <c r="L1788" s="6" t="inlineStr"/>
      <c r="M1788" s="5" t="inlineStr"/>
      <c r="N1788" s="5" t="inlineStr"/>
      <c r="O1788" s="6" t="inlineStr"/>
      <c r="P1788" s="6" t="inlineStr"/>
      <c r="Q1788" s="5" t="inlineStr"/>
      <c r="R1788" s="5" t="inlineStr"/>
      <c r="S1788" s="5" t="inlineStr"/>
      <c r="T1788" s="5" t="inlineStr"/>
      <c r="U1788" s="5" t="inlineStr">
        <is>
          <t>-hapis, eski-hukumlu, -ceza-indirimi</t>
        </is>
      </c>
      <c r="V1788" s="5" t="inlineStr"/>
      <c r="W1788" s="5" t="inlineStr"/>
      <c r="X1788" s="5" t="inlineStr"/>
      <c r="Y1788" s="5" t="inlineStr"/>
      <c r="Z1788" s="6" t="inlineStr"/>
      <c r="AA1788" s="5" t="inlineStr"/>
      <c r="AB1788" s="5" t="inlineStr"/>
      <c r="AC1788" s="5" t="inlineStr"/>
      <c r="AD1788" s="5" t="inlineStr"/>
      <c r="AE1788" s="5" t="inlineStr"/>
      <c r="AF1788" s="5" t="inlineStr"/>
      <c r="AG1788" s="5" t="inlineStr"/>
      <c r="AH1788" s="5" t="inlineStr"/>
      <c r="AI1788" s="5" t="inlineStr"/>
      <c r="AJ1788" s="5" t="inlineStr"/>
    </row>
    <row r="1789">
      <c r="A1789" s="5" t="inlineStr">
        <is>
          <t>b8-erken-tahliye</t>
        </is>
      </c>
      <c r="B1789" s="5" t="n">
        <v>3</v>
      </c>
      <c r="C1789" s="6" t="inlineStr">
        <is>
          <t>Uzun yılları kitap yap</t>
        </is>
      </c>
      <c r="D1789" s="5" t="inlineStr">
        <is>
          <t>Çene</t>
        </is>
      </c>
      <c r="E1789" s="5" t="inlineStr">
        <is>
          <t>Zor</t>
        </is>
      </c>
      <c r="F1789" s="5" t="inlineStr"/>
      <c r="G1789" s="6" t="inlineStr"/>
      <c r="H1789" s="6" t="inlineStr">
        <is>
          <t>Kitabın adı “Kısa Kesilen Ceza” oldu; teşekkür bölümü otuz sayfa. İmza gününde kuyrukta muhtar, bakkal ve kefil olan herkes vardı; her biri kendi sayfasını açtırıp imzalattı.</t>
        </is>
      </c>
      <c r="I1789" s="6" t="inlineStr">
        <is>
          <t>Kitap her yerde konuşuluyor; söyleşilerin biletleri tükeniyor. Koğuşa imzalı bir kutu kitap yolladın; en çok çaycı okudu.</t>
        </is>
      </c>
      <c r="J1789" s="6" t="inlineStr">
        <is>
          <t>Eski yoluna döndün. Yayınevi taslağı geri yollamıştı, kenarına tek not düşerek: “Anılar uzun, okur kısa.”</t>
        </is>
      </c>
      <c r="K1789" s="6" t="inlineStr">
        <is>
          <t>Kitabın çıktı; bir öykü yarışmasında “kurgu” dalında mansiyon aldı. Jüri notu: “Bu kadarı da olmaz.” Hepsi gerçekti. Kimse inanmayınca eski yoluna döndün.</t>
        </is>
      </c>
      <c r="L1789" s="6" t="inlineStr"/>
      <c r="M1789" s="5" t="inlineStr"/>
      <c r="N1789" s="5" t="inlineStr"/>
      <c r="O1789" s="6" t="inlineStr"/>
      <c r="P1789" s="6" t="inlineStr"/>
      <c r="Q1789" s="5" t="inlineStr"/>
      <c r="R1789" s="5" t="inlineStr"/>
      <c r="S1789" s="5" t="inlineStr"/>
      <c r="T1789" s="5" t="inlineStr"/>
      <c r="U1789" s="5" t="inlineStr"/>
      <c r="V1789" s="5" t="inlineStr">
        <is>
          <t>-hat-cete, -hat-dolandirici, -hat-girisimci, -hat-goc, -hat-hekim, -hat-koy, -hat-polis, -hat-politika, -hat-usta, -hat-yargi, -meslek-beyazyaka, -meslek-esnaf, -meslek-memur, hat-sohret, meslek-serbest, -hapis, eski-hukumlu, -ceza-indirimi</t>
        </is>
      </c>
      <c r="W1789" s="5" t="inlineStr">
        <is>
          <t>-hapis, eski-hukumlu, -ceza-indirimi</t>
        </is>
      </c>
      <c r="X1789" s="5" t="inlineStr"/>
      <c r="Y1789" s="5" t="inlineStr"/>
      <c r="Z1789" s="6" t="inlineStr"/>
      <c r="AA1789" s="5" t="inlineStr"/>
      <c r="AB1789" s="5" t="inlineStr">
        <is>
          <t>-hapis, eski-hukumlu, -ceza-indirimi</t>
        </is>
      </c>
      <c r="AC1789" s="5" t="inlineStr"/>
      <c r="AD1789" s="5" t="inlineStr"/>
      <c r="AE1789" s="5" t="inlineStr"/>
      <c r="AF1789" s="5" t="inlineStr"/>
      <c r="AG1789" s="5" t="inlineStr"/>
      <c r="AH1789" s="5" t="inlineStr"/>
      <c r="AI1789" s="5" t="inlineStr"/>
      <c r="AJ1789" s="5" t="inlineStr"/>
    </row>
    <row r="1790">
      <c r="A1790" s="5" t="inlineStr">
        <is>
          <t>b8-erken-tahliye</t>
        </is>
      </c>
      <c r="B1790" s="5" t="n">
        <v>4</v>
      </c>
      <c r="C1790" s="6" t="inlineStr">
        <is>
          <t>“İçeriyi ben gördüm” de, siyasete gir</t>
        </is>
      </c>
      <c r="D1790" s="5" t="inlineStr">
        <is>
          <t>Pişkinlik</t>
        </is>
      </c>
      <c r="E1790" s="5" t="inlineStr">
        <is>
          <t>Zor</t>
        </is>
      </c>
      <c r="F1790" s="5" t="inlineStr"/>
      <c r="G1790" s="6" t="inlineStr"/>
      <c r="H1790" s="6" t="inlineStr">
        <is>
          <t>Afişindeki cümle kısaydı: “Ben içeriyi gördüm.” Mahalle seni meclis yolunda destekliyor; koğuş da, mektupla.</t>
        </is>
      </c>
      <c r="I1790" s="6" t="inlineStr">
        <is>
          <t>Parti seni cezaevleri komisyonuna önerdi. İlk ziyaretinde eski koğuşuna gittin; koğuş ayağa kalktı, çaycı en iyi bardağı çıkardı. Müdür yanına oturmadan önce izin istedi.</t>
        </is>
      </c>
      <c r="J1790" s="6" t="inlineStr">
        <is>
          <t>Eski yoluna döndün. Başvuru formunda “Son on yılınızı anlatınız” diye bir kutu vardı; kutu iki satırlıktı.</t>
        </is>
      </c>
      <c r="K1790" s="6" t="inlineStr">
        <is>
          <t>Eski yoluna döndün; ilk konuşmanı koğuş diliyle yaptıktan sonra. Salonda bir tek eski bir gardiyan anladı; o da alkışlamadı.</t>
        </is>
      </c>
      <c r="L1790" s="6" t="inlineStr"/>
      <c r="M1790" s="5" t="inlineStr"/>
      <c r="N1790" s="5" t="inlineStr"/>
      <c r="O1790" s="6" t="inlineStr"/>
      <c r="P1790" s="6" t="inlineStr"/>
      <c r="Q1790" s="5" t="inlineStr"/>
      <c r="R1790" s="5" t="inlineStr"/>
      <c r="S1790" s="5" t="inlineStr"/>
      <c r="T1790" s="5" t="inlineStr"/>
      <c r="U1790" s="5" t="inlineStr"/>
      <c r="V1790" s="5" t="inlineStr">
        <is>
          <t>-hat-cete, -hat-dolandirici, -hat-girisimci, -hat-goc, -hat-hekim, -hat-koy, -hat-polis, -hat-sohret, -hat-usta, -hat-yargi, -meslek-beyazyaka, -meslek-esnaf, -meslek-memur, -meslek-serbest, hat-politika, -hapis, eski-hukumlu, -ceza-indirimi</t>
        </is>
      </c>
      <c r="W1790" s="5" t="inlineStr">
        <is>
          <t>-hapis, eski-hukumlu, -ceza-indirimi</t>
        </is>
      </c>
      <c r="X1790" s="5" t="inlineStr"/>
      <c r="Y1790" s="5" t="inlineStr"/>
      <c r="Z1790" s="6" t="inlineStr"/>
      <c r="AA1790" s="5" t="inlineStr"/>
      <c r="AB1790" s="5" t="inlineStr">
        <is>
          <t>-hapis, eski-hukumlu, -ceza-indirimi</t>
        </is>
      </c>
      <c r="AC1790" s="5" t="inlineStr"/>
      <c r="AD1790" s="5" t="inlineStr"/>
      <c r="AE1790" s="5" t="inlineStr"/>
      <c r="AF1790" s="5" t="inlineStr"/>
      <c r="AG1790" s="5" t="inlineStr"/>
      <c r="AH1790" s="5" t="inlineStr"/>
      <c r="AI1790" s="5" t="inlineStr"/>
      <c r="AJ1790" s="5" t="inlineStr"/>
    </row>
    <row r="1791">
      <c r="A1791" s="5" t="inlineStr">
        <is>
          <t>b8-erken-tahliye</t>
        </is>
      </c>
      <c r="B1791" s="5" t="n">
        <v>5</v>
      </c>
      <c r="C1791" s="6" t="inlineStr">
        <is>
          <t>Mahallenin kefaletiyle iş bul</t>
        </is>
      </c>
      <c r="D1791" s="5" t="inlineStr"/>
      <c r="E1791" s="5" t="inlineStr"/>
      <c r="F1791" s="5" t="inlineStr">
        <is>
          <t>İtibar +1, Dayanıklılık +1</t>
        </is>
      </c>
      <c r="G1791" s="6" t="inlineStr">
        <is>
          <t>Kapıda seni çarşının en eski esnafı bekliyordu: “Senin için söz verdim, dükkânın arka tarafı senin.” Mahallede kimse geçmişini sormadı; sordurmadılar.</t>
        </is>
      </c>
      <c r="H1791" s="6" t="inlineStr"/>
      <c r="I1791" s="6" t="inlineStr"/>
      <c r="J1791" s="6" t="inlineStr"/>
      <c r="K1791" s="6" t="inlineStr"/>
      <c r="L1791" s="6" t="inlineStr"/>
      <c r="M1791" s="5" t="inlineStr"/>
      <c r="N1791" s="5" t="inlineStr"/>
      <c r="O1791" s="6" t="inlineStr"/>
      <c r="P1791" s="6" t="inlineStr"/>
      <c r="Q1791" s="5" t="inlineStr"/>
      <c r="R1791" s="5" t="inlineStr"/>
      <c r="S1791" s="5" t="inlineStr"/>
      <c r="T1791" s="5" t="inlineStr"/>
      <c r="U1791" s="5" t="inlineStr">
        <is>
          <t>-hat-cete, -hat-dolandirici, -hat-girisimci, -hat-goc, -hat-hekim, -hat-koy, -hat-polis, -hat-politika, -hat-sohret, -hat-usta, -hat-yargi, -meslek-beyazyaka, -meslek-memur, -meslek-serbest, meslek-esnaf, -hapis, eski-hukumlu, -ceza-indirimi</t>
        </is>
      </c>
      <c r="V1791" s="5" t="inlineStr"/>
      <c r="W1791" s="5" t="inlineStr"/>
      <c r="X1791" s="5" t="inlineStr"/>
      <c r="Y1791" s="5" t="inlineStr"/>
      <c r="Z1791" s="6" t="inlineStr"/>
      <c r="AA1791" s="5" t="inlineStr"/>
      <c r="AB1791" s="5" t="inlineStr"/>
      <c r="AC1791" s="5" t="inlineStr"/>
      <c r="AD1791" s="5" t="inlineStr">
        <is>
          <t>Fakir</t>
        </is>
      </c>
      <c r="AE1791" s="5" t="inlineStr"/>
      <c r="AF1791" s="5" t="inlineStr"/>
      <c r="AG1791" s="5" t="inlineStr"/>
      <c r="AH1791" s="5" t="inlineStr">
        <is>
          <t>İtibar 37</t>
        </is>
      </c>
      <c r="AI1791" s="5" t="inlineStr"/>
      <c r="AJ1791" s="5" t="inlineStr"/>
    </row>
    <row r="1792">
      <c r="A1792" s="5" t="inlineStr">
        <is>
          <t>b1-misafir-geldi</t>
        </is>
      </c>
      <c r="B1792" s="5" t="n">
        <v>1</v>
      </c>
      <c r="C1792" s="6" t="inlineStr">
        <is>
          <t>Tekerleme oku</t>
        </is>
      </c>
      <c r="D1792" s="5" t="inlineStr"/>
      <c r="E1792" s="5" t="inlineStr"/>
      <c r="F1792" s="5" t="inlineStr">
        <is>
          <t>Pişkinlik +1</t>
        </is>
      </c>
      <c r="G1792" s="6" t="inlineStr">
        <is>
          <t>Tek bildiğin tekerlemeyi okudun; yarısını uydurdun. Teyze alkışladı, annen gururlandı. Çikolata vitrinden inmedi.</t>
        </is>
      </c>
      <c r="H1792" s="6" t="inlineStr"/>
      <c r="I1792" s="6" t="inlineStr"/>
      <c r="J1792" s="6" t="inlineStr"/>
      <c r="K1792" s="6" t="inlineStr"/>
      <c r="L1792" s="6" t="inlineStr"/>
      <c r="M1792" s="5" t="inlineStr"/>
      <c r="N1792" s="5" t="inlineStr"/>
      <c r="O1792" s="6" t="inlineStr"/>
      <c r="P1792" s="6" t="inlineStr"/>
      <c r="Q1792" s="5" t="inlineStr"/>
      <c r="R1792" s="5" t="inlineStr"/>
      <c r="S1792" s="5" t="inlineStr"/>
      <c r="T1792" s="5" t="inlineStr"/>
      <c r="U1792" s="5" t="inlineStr"/>
      <c r="V1792" s="5" t="inlineStr"/>
      <c r="W1792" s="5" t="inlineStr"/>
      <c r="X1792" s="5" t="inlineStr"/>
      <c r="Y1792" s="5" t="inlineStr"/>
      <c r="Z1792" s="6" t="inlineStr"/>
      <c r="AA1792" s="5" t="inlineStr"/>
      <c r="AB1792" s="5" t="inlineStr"/>
      <c r="AC1792" s="5" t="inlineStr"/>
      <c r="AD1792" s="5" t="inlineStr"/>
      <c r="AE1792" s="5" t="inlineStr"/>
      <c r="AF1792" s="5" t="inlineStr"/>
      <c r="AG1792" s="5" t="inlineStr"/>
      <c r="AH1792" s="5" t="inlineStr"/>
      <c r="AI1792" s="5" t="inlineStr"/>
      <c r="AJ1792" s="5" t="inlineStr"/>
    </row>
    <row r="1793">
      <c r="A1793" s="5" t="inlineStr">
        <is>
          <t>b1-misafir-geldi</t>
        </is>
      </c>
      <c r="B1793" s="5" t="n">
        <v>2</v>
      </c>
      <c r="C1793" s="6" t="inlineStr">
        <is>
          <t>Vitrindeki çikolataya git</t>
        </is>
      </c>
      <c r="D1793" s="5" t="inlineStr">
        <is>
          <t>Kurnazlık</t>
        </is>
      </c>
      <c r="E1793" s="5" t="inlineStr">
        <is>
          <t>Orta</t>
        </is>
      </c>
      <c r="F1793" s="5" t="inlineStr"/>
      <c r="G1793" s="6" t="inlineStr"/>
      <c r="H1793" s="6" t="inlineStr">
        <is>
          <t>Vitrine yanaştın, teyzeye baktın, teyze annene baktı. Eline bir çikolata geldi; “Son” dendi.</t>
        </is>
      </c>
      <c r="I1793" s="6" t="inlineStr">
        <is>
          <t>Vitrine bakıp iç çektin. Teyze “Aman, versene çocuğa” dedi; annen mecbur kaldı. Kutu açıldı, ilk sen aldın.</t>
        </is>
      </c>
      <c r="J1793" s="6" t="inlineStr">
        <is>
          <t>Vitrine gittin. Annen gözüyle “Otur” dedi. Oturdun. Kutu bir sonraki misafire kaldı.</t>
        </is>
      </c>
      <c r="K1793" s="6" t="inlineStr">
        <is>
          <t>Vitrinin kapağını çektin; kapak elinde kaldı. Teyze “Olur böyle şeyler” dedi. Annen gülümsedi; gözleri gülümsemedi.</t>
        </is>
      </c>
      <c r="L1793" s="6" t="inlineStr"/>
      <c r="M1793" s="5" t="inlineStr"/>
      <c r="N1793" s="5" t="inlineStr"/>
      <c r="O1793" s="6" t="inlineStr"/>
      <c r="P1793" s="6" t="inlineStr"/>
      <c r="Q1793" s="5" t="inlineStr"/>
      <c r="R1793" s="5" t="inlineStr"/>
      <c r="S1793" s="5" t="inlineStr"/>
      <c r="T1793" s="5" t="inlineStr"/>
      <c r="U1793" s="5" t="inlineStr"/>
      <c r="V1793" s="5" t="inlineStr"/>
      <c r="W1793" s="5" t="inlineStr"/>
      <c r="X1793" s="5" t="inlineStr"/>
      <c r="Y1793" s="5" t="inlineStr"/>
      <c r="Z1793" s="6" t="inlineStr"/>
      <c r="AA1793" s="5" t="inlineStr"/>
      <c r="AB1793" s="5" t="inlineStr"/>
      <c r="AC1793" s="5" t="inlineStr"/>
      <c r="AD1793" s="5" t="inlineStr"/>
      <c r="AE1793" s="5" t="inlineStr"/>
      <c r="AF1793" s="5" t="inlineStr"/>
      <c r="AG1793" s="5" t="inlineStr"/>
      <c r="AH1793" s="5" t="inlineStr"/>
      <c r="AI1793" s="5" t="inlineStr"/>
      <c r="AJ1793" s="5" t="inlineStr"/>
    </row>
    <row r="1794">
      <c r="A1794" s="5" t="inlineStr">
        <is>
          <t>b1-misafir-geldi</t>
        </is>
      </c>
      <c r="B1794" s="5" t="n">
        <v>3</v>
      </c>
      <c r="C1794" s="6" t="inlineStr">
        <is>
          <t>Teyzenin kucağına çık</t>
        </is>
      </c>
      <c r="D1794" s="5" t="inlineStr">
        <is>
          <t>Gönül</t>
        </is>
      </c>
      <c r="E1794" s="5" t="inlineStr">
        <is>
          <t>Kolay</t>
        </is>
      </c>
      <c r="F1794" s="5" t="inlineStr"/>
      <c r="G1794" s="6" t="inlineStr"/>
      <c r="H1794" s="6" t="inlineStr">
        <is>
          <t>Kucağına çıktın. Teyze yanağını sıktı, annen rahatladı. Sohbet iki saat sürdü; sen kucakta uyudun.</t>
        </is>
      </c>
      <c r="I1794" s="6" t="inlineStr">
        <is>
          <t>Boynuna sarıldın. Teyze “Bunu ben alıyorum” dedi. Ertesi hafta elinde bir hediyeyle geldi; sana.</t>
        </is>
      </c>
      <c r="J1794" s="6" t="inlineStr">
        <is>
          <t>Kucağına uzandın; teyze tam o an çayını aldı. Kucak doluydu. Halıya oturup bekledin; çay bitmedi.</t>
        </is>
      </c>
      <c r="K1794" s="6" t="inlineStr">
        <is>
          <t>Kucağına çıktın ve orada kaldın. Teyze gitmek istedi, bırakmadın; bir saat daha kaldı. Annen o bir saati sana bakışıyla anlattı.</t>
        </is>
      </c>
      <c r="L1794" s="6" t="inlineStr"/>
      <c r="M1794" s="5" t="inlineStr"/>
      <c r="N1794" s="5" t="inlineStr"/>
      <c r="O1794" s="6" t="inlineStr"/>
      <c r="P1794" s="6" t="inlineStr"/>
      <c r="Q1794" s="5" t="inlineStr"/>
      <c r="R1794" s="5" t="inlineStr"/>
      <c r="S1794" s="5" t="inlineStr"/>
      <c r="T1794" s="5" t="inlineStr"/>
      <c r="U1794" s="5" t="inlineStr"/>
      <c r="V1794" s="5" t="inlineStr"/>
      <c r="W1794" s="5" t="inlineStr"/>
      <c r="X1794" s="5" t="inlineStr"/>
      <c r="Y1794" s="5" t="inlineStr"/>
      <c r="Z1794" s="6" t="inlineStr"/>
      <c r="AA1794" s="5" t="inlineStr"/>
      <c r="AB1794" s="5" t="inlineStr"/>
      <c r="AC1794" s="5" t="inlineStr"/>
      <c r="AD1794" s="5" t="inlineStr"/>
      <c r="AE1794" s="5" t="inlineStr"/>
      <c r="AF1794" s="5" t="inlineStr"/>
      <c r="AG1794" s="5" t="inlineStr"/>
      <c r="AH1794" s="5" t="inlineStr"/>
      <c r="AI1794" s="5" t="inlineStr"/>
      <c r="AJ1794" s="5" t="inlineStr"/>
    </row>
    <row r="1795">
      <c r="A1795" s="5" t="inlineStr">
        <is>
          <t>b1-misafir-geldi</t>
        </is>
      </c>
      <c r="B1795" s="5" t="n">
        <v>4</v>
      </c>
      <c r="C1795" s="6" t="inlineStr">
        <is>
          <t>Odana kaç</t>
        </is>
      </c>
      <c r="D1795" s="5" t="inlineStr"/>
      <c r="E1795" s="5" t="inlineStr"/>
      <c r="F1795" s="5" t="inlineStr">
        <is>
          <t>Dayanıklılık +1</t>
        </is>
      </c>
      <c r="G1795" s="6" t="inlineStr">
        <is>
          <t>Odana kaçtın. Teyze “Utangaç” dedi, annen “Yorgun” dedi. Sen çikolatanın nerede olduğunu düşündün.</t>
        </is>
      </c>
      <c r="H1795" s="6" t="inlineStr"/>
      <c r="I1795" s="6" t="inlineStr"/>
      <c r="J1795" s="6" t="inlineStr"/>
      <c r="K1795" s="6" t="inlineStr"/>
      <c r="L1795" s="6" t="inlineStr"/>
      <c r="M1795" s="5" t="inlineStr"/>
      <c r="N1795" s="5" t="inlineStr"/>
      <c r="O1795" s="6" t="inlineStr"/>
      <c r="P1795" s="6" t="inlineStr"/>
      <c r="Q1795" s="5" t="inlineStr"/>
      <c r="R1795" s="5" t="inlineStr"/>
      <c r="S1795" s="5" t="inlineStr"/>
      <c r="T1795" s="5" t="inlineStr"/>
      <c r="U1795" s="5" t="inlineStr"/>
      <c r="V1795" s="5" t="inlineStr"/>
      <c r="W1795" s="5" t="inlineStr"/>
      <c r="X1795" s="5" t="inlineStr"/>
      <c r="Y1795" s="5" t="inlineStr"/>
      <c r="Z1795" s="6" t="inlineStr"/>
      <c r="AA1795" s="5" t="inlineStr"/>
      <c r="AB1795" s="5" t="inlineStr"/>
      <c r="AC1795" s="5" t="inlineStr"/>
      <c r="AD1795" s="5" t="inlineStr"/>
      <c r="AE1795" s="5" t="inlineStr"/>
      <c r="AF1795" s="5" t="inlineStr"/>
      <c r="AG1795" s="5" t="inlineStr"/>
      <c r="AH1795" s="5" t="inlineStr"/>
      <c r="AI1795" s="5" t="inlineStr"/>
      <c r="AJ1795" s="5" t="inlineStr"/>
    </row>
    <row r="1796">
      <c r="A1796" s="5" t="inlineStr">
        <is>
          <t>b2-kardes-geldi</t>
        </is>
      </c>
      <c r="B1796" s="5" t="n">
        <v>1</v>
      </c>
      <c r="C1796" s="6" t="inlineStr">
        <is>
          <t>Kucağına al</t>
        </is>
      </c>
      <c r="D1796" s="5" t="inlineStr">
        <is>
          <t>Gönül</t>
        </is>
      </c>
      <c r="E1796" s="5" t="inlineStr">
        <is>
          <t>Orta</t>
        </is>
      </c>
      <c r="F1796" s="5" t="inlineStr"/>
      <c r="G1796" s="6" t="inlineStr"/>
      <c r="H1796" s="6" t="inlineStr">
        <is>
          <t>Annen bebeği kucağına koydu; nefesini tuttun, kıpırdamadın. Bebek uyudu, sen bir saat heykel oldun.</t>
        </is>
      </c>
      <c r="I1796" s="6" t="inlineStr">
        <is>
          <t>Kucağına aldın; ağlamayı kesti. Babaannen annene “Bu çocuk onu senden iyi tutuyor” dedi. O fotoğraf her bayram çıkıyor.</t>
        </is>
      </c>
      <c r="J1796" s="6" t="inlineStr">
        <is>
          <t>Kucağına almak istedin. Annen “Biraz büyüsün” dedi. Bebeğin büyümesini bekleyeceksin; uzun iş.</t>
        </is>
      </c>
      <c r="K1796" s="6" t="inlineStr">
        <is>
          <t>Kucağına aldın, yüzüne baktın ve sordun: “Geri verelim mi?” Babaannen bunu otuz yıl anlattı.</t>
        </is>
      </c>
      <c r="L1796" s="6" t="inlineStr"/>
      <c r="M1796" s="5" t="inlineStr"/>
      <c r="N1796" s="5" t="inlineStr"/>
      <c r="O1796" s="6" t="inlineStr"/>
      <c r="P1796" s="6" t="inlineStr"/>
      <c r="Q1796" s="5" t="inlineStr"/>
      <c r="R1796" s="5" t="inlineStr"/>
      <c r="S1796" s="5" t="inlineStr"/>
      <c r="T1796" s="5" t="inlineStr"/>
      <c r="U1796" s="5" t="inlineStr">
        <is>
          <t>kardesli</t>
        </is>
      </c>
      <c r="V1796" s="5" t="inlineStr"/>
      <c r="W1796" s="5" t="inlineStr"/>
      <c r="X1796" s="5" t="inlineStr"/>
      <c r="Y1796" s="5" t="inlineStr"/>
      <c r="Z1796" s="6" t="inlineStr"/>
      <c r="AA1796" s="5" t="inlineStr"/>
      <c r="AB1796" s="5" t="inlineStr"/>
      <c r="AC1796" s="5" t="inlineStr"/>
      <c r="AD1796" s="5" t="inlineStr"/>
      <c r="AE1796" s="5" t="inlineStr"/>
      <c r="AF1796" s="5" t="inlineStr"/>
      <c r="AG1796" s="5" t="inlineStr"/>
      <c r="AH1796" s="5" t="inlineStr"/>
      <c r="AI1796" s="5" t="inlineStr"/>
      <c r="AJ1796" s="5" t="inlineStr"/>
    </row>
    <row r="1797">
      <c r="A1797" s="5" t="inlineStr">
        <is>
          <t>b2-kardes-geldi</t>
        </is>
      </c>
      <c r="B1797" s="5" t="n">
        <v>2</v>
      </c>
      <c r="C1797" s="6" t="inlineStr">
        <is>
          <t>Bebek gibi davran, emzik iste</t>
        </is>
      </c>
      <c r="D1797" s="5" t="inlineStr">
        <is>
          <t>Pişkinlik</t>
        </is>
      </c>
      <c r="E1797" s="5" t="inlineStr">
        <is>
          <t>Kolay</t>
        </is>
      </c>
      <c r="F1797" s="5" t="inlineStr"/>
      <c r="G1797" s="6" t="inlineStr"/>
      <c r="H1797" s="6" t="inlineStr">
        <is>
          <t>Emzik istedin. Annen güldü, seni de kucağına aldı. Bir kolda o, bir kolda sen.</t>
        </is>
      </c>
      <c r="I1797" s="6" t="inlineStr">
        <is>
          <t>Emziği aldın, beşiğin yanına kıvrıldın, “Ingaa” dedin. Salon güldü; o akşam seni de beşiğin yanında uyuttular. İki bebekli ev.</t>
        </is>
      </c>
      <c r="J1797" s="6" t="inlineStr">
        <is>
          <t>Emzik istedin. Baban “Sen büyüdün artık” dedi. Büyümek bu kadar kötü bir haber olmamalıydı.</t>
        </is>
      </c>
      <c r="K1797" s="6" t="inlineStr">
        <is>
          <t>Bebeğin emziğini kaptın, kendi ağzına taktın, vermedin. Bebek ağladı, sen emdin; misafirler bir bebeğe bir sana baktı. Babaannen “Biri büyüdü dedik, öbürü küçüldü” dedi; o akşamki bütün fotoğraflarda emzikli olan sensin.</t>
        </is>
      </c>
      <c r="L1797" s="6" t="inlineStr"/>
      <c r="M1797" s="5" t="inlineStr"/>
      <c r="N1797" s="5" t="inlineStr"/>
      <c r="O1797" s="6" t="inlineStr"/>
      <c r="P1797" s="6" t="inlineStr"/>
      <c r="Q1797" s="5" t="inlineStr"/>
      <c r="R1797" s="5" t="inlineStr"/>
      <c r="S1797" s="5" t="inlineStr"/>
      <c r="T1797" s="5" t="inlineStr"/>
      <c r="U1797" s="5" t="inlineStr">
        <is>
          <t>kardesli</t>
        </is>
      </c>
      <c r="V1797" s="5" t="inlineStr"/>
      <c r="W1797" s="5" t="inlineStr"/>
      <c r="X1797" s="5" t="inlineStr"/>
      <c r="Y1797" s="5" t="inlineStr"/>
      <c r="Z1797" s="6" t="inlineStr"/>
      <c r="AA1797" s="5" t="inlineStr"/>
      <c r="AB1797" s="5" t="inlineStr"/>
      <c r="AC1797" s="5" t="inlineStr"/>
      <c r="AD1797" s="5" t="inlineStr"/>
      <c r="AE1797" s="5" t="inlineStr"/>
      <c r="AF1797" s="5" t="inlineStr"/>
      <c r="AG1797" s="5" t="inlineStr"/>
      <c r="AH1797" s="5" t="inlineStr"/>
      <c r="AI1797" s="5" t="inlineStr">
        <is>
          <t>Emzikli</t>
        </is>
      </c>
      <c r="AJ1797" s="5" t="inlineStr"/>
    </row>
    <row r="1798">
      <c r="A1798" s="5" t="inlineStr">
        <is>
          <t>b2-kardes-geldi</t>
        </is>
      </c>
      <c r="B1798" s="5" t="n">
        <v>3</v>
      </c>
      <c r="C1798" s="6" t="inlineStr">
        <is>
          <t>Hediyeleri say: kaç onun, kaç senin</t>
        </is>
      </c>
      <c r="D1798" s="5" t="inlineStr">
        <is>
          <t>Kurnazlık</t>
        </is>
      </c>
      <c r="E1798" s="5" t="inlineStr">
        <is>
          <t>Orta</t>
        </is>
      </c>
      <c r="F1798" s="5" t="inlineStr"/>
      <c r="G1798" s="6" t="inlineStr"/>
      <c r="H1798" s="6" t="inlineStr">
        <is>
          <t>Saydın, itiraz ettin, bir hediyeyi “Ona daha erken” diyerek kendine aldın. Bebek itiraz etmedi.</t>
        </is>
      </c>
      <c r="I1798" s="6" t="inlineStr">
        <is>
          <t>Saydın: on bir ona, bir sana. Bunu herkese yüksek sesle duyurdun. Ertesi gün gelen herkes iki hediye getirdi.</t>
        </is>
      </c>
      <c r="J1798" s="6" t="inlineStr">
        <is>
          <t>Saymaya başladın; ona kadar sayabiliyordun, hediyeler on ikiydi. Hesap tutmadı.</t>
        </is>
      </c>
      <c r="K1798" s="6" t="inlineStr">
        <is>
          <t>Teyzenin getirdiği paketi “Bu bana!” diye açtın. İçinden bebek patiği çıktı. Teyze o patiği hâlâ anlatıyor.</t>
        </is>
      </c>
      <c r="L1798" s="6" t="inlineStr"/>
      <c r="M1798" s="5" t="inlineStr"/>
      <c r="N1798" s="5" t="inlineStr"/>
      <c r="O1798" s="6" t="inlineStr"/>
      <c r="P1798" s="6" t="inlineStr"/>
      <c r="Q1798" s="5" t="inlineStr"/>
      <c r="R1798" s="5" t="inlineStr"/>
      <c r="S1798" s="5" t="inlineStr"/>
      <c r="T1798" s="5" t="inlineStr"/>
      <c r="U1798" s="5" t="inlineStr">
        <is>
          <t>kardesli</t>
        </is>
      </c>
      <c r="V1798" s="5" t="inlineStr"/>
      <c r="W1798" s="5" t="inlineStr"/>
      <c r="X1798" s="5" t="inlineStr"/>
      <c r="Y1798" s="5" t="inlineStr"/>
      <c r="Z1798" s="6" t="inlineStr"/>
      <c r="AA1798" s="5" t="inlineStr"/>
      <c r="AB1798" s="5" t="inlineStr"/>
      <c r="AC1798" s="5" t="inlineStr"/>
      <c r="AD1798" s="5" t="inlineStr"/>
      <c r="AE1798" s="5" t="inlineStr"/>
      <c r="AF1798" s="5" t="inlineStr"/>
      <c r="AG1798" s="5" t="inlineStr"/>
      <c r="AH1798" s="5" t="inlineStr"/>
      <c r="AI1798" s="5" t="inlineStr"/>
      <c r="AJ1798" s="5" t="inlineStr"/>
    </row>
    <row r="1799">
      <c r="A1799" s="5" t="inlineStr">
        <is>
          <t>b2-kardes-geldi</t>
        </is>
      </c>
      <c r="B1799" s="5" t="n">
        <v>4</v>
      </c>
      <c r="C1799" s="6" t="inlineStr">
        <is>
          <t>Kenardan izle</t>
        </is>
      </c>
      <c r="D1799" s="5" t="inlineStr"/>
      <c r="E1799" s="5" t="inlineStr"/>
      <c r="F1799" s="5" t="inlineStr">
        <is>
          <t>Sosyal Radar +1</t>
        </is>
      </c>
      <c r="G1799" s="6" t="inlineStr">
        <is>
          <t>Kenardan izledin. Herkes bebeğe bakarken deden sana baktı, cebinden bir şeker çıkardı: “Sen de hâlâ benimsin.”</t>
        </is>
      </c>
      <c r="H1799" s="6" t="inlineStr"/>
      <c r="I1799" s="6" t="inlineStr"/>
      <c r="J1799" s="6" t="inlineStr"/>
      <c r="K1799" s="6" t="inlineStr"/>
      <c r="L1799" s="6" t="inlineStr"/>
      <c r="M1799" s="5" t="inlineStr"/>
      <c r="N1799" s="5" t="inlineStr"/>
      <c r="O1799" s="6" t="inlineStr"/>
      <c r="P1799" s="6" t="inlineStr"/>
      <c r="Q1799" s="5" t="inlineStr"/>
      <c r="R1799" s="5" t="inlineStr"/>
      <c r="S1799" s="5" t="inlineStr"/>
      <c r="T1799" s="5" t="inlineStr"/>
      <c r="U1799" s="5" t="inlineStr">
        <is>
          <t>kardesli</t>
        </is>
      </c>
      <c r="V1799" s="5" t="inlineStr"/>
      <c r="W1799" s="5" t="inlineStr"/>
      <c r="X1799" s="5" t="inlineStr"/>
      <c r="Y1799" s="5" t="inlineStr"/>
      <c r="Z1799" s="6" t="inlineStr"/>
      <c r="AA1799" s="5" t="inlineStr"/>
      <c r="AB1799" s="5" t="inlineStr"/>
      <c r="AC1799" s="5" t="inlineStr"/>
      <c r="AD1799" s="5" t="inlineStr"/>
      <c r="AE1799" s="5" t="inlineStr"/>
      <c r="AF1799" s="5" t="inlineStr"/>
      <c r="AG1799" s="5" t="inlineStr"/>
      <c r="AH1799" s="5" t="inlineStr"/>
      <c r="AI1799" s="5" t="inlineStr"/>
      <c r="AJ1799" s="5" t="inlineStr"/>
    </row>
    <row r="1800">
      <c r="A1800" s="5" t="inlineStr">
        <is>
          <t>b2-bayram-sabahi</t>
        </is>
      </c>
      <c r="B1800" s="5" t="n">
        <v>1</v>
      </c>
      <c r="C1800" s="6" t="inlineStr">
        <is>
          <t>Sırayla el öp</t>
        </is>
      </c>
      <c r="D1800" s="5" t="inlineStr"/>
      <c r="E1800" s="5" t="inlineStr"/>
      <c r="F1800" s="5" t="inlineStr">
        <is>
          <t>İtibar +1</t>
        </is>
      </c>
      <c r="G1800" s="6" t="inlineStr">
        <is>
          <t>Bütün elleri öptün, bütün yanaklar sıkıldı. Cebin doldu, yanakların kızardı. Değdi.</t>
        </is>
      </c>
      <c r="H1800" s="6" t="inlineStr"/>
      <c r="I1800" s="6" t="inlineStr"/>
      <c r="J1800" s="6" t="inlineStr"/>
      <c r="K1800" s="6" t="inlineStr"/>
      <c r="L1800" s="6" t="inlineStr"/>
      <c r="M1800" s="5" t="inlineStr"/>
      <c r="N1800" s="5" t="inlineStr"/>
      <c r="O1800" s="6" t="inlineStr"/>
      <c r="P1800" s="6" t="inlineStr"/>
      <c r="Q1800" s="5" t="inlineStr"/>
      <c r="R1800" s="5" t="inlineStr"/>
      <c r="S1800" s="5" t="inlineStr"/>
      <c r="T1800" s="5" t="inlineStr"/>
      <c r="U1800" s="5" t="inlineStr"/>
      <c r="V1800" s="5" t="inlineStr"/>
      <c r="W1800" s="5" t="inlineStr"/>
      <c r="X1800" s="5" t="inlineStr"/>
      <c r="Y1800" s="5" t="inlineStr"/>
      <c r="Z1800" s="6" t="inlineStr"/>
      <c r="AA1800" s="5" t="inlineStr"/>
      <c r="AB1800" s="5" t="inlineStr"/>
      <c r="AC1800" s="5" t="inlineStr"/>
      <c r="AD1800" s="5" t="inlineStr"/>
      <c r="AE1800" s="5" t="inlineStr"/>
      <c r="AF1800" s="5" t="inlineStr"/>
      <c r="AG1800" s="5" t="inlineStr"/>
      <c r="AH1800" s="5" t="inlineStr"/>
      <c r="AI1800" s="5" t="inlineStr"/>
      <c r="AJ1800" s="5" t="inlineStr"/>
    </row>
    <row r="1801">
      <c r="A1801" s="5" t="inlineStr">
        <is>
          <t>b2-bayram-sabahi</t>
        </is>
      </c>
      <c r="B1801" s="5" t="n">
        <v>2</v>
      </c>
      <c r="C1801" s="6" t="inlineStr">
        <is>
          <t>Elini öpüp cebe bak</t>
        </is>
      </c>
      <c r="D1801" s="5" t="inlineStr">
        <is>
          <t>Pişkinlik</t>
        </is>
      </c>
      <c r="E1801" s="5" t="inlineStr">
        <is>
          <t>Kolay</t>
        </is>
      </c>
      <c r="F1801" s="5" t="inlineStr"/>
      <c r="G1801" s="6" t="inlineStr"/>
      <c r="H1801" s="6" t="inlineStr">
        <is>
          <t>Elini öptün, gözün cepte kaldı. Halan gördü, güldü, verdi.</t>
        </is>
      </c>
      <c r="I1801" s="6" t="inlineStr">
        <is>
          <t>Dedenin cebine baktın. Deden güldü, “Yakaladı beni” dedi, iki kat verdi. Salon sana güldü, sen cebine.</t>
        </is>
      </c>
      <c r="J1801" s="6" t="inlineStr">
        <is>
          <t>Cebe baktın. Amca “Önce el öpülür” dedi. Öptün; cep açılmadı.</t>
        </is>
      </c>
      <c r="K1801" s="6" t="inlineStr">
        <is>
          <t>Elini öpmeden “Harçlık?” dedin. Salon sustu, annen kulağına eğildi. O gün cebine tek bozukluk girmedi; akşam yemeğinde hâlâ konuşuluyordu.</t>
        </is>
      </c>
      <c r="L1801" s="6" t="inlineStr"/>
      <c r="M1801" s="5" t="inlineStr"/>
      <c r="N1801" s="5" t="inlineStr"/>
      <c r="O1801" s="6" t="inlineStr"/>
      <c r="P1801" s="6" t="inlineStr"/>
      <c r="Q1801" s="5" t="inlineStr"/>
      <c r="R1801" s="5" t="inlineStr"/>
      <c r="S1801" s="5" t="inlineStr"/>
      <c r="T1801" s="5" t="inlineStr"/>
      <c r="U1801" s="5" t="inlineStr"/>
      <c r="V1801" s="5" t="inlineStr"/>
      <c r="W1801" s="5" t="inlineStr"/>
      <c r="X1801" s="5" t="inlineStr"/>
      <c r="Y1801" s="5" t="inlineStr"/>
      <c r="Z1801" s="6" t="inlineStr"/>
      <c r="AA1801" s="5" t="inlineStr"/>
      <c r="AB1801" s="5" t="inlineStr"/>
      <c r="AC1801" s="5" t="inlineStr"/>
      <c r="AD1801" s="5" t="inlineStr"/>
      <c r="AE1801" s="5" t="inlineStr"/>
      <c r="AF1801" s="5" t="inlineStr"/>
      <c r="AG1801" s="5" t="inlineStr"/>
      <c r="AH1801" s="5" t="inlineStr"/>
      <c r="AI1801" s="5" t="inlineStr"/>
      <c r="AJ1801" s="5" t="inlineStr"/>
    </row>
    <row r="1802">
      <c r="A1802" s="5" t="inlineStr">
        <is>
          <t>b2-bayram-sabahi</t>
        </is>
      </c>
      <c r="B1802" s="5" t="n">
        <v>3</v>
      </c>
      <c r="C1802" s="6" t="inlineStr">
        <is>
          <t>Kolonyayı sen dök</t>
        </is>
      </c>
      <c r="D1802" s="5" t="inlineStr">
        <is>
          <t>Dayanıklılık</t>
        </is>
      </c>
      <c r="E1802" s="5" t="inlineStr">
        <is>
          <t>Kolay</t>
        </is>
      </c>
      <c r="F1802" s="5" t="inlineStr"/>
      <c r="G1802" s="6" t="inlineStr"/>
      <c r="H1802" s="6" t="inlineStr">
        <is>
          <t>Hepsine döktün; iki avuca biraz fazla, halıya biraz. Kimse bir şey demedi; bayramdı.</t>
        </is>
      </c>
      <c r="I1802" s="6" t="inlineStr">
        <is>
          <t>On iki avuç, on iki ölçü, sıfır halı. Babaannen “Bu çocuk bayram için doğmuş” dedi; harçlıklar iki kat geldi.</t>
        </is>
      </c>
      <c r="J1802" s="6" t="inlineStr">
        <is>
          <t>Şişeyi ters tuttun. Kolonya sana döküldü. Bütün bayram senden limon koktu.</t>
        </is>
      </c>
      <c r="K1802" s="6" t="inlineStr">
        <is>
          <t>Şişeyle sallandın: halı, koltuk, kedi ve halanın çantası kolonyalandı. Çantadaki harçlık zarfı da. Harçlık yine geldi; ıslak ve geç.</t>
        </is>
      </c>
      <c r="L1802" s="6" t="inlineStr">
        <is>
          <t>Yarıya kadar iyi gitti; sonra şişe kaydı, dayın ıslandı. Dayın güldü; dayın hep güler.</t>
        </is>
      </c>
      <c r="M1802" s="5" t="inlineStr">
        <is>
          <t>timing</t>
        </is>
      </c>
      <c r="N1802" s="5" t="inlineStr">
        <is>
          <t>Kolonya Ölçüsü</t>
        </is>
      </c>
      <c r="O1802" s="6" t="inlineStr">
        <is>
          <t>İbre yeşil alandayken DURDUR'a bas. Art arda tutturdukça kombo kazanırsın.</t>
        </is>
      </c>
      <c r="P1802" s="6" t="n"/>
      <c r="Q1802" s="5" t="inlineStr"/>
      <c r="R1802" s="5" t="inlineStr"/>
      <c r="S1802" s="5" t="inlineStr"/>
      <c r="T1802" s="5" t="inlineStr"/>
      <c r="U1802" s="5" t="inlineStr"/>
      <c r="V1802" s="5" t="inlineStr"/>
      <c r="W1802" s="5" t="inlineStr"/>
      <c r="X1802" s="5" t="inlineStr"/>
      <c r="Y1802" s="5" t="inlineStr"/>
      <c r="Z1802" s="6" t="inlineStr"/>
      <c r="AA1802" s="5" t="inlineStr"/>
      <c r="AB1802" s="5" t="inlineStr"/>
      <c r="AC1802" s="5" t="inlineStr"/>
      <c r="AD1802" s="5" t="inlineStr"/>
      <c r="AE1802" s="5" t="inlineStr"/>
      <c r="AF1802" s="5" t="inlineStr"/>
      <c r="AG1802" s="5" t="inlineStr"/>
      <c r="AH1802" s="5" t="inlineStr"/>
      <c r="AI1802" s="5" t="inlineStr"/>
      <c r="AJ1802" s="5" t="inlineStr"/>
    </row>
    <row r="1803">
      <c r="A1803" s="5" t="inlineStr">
        <is>
          <t>b2-bayram-sabahi</t>
        </is>
      </c>
      <c r="B1803" s="5" t="n">
        <v>4</v>
      </c>
      <c r="C1803" s="6" t="inlineStr">
        <is>
          <t>Harçlık gelmeden kolonya yok</t>
        </is>
      </c>
      <c r="D1803" s="5" t="inlineStr">
        <is>
          <t>Çene</t>
        </is>
      </c>
      <c r="E1803" s="5" t="inlineStr">
        <is>
          <t>Orta</t>
        </is>
      </c>
      <c r="F1803" s="5" t="inlineStr"/>
      <c r="G1803" s="6" t="inlineStr"/>
      <c r="H1803" s="6" t="inlineStr">
        <is>
          <t>Halan güldü, harçlığı verdi, sonra avucunu uzattı. Arkasındaki amca cüzdanını çoktan çıkarmıştı. Babaannen “Bu çocuk kime çekmiş?” dedi; herkes dedene baktı.</t>
        </is>
      </c>
      <c r="I1803" s="6" t="inlineStr">
        <is>
          <t>Şişeyi tuttun, öbür elini uzattın, bekledin. Herkes anladı, herkes güldü, herkes verdi. Kolonya sonra geldi; harçlık önce.</t>
        </is>
      </c>
      <c r="J1803" s="6" t="inlineStr">
        <is>
          <t>“Önce harçlık” dedin. Annen seni mutfağa çağırdı. Kolonyayı kuzenin döktü, harçlığı da o topladı.</t>
        </is>
      </c>
      <c r="K1803" s="6" t="inlineStr">
        <is>
          <t>“Önce harçlık” dedin; dayın “Hadi bakalım” deyip cebinden boş elini çıkardı. Salon güldü. Harçlık gelmedi, şişe de elinden alındı.</t>
        </is>
      </c>
      <c r="L1803" s="6" t="inlineStr"/>
      <c r="M1803" s="5" t="inlineStr"/>
      <c r="N1803" s="5" t="inlineStr"/>
      <c r="O1803" s="6" t="inlineStr"/>
      <c r="P1803" s="6" t="inlineStr"/>
      <c r="Q1803" s="5" t="inlineStr"/>
      <c r="R1803" s="5" t="inlineStr"/>
      <c r="S1803" s="5" t="inlineStr"/>
      <c r="T1803" s="5" t="inlineStr">
        <is>
          <t>Küçük Tüccar</t>
        </is>
      </c>
      <c r="U1803" s="5" t="inlineStr"/>
      <c r="V1803" s="5" t="inlineStr"/>
      <c r="W1803" s="5" t="inlineStr"/>
      <c r="X1803" s="5" t="inlineStr"/>
      <c r="Y1803" s="5" t="inlineStr"/>
      <c r="Z1803" s="6" t="inlineStr"/>
      <c r="AA1803" s="5" t="inlineStr"/>
      <c r="AB1803" s="5" t="inlineStr"/>
      <c r="AC1803" s="5" t="inlineStr"/>
      <c r="AD1803" s="5" t="inlineStr"/>
      <c r="AE1803" s="5" t="inlineStr"/>
      <c r="AF1803" s="5" t="inlineStr"/>
      <c r="AG1803" s="5" t="inlineStr"/>
      <c r="AH1803" s="5" t="inlineStr"/>
      <c r="AI1803" s="5" t="inlineStr"/>
      <c r="AJ1803" s="5" t="inlineStr"/>
    </row>
    <row r="1804">
      <c r="A1804" s="5" t="inlineStr">
        <is>
          <t>b3-okuma-bayrami</t>
        </is>
      </c>
      <c r="B1804" s="5" t="n">
        <v>1</v>
      </c>
      <c r="C1804" s="6" t="inlineStr">
        <is>
          <t>Hece hece, yavaş oku</t>
        </is>
      </c>
      <c r="D1804" s="5" t="inlineStr"/>
      <c r="E1804" s="5" t="inlineStr"/>
      <c r="F1804" s="5" t="inlineStr">
        <is>
          <t>Dayanıklılık +1</t>
        </is>
      </c>
      <c r="G1804" s="6" t="inlineStr">
        <is>
          <t>Hece hece okudun; cümle iki dakika sürdü. Kurdele yakana takıldı. Babaannen eve gelince kurdeleyi vitrine, kristal şekerliğin yanına koydu.</t>
        </is>
      </c>
      <c r="H1804" s="6" t="inlineStr"/>
      <c r="I1804" s="6" t="inlineStr"/>
      <c r="J1804" s="6" t="inlineStr"/>
      <c r="K1804" s="6" t="inlineStr"/>
      <c r="L1804" s="6" t="inlineStr"/>
      <c r="M1804" s="5" t="inlineStr"/>
      <c r="N1804" s="5" t="inlineStr"/>
      <c r="O1804" s="6" t="inlineStr"/>
      <c r="P1804" s="6" t="inlineStr"/>
      <c r="Q1804" s="5" t="inlineStr"/>
      <c r="R1804" s="5" t="inlineStr"/>
      <c r="S1804" s="5" t="inlineStr"/>
      <c r="T1804" s="5" t="inlineStr"/>
      <c r="U1804" s="5" t="inlineStr"/>
      <c r="V1804" s="5" t="inlineStr"/>
      <c r="W1804" s="5" t="inlineStr"/>
      <c r="X1804" s="5" t="inlineStr"/>
      <c r="Y1804" s="5" t="inlineStr"/>
      <c r="Z1804" s="6" t="inlineStr"/>
      <c r="AA1804" s="5" t="inlineStr"/>
      <c r="AB1804" s="5" t="inlineStr"/>
      <c r="AC1804" s="5" t="inlineStr"/>
      <c r="AD1804" s="5" t="inlineStr"/>
      <c r="AE1804" s="5" t="inlineStr"/>
      <c r="AF1804" s="5" t="inlineStr"/>
      <c r="AG1804" s="5" t="inlineStr"/>
      <c r="AH1804" s="5" t="inlineStr"/>
      <c r="AI1804" s="5" t="inlineStr"/>
      <c r="AJ1804" s="5" t="inlineStr"/>
    </row>
    <row r="1805">
      <c r="A1805" s="5" t="inlineStr">
        <is>
          <t>b3-okuma-bayrami</t>
        </is>
      </c>
      <c r="B1805" s="5" t="n">
        <v>2</v>
      </c>
      <c r="C1805" s="6" t="inlineStr">
        <is>
          <t>Öndekileri dinle, ezberden oku</t>
        </is>
      </c>
      <c r="D1805" s="5" t="inlineStr">
        <is>
          <t>Kurnazlık</t>
        </is>
      </c>
      <c r="E1805" s="5" t="inlineStr">
        <is>
          <t>Orta</t>
        </is>
      </c>
      <c r="F1805" s="5" t="inlineStr"/>
      <c r="G1805" s="6" t="inlineStr"/>
      <c r="H1805" s="6" t="inlineStr">
        <is>
          <t>Cümleyi ezberden söyledin, parmağını da kelimelerin üstünde gezdirdin. Kimse fark etmedi; kurdele senin.</t>
        </is>
      </c>
      <c r="I1805" s="6" t="inlineStr">
        <is>
          <t>Öndeki üç çocuğu dinleyip cümleyi ezberledin, kitaba bakmadan okudun. Öğretmen “Bu çocuk kitaba bakmıyor bile” dedi. Bakmıyordun, çünkü okuyamıyordun.</t>
        </is>
      </c>
      <c r="J1805" s="6" t="inlineStr">
        <is>
          <t>Ezber üçüncü kelimede bitti. Kitaba baktın ama nerede olduğunu bilmiyordun. Öğretmen gelip parmağıyla gösterdi.</t>
        </is>
      </c>
      <c r="K1805" s="6" t="inlineStr">
        <is>
          <t>Ezberledin ama kitabı ters tuttun. Ön sıradan deden “Ters tutuyor!” diye bağırdı. Videoda en net duyulan cümle o oldu.</t>
        </is>
      </c>
      <c r="L1805" s="6" t="inlineStr"/>
      <c r="M1805" s="5" t="inlineStr"/>
      <c r="N1805" s="5" t="inlineStr"/>
      <c r="O1805" s="6" t="inlineStr"/>
      <c r="P1805" s="6" t="inlineStr"/>
      <c r="Q1805" s="5" t="inlineStr"/>
      <c r="R1805" s="5" t="inlineStr"/>
      <c r="S1805" s="5" t="inlineStr"/>
      <c r="T1805" s="5" t="inlineStr"/>
      <c r="U1805" s="5" t="inlineStr"/>
      <c r="V1805" s="5" t="inlineStr"/>
      <c r="W1805" s="5" t="inlineStr"/>
      <c r="X1805" s="5" t="inlineStr"/>
      <c r="Y1805" s="5" t="inlineStr"/>
      <c r="Z1805" s="6" t="inlineStr"/>
      <c r="AA1805" s="5" t="inlineStr"/>
      <c r="AB1805" s="5" t="inlineStr"/>
      <c r="AC1805" s="5" t="inlineStr"/>
      <c r="AD1805" s="5" t="inlineStr"/>
      <c r="AE1805" s="5" t="inlineStr"/>
      <c r="AF1805" s="5" t="inlineStr"/>
      <c r="AG1805" s="5" t="inlineStr"/>
      <c r="AH1805" s="5" t="inlineStr"/>
      <c r="AI1805" s="5" t="inlineStr"/>
      <c r="AJ1805" s="5" t="inlineStr"/>
    </row>
    <row r="1806">
      <c r="A1806" s="5" t="inlineStr">
        <is>
          <t>b3-okuma-bayrami</t>
        </is>
      </c>
      <c r="B1806" s="5" t="n">
        <v>3</v>
      </c>
      <c r="C1806" s="6" t="inlineStr">
        <is>
          <t>Kocaman sesle oku</t>
        </is>
      </c>
      <c r="D1806" s="5" t="inlineStr">
        <is>
          <t>Cesaret</t>
        </is>
      </c>
      <c r="E1806" s="5" t="inlineStr">
        <is>
          <t>Orta</t>
        </is>
      </c>
      <c r="F1806" s="5" t="inlineStr"/>
      <c r="G1806" s="6" t="inlineStr"/>
      <c r="H1806" s="6" t="inlineStr">
        <is>
          <t>Sesin salonu doldurdu. Annen ağladı; babaannen “Bizim taraftan çekmiş” dedi.</t>
        </is>
      </c>
      <c r="I1806" s="6" t="inlineStr">
        <is>
          <t>Öyle gür okudun ki arka sıradaki deden ayağa kalkıp alkışladı. Müdür kurdeleni kendi eliyle taktı.</t>
        </is>
      </c>
      <c r="J1806" s="6" t="inlineStr">
        <is>
          <t>Mikrofona fazla yaklaştın; hoparlör ötmeye başladı. Cümleyi kimse duymadı ama kurdele takıldı.</t>
        </is>
      </c>
      <c r="K1806" s="6" t="inlineStr">
        <is>
          <t>Heyecandan “Ali topu at” yerine “Ali topu ye” okudun. Salon kahkahaya boğuldu. O günden sonra sana top atan herkes “Ye!” diye bağırdı.</t>
        </is>
      </c>
      <c r="L1806" s="6" t="inlineStr"/>
      <c r="M1806" s="5" t="inlineStr"/>
      <c r="N1806" s="5" t="inlineStr"/>
      <c r="O1806" s="6" t="inlineStr"/>
      <c r="P1806" s="6" t="inlineStr"/>
      <c r="Q1806" s="5" t="inlineStr"/>
      <c r="R1806" s="5" t="inlineStr"/>
      <c r="S1806" s="5" t="inlineStr"/>
      <c r="T1806" s="5" t="inlineStr"/>
      <c r="U1806" s="5" t="inlineStr"/>
      <c r="V1806" s="5" t="inlineStr"/>
      <c r="W1806" s="5" t="inlineStr"/>
      <c r="X1806" s="5" t="inlineStr"/>
      <c r="Y1806" s="5" t="inlineStr"/>
      <c r="Z1806" s="6" t="inlineStr"/>
      <c r="AA1806" s="5" t="inlineStr"/>
      <c r="AB1806" s="5" t="inlineStr"/>
      <c r="AC1806" s="5" t="inlineStr"/>
      <c r="AD1806" s="5" t="inlineStr"/>
      <c r="AE1806" s="5" t="inlineStr"/>
      <c r="AF1806" s="5" t="inlineStr"/>
      <c r="AG1806" s="5" t="inlineStr"/>
      <c r="AH1806" s="5" t="inlineStr"/>
      <c r="AI1806" s="5" t="inlineStr"/>
      <c r="AJ1806" s="5" t="inlineStr"/>
    </row>
    <row r="1807">
      <c r="A1807" s="5" t="inlineStr">
        <is>
          <t>b3-okuma-bayrami</t>
        </is>
      </c>
      <c r="B1807" s="5" t="n">
        <v>4</v>
      </c>
      <c r="C1807" s="6" t="inlineStr">
        <is>
          <t>Takılan sıra arkadaşına fısılda</t>
        </is>
      </c>
      <c r="D1807" s="5" t="inlineStr">
        <is>
          <t>Sosyal Radar</t>
        </is>
      </c>
      <c r="E1807" s="5" t="inlineStr">
        <is>
          <t>Orta</t>
        </is>
      </c>
      <c r="F1807" s="5" t="inlineStr"/>
      <c r="G1807" s="6" t="inlineStr"/>
      <c r="H1807" s="6" t="inlineStr">
        <is>
          <t>Arkadaşın takıldı, sen fısıldadın, cümle tamamlandı. Öğretmen sana göz kırptı.</t>
        </is>
      </c>
      <c r="I1807" s="6" t="inlineStr">
        <is>
          <t>Sıra arkadaşın donup kaldı; kulağına fısıldadın, okudu. Alkışın yarısı ona, yarısı sana; annesi çıkışta seni öptü.</t>
        </is>
      </c>
      <c r="J1807" s="6" t="inlineStr">
        <is>
          <t>Fısıldadın ama yanlış satırı. Arkadaşın senin cümleni okudu; sana okuyacak cümle kalmadı.</t>
        </is>
      </c>
      <c r="K1807" s="6" t="inlineStr">
        <is>
          <t>Fısıldayacaktın ama mikrofon açıktı. Salon cümleyi önce senden, sonra arkadaşından duydu. Çıkışta arkadaşının annesi babaannene “Sizinki bizimkinin yerine de okudu, sağ olsun” dedi; babaannen bunu iltifat sanıp bütün akrabaya anlattı.</t>
        </is>
      </c>
      <c r="L1807" s="6" t="inlineStr"/>
      <c r="M1807" s="5" t="inlineStr"/>
      <c r="N1807" s="5" t="inlineStr"/>
      <c r="O1807" s="6" t="inlineStr"/>
      <c r="P1807" s="6" t="inlineStr"/>
      <c r="Q1807" s="5" t="inlineStr"/>
      <c r="R1807" s="5" t="inlineStr"/>
      <c r="S1807" s="5" t="inlineStr"/>
      <c r="T1807" s="5" t="inlineStr"/>
      <c r="U1807" s="5" t="inlineStr"/>
      <c r="V1807" s="5" t="inlineStr"/>
      <c r="W1807" s="5" t="inlineStr"/>
      <c r="X1807" s="5" t="inlineStr"/>
      <c r="Y1807" s="5" t="inlineStr"/>
      <c r="Z1807" s="6" t="inlineStr"/>
      <c r="AA1807" s="5" t="inlineStr"/>
      <c r="AB1807" s="5" t="inlineStr"/>
      <c r="AC1807" s="5" t="inlineStr"/>
      <c r="AD1807" s="5" t="inlineStr"/>
      <c r="AE1807" s="5" t="inlineStr"/>
      <c r="AF1807" s="5" t="inlineStr"/>
      <c r="AG1807" s="5" t="inlineStr"/>
      <c r="AH1807" s="5" t="inlineStr"/>
      <c r="AI1807" s="5" t="inlineStr"/>
      <c r="AJ1807" s="5" t="inlineStr"/>
    </row>
    <row r="1808">
      <c r="A1808" s="5" t="inlineStr">
        <is>
          <t>b5-kuzenin-dugunu</t>
        </is>
      </c>
      <c r="B1808" s="5" t="n">
        <v>1</v>
      </c>
      <c r="C1808" s="6" t="inlineStr">
        <is>
          <t>Masada otur, çerezi bitir</t>
        </is>
      </c>
      <c r="D1808" s="5" t="inlineStr"/>
      <c r="E1808" s="5" t="inlineStr"/>
      <c r="F1808" s="5" t="inlineStr">
        <is>
          <t>Dayanıklılık +1</t>
        </is>
      </c>
      <c r="G1808" s="6" t="inlineStr">
        <is>
          <t>Bütün gece masada oturdun. Çerez tabağı üç kez doldu, üç kez boşaldı. Halan her geçişte “Kalk be” dedi; kalkmadın.</t>
        </is>
      </c>
      <c r="H1808" s="6" t="inlineStr"/>
      <c r="I1808" s="6" t="inlineStr"/>
      <c r="J1808" s="6" t="inlineStr"/>
      <c r="K1808" s="6" t="inlineStr"/>
      <c r="L1808" s="6" t="inlineStr"/>
      <c r="M1808" s="5" t="inlineStr"/>
      <c r="N1808" s="5" t="inlineStr"/>
      <c r="O1808" s="6" t="inlineStr"/>
      <c r="P1808" s="6" t="inlineStr"/>
      <c r="Q1808" s="5" t="inlineStr"/>
      <c r="R1808" s="5" t="inlineStr"/>
      <c r="S1808" s="5" t="inlineStr"/>
      <c r="T1808" s="5" t="inlineStr"/>
      <c r="U1808" s="5" t="inlineStr"/>
      <c r="V1808" s="5" t="inlineStr"/>
      <c r="W1808" s="5" t="inlineStr"/>
      <c r="X1808" s="5" t="inlineStr"/>
      <c r="Y1808" s="5" t="inlineStr"/>
      <c r="Z1808" s="6" t="inlineStr"/>
      <c r="AA1808" s="5" t="inlineStr"/>
      <c r="AB1808" s="5" t="inlineStr"/>
      <c r="AC1808" s="5" t="inlineStr"/>
      <c r="AD1808" s="5" t="inlineStr"/>
      <c r="AE1808" s="5" t="inlineStr"/>
      <c r="AF1808" s="5" t="inlineStr"/>
      <c r="AG1808" s="5" t="inlineStr"/>
      <c r="AH1808" s="5" t="inlineStr"/>
      <c r="AI1808" s="5" t="inlineStr"/>
      <c r="AJ1808" s="5" t="inlineStr"/>
    </row>
    <row r="1809">
      <c r="A1809" s="5" t="inlineStr">
        <is>
          <t>b5-kuzenin-dugunu</t>
        </is>
      </c>
      <c r="B1809" s="5" t="n">
        <v>2</v>
      </c>
      <c r="C1809" s="6" t="inlineStr">
        <is>
          <t>Halayın başına geç</t>
        </is>
      </c>
      <c r="D1809" s="5" t="inlineStr">
        <is>
          <t>Pişkinlik</t>
        </is>
      </c>
      <c r="E1809" s="5" t="inlineStr">
        <is>
          <t>Orta</t>
        </is>
      </c>
      <c r="F1809" s="5" t="inlineStr"/>
      <c r="G1809" s="6" t="inlineStr"/>
      <c r="H1809" s="6" t="inlineStr">
        <is>
          <t>Halayı başlattın, ritmi tuttun. Dayın arkadan “Bizimki!” diye bağırdı; video bir saat içinde aile grubundaydı.</t>
        </is>
      </c>
      <c r="I1809" s="6" t="inlineStr">
        <is>
          <t>Mendili öyle savurdun ki davulcu sana göre çalmaya başladı. Halay salondan taştı, otoparka kadar uzadı. Amcan davulcunun bahşişini senin adınla verdi.</t>
        </is>
      </c>
      <c r="J1809" s="6" t="inlineStr">
        <is>
          <t>Halayın başına geçtin. İki adım sonra dayın mendili elinden kibarca aldı. Sona geçtin.</t>
        </is>
      </c>
      <c r="K1809" s="6" t="inlineStr">
        <is>
          <t>Mendili havaya attın; gelinin duvağına takıldı. Duvak bütün halay boyunca senin elinde dolaştı. Düğün videosunun en çok izlenen yeri burası.</t>
        </is>
      </c>
      <c r="L1809" s="6" t="inlineStr">
        <is>
          <t>Ritmi tuttun ama halayı yanlış yöne çektin. Yarısı seninle, yarısı kuzenle gitti; ortada gelin kaldı.</t>
        </is>
      </c>
      <c r="M1809" s="5" t="inlineStr">
        <is>
          <t>simon</t>
        </is>
      </c>
      <c r="N1809" s="5" t="inlineStr">
        <is>
          <t>Halay Başı</t>
        </is>
      </c>
      <c r="O1809" s="6" t="inlineStr">
        <is>
          <t>Sırayı dinle, aynı sırayla tekrar et.</t>
        </is>
      </c>
      <c r="P1809" s="6" t="inlineStr">
        <is>
          <t>{"items": ["👣", "👏", "🪘", "🕺"]}</t>
        </is>
      </c>
      <c r="Q1809" s="5" t="inlineStr"/>
      <c r="R1809" s="5" t="inlineStr"/>
      <c r="S1809" s="5" t="inlineStr"/>
      <c r="T1809" s="5" t="inlineStr"/>
      <c r="U1809" s="5" t="inlineStr"/>
      <c r="V1809" s="5" t="inlineStr"/>
      <c r="W1809" s="5" t="inlineStr"/>
      <c r="X1809" s="5" t="inlineStr"/>
      <c r="Y1809" s="5" t="inlineStr"/>
      <c r="Z1809" s="6" t="inlineStr"/>
      <c r="AA1809" s="5" t="inlineStr"/>
      <c r="AB1809" s="5" t="inlineStr"/>
      <c r="AC1809" s="5" t="inlineStr"/>
      <c r="AD1809" s="5" t="inlineStr"/>
      <c r="AE1809" s="5" t="inlineStr"/>
      <c r="AF1809" s="5" t="inlineStr"/>
      <c r="AG1809" s="5" t="inlineStr"/>
      <c r="AH1809" s="5" t="inlineStr"/>
      <c r="AI1809" s="5" t="inlineStr"/>
      <c r="AJ1809" s="5" t="inlineStr"/>
    </row>
    <row r="1810">
      <c r="A1810" s="5" t="inlineStr">
        <is>
          <t>b5-kuzenin-dugunu</t>
        </is>
      </c>
      <c r="B1810" s="5" t="n">
        <v>3</v>
      </c>
      <c r="C1810" s="6" t="inlineStr">
        <is>
          <t>Takı anonsunu sen yap</t>
        </is>
      </c>
      <c r="D1810" s="5" t="inlineStr">
        <is>
          <t>Çene</t>
        </is>
      </c>
      <c r="E1810" s="5" t="inlineStr">
        <is>
          <t>Orta</t>
        </is>
      </c>
      <c r="F1810" s="5" t="inlineStr"/>
      <c r="G1810" s="6" t="inlineStr"/>
      <c r="H1810" s="6" t="inlineStr">
        <is>
          <t>Mikrofonu aldın, takıları tek tek okudun. Her “çeyrek”ten önce bir es verdin; salon nefesini tuttu. Ertesi gün mahalle rakamları senin sesinle konuşuyordu.</t>
        </is>
      </c>
      <c r="I1810" s="6" t="inlineStr">
        <is>
          <t>Anonsları öyle yaptın ki her takıdan sonra salon alkışladı. İki teyze bileziğini çıkarıp yeniden taktı; adı bir kez daha okunsun diye.</t>
        </is>
      </c>
      <c r="J1810" s="6" t="inlineStr">
        <is>
          <t>Mikrofonu aldın ama davul susmadı. Anonsun yarısı salona “ııı… çeyrek” diye ulaştı.</t>
        </is>
      </c>
      <c r="K1810" s="6" t="inlineStr">
        <is>
          <t>Bir teyzenin taktığı tek bileziği “Bir bilezik… o kadar” diye anons ettin. Salon sustu. O teyze artık bayramlarda gelmiyor.</t>
        </is>
      </c>
      <c r="L1810" s="6" t="inlineStr"/>
      <c r="M1810" s="5" t="inlineStr"/>
      <c r="N1810" s="5" t="inlineStr"/>
      <c r="O1810" s="6" t="inlineStr"/>
      <c r="P1810" s="6" t="inlineStr"/>
      <c r="Q1810" s="5" t="inlineStr"/>
      <c r="R1810" s="5" t="inlineStr"/>
      <c r="S1810" s="5" t="inlineStr"/>
      <c r="T1810" s="5" t="inlineStr"/>
      <c r="U1810" s="5" t="inlineStr"/>
      <c r="V1810" s="5" t="inlineStr"/>
      <c r="W1810" s="5" t="inlineStr"/>
      <c r="X1810" s="5" t="inlineStr"/>
      <c r="Y1810" s="5" t="inlineStr"/>
      <c r="Z1810" s="6" t="inlineStr"/>
      <c r="AA1810" s="5" t="inlineStr"/>
      <c r="AB1810" s="5" t="inlineStr"/>
      <c r="AC1810" s="5" t="inlineStr"/>
      <c r="AD1810" s="5" t="inlineStr"/>
      <c r="AE1810" s="5" t="inlineStr"/>
      <c r="AF1810" s="5" t="inlineStr"/>
      <c r="AG1810" s="5" t="inlineStr"/>
      <c r="AH1810" s="5" t="inlineStr"/>
      <c r="AI1810" s="5" t="inlineStr"/>
      <c r="AJ1810" s="5" t="inlineStr"/>
    </row>
    <row r="1811">
      <c r="A1811" s="5" t="inlineStr">
        <is>
          <t>b5-kuzenin-dugunu</t>
        </is>
      </c>
      <c r="B1811" s="5" t="n">
        <v>4</v>
      </c>
      <c r="C1811" s="6" t="inlineStr">
        <is>
          <t>Gelin çıkarken kapıyı tut</t>
        </is>
      </c>
      <c r="D1811" s="5" t="inlineStr">
        <is>
          <t>Kurnazlık</t>
        </is>
      </c>
      <c r="E1811" s="5" t="inlineStr">
        <is>
          <t>Orta</t>
        </is>
      </c>
      <c r="F1811" s="5" t="inlineStr"/>
      <c r="G1811" s="6" t="inlineStr"/>
      <c r="H1811" s="6" t="inlineStr">
        <is>
          <t>Kapıyı tuttun, pazarlık ettin, bir zarf aldın. Damat tarafı seni “zor kuzen” diye andı.</t>
        </is>
      </c>
      <c r="I1811" s="6" t="inlineStr">
        <is>
          <t>Gelin evden çıkarken kapıyı tuttun; damadın babası üç kez cebine uzandı. Toplanan para bütün bayram harçlıklarını geçti.</t>
        </is>
      </c>
      <c r="J1811" s="6" t="inlineStr">
        <is>
          <t>Kapıyı tuttun. Damat tarafından biri kapıyı senden sıkı tuttu. Zarf yok, selam var.</t>
        </is>
      </c>
      <c r="K1811" s="6" t="inlineStr">
        <is>
          <t>Kapıyı o kadar uzun tuttun ki konvoy korna çalmaya başladı, bütün sokak balkona çıktı. Annen zarfı damadın babasına özür dileyerek geri verdi.</t>
        </is>
      </c>
      <c r="L1811" s="6" t="inlineStr"/>
      <c r="M1811" s="5" t="inlineStr"/>
      <c r="N1811" s="5" t="inlineStr"/>
      <c r="O1811" s="6" t="inlineStr"/>
      <c r="P1811" s="6" t="inlineStr"/>
      <c r="Q1811" s="5" t="inlineStr"/>
      <c r="R1811" s="5" t="inlineStr"/>
      <c r="S1811" s="5" t="inlineStr"/>
      <c r="T1811" s="5" t="inlineStr"/>
      <c r="U1811" s="5" t="inlineStr"/>
      <c r="V1811" s="5" t="inlineStr"/>
      <c r="W1811" s="5" t="inlineStr"/>
      <c r="X1811" s="5" t="inlineStr"/>
      <c r="Y1811" s="5" t="inlineStr"/>
      <c r="Z1811" s="6" t="inlineStr"/>
      <c r="AA1811" s="5" t="inlineStr"/>
      <c r="AB1811" s="5" t="inlineStr"/>
      <c r="AC1811" s="5" t="inlineStr"/>
      <c r="AD1811" s="5" t="inlineStr"/>
      <c r="AE1811" s="5" t="inlineStr"/>
      <c r="AF1811" s="5" t="inlineStr"/>
      <c r="AG1811" s="5" t="inlineStr"/>
      <c r="AH1811" s="5" t="inlineStr"/>
      <c r="AI1811" s="5" t="inlineStr"/>
      <c r="AJ1811" s="5" t="inlineStr"/>
    </row>
    <row r="1812">
      <c r="A1812" s="5" t="inlineStr">
        <is>
          <t>b6-anneannenin-sandalyesi</t>
        </is>
      </c>
      <c r="B1812" s="5" t="n">
        <v>1</v>
      </c>
      <c r="C1812" s="6" t="inlineStr">
        <is>
          <t>Kapıda dur, ayakkabıları diz</t>
        </is>
      </c>
      <c r="D1812" s="5" t="inlineStr"/>
      <c r="E1812" s="5" t="inlineStr"/>
      <c r="F1812" s="5" t="inlineStr">
        <is>
          <t>Dayanıklılık +1, İtibar +1</t>
        </is>
      </c>
      <c r="G1812" s="6" t="inlineStr">
        <is>
          <t>Üç gün kapıda durdun, iki yüz çift ayakkabı dizdin; birini bile karıştırmadın. Son gece herkes gidince annen tepsiyi elinden aldı: “Otur artık.” Oturdun; o zaman ağladın.</t>
        </is>
      </c>
      <c r="H1812" s="6" t="inlineStr"/>
      <c r="I1812" s="6" t="inlineStr"/>
      <c r="J1812" s="6" t="inlineStr"/>
      <c r="K1812" s="6" t="inlineStr"/>
      <c r="L1812" s="6" t="inlineStr"/>
      <c r="M1812" s="5" t="inlineStr"/>
      <c r="N1812" s="5" t="inlineStr"/>
      <c r="O1812" s="6" t="inlineStr"/>
      <c r="P1812" s="6" t="inlineStr"/>
      <c r="Q1812" s="5" t="inlineStr"/>
      <c r="R1812" s="5" t="inlineStr"/>
      <c r="S1812" s="5" t="inlineStr"/>
      <c r="T1812" s="5" t="inlineStr"/>
      <c r="U1812" s="5" t="inlineStr">
        <is>
          <t>anneanne-ugurladi</t>
        </is>
      </c>
      <c r="V1812" s="5" t="inlineStr"/>
      <c r="W1812" s="5" t="inlineStr"/>
      <c r="X1812" s="5" t="inlineStr"/>
      <c r="Y1812" s="5" t="inlineStr"/>
      <c r="Z1812" s="6" t="inlineStr"/>
      <c r="AA1812" s="5" t="inlineStr"/>
      <c r="AB1812" s="5" t="inlineStr"/>
      <c r="AC1812" s="5" t="inlineStr"/>
      <c r="AD1812" s="5" t="inlineStr"/>
      <c r="AE1812" s="5" t="inlineStr"/>
      <c r="AF1812" s="5" t="inlineStr"/>
      <c r="AG1812" s="5" t="inlineStr"/>
      <c r="AH1812" s="5" t="inlineStr"/>
      <c r="AI1812" s="5" t="inlineStr"/>
      <c r="AJ1812" s="5" t="inlineStr"/>
    </row>
    <row r="1813">
      <c r="A1813" s="5" t="inlineStr">
        <is>
          <t>b6-anneannenin-sandalyesi</t>
        </is>
      </c>
      <c r="B1813" s="5" t="n">
        <v>2</v>
      </c>
      <c r="C1813" s="6" t="inlineStr">
        <is>
          <t>Annenin yanına otur, sus</t>
        </is>
      </c>
      <c r="D1813" s="5" t="inlineStr">
        <is>
          <t>Gönül</t>
        </is>
      </c>
      <c r="E1813" s="5" t="inlineStr">
        <is>
          <t>Orta</t>
        </is>
      </c>
      <c r="F1813" s="5" t="inlineStr"/>
      <c r="G1813" s="6" t="inlineStr"/>
      <c r="H1813" s="6" t="inlineStr">
        <is>
          <t>Yanına oturdun. Annen çayını sana uzattı, sonra bir dakikalığına başını omzuna yasladı. Ertesi sabah anneannenin yüzüğünü avucuna koydu: “Bu sende dursun.”</t>
        </is>
      </c>
      <c r="I1813" s="6" t="inlineStr">
        <is>
          <t>Yanına oturdun, bir şey demedin. Gece yarısı annen anneannenin gençliğini anlatmaya başladı: bir düğünde, damadın üstüne ayran döken utangaç bir kız. Sabaha kadar sürdü; bir ara ikiniz de güldünüz.</t>
        </is>
      </c>
      <c r="J1813" s="6" t="inlineStr">
        <is>
          <t>“En azından uzun yaşadı” dedin. Annen “Bana kısa geldi” dedi ve kalkıp mutfağa gitti. Bir daha teselli cümlesi kurmadın.</t>
        </is>
      </c>
      <c r="K1813" s="6" t="inlineStr">
        <is>
          <t>Yanına oturdun, telefonun çaldı. Zil sesi, anneannenin sana öğrettiği oyun havasıydı. Bütün oda dondu. Sonra annen gülmeye başladı, sonra ağlamaya.</t>
        </is>
      </c>
      <c r="L1813" s="6" t="inlineStr"/>
      <c r="M1813" s="5" t="inlineStr"/>
      <c r="N1813" s="5" t="inlineStr"/>
      <c r="O1813" s="6" t="inlineStr"/>
      <c r="P1813" s="6" t="inlineStr"/>
      <c r="Q1813" s="5" t="inlineStr"/>
      <c r="R1813" s="5" t="inlineStr"/>
      <c r="S1813" s="5" t="inlineStr"/>
      <c r="T1813" s="5" t="inlineStr"/>
      <c r="U1813" s="5" t="inlineStr">
        <is>
          <t>anneanne-ugurladi</t>
        </is>
      </c>
      <c r="V1813" s="5" t="inlineStr"/>
      <c r="W1813" s="5" t="inlineStr"/>
      <c r="X1813" s="5" t="inlineStr"/>
      <c r="Y1813" s="5" t="inlineStr"/>
      <c r="Z1813" s="6" t="inlineStr"/>
      <c r="AA1813" s="5" t="inlineStr"/>
      <c r="AB1813" s="5" t="inlineStr"/>
      <c r="AC1813" s="5" t="inlineStr"/>
      <c r="AD1813" s="5" t="inlineStr"/>
      <c r="AE1813" s="5" t="inlineStr"/>
      <c r="AF1813" s="5" t="inlineStr"/>
      <c r="AG1813" s="5" t="inlineStr"/>
      <c r="AH1813" s="5" t="inlineStr"/>
      <c r="AI1813" s="5" t="inlineStr"/>
      <c r="AJ1813" s="5" t="inlineStr"/>
    </row>
    <row r="1814">
      <c r="A1814" s="5" t="inlineStr">
        <is>
          <t>b6-anneannenin-sandalyesi</t>
        </is>
      </c>
      <c r="B1814" s="5" t="n">
        <v>3</v>
      </c>
      <c r="C1814" s="6" t="inlineStr">
        <is>
          <t>“Ev kimde kalacak?” lafını kes</t>
        </is>
      </c>
      <c r="D1814" s="5" t="inlineStr">
        <is>
          <t>Sosyal Radar</t>
        </is>
      </c>
      <c r="E1814" s="5" t="inlineStr">
        <is>
          <t>Zor</t>
        </is>
      </c>
      <c r="F1814" s="5" t="inlineStr"/>
      <c r="G1814" s="6" t="inlineStr"/>
      <c r="H1814" s="6" t="inlineStr">
        <is>
          <t>Konuyu anneannenin bahçedeki erik ağacına çevirdin. Herkesin bir erik anısı çıktı; ev o akşam unutuldu.</t>
        </is>
      </c>
      <c r="I1814" s="6" t="inlineStr">
        <is>
          <t>Lafı tam zamanında kestin: “Anneannem bu masada kavga istemezdi.” Dayınla teyzen aynı anda sustu, sonra aynı anda sana çay koydu. Ev konusu bir yıl ertelendi; bu ailede bu, barış demek.</t>
        </is>
      </c>
      <c r="J1814" s="6" t="inlineStr">
        <is>
          <t>Araya girdin; kimse duymadı. Ev konuşması mutfağa taşındı. Annen salonda, sesler duyulmasın diye bardakları daha sesli topladı.</t>
        </is>
      </c>
      <c r="K1814" s="6" t="inlineStr">
        <is>
          <t>“Satın evi, olsun bitsin” dedin. Bütün salon sana döndü. Annen o akşam sana çay koymadı; ilk kez.</t>
        </is>
      </c>
      <c r="L1814" s="6" t="inlineStr"/>
      <c r="M1814" s="5" t="inlineStr"/>
      <c r="N1814" s="5" t="inlineStr"/>
      <c r="O1814" s="6" t="inlineStr"/>
      <c r="P1814" s="6" t="inlineStr"/>
      <c r="Q1814" s="5" t="inlineStr"/>
      <c r="R1814" s="5" t="inlineStr"/>
      <c r="S1814" s="5" t="inlineStr"/>
      <c r="T1814" s="5" t="inlineStr"/>
      <c r="U1814" s="5" t="inlineStr">
        <is>
          <t>anneanne-ugurladi</t>
        </is>
      </c>
      <c r="V1814" s="5" t="inlineStr"/>
      <c r="W1814" s="5" t="inlineStr"/>
      <c r="X1814" s="5" t="inlineStr"/>
      <c r="Y1814" s="5" t="inlineStr"/>
      <c r="Z1814" s="6" t="inlineStr"/>
      <c r="AA1814" s="5" t="inlineStr"/>
      <c r="AB1814" s="5" t="inlineStr"/>
      <c r="AC1814" s="5" t="inlineStr"/>
      <c r="AD1814" s="5" t="inlineStr"/>
      <c r="AE1814" s="5" t="inlineStr"/>
      <c r="AF1814" s="5" t="inlineStr"/>
      <c r="AG1814" s="5" t="inlineStr"/>
      <c r="AH1814" s="5" t="inlineStr"/>
      <c r="AI1814" s="5" t="inlineStr"/>
      <c r="AJ1814" s="5" t="inlineStr"/>
    </row>
    <row r="1815">
      <c r="A1815" s="5" t="inlineStr">
        <is>
          <t>b7-bebegin-adi</t>
        </is>
      </c>
      <c r="B1815" s="5" t="n">
        <v>1</v>
      </c>
      <c r="C1815" s="6" t="inlineStr">
        <is>
          <t>Bebeğe bak, adı eşin koysun</t>
        </is>
      </c>
      <c r="D1815" s="5" t="inlineStr"/>
      <c r="E1815" s="5" t="inlineStr"/>
      <c r="F1815" s="5" t="inlineStr">
        <is>
          <t>Gönül +1</t>
        </is>
      </c>
      <c r="G1815" s="6" t="inlineStr">
        <is>
          <t>Bebeğe baktın, sonra eşine: “Sen koy.” Eşin listedeki ilk adı söyledi. Babaanne bir an sustu, sonra torununu öptü ve konuyu bir daha hiç açmadı.</t>
        </is>
      </c>
      <c r="H1815" s="6" t="inlineStr"/>
      <c r="I1815" s="6" t="inlineStr"/>
      <c r="J1815" s="6" t="inlineStr"/>
      <c r="K1815" s="6" t="inlineStr"/>
      <c r="L1815" s="6" t="inlineStr"/>
      <c r="M1815" s="5" t="inlineStr"/>
      <c r="N1815" s="5" t="inlineStr"/>
      <c r="O1815" s="6" t="inlineStr"/>
      <c r="P1815" s="6" t="inlineStr"/>
      <c r="Q1815" s="5" t="inlineStr"/>
      <c r="R1815" s="5" t="inlineStr"/>
      <c r="S1815" s="5" t="inlineStr"/>
      <c r="T1815" s="5" t="inlineStr"/>
      <c r="U1815" s="5" t="inlineStr"/>
      <c r="V1815" s="5" t="inlineStr"/>
      <c r="W1815" s="5" t="inlineStr"/>
      <c r="X1815" s="5" t="inlineStr"/>
      <c r="Y1815" s="5" t="inlineStr"/>
      <c r="Z1815" s="6" t="inlineStr"/>
      <c r="AA1815" s="5" t="inlineStr"/>
      <c r="AB1815" s="5" t="inlineStr"/>
      <c r="AC1815" s="5" t="inlineStr"/>
      <c r="AD1815" s="5" t="inlineStr"/>
      <c r="AE1815" s="5" t="inlineStr"/>
      <c r="AF1815" s="5" t="inlineStr"/>
      <c r="AG1815" s="5" t="inlineStr"/>
      <c r="AH1815" s="5" t="inlineStr"/>
      <c r="AI1815" s="5" t="inlineStr"/>
      <c r="AJ1815" s="5" t="inlineStr"/>
    </row>
    <row r="1816">
      <c r="A1816" s="5" t="inlineStr">
        <is>
          <t>b7-bebegin-adi</t>
        </is>
      </c>
      <c r="B1816" s="5" t="n">
        <v>2</v>
      </c>
      <c r="C1816" s="6" t="inlineStr">
        <is>
          <t>İki büyüğün adını birleştir</t>
        </is>
      </c>
      <c r="D1816" s="5" t="inlineStr">
        <is>
          <t>Sosyal Radar</t>
        </is>
      </c>
      <c r="E1816" s="5" t="inlineStr">
        <is>
          <t>Orta</t>
        </is>
      </c>
      <c r="F1816" s="5" t="inlineStr"/>
      <c r="G1816" s="6" t="inlineStr"/>
      <c r="H1816" s="6" t="inlineStr">
        <is>
          <t>Biri ad, biri göbek adı oldu. Babaanne de anneanne de kendi koyduğu adı önce söylüyor; bebek ikisinin kucağında da uyuyor.</t>
        </is>
      </c>
      <c r="I1816" s="6" t="inlineStr">
        <is>
          <t>İki adı birleştirdin; babaanne de anneanne de aynı anda ağladı. İkisi de torununa adının yarısını kendisinin koyduğunu anlatıyor. İkisi de haklı.</t>
        </is>
      </c>
      <c r="J1816" s="6" t="inlineStr">
        <is>
          <t>İki adı yan yana koydun; kulağa bir ilaç adı gibi geldi. Eşin listeyi yeniden açtı.</t>
        </is>
      </c>
      <c r="K1816" s="6" t="inlineStr">
        <is>
          <t>Heyecandan nüfus kâğıdını sen doldurdun, iki adın harflerini birbirine kattın. Kimlikte kimsenin tanımadığı bir ad yazıyor. Babaanne torununa üç yıl yalnızca “Kuzum” dedi; başka çaresi yoktu.</t>
        </is>
      </c>
      <c r="L1816" s="6" t="inlineStr"/>
      <c r="M1816" s="5" t="inlineStr"/>
      <c r="N1816" s="5" t="inlineStr"/>
      <c r="O1816" s="6" t="inlineStr"/>
      <c r="P1816" s="6" t="inlineStr"/>
      <c r="Q1816" s="5" t="inlineStr"/>
      <c r="R1816" s="5" t="inlineStr"/>
      <c r="S1816" s="5" t="inlineStr"/>
      <c r="T1816" s="5" t="inlineStr"/>
      <c r="U1816" s="5" t="inlineStr"/>
      <c r="V1816" s="5" t="inlineStr"/>
      <c r="W1816" s="5" t="inlineStr"/>
      <c r="X1816" s="5" t="inlineStr"/>
      <c r="Y1816" s="5" t="inlineStr"/>
      <c r="Z1816" s="6" t="inlineStr"/>
      <c r="AA1816" s="5" t="inlineStr"/>
      <c r="AB1816" s="5" t="inlineStr"/>
      <c r="AC1816" s="5" t="inlineStr"/>
      <c r="AD1816" s="5" t="inlineStr"/>
      <c r="AE1816" s="5" t="inlineStr"/>
      <c r="AF1816" s="5" t="inlineStr"/>
      <c r="AG1816" s="5" t="inlineStr"/>
      <c r="AH1816" s="5" t="inlineStr"/>
      <c r="AI1816" s="5" t="inlineStr"/>
      <c r="AJ1816" s="5" t="inlineStr"/>
    </row>
    <row r="1817">
      <c r="A1817" s="5" t="inlineStr">
        <is>
          <t>b7-bebegin-adi</t>
        </is>
      </c>
      <c r="B1817" s="5" t="n">
        <v>3</v>
      </c>
      <c r="C1817" s="6" t="inlineStr">
        <is>
          <t>Kırk gün kapıyı kimseye açma</t>
        </is>
      </c>
      <c r="D1817" s="5" t="inlineStr">
        <is>
          <t>Cesaret</t>
        </is>
      </c>
      <c r="E1817" s="5" t="inlineStr">
        <is>
          <t>Zor</t>
        </is>
      </c>
      <c r="F1817" s="5" t="inlineStr"/>
      <c r="G1817" s="6" t="inlineStr"/>
      <c r="H1817" s="6" t="inlineStr">
        <is>
          <t>Kırk gün kapıyı yalnızca anneanneye açtın. Ev sessiz, bebek uykulu; eşin ilk kez dinlendi. Teyzeler bunu konuştu ama kapının dışında.</t>
        </is>
      </c>
      <c r="I1817" s="6" t="inlineStr">
        <is>
          <t>Kapıya bir not astın: “Kırkımız çıksın, sonra gelin.” Kırk gün kimse gelmedi. Kırk birinci gün bütün akrabalar aynı saatte geldi; ellerinde börek ve altın.</t>
        </is>
      </c>
      <c r="J1817" s="6" t="inlineStr">
        <is>
          <t>Üçüncü gün kayınvalide bir sürahi lohusa şerbetiyle geldi: “Ben misafir değilim.” Beşinci gün “Biz de misafir değiliz” diyen on iki kişi daha geldi.</t>
        </is>
      </c>
      <c r="K1817" s="6" t="inlineStr">
        <is>
          <t>Halanı kapıdan çevirdin. Halan altını kapının koluna bağlayıp merdivenlerden indi. Her bayram anlatıyor: “Yeğenimin bebeğini kapı kolundan sevdim.”</t>
        </is>
      </c>
      <c r="L1817" s="6" t="inlineStr"/>
      <c r="M1817" s="5" t="inlineStr"/>
      <c r="N1817" s="5" t="inlineStr"/>
      <c r="O1817" s="6" t="inlineStr"/>
      <c r="P1817" s="6" t="inlineStr"/>
      <c r="Q1817" s="5" t="inlineStr"/>
      <c r="R1817" s="5" t="inlineStr"/>
      <c r="S1817" s="5" t="inlineStr"/>
      <c r="T1817" s="5" t="inlineStr"/>
      <c r="U1817" s="5" t="inlineStr"/>
      <c r="V1817" s="5" t="inlineStr"/>
      <c r="W1817" s="5" t="inlineStr"/>
      <c r="X1817" s="5" t="inlineStr"/>
      <c r="Y1817" s="5" t="inlineStr"/>
      <c r="Z1817" s="6" t="inlineStr"/>
      <c r="AA1817" s="5" t="inlineStr"/>
      <c r="AB1817" s="5" t="inlineStr"/>
      <c r="AC1817" s="5" t="inlineStr"/>
      <c r="AD1817" s="5" t="inlineStr"/>
      <c r="AE1817" s="5" t="inlineStr"/>
      <c r="AF1817" s="5" t="inlineStr"/>
      <c r="AG1817" s="5" t="inlineStr"/>
      <c r="AH1817" s="5" t="inlineStr">
        <is>
          <t>Cesaret 28</t>
        </is>
      </c>
      <c r="AI1817" s="5" t="inlineStr"/>
      <c r="AJ1817" s="5" t="inlineStr"/>
    </row>
    <row r="1818">
      <c r="A1818" s="5" t="inlineStr">
        <is>
          <t>b7-okulun-ilk-gunu</t>
        </is>
      </c>
      <c r="B1818" s="5" t="n">
        <v>1</v>
      </c>
      <c r="C1818" s="6" t="inlineStr">
        <is>
          <t>Kapıda el salla, arkana bakmadan yürü</t>
        </is>
      </c>
      <c r="D1818" s="5" t="inlineStr"/>
      <c r="E1818" s="5" t="inlineStr"/>
      <c r="F1818" s="5" t="inlineStr">
        <is>
          <t>Dayanıklılık +1</t>
        </is>
      </c>
      <c r="G1818" s="6" t="inlineStr">
        <is>
          <t>El salladın, yürüdün, köşeyi dönünce durdun. On dakika duvarın arkasından bahçeyi izledin. Çocuğun hiç ağlamadı; sen ağladın.</t>
        </is>
      </c>
      <c r="H1818" s="6" t="inlineStr"/>
      <c r="I1818" s="6" t="inlineStr"/>
      <c r="J1818" s="6" t="inlineStr"/>
      <c r="K1818" s="6" t="inlineStr"/>
      <c r="L1818" s="6" t="inlineStr"/>
      <c r="M1818" s="5" t="inlineStr"/>
      <c r="N1818" s="5" t="inlineStr"/>
      <c r="O1818" s="6" t="inlineStr"/>
      <c r="P1818" s="6" t="inlineStr"/>
      <c r="Q1818" s="5" t="inlineStr"/>
      <c r="R1818" s="5" t="inlineStr"/>
      <c r="S1818" s="5" t="inlineStr"/>
      <c r="T1818" s="5" t="inlineStr"/>
      <c r="U1818" s="5" t="inlineStr"/>
      <c r="V1818" s="5" t="inlineStr"/>
      <c r="W1818" s="5" t="inlineStr"/>
      <c r="X1818" s="5" t="inlineStr"/>
      <c r="Y1818" s="5" t="inlineStr"/>
      <c r="Z1818" s="6" t="inlineStr"/>
      <c r="AA1818" s="5" t="inlineStr"/>
      <c r="AB1818" s="5" t="inlineStr"/>
      <c r="AC1818" s="5" t="inlineStr"/>
      <c r="AD1818" s="5" t="inlineStr"/>
      <c r="AE1818" s="5" t="inlineStr"/>
      <c r="AF1818" s="5" t="inlineStr"/>
      <c r="AG1818" s="5" t="inlineStr"/>
      <c r="AH1818" s="5" t="inlineStr"/>
      <c r="AI1818" s="5" t="inlineStr"/>
      <c r="AJ1818" s="5" t="inlineStr"/>
    </row>
    <row r="1819">
      <c r="A1819" s="5" t="inlineStr">
        <is>
          <t>b7-okulun-ilk-gunu</t>
        </is>
      </c>
      <c r="B1819" s="5" t="n">
        <v>2</v>
      </c>
      <c r="C1819" s="6" t="inlineStr">
        <is>
          <t>Beslenme çantasına gizli bir not koy</t>
        </is>
      </c>
      <c r="D1819" s="5" t="inlineStr">
        <is>
          <t>Gönül</t>
        </is>
      </c>
      <c r="E1819" s="5" t="inlineStr">
        <is>
          <t>Kolay</t>
        </is>
      </c>
      <c r="F1819" s="5" t="inlineStr"/>
      <c r="G1819" s="6" t="inlineStr"/>
      <c r="H1819" s="6" t="inlineStr">
        <is>
          <t>Elmaların arasına bir kalp çizip koydun. Akşam çanta boş döndü; not dörde katlanmış, önlüğün cebinde. Hâlâ duruyor.</t>
        </is>
      </c>
      <c r="I1819" s="6" t="inlineStr">
        <is>
          <t>Notu teneffüste buldu, bütün sınıfa gösterdi. Ertesi gün sınıfın yarısının çantasında not vardı; veliler sana “Fikir kimden?” diye yazdı.</t>
        </is>
      </c>
      <c r="J1819" s="6" t="inlineStr">
        <is>
          <t>Notu koydun; çocuk okumayı daha bilmiyormuş. Kalbi domates sandı, sıra arkadaşına verdi.</t>
        </is>
      </c>
      <c r="K1819" s="6" t="inlineStr">
        <is>
          <t>Notu ayranın yanına koydun; ayranın kapağı açıldı, not ayranda yüzdü. Öğretmen çantayı teneffüste lavaboda yıkadı. Veli grubuna ilk mesaj öğretmenden geldi: “Sevgili veliler, ayranları lütfen ayrı poşete.” Kim için yazıldığını herkes bildi.</t>
        </is>
      </c>
      <c r="L1819" s="6" t="inlineStr"/>
      <c r="M1819" s="5" t="inlineStr"/>
      <c r="N1819" s="5" t="inlineStr"/>
      <c r="O1819" s="6" t="inlineStr"/>
      <c r="P1819" s="6" t="inlineStr"/>
      <c r="Q1819" s="5" t="inlineStr"/>
      <c r="R1819" s="5" t="inlineStr"/>
      <c r="S1819" s="5" t="inlineStr"/>
      <c r="T1819" s="5" t="inlineStr"/>
      <c r="U1819" s="5" t="inlineStr"/>
      <c r="V1819" s="5" t="inlineStr"/>
      <c r="W1819" s="5" t="inlineStr"/>
      <c r="X1819" s="5" t="inlineStr"/>
      <c r="Y1819" s="5" t="inlineStr"/>
      <c r="Z1819" s="6" t="inlineStr"/>
      <c r="AA1819" s="5" t="inlineStr"/>
      <c r="AB1819" s="5" t="inlineStr"/>
      <c r="AC1819" s="5" t="inlineStr"/>
      <c r="AD1819" s="5" t="inlineStr"/>
      <c r="AE1819" s="5" t="inlineStr"/>
      <c r="AF1819" s="5" t="inlineStr"/>
      <c r="AG1819" s="5" t="inlineStr"/>
      <c r="AH1819" s="5" t="inlineStr"/>
      <c r="AI1819" s="5" t="inlineStr"/>
      <c r="AJ1819" s="5" t="inlineStr"/>
    </row>
    <row r="1820">
      <c r="A1820" s="5" t="inlineStr">
        <is>
          <t>b7-okulun-ilk-gunu</t>
        </is>
      </c>
      <c r="B1820" s="5" t="n">
        <v>3</v>
      </c>
      <c r="C1820" s="6" t="inlineStr">
        <is>
          <t>Teneffüse kadar bahçe parmaklığında bekle</t>
        </is>
      </c>
      <c r="D1820" s="5" t="inlineStr">
        <is>
          <t>Dayanıklılık</t>
        </is>
      </c>
      <c r="E1820" s="5" t="inlineStr">
        <is>
          <t>Orta</t>
        </is>
      </c>
      <c r="F1820" s="5" t="inlineStr"/>
      <c r="G1820" s="6" t="inlineStr"/>
      <c r="H1820" s="6" t="inlineStr">
        <is>
          <t>İki ders boyunca parmaklıkta durdun. Teneffüste çocuğun seni gördü, gülümsedi ve yanına hiç gelmedi. İkiniz de doğrusunu yaptınız.</t>
        </is>
      </c>
      <c r="I1820" s="6" t="inlineStr">
        <is>
          <t>Teneffüste çocuğun koşarak geldi, parmaklıktan yarım bir kurabiye uzattı, sonra arkadaşlarına döndü. Yarısını sana ayırmıştı.</t>
        </is>
      </c>
      <c r="J1820" s="6" t="inlineStr">
        <is>
          <t>Parmaklıkta yalnız değildin; kırk veli daha vardı. Müdür megafonla çıktı: “Velilerimiz, çocuklar sizi gördükçe ağlıyor, lütfen evinize.” Kırk veli aynı anda, ağlayarak yürüdü.</t>
        </is>
      </c>
      <c r="K1820" s="6" t="inlineStr">
        <is>
          <t>Parmaklıktan adını seslendin. Çocuğun seni görünce ağladı, sonra bütün sınıf ağladı. Öğretmen seni de sınıfa aldı; çocuklar susana kadar birinci sınıftaydın.</t>
        </is>
      </c>
      <c r="L1820" s="6" t="inlineStr"/>
      <c r="M1820" s="5" t="inlineStr"/>
      <c r="N1820" s="5" t="inlineStr"/>
      <c r="O1820" s="6" t="inlineStr"/>
      <c r="P1820" s="6" t="inlineStr"/>
      <c r="Q1820" s="5" t="inlineStr"/>
      <c r="R1820" s="5" t="inlineStr"/>
      <c r="S1820" s="5" t="inlineStr"/>
      <c r="T1820" s="5" t="inlineStr"/>
      <c r="U1820" s="5" t="inlineStr"/>
      <c r="V1820" s="5" t="inlineStr"/>
      <c r="W1820" s="5" t="inlineStr"/>
      <c r="X1820" s="5" t="inlineStr"/>
      <c r="Y1820" s="5" t="inlineStr"/>
      <c r="Z1820" s="6" t="inlineStr"/>
      <c r="AA1820" s="5" t="inlineStr"/>
      <c r="AB1820" s="5" t="inlineStr"/>
      <c r="AC1820" s="5" t="inlineStr"/>
      <c r="AD1820" s="5" t="inlineStr"/>
      <c r="AE1820" s="5" t="inlineStr"/>
      <c r="AF1820" s="5" t="inlineStr"/>
      <c r="AG1820" s="5" t="inlineStr"/>
      <c r="AH1820" s="5" t="inlineStr"/>
      <c r="AI1820" s="5" t="inlineStr"/>
      <c r="AJ1820" s="5" t="inlineStr"/>
    </row>
    <row r="1821">
      <c r="A1821" s="5" t="inlineStr">
        <is>
          <t>b7-okulun-ilk-gunu</t>
        </is>
      </c>
      <c r="B1821" s="5" t="n">
        <v>4</v>
      </c>
      <c r="C1821" s="6" t="inlineStr">
        <is>
          <t>Öğretmenle hemen tanış, çocuğunu anlat</t>
        </is>
      </c>
      <c r="D1821" s="5" t="inlineStr">
        <is>
          <t>Çene</t>
        </is>
      </c>
      <c r="E1821" s="5" t="inlineStr">
        <is>
          <t>Orta</t>
        </is>
      </c>
      <c r="F1821" s="5" t="inlineStr"/>
      <c r="G1821" s="6" t="inlineStr"/>
      <c r="H1821" s="6" t="inlineStr">
        <is>
          <t>Çocuğunun neyi sevip neden korktuğunu üç cümlede anlattın. Öğretmen gülümsedi: “Merak etmeyin, bende otuz tane var.”</t>
        </is>
      </c>
      <c r="I1821" s="6" t="inlineStr">
        <is>
          <t>Öğretmen seni dinledi, not aldı, çocuğunu ön sıraya oturttu. Akşam çocuğun eve girer girmez “Öğretmenim seni sevdi” dedi; kendinden önce.</t>
        </is>
      </c>
      <c r="J1821" s="6" t="inlineStr">
        <is>
          <t>Anlatmaya başladın; arkanda on veli sıraya girdi. Öğretmen “Veli toplantısında konuşalım” dedi. Toplantı ekimde.</t>
        </is>
      </c>
      <c r="K1821" s="6" t="inlineStr">
        <is>
          <t>Anlatırken telefondan fotoğrafını gösterdin; ekranda kuzeninin çocuğu vardı. Öğretmen bir ay boyunca çocuğuna kuzeninin adıyla seslendi.</t>
        </is>
      </c>
      <c r="L1821" s="6" t="inlineStr"/>
      <c r="M1821" s="5" t="inlineStr"/>
      <c r="N1821" s="5" t="inlineStr"/>
      <c r="O1821" s="6" t="inlineStr"/>
      <c r="P1821" s="6" t="inlineStr"/>
      <c r="Q1821" s="5" t="inlineStr"/>
      <c r="R1821" s="5" t="inlineStr"/>
      <c r="S1821" s="5" t="inlineStr"/>
      <c r="T1821" s="5" t="inlineStr"/>
      <c r="U1821" s="5" t="inlineStr"/>
      <c r="V1821" s="5" t="inlineStr"/>
      <c r="W1821" s="5" t="inlineStr"/>
      <c r="X1821" s="5" t="inlineStr"/>
      <c r="Y1821" s="5" t="inlineStr"/>
      <c r="Z1821" s="6" t="inlineStr"/>
      <c r="AA1821" s="5" t="inlineStr"/>
      <c r="AB1821" s="5" t="inlineStr"/>
      <c r="AC1821" s="5" t="inlineStr"/>
      <c r="AD1821" s="5" t="inlineStr"/>
      <c r="AE1821" s="5" t="inlineStr"/>
      <c r="AF1821" s="5" t="inlineStr"/>
      <c r="AG1821" s="5" t="inlineStr"/>
      <c r="AH1821" s="5" t="inlineStr"/>
      <c r="AI1821" s="5" t="inlineStr"/>
      <c r="AJ1821" s="5" t="inlineStr"/>
    </row>
    <row r="1822">
      <c r="A1822" s="5" t="inlineStr">
        <is>
          <t>b8-taki-sirasi</t>
        </is>
      </c>
      <c r="B1822" s="5" t="n">
        <v>1</v>
      </c>
      <c r="C1822" s="6" t="inlineStr">
        <is>
          <t>Çeyreği tak, geç</t>
        </is>
      </c>
      <c r="D1822" s="5" t="inlineStr"/>
      <c r="E1822" s="5" t="inlineStr"/>
      <c r="F1822" s="5" t="inlineStr">
        <is>
          <t>İtibar +1</t>
        </is>
      </c>
      <c r="G1822" s="6" t="inlineStr">
        <is>
          <t>Çeyreği damadın yakasına iğneledin. Amca mikrofona “Bir çeyrek!” dedi; kimse kaşını kaldırmadı. Annen arkadan fısıldadı: “Tamam, yeterli.”</t>
        </is>
      </c>
      <c r="H1822" s="6" t="inlineStr"/>
      <c r="I1822" s="6" t="inlineStr"/>
      <c r="J1822" s="6" t="inlineStr"/>
      <c r="K1822" s="6" t="inlineStr"/>
      <c r="L1822" s="6" t="inlineStr"/>
      <c r="M1822" s="5" t="inlineStr"/>
      <c r="N1822" s="5" t="inlineStr"/>
      <c r="O1822" s="6" t="inlineStr"/>
      <c r="P1822" s="6" t="inlineStr"/>
      <c r="Q1822" s="5" t="inlineStr"/>
      <c r="R1822" s="5" t="inlineStr"/>
      <c r="S1822" s="5" t="inlineStr"/>
      <c r="T1822" s="5" t="inlineStr"/>
      <c r="U1822" s="5" t="inlineStr"/>
      <c r="V1822" s="5" t="inlineStr"/>
      <c r="W1822" s="5" t="inlineStr"/>
      <c r="X1822" s="5" t="inlineStr"/>
      <c r="Y1822" s="5" t="inlineStr"/>
      <c r="Z1822" s="6" t="inlineStr"/>
      <c r="AA1822" s="5" t="inlineStr"/>
      <c r="AB1822" s="5" t="inlineStr"/>
      <c r="AC1822" s="5" t="inlineStr"/>
      <c r="AD1822" s="5" t="inlineStr"/>
      <c r="AE1822" s="5" t="inlineStr"/>
      <c r="AF1822" s="5" t="inlineStr"/>
      <c r="AG1822" s="5" t="inlineStr"/>
      <c r="AH1822" s="5" t="inlineStr"/>
      <c r="AI1822" s="5" t="inlineStr"/>
      <c r="AJ1822" s="5" t="inlineStr"/>
    </row>
    <row r="1823">
      <c r="A1823" s="5" t="inlineStr">
        <is>
          <t>b8-taki-sirasi</t>
        </is>
      </c>
      <c r="B1823" s="5" t="n">
        <v>2</v>
      </c>
      <c r="C1823" s="6" t="inlineStr">
        <is>
          <t>Zarfı ver, anons ettirme</t>
        </is>
      </c>
      <c r="D1823" s="5" t="inlineStr">
        <is>
          <t>Kurnazlık</t>
        </is>
      </c>
      <c r="E1823" s="5" t="inlineStr">
        <is>
          <t>Kolay</t>
        </is>
      </c>
      <c r="F1823" s="5" t="inlineStr"/>
      <c r="G1823" s="6" t="inlineStr"/>
      <c r="H1823" s="6" t="inlineStr">
        <is>
          <t>Zarfı verdin, amcaya göz kırptın; amca “Bir zarf!” deyip geçti. Kimse saymadı, sen de söylemedin.</t>
        </is>
      </c>
      <c r="I1823" s="6" t="inlineStr">
        <is>
          <t>Zarfı damadın cebine sessizce koydun. Amca anons edemedi; bütün salon zarfın kalınlığını konuştu. Düğünün en cömerdi sen oldun, kimse emin olmadan.</t>
        </is>
      </c>
      <c r="J1823" s="6" t="inlineStr">
        <is>
          <t>Zarfı verdin; amca zarfı mikrofona yaklaştırıp “Bir zarf, ince!” dedi. Salon güldü.</t>
        </is>
      </c>
      <c r="K1823" s="6" t="inlineStr">
        <is>
          <t>Zarfı verdin; damadın annesi oracıkta açtı. İçinden düğün davetiyesi çıktı. Paranın olduğu zarf hâlâ ceketinin cebinde.</t>
        </is>
      </c>
      <c r="L1823" s="6" t="inlineStr"/>
      <c r="M1823" s="5" t="inlineStr"/>
      <c r="N1823" s="5" t="inlineStr"/>
      <c r="O1823" s="6" t="inlineStr"/>
      <c r="P1823" s="6" t="inlineStr"/>
      <c r="Q1823" s="5" t="inlineStr"/>
      <c r="R1823" s="5" t="inlineStr"/>
      <c r="S1823" s="5" t="inlineStr"/>
      <c r="T1823" s="5" t="inlineStr"/>
      <c r="U1823" s="5" t="inlineStr"/>
      <c r="V1823" s="5" t="inlineStr"/>
      <c r="W1823" s="5" t="inlineStr"/>
      <c r="X1823" s="5" t="inlineStr"/>
      <c r="Y1823" s="5" t="inlineStr"/>
      <c r="Z1823" s="6" t="inlineStr"/>
      <c r="AA1823" s="5" t="inlineStr"/>
      <c r="AB1823" s="5" t="inlineStr"/>
      <c r="AC1823" s="5" t="inlineStr"/>
      <c r="AD1823" s="5" t="inlineStr"/>
      <c r="AE1823" s="5" t="inlineStr"/>
      <c r="AF1823" s="5" t="inlineStr"/>
      <c r="AG1823" s="5" t="inlineStr"/>
      <c r="AH1823" s="5" t="inlineStr"/>
      <c r="AI1823" s="5" t="inlineStr"/>
      <c r="AJ1823" s="5" t="inlineStr"/>
    </row>
    <row r="1824">
      <c r="A1824" s="5" t="inlineStr">
        <is>
          <t>b8-taki-sirasi</t>
        </is>
      </c>
      <c r="B1824" s="5" t="n">
        <v>3</v>
      </c>
      <c r="C1824" s="6" t="inlineStr">
        <is>
          <t>Mikrofonu al, büyük tak</t>
        </is>
      </c>
      <c r="D1824" s="5" t="inlineStr">
        <is>
          <t>Pişkinlik</t>
        </is>
      </c>
      <c r="E1824" s="5" t="inlineStr">
        <is>
          <t>Orta</t>
        </is>
      </c>
      <c r="F1824" s="5" t="inlineStr"/>
      <c r="G1824" s="6" t="inlineStr"/>
      <c r="H1824" s="6" t="inlineStr">
        <is>
          <t>“Bizden iki bilezik!” dedin, salon alkışladı. Teyzen ertesi gün herkese anlattı; bileziklerin sayısı her anlatışta arttı.</t>
        </is>
      </c>
      <c r="I1824" s="6" t="inlineStr">
        <is>
          <t>Mikrofonu alıp “Bizden de bir tam altın!” dedin. Salon ayağa kalktı, davul iki kez vurdu. Gelin gelip elini öptü.</t>
        </is>
      </c>
      <c r="J1824" s="6" t="inlineStr">
        <is>
          <t>Mikrofonu aldın, cızırdadı. Kimse ne taktığını duymadı; amca “Bir şey!” diye anons etti.</t>
        </is>
      </c>
      <c r="K1824" s="6" t="inlineStr">
        <is>
          <t>Mikrofona “Bizden bir bilezik!” dedin; bileziği evde unutmuşsun. Salon bekledi, davul bekledi. Sonunda kolundaki saati çıkarıp taktın.</t>
        </is>
      </c>
      <c r="L1824" s="6" t="inlineStr"/>
      <c r="M1824" s="5" t="inlineStr"/>
      <c r="N1824" s="5" t="inlineStr"/>
      <c r="O1824" s="6" t="inlineStr"/>
      <c r="P1824" s="6" t="inlineStr"/>
      <c r="Q1824" s="5" t="inlineStr"/>
      <c r="R1824" s="5" t="inlineStr"/>
      <c r="S1824" s="5" t="inlineStr"/>
      <c r="T1824" s="5" t="inlineStr"/>
      <c r="U1824" s="5" t="inlineStr"/>
      <c r="V1824" s="5" t="inlineStr"/>
      <c r="W1824" s="5" t="inlineStr"/>
      <c r="X1824" s="5" t="inlineStr"/>
      <c r="Y1824" s="5" t="inlineStr"/>
      <c r="Z1824" s="6" t="inlineStr"/>
      <c r="AA1824" s="5" t="inlineStr"/>
      <c r="AB1824" s="5" t="inlineStr"/>
      <c r="AC1824" s="5" t="inlineStr">
        <is>
          <t>Rahat</t>
        </is>
      </c>
      <c r="AD1824" s="5" t="inlineStr"/>
      <c r="AE1824" s="5" t="inlineStr"/>
      <c r="AF1824" s="5" t="inlineStr"/>
      <c r="AG1824" s="5" t="inlineStr"/>
      <c r="AH1824" s="5" t="inlineStr"/>
      <c r="AI1824" s="5" t="inlineStr"/>
      <c r="AJ1824" s="5" t="inlineStr"/>
    </row>
    <row r="1825">
      <c r="A1825" s="5" t="inlineStr">
        <is>
          <t>b8-taki-sirasi</t>
        </is>
      </c>
      <c r="B1825" s="5" t="n">
        <v>4</v>
      </c>
      <c r="C1825" s="6" t="inlineStr">
        <is>
          <t>Takı defterini aç, ne geldiyse onu tak</t>
        </is>
      </c>
      <c r="D1825" s="5" t="inlineStr">
        <is>
          <t>Akıl</t>
        </is>
      </c>
      <c r="E1825" s="5" t="inlineStr">
        <is>
          <t>Kolay</t>
        </is>
      </c>
      <c r="F1825" s="5" t="inlineStr"/>
      <c r="G1825" s="6" t="inlineStr"/>
      <c r="H1825" s="6" t="inlineStr">
        <is>
          <t>Defterine baktın: kuzenin senin düğününde bir çeyrek takmış. Bir çeyrek taktın. Hesap kapandı, kimse kırılmadı.</t>
        </is>
      </c>
      <c r="I1825" s="6" t="inlineStr">
        <is>
          <t>Defterde kuzeninin senin düğününe bilezik taktığını gördün; sen de bilezik taktın. Masada “Bunlar hesap biliyor” diye bir saygı oluştu.</t>
        </is>
      </c>
      <c r="J1825" s="6" t="inlineStr">
        <is>
          <t>Defteri evde unuttun, ezbere bir çeyrek taktın. Akşam defteri açtın: kuzenin senin düğününde bilezik takmış. Gece kuzenine “Bir şey unuttuk” diye yazdın; cevap gelmedi, “görüldü” geldi.</t>
        </is>
      </c>
      <c r="K1825" s="6" t="inlineStr">
        <is>
          <t>Defteri düğüne getirip masada açtın. Kuzenin gördü: “Bizi de mi yazdın?” Bütün masa kendi sayfasını sordu.</t>
        </is>
      </c>
      <c r="L1825" s="6" t="inlineStr"/>
      <c r="M1825" s="5" t="inlineStr"/>
      <c r="N1825" s="5" t="inlineStr"/>
      <c r="O1825" s="6" t="inlineStr"/>
      <c r="P1825" s="6" t="inlineStr"/>
      <c r="Q1825" s="5" t="inlineStr"/>
      <c r="R1825" s="5" t="inlineStr">
        <is>
          <t>taki-defteri</t>
        </is>
      </c>
      <c r="S1825" s="5" t="inlineStr"/>
      <c r="T1825" s="5" t="inlineStr"/>
      <c r="U1825" s="5" t="inlineStr"/>
      <c r="V1825" s="5" t="inlineStr"/>
      <c r="W1825" s="5" t="inlineStr"/>
      <c r="X1825" s="5" t="inlineStr"/>
      <c r="Y1825" s="5" t="inlineStr"/>
      <c r="Z1825" s="6" t="inlineStr"/>
      <c r="AA1825" s="5" t="inlineStr"/>
      <c r="AB1825" s="5" t="inlineStr"/>
      <c r="AC1825" s="5" t="inlineStr"/>
      <c r="AD1825" s="5" t="inlineStr"/>
      <c r="AE1825" s="5" t="inlineStr"/>
      <c r="AF1825" s="5" t="inlineStr"/>
      <c r="AG1825" s="5" t="inlineStr"/>
      <c r="AH1825" s="5" t="inlineStr"/>
      <c r="AI1825" s="5" t="inlineStr"/>
      <c r="AJ1825" s="5" t="inlineStr"/>
    </row>
    <row r="1826">
      <c r="A1826" s="5" t="inlineStr">
        <is>
          <t>b8-babanin-evi</t>
        </is>
      </c>
      <c r="B1826" s="5" t="n">
        <v>1</v>
      </c>
      <c r="C1826" s="6" t="inlineStr">
        <is>
          <t>Ceketi al, gerisini kardeşlere bırak</t>
        </is>
      </c>
      <c r="D1826" s="5" t="inlineStr"/>
      <c r="E1826" s="5" t="inlineStr"/>
      <c r="F1826" s="5" t="inlineStr">
        <is>
          <t>Gönül +1, İtibar +1</t>
        </is>
      </c>
      <c r="G1826" s="6" t="inlineStr">
        <is>
          <t>Ceketi giydin; kolları kısa, omuzları geniş. Kardeşin “Tıpkı o” dedi. İkiniz de mutfağa kaçıp ağladınız; annen duymamış gibi yaptı.</t>
        </is>
      </c>
      <c r="H1826" s="6" t="inlineStr"/>
      <c r="I1826" s="6" t="inlineStr"/>
      <c r="J1826" s="6" t="inlineStr"/>
      <c r="K1826" s="6" t="inlineStr"/>
      <c r="L1826" s="6" t="inlineStr"/>
      <c r="M1826" s="5" t="inlineStr"/>
      <c r="N1826" s="5" t="inlineStr"/>
      <c r="O1826" s="6" t="inlineStr"/>
      <c r="P1826" s="6" t="inlineStr"/>
      <c r="Q1826" s="5" t="inlineStr"/>
      <c r="R1826" s="5" t="inlineStr"/>
      <c r="S1826" s="5" t="inlineStr"/>
      <c r="T1826" s="5" t="inlineStr"/>
      <c r="U1826" s="5" t="inlineStr">
        <is>
          <t>babanin-ceketi</t>
        </is>
      </c>
      <c r="V1826" s="5" t="inlineStr"/>
      <c r="W1826" s="5" t="inlineStr"/>
      <c r="X1826" s="5" t="inlineStr"/>
      <c r="Y1826" s="5" t="inlineStr"/>
      <c r="Z1826" s="6" t="inlineStr"/>
      <c r="AA1826" s="5" t="inlineStr"/>
      <c r="AB1826" s="5" t="inlineStr"/>
      <c r="AC1826" s="5" t="inlineStr"/>
      <c r="AD1826" s="5" t="inlineStr"/>
      <c r="AE1826" s="5" t="inlineStr"/>
      <c r="AF1826" s="5" t="inlineStr"/>
      <c r="AG1826" s="5" t="inlineStr"/>
      <c r="AH1826" s="5" t="inlineStr"/>
      <c r="AI1826" s="5" t="inlineStr"/>
      <c r="AJ1826" s="5" t="inlineStr"/>
    </row>
    <row r="1827">
      <c r="A1827" s="5" t="inlineStr">
        <is>
          <t>b8-babanin-evi</t>
        </is>
      </c>
      <c r="B1827" s="5" t="n">
        <v>2</v>
      </c>
      <c r="C1827" s="6" t="inlineStr">
        <is>
          <t>Eşyaları adil paylaştır</t>
        </is>
      </c>
      <c r="D1827" s="5" t="inlineStr">
        <is>
          <t>Sosyal Radar</t>
        </is>
      </c>
      <c r="E1827" s="5" t="inlineStr">
        <is>
          <t>Orta</t>
        </is>
      </c>
      <c r="F1827" s="5" t="inlineStr"/>
      <c r="G1827" s="6" t="inlineStr"/>
      <c r="H1827" s="6" t="inlineStr">
        <is>
          <t>Saat birine, radyo ötekine, ceket sana. Liste uzun sürdü ama bitti; kimse kapıyı çarpıp çıkmadı.</t>
        </is>
      </c>
      <c r="I1827" s="6" t="inlineStr">
        <is>
          <t>Herkes istediğini aldı, kimse kimseye kırılmadı. Akşam boş odada yere oturup babanın sevdiği türküyü açtınız; ilk kez hep birlikte güldünüz.</t>
        </is>
      </c>
      <c r="J1827" s="6" t="inlineStr">
        <is>
          <t>Paylaştırdın; herkes başkasının aldığını istedi. Dolap yine kapandı; kimse dokunmuyor.</t>
        </is>
      </c>
      <c r="K1827" s="6" t="inlineStr">
        <is>
          <t>“Bu da bende kalsın” deyip kristal şekerliği kaldırdın; elinden kaydı, kırıldı. O sırada halan içeri girdi: “O şekerliği baban bana söz vermişti.” Kırk yıllık bir küslük o gün başladı.</t>
        </is>
      </c>
      <c r="L1827" s="6" t="inlineStr"/>
      <c r="M1827" s="5" t="inlineStr"/>
      <c r="N1827" s="5" t="inlineStr"/>
      <c r="O1827" s="6" t="inlineStr"/>
      <c r="P1827" s="6" t="inlineStr"/>
      <c r="Q1827" s="5" t="inlineStr"/>
      <c r="R1827" s="5" t="inlineStr"/>
      <c r="S1827" s="5" t="inlineStr"/>
      <c r="T1827" s="5" t="inlineStr"/>
      <c r="U1827" s="5" t="inlineStr"/>
      <c r="V1827" s="5" t="inlineStr"/>
      <c r="W1827" s="5" t="inlineStr"/>
      <c r="X1827" s="5" t="inlineStr"/>
      <c r="Y1827" s="5" t="inlineStr"/>
      <c r="Z1827" s="6" t="inlineStr"/>
      <c r="AA1827" s="5" t="inlineStr"/>
      <c r="AB1827" s="5" t="inlineStr"/>
      <c r="AC1827" s="5" t="inlineStr"/>
      <c r="AD1827" s="5" t="inlineStr"/>
      <c r="AE1827" s="5" t="inlineStr"/>
      <c r="AF1827" s="5" t="inlineStr"/>
      <c r="AG1827" s="5" t="inlineStr"/>
      <c r="AH1827" s="5" t="inlineStr"/>
      <c r="AI1827" s="5" t="inlineStr"/>
      <c r="AJ1827" s="5" t="inlineStr"/>
    </row>
    <row r="1828">
      <c r="A1828" s="5" t="inlineStr">
        <is>
          <t>b8-babanin-evi</t>
        </is>
      </c>
      <c r="B1828" s="5" t="n">
        <v>3</v>
      </c>
      <c r="C1828" s="6" t="inlineStr">
        <is>
          <t>Telefonundaki sesli mesajları dinle</t>
        </is>
      </c>
      <c r="D1828" s="5" t="inlineStr"/>
      <c r="E1828" s="5" t="inlineStr"/>
      <c r="F1828" s="5" t="inlineStr">
        <is>
          <t>Dayanıklılık +1</t>
        </is>
      </c>
      <c r="G1828" s="6" t="inlineStr">
        <is>
          <t>Telefonunda babandan dört sesli mesaj var; dördünde de “Arayınca açsana” diyor. Hepsini dinledin. Sonuncusunu silemedin.</t>
        </is>
      </c>
      <c r="H1828" s="6" t="inlineStr"/>
      <c r="I1828" s="6" t="inlineStr"/>
      <c r="J1828" s="6" t="inlineStr"/>
      <c r="K1828" s="6" t="inlineStr"/>
      <c r="L1828" s="6" t="inlineStr"/>
      <c r="M1828" s="5" t="inlineStr"/>
      <c r="N1828" s="5" t="inlineStr"/>
      <c r="O1828" s="6" t="inlineStr"/>
      <c r="P1828" s="6" t="inlineStr"/>
      <c r="Q1828" s="5" t="inlineStr"/>
      <c r="R1828" s="5" t="inlineStr"/>
      <c r="S1828" s="5" t="inlineStr"/>
      <c r="T1828" s="5" t="inlineStr"/>
      <c r="U1828" s="5" t="inlineStr"/>
      <c r="V1828" s="5" t="inlineStr"/>
      <c r="W1828" s="5" t="inlineStr"/>
      <c r="X1828" s="5" t="inlineStr"/>
      <c r="Y1828" s="5" t="inlineStr"/>
      <c r="Z1828" s="6" t="inlineStr"/>
      <c r="AA1828" s="5" t="inlineStr"/>
      <c r="AB1828" s="5" t="inlineStr"/>
      <c r="AC1828" s="5" t="inlineStr"/>
      <c r="AD1828" s="5" t="inlineStr"/>
      <c r="AE1828" s="5" t="inlineStr"/>
      <c r="AF1828" s="5" t="inlineStr"/>
      <c r="AG1828" s="5" t="inlineStr"/>
      <c r="AH1828" s="5" t="inlineStr"/>
      <c r="AI1828" s="5" t="inlineStr"/>
      <c r="AJ1828" s="5" t="inlineStr"/>
    </row>
    <row r="1829">
      <c r="A1829" s="5" t="inlineStr">
        <is>
          <t>b8-babanin-evi</t>
        </is>
      </c>
      <c r="B1829" s="5" t="n">
        <v>4</v>
      </c>
      <c r="C1829" s="6" t="inlineStr">
        <is>
          <t>Kardeşlere babanın hikâyelerini anlat</t>
        </is>
      </c>
      <c r="D1829" s="5" t="inlineStr">
        <is>
          <t>Çene</t>
        </is>
      </c>
      <c r="E1829" s="5" t="inlineStr">
        <is>
          <t>Orta</t>
        </is>
      </c>
      <c r="F1829" s="5" t="inlineStr"/>
      <c r="G1829" s="6" t="inlineStr"/>
      <c r="H1829" s="6" t="inlineStr">
        <is>
          <t>Babanın askerde kaybettiği katırın hikâyesini anlattın. Üç kuşak aynı anda güldü; annen salondan seslendi: “Katır değil, eşekti.”</t>
        </is>
      </c>
      <c r="I1829" s="6" t="inlineStr">
        <is>
          <t>Gece yarısına kadar anlattın; yeğenler telefonlarını bıraktı. Ertesi gün en küçükleri elinde defterle geldi: “Dedemin hikâyelerini baştan anlatır mısın? Yazacağım.”</t>
        </is>
      </c>
      <c r="J1829" s="6" t="inlineStr">
        <is>
          <t>Anlatmaya başladın; sonunu hatırlamadın. Annen salondan tamamladı, başka türlü.</t>
        </is>
      </c>
      <c r="K1829" s="6" t="inlineStr">
        <is>
          <t>Babanın “Kimseye söyleme” dediği kısma geldin. Söyledin. Annen o akşam sana çay koymadı.</t>
        </is>
      </c>
      <c r="L1829" s="6" t="inlineStr"/>
      <c r="M1829" s="5" t="inlineStr"/>
      <c r="N1829" s="5" t="inlineStr"/>
      <c r="O1829" s="6" t="inlineStr"/>
      <c r="P1829" s="6" t="inlineStr"/>
      <c r="Q1829" s="5" t="inlineStr"/>
      <c r="R1829" s="5" t="inlineStr"/>
      <c r="S1829" s="5" t="inlineStr"/>
      <c r="T1829" s="5" t="inlineStr"/>
      <c r="U1829" s="5" t="inlineStr"/>
      <c r="V1829" s="5" t="inlineStr"/>
      <c r="W1829" s="5" t="inlineStr"/>
      <c r="X1829" s="5" t="inlineStr"/>
      <c r="Y1829" s="5" t="inlineStr"/>
      <c r="Z1829" s="6" t="inlineStr"/>
      <c r="AA1829" s="5" t="inlineStr"/>
      <c r="AB1829" s="5" t="inlineStr"/>
      <c r="AC1829" s="5" t="inlineStr"/>
      <c r="AD1829" s="5" t="inlineStr"/>
      <c r="AE1829" s="5" t="inlineStr"/>
      <c r="AF1829" s="5" t="inlineStr"/>
      <c r="AG1829" s="5" t="inlineStr"/>
      <c r="AH1829" s="5" t="inlineStr"/>
      <c r="AI1829" s="5" t="inlineStr"/>
      <c r="AJ1829" s="5" t="inlineStr"/>
    </row>
    <row r="1830">
      <c r="A1830" s="5" t="inlineStr">
        <is>
          <t>b9-dunurler</t>
        </is>
      </c>
      <c r="B1830" s="5" t="n">
        <v>1</v>
      </c>
      <c r="C1830" s="6" t="inlineStr">
        <is>
          <t>Lafı dünüre bırak, çayları tazele</t>
        </is>
      </c>
      <c r="D1830" s="5" t="inlineStr"/>
      <c r="E1830" s="5" t="inlineStr"/>
      <c r="F1830" s="5" t="inlineStr">
        <is>
          <t>Sosyal Radar +1</t>
        </is>
      </c>
      <c r="G1830" s="6" t="inlineStr">
        <is>
          <t>Lafı dünürün açtı; sen çayları tazeledin, yedi kez. Kapıda yarım saat vedalaştınız. Dünür elini bırakmadan söyledi: 'Çaylarınız çok güzeldi.' Gecenin tek yorumu buydu; yetti.</t>
        </is>
      </c>
      <c r="H1830" s="6" t="inlineStr"/>
      <c r="I1830" s="6" t="inlineStr"/>
      <c r="J1830" s="6" t="inlineStr"/>
      <c r="K1830" s="6" t="inlineStr"/>
      <c r="L1830" s="6" t="inlineStr"/>
      <c r="M1830" s="5" t="inlineStr"/>
      <c r="N1830" s="5" t="inlineStr"/>
      <c r="O1830" s="6" t="inlineStr"/>
      <c r="P1830" s="6" t="inlineStr"/>
      <c r="Q1830" s="5" t="inlineStr"/>
      <c r="R1830" s="5" t="inlineStr"/>
      <c r="S1830" s="5" t="inlineStr"/>
      <c r="T1830" s="5" t="inlineStr"/>
      <c r="U1830" s="5" t="inlineStr"/>
      <c r="V1830" s="5" t="inlineStr"/>
      <c r="W1830" s="5" t="inlineStr"/>
      <c r="X1830" s="5" t="inlineStr"/>
      <c r="Y1830" s="5" t="inlineStr"/>
      <c r="Z1830" s="6" t="inlineStr"/>
      <c r="AA1830" s="5" t="inlineStr"/>
      <c r="AB1830" s="5" t="inlineStr"/>
      <c r="AC1830" s="5" t="inlineStr"/>
      <c r="AD1830" s="5" t="inlineStr"/>
      <c r="AE1830" s="5" t="inlineStr"/>
      <c r="AF1830" s="5" t="inlineStr"/>
      <c r="AG1830" s="5" t="inlineStr"/>
      <c r="AH1830" s="5" t="inlineStr"/>
      <c r="AI1830" s="5" t="inlineStr"/>
      <c r="AJ1830" s="5" t="inlineStr"/>
    </row>
    <row r="1831">
      <c r="A1831" s="5" t="inlineStr">
        <is>
          <t>b9-dunurler</t>
        </is>
      </c>
      <c r="B1831" s="5" t="n">
        <v>2</v>
      </c>
      <c r="C1831" s="6" t="inlineStr">
        <is>
          <t>İlk lafı sen aç</t>
        </is>
      </c>
      <c r="D1831" s="5" t="inlineStr">
        <is>
          <t>Çene</t>
        </is>
      </c>
      <c r="E1831" s="5" t="inlineStr">
        <is>
          <t>Orta</t>
        </is>
      </c>
      <c r="F1831" s="5" t="inlineStr"/>
      <c r="G1831" s="6" t="inlineStr"/>
      <c r="H1831" s="6" t="inlineStr">
        <is>
          <t>Hava, yol, sonra konu. 'Büyüklerin izniyle' dedin; dünürün başını salladı. Çay ikinci kez demlendi.</t>
        </is>
      </c>
      <c r="I1831" s="6" t="inlineStr">
        <is>
          <t>'Gençler anlaşmış, bize tatlı yemek kalır' dedin. Salon güldü; söz o akşam takıldı, kurdeleyi sen kestin.</t>
        </is>
      </c>
      <c r="J1831" s="6" t="inlineStr">
        <is>
          <t>Lafa hava durumuyla girdin. Yirmi dakika yağmur konuşuldu; asıl konu bir sonraki ziyarete kaldı.</t>
        </is>
      </c>
      <c r="K1831" s="6" t="inlineStr">
        <is>
          <t>Lafı açarken dünürünün adını yanlış söyledin, üç kez. Üçüncüde dünürün adını düzeltmekten vazgeçti. Düğünde de o adla anıldı.</t>
        </is>
      </c>
      <c r="L1831" s="6" t="inlineStr"/>
      <c r="M1831" s="5" t="inlineStr"/>
      <c r="N1831" s="5" t="inlineStr"/>
      <c r="O1831" s="6" t="inlineStr"/>
      <c r="P1831" s="6" t="inlineStr"/>
      <c r="Q1831" s="5" t="inlineStr"/>
      <c r="R1831" s="5" t="inlineStr"/>
      <c r="S1831" s="5" t="inlineStr"/>
      <c r="T1831" s="5" t="inlineStr"/>
      <c r="U1831" s="5" t="inlineStr"/>
      <c r="V1831" s="5" t="inlineStr"/>
      <c r="W1831" s="5" t="inlineStr"/>
      <c r="X1831" s="5" t="inlineStr"/>
      <c r="Y1831" s="5" t="inlineStr"/>
      <c r="Z1831" s="6" t="inlineStr"/>
      <c r="AA1831" s="5" t="inlineStr"/>
      <c r="AB1831" s="5" t="inlineStr"/>
      <c r="AC1831" s="5" t="inlineStr"/>
      <c r="AD1831" s="5" t="inlineStr"/>
      <c r="AE1831" s="5" t="inlineStr"/>
      <c r="AF1831" s="5" t="inlineStr"/>
      <c r="AG1831" s="5" t="inlineStr"/>
      <c r="AH1831" s="5" t="inlineStr"/>
      <c r="AI1831" s="5" t="inlineStr"/>
      <c r="AJ1831" s="5" t="inlineStr"/>
    </row>
    <row r="1832">
      <c r="A1832" s="5" t="inlineStr">
        <is>
          <t>b9-dunurler</t>
        </is>
      </c>
      <c r="B1832" s="5" t="n">
        <v>3</v>
      </c>
      <c r="C1832" s="6" t="inlineStr">
        <is>
          <t>Düğün masrafını ilk akşamdan konuş</t>
        </is>
      </c>
      <c r="D1832" s="5" t="inlineStr">
        <is>
          <t>Kurnazlık</t>
        </is>
      </c>
      <c r="E1832" s="5" t="inlineStr">
        <is>
          <t>Zor</t>
        </is>
      </c>
      <c r="F1832" s="5" t="inlineStr"/>
      <c r="G1832" s="6" t="inlineStr"/>
      <c r="H1832" s="6" t="inlineStr">
        <is>
          <t>Konuyu açtın. İki taraf da 'Biz bir şey istemeyiz' dedi ve üç saat boyunca bir şeyler istedi. Sonunda yarı yarıya anlaştınız.</t>
        </is>
      </c>
      <c r="I1832" s="6" t="inlineStr">
        <is>
          <t>Masrafı ilk akşam paylaştınız: salon sizden, takı onlardan, yemek yarı yarıya. Düğüne kadar tek kavga çıkmadı. Mahallede bir ilk.</t>
        </is>
      </c>
      <c r="J1832" s="6" t="inlineStr">
        <is>
          <t>Masraf lafı açılınca salon serinledi. Kahveler bitti, ikinci kahve gelmedi.</t>
        </is>
      </c>
      <c r="K1832" s="6" t="inlineStr">
        <is>
          <t>'Bizde düğün üç gün olur' dedin. Dünür 'Bizde bir akşam' dedi. Düğün iki akşam olacak; ikisinin de faturası sende.</t>
        </is>
      </c>
      <c r="L1832" s="6" t="inlineStr"/>
      <c r="M1832" s="5" t="inlineStr"/>
      <c r="N1832" s="5" t="inlineStr"/>
      <c r="O1832" s="6" t="inlineStr"/>
      <c r="P1832" s="6" t="inlineStr"/>
      <c r="Q1832" s="5" t="inlineStr"/>
      <c r="R1832" s="5" t="inlineStr"/>
      <c r="S1832" s="5" t="inlineStr"/>
      <c r="T1832" s="5" t="inlineStr"/>
      <c r="U1832" s="5" t="inlineStr"/>
      <c r="V1832" s="5" t="inlineStr"/>
      <c r="W1832" s="5" t="inlineStr"/>
      <c r="X1832" s="5" t="inlineStr"/>
      <c r="Y1832" s="5" t="inlineStr"/>
      <c r="Z1832" s="6" t="inlineStr"/>
      <c r="AA1832" s="5" t="inlineStr"/>
      <c r="AB1832" s="5" t="inlineStr"/>
      <c r="AC1832" s="5" t="inlineStr"/>
      <c r="AD1832" s="5" t="inlineStr"/>
      <c r="AE1832" s="5" t="inlineStr"/>
      <c r="AF1832" s="5" t="inlineStr"/>
      <c r="AG1832" s="5" t="inlineStr"/>
      <c r="AH1832" s="5" t="inlineStr"/>
      <c r="AI1832" s="5" t="inlineStr"/>
      <c r="AJ1832" s="5" t="inlineStr"/>
    </row>
    <row r="1833">
      <c r="A1833" s="5" t="inlineStr">
        <is>
          <t>b9-dunurler</t>
        </is>
      </c>
      <c r="B1833" s="5" t="n">
        <v>4</v>
      </c>
      <c r="C1833" s="6" t="inlineStr">
        <is>
          <t>Dünürün huyunu oku</t>
        </is>
      </c>
      <c r="D1833" s="5" t="inlineStr">
        <is>
          <t>Sosyal Radar</t>
        </is>
      </c>
      <c r="E1833" s="5" t="inlineStr">
        <is>
          <t>Orta</t>
        </is>
      </c>
      <c r="F1833" s="5" t="inlineStr"/>
      <c r="G1833" s="6" t="inlineStr"/>
      <c r="H1833" s="6" t="inlineStr">
        <is>
          <t>Dünür az şekerli içiyor, memleket lafı açılınca yumuşuyor. İkinci çaydan sonra ortak bir tanıdık bulundu; gerisi kendiliğinden geldi.</t>
        </is>
      </c>
      <c r="I1833" s="6" t="inlineStr">
        <is>
          <t>Dünürün kristale düşkün olduğunu vitrine bakışından anladın ve şekerliği hediye ettin. Düğüne kadar bir kez bile tartışmadınız.</t>
        </is>
      </c>
      <c r="J1833" s="6" t="inlineStr">
        <is>
          <t>Sessiz sandın, utangaçmış. Utangaç sandın, yorgunmuş. Akşamın sonunda ne düşündüğünü hâlâ bilmiyorsun.</t>
        </is>
      </c>
      <c r="K1833" s="6" t="inlineStr">
        <is>
          <t>Dünürü sessiz sanıp rahatladın, kendi aileni anlatmaya başladın; halanın boşanmasını bile. Dünür sessiz değilmiş, dinliyormuş.</t>
        </is>
      </c>
      <c r="L1833" s="6" t="inlineStr"/>
      <c r="M1833" s="5" t="inlineStr"/>
      <c r="N1833" s="5" t="inlineStr"/>
      <c r="O1833" s="6" t="inlineStr"/>
      <c r="P1833" s="6" t="inlineStr"/>
      <c r="Q1833" s="5" t="inlineStr"/>
      <c r="R1833" s="5" t="inlineStr"/>
      <c r="S1833" s="5" t="inlineStr"/>
      <c r="T1833" s="5" t="inlineStr"/>
      <c r="U1833" s="5" t="inlineStr"/>
      <c r="V1833" s="5" t="inlineStr"/>
      <c r="W1833" s="5" t="inlineStr"/>
      <c r="X1833" s="5" t="inlineStr"/>
      <c r="Y1833" s="5" t="inlineStr"/>
      <c r="Z1833" s="6" t="inlineStr"/>
      <c r="AA1833" s="5" t="inlineStr"/>
      <c r="AB1833" s="5" t="inlineStr"/>
      <c r="AC1833" s="5" t="inlineStr"/>
      <c r="AD1833" s="5" t="inlineStr"/>
      <c r="AE1833" s="5" t="inlineStr"/>
      <c r="AF1833" s="5" t="inlineStr"/>
      <c r="AG1833" s="5" t="inlineStr"/>
      <c r="AH1833" s="5" t="inlineStr"/>
      <c r="AI1833" s="5" t="inlineStr"/>
      <c r="AJ1833" s="5" t="inlineStr"/>
    </row>
    <row r="1834">
      <c r="A1834" s="5" t="inlineStr">
        <is>
          <t>b10-tek-fincan</t>
        </is>
      </c>
      <c r="B1834" s="5" t="n">
        <v>1</v>
      </c>
      <c r="C1834" s="6" t="inlineStr">
        <is>
          <t>Onun gibi demle</t>
        </is>
      </c>
      <c r="D1834" s="5" t="inlineStr"/>
      <c r="E1834" s="5" t="inlineStr"/>
      <c r="F1834" s="5" t="inlineStr">
        <is>
          <t>Gönül +1</t>
        </is>
      </c>
      <c r="G1834" s="6" t="inlineStr">
        <is>
          <t>Dört kaşık koydun, fazla geldi. Yine de iki fincan doldurdun, birini karşına koydun. Soğuyana kadar kalkmadın.</t>
        </is>
      </c>
      <c r="H1834" s="6" t="inlineStr"/>
      <c r="I1834" s="6" t="inlineStr"/>
      <c r="J1834" s="6" t="inlineStr"/>
      <c r="K1834" s="6" t="inlineStr"/>
      <c r="L1834" s="6" t="inlineStr"/>
      <c r="M1834" s="5" t="inlineStr"/>
      <c r="N1834" s="5" t="inlineStr"/>
      <c r="O1834" s="6" t="inlineStr"/>
      <c r="P1834" s="6" t="inlineStr"/>
      <c r="Q1834" s="5" t="inlineStr"/>
      <c r="R1834" s="5" t="inlineStr"/>
      <c r="S1834" s="5" t="inlineStr"/>
      <c r="T1834" s="5" t="inlineStr"/>
      <c r="U1834" s="5" t="inlineStr">
        <is>
          <t>dul, -evli</t>
        </is>
      </c>
      <c r="V1834" s="5" t="inlineStr"/>
      <c r="W1834" s="5" t="inlineStr"/>
      <c r="X1834" s="5" t="inlineStr"/>
      <c r="Y1834" s="5" t="inlineStr"/>
      <c r="Z1834" s="6" t="inlineStr"/>
      <c r="AA1834" s="5" t="inlineStr"/>
      <c r="AB1834" s="5" t="inlineStr"/>
      <c r="AC1834" s="5" t="inlineStr"/>
      <c r="AD1834" s="5" t="inlineStr"/>
      <c r="AE1834" s="5" t="inlineStr"/>
      <c r="AF1834" s="5" t="inlineStr"/>
      <c r="AG1834" s="5" t="inlineStr"/>
      <c r="AH1834" s="5" t="inlineStr"/>
      <c r="AI1834" s="5" t="inlineStr"/>
      <c r="AJ1834" s="5" t="inlineStr"/>
    </row>
    <row r="1835">
      <c r="A1835" s="5" t="inlineStr">
        <is>
          <t>b10-tek-fincan</t>
        </is>
      </c>
      <c r="B1835" s="5" t="n">
        <v>2</v>
      </c>
      <c r="C1835" s="6" t="inlineStr">
        <is>
          <t>Tabakları komşuya geri götür</t>
        </is>
      </c>
      <c r="D1835" s="5" t="inlineStr">
        <is>
          <t>Sosyal Radar</t>
        </is>
      </c>
      <c r="E1835" s="5" t="inlineStr">
        <is>
          <t>Kolay</t>
        </is>
      </c>
      <c r="F1835" s="5" t="inlineStr"/>
      <c r="G1835" s="6" t="inlineStr"/>
      <c r="H1835" s="6" t="inlineStr">
        <is>
          <t>Kapıda on dakika konuştunuz. Akşam kapında yine bir tabak vardı, yanında bir not: 'Yarın bizde.'</t>
        </is>
      </c>
      <c r="I1835" s="6" t="inlineStr">
        <is>
          <t>Komşu seni içeri aldı, çay koydu. 'Her sabah sen uyurken balkondan bana el sallardı' dedi. İkiniz de güldünüz; üç aydır ilk kez.</t>
        </is>
      </c>
      <c r="J1835" s="6" t="inlineStr">
        <is>
          <t>Kapıya kadar gittin, zile basamadın. Tabakları paspasın üstüne bırakıp döndün.</t>
        </is>
      </c>
      <c r="K1835" s="6" t="inlineStr">
        <is>
          <t>Komşu kapıyı açıp 'Nasılsın?' dedi. 'İyiyim' diyecektin, ağladın. Merdivende yarım saat ağladınız; apartman grubuna 'Üçüncü katta ses var' diye mesaj düştü.</t>
        </is>
      </c>
      <c r="L1835" s="6" t="inlineStr"/>
      <c r="M1835" s="5" t="inlineStr"/>
      <c r="N1835" s="5" t="inlineStr"/>
      <c r="O1835" s="6" t="inlineStr"/>
      <c r="P1835" s="6" t="inlineStr"/>
      <c r="Q1835" s="5" t="inlineStr"/>
      <c r="R1835" s="5" t="inlineStr"/>
      <c r="S1835" s="5" t="inlineStr"/>
      <c r="T1835" s="5" t="inlineStr"/>
      <c r="U1835" s="5" t="inlineStr">
        <is>
          <t>dul, -evli</t>
        </is>
      </c>
      <c r="V1835" s="5" t="inlineStr"/>
      <c r="W1835" s="5" t="inlineStr"/>
      <c r="X1835" s="5" t="inlineStr"/>
      <c r="Y1835" s="5" t="inlineStr"/>
      <c r="Z1835" s="6" t="inlineStr"/>
      <c r="AA1835" s="5" t="inlineStr"/>
      <c r="AB1835" s="5" t="inlineStr"/>
      <c r="AC1835" s="5" t="inlineStr"/>
      <c r="AD1835" s="5" t="inlineStr"/>
      <c r="AE1835" s="5" t="inlineStr"/>
      <c r="AF1835" s="5" t="inlineStr"/>
      <c r="AG1835" s="5" t="inlineStr"/>
      <c r="AH1835" s="5" t="inlineStr"/>
      <c r="AI1835" s="5" t="inlineStr"/>
      <c r="AJ1835" s="5" t="inlineStr"/>
    </row>
    <row r="1836">
      <c r="A1836" s="5" t="inlineStr">
        <is>
          <t>b10-tek-fincan</t>
        </is>
      </c>
      <c r="B1836" s="5" t="n">
        <v>3</v>
      </c>
      <c r="C1836" s="6" t="inlineStr">
        <is>
          <t>Çocuğunun yanına taşın</t>
        </is>
      </c>
      <c r="D1836" s="5" t="inlineStr">
        <is>
          <t>Gönül</t>
        </is>
      </c>
      <c r="E1836" s="5" t="inlineStr">
        <is>
          <t>Orta</t>
        </is>
      </c>
      <c r="F1836" s="5" t="inlineStr"/>
      <c r="G1836" s="6" t="inlineStr"/>
      <c r="H1836" s="6" t="inlineStr">
        <is>
          <t>Valizini çocuğunun evine taşıdın. Sana en güneşli odayı verdiler; kumanda sende değil ama demlik sende.</t>
        </is>
      </c>
      <c r="I1836" s="6" t="inlineStr">
        <is>
          <t>Torununla aynı odayı paylaştın. Bir ayda sen ona tavla, o sana dizi öğretti; çocuğunun eşi aile grubuna 'Ev böyle daha güzel' yazdı.</t>
        </is>
      </c>
      <c r="J1836" s="6" t="inlineStr">
        <is>
          <t>İki hafta kaldın, sonra kendi evine döndün. 'Çiçeklerim susuz kaldı' dedin. Çiçekler plastikti.</t>
        </is>
      </c>
      <c r="K1836" s="6" t="inlineStr">
        <is>
          <t>Taşındığın ilk gece mutfağı kendi düzenine soktun. Sabah kimse çay bardaklarını bulamadı; çocuğunun eşi seni bir hafta komşulara 'misafirimiz' diye tanıttı.</t>
        </is>
      </c>
      <c r="L1836" s="6" t="inlineStr"/>
      <c r="M1836" s="5" t="inlineStr"/>
      <c r="N1836" s="5" t="inlineStr"/>
      <c r="O1836" s="6" t="inlineStr"/>
      <c r="P1836" s="6" t="inlineStr"/>
      <c r="Q1836" s="5" t="inlineStr"/>
      <c r="R1836" s="5" t="inlineStr">
        <is>
          <t>cocuklu</t>
        </is>
      </c>
      <c r="S1836" s="5" t="inlineStr"/>
      <c r="T1836" s="5" t="inlineStr"/>
      <c r="U1836" s="5" t="inlineStr">
        <is>
          <t>dul, -evli</t>
        </is>
      </c>
      <c r="V1836" s="5" t="inlineStr"/>
      <c r="W1836" s="5" t="inlineStr"/>
      <c r="X1836" s="5" t="inlineStr"/>
      <c r="Y1836" s="5" t="inlineStr"/>
      <c r="Z1836" s="6" t="inlineStr"/>
      <c r="AA1836" s="5" t="inlineStr"/>
      <c r="AB1836" s="5" t="inlineStr"/>
      <c r="AC1836" s="5" t="inlineStr"/>
      <c r="AD1836" s="5" t="inlineStr"/>
      <c r="AE1836" s="5" t="inlineStr"/>
      <c r="AF1836" s="5" t="inlineStr"/>
      <c r="AG1836" s="5" t="inlineStr"/>
      <c r="AH1836" s="5" t="inlineStr"/>
      <c r="AI1836" s="5" t="inlineStr"/>
      <c r="AJ1836" s="5" t="inlineStr"/>
    </row>
    <row r="1837">
      <c r="A1837" s="5" t="inlineStr">
        <is>
          <t>b10-tek-fincan</t>
        </is>
      </c>
      <c r="B1837" s="5" t="n">
        <v>4</v>
      </c>
      <c r="C1837" s="6" t="inlineStr">
        <is>
          <t>Eşinin dolabını topla</t>
        </is>
      </c>
      <c r="D1837" s="5" t="inlineStr">
        <is>
          <t>Dayanıklılık</t>
        </is>
      </c>
      <c r="E1837" s="5" t="inlineStr">
        <is>
          <t>Zor</t>
        </is>
      </c>
      <c r="F1837" s="5" t="inlineStr"/>
      <c r="G1837" s="6" t="inlineStr"/>
      <c r="H1837" s="6" t="inlineStr">
        <is>
          <t>Giysileri katlayıp ihtiyacı olanlara gönderdin. Bir hırkayı ayırdın; o dolapta kalacak.</t>
        </is>
      </c>
      <c r="I1837" s="6" t="inlineStr">
        <is>
          <t>Her şeyi tek tek katladın. Ceketinin cebinden kırk yıllık bir not çıktı, senin el yazınla: 'Akşam erken gel.' Notu cüzdanına koydun, kalanını gönül rahatlığıyla verdin.</t>
        </is>
      </c>
      <c r="J1837" s="6" t="inlineStr">
        <is>
          <t>Dolabı açtın, kokusu yüzüne çarptı. Kapağı kapattın. Belki gelecek ay.</t>
        </is>
      </c>
      <c r="K1837" s="6" t="inlineStr">
        <is>
          <t>Her şeyi bir günde koli koli verdin. Akşam onun terliğini aradın; o da gitmişti. Ertesi sabah derneğin kapısında, kolilerin arasında terlik arıyordun.</t>
        </is>
      </c>
      <c r="L1837" s="6" t="inlineStr"/>
      <c r="M1837" s="5" t="inlineStr"/>
      <c r="N1837" s="5" t="inlineStr"/>
      <c r="O1837" s="6" t="inlineStr"/>
      <c r="P1837" s="6" t="inlineStr"/>
      <c r="Q1837" s="5" t="inlineStr"/>
      <c r="R1837" s="5" t="inlineStr"/>
      <c r="S1837" s="5" t="inlineStr"/>
      <c r="T1837" s="5" t="inlineStr"/>
      <c r="U1837" s="5" t="inlineStr">
        <is>
          <t>dul, -evli</t>
        </is>
      </c>
      <c r="V1837" s="5" t="inlineStr"/>
      <c r="W1837" s="5" t="inlineStr"/>
      <c r="X1837" s="5" t="inlineStr"/>
      <c r="Y1837" s="5" t="inlineStr"/>
      <c r="Z1837" s="6" t="inlineStr"/>
      <c r="AA1837" s="5" t="inlineStr"/>
      <c r="AB1837" s="5" t="inlineStr"/>
      <c r="AC1837" s="5" t="inlineStr"/>
      <c r="AD1837" s="5" t="inlineStr"/>
      <c r="AE1837" s="5" t="inlineStr"/>
      <c r="AF1837" s="5" t="inlineStr"/>
      <c r="AG1837" s="5" t="inlineStr"/>
      <c r="AH1837" s="5" t="inlineStr"/>
      <c r="AI1837" s="5" t="inlineStr"/>
      <c r="AJ1837" s="5" t="inlineStr"/>
    </row>
    <row r="1838">
      <c r="A1838" s="5" t="inlineStr">
        <is>
          <t>b7-isteme-kahvesi</t>
        </is>
      </c>
      <c r="B1838" s="5" t="n">
        <v>1</v>
      </c>
      <c r="C1838" s="6" t="inlineStr">
        <is>
          <t>Kahveyi düzgün pişir, sade sun</t>
        </is>
      </c>
      <c r="D1838" s="5" t="inlineStr"/>
      <c r="E1838" s="5" t="inlineStr"/>
      <c r="F1838" s="5" t="inlineStr">
        <is>
          <t>Gönül +1</t>
        </is>
      </c>
      <c r="G1838" s="6" t="inlineStr">
        <is>
          <t>Kahveler köpüklü, fincanlar titremeden geldi. Müstakbel kayınvalide fincanı çevirip dibine baktı: “Eli lezzetli.” Annen mutfağa dönünce sana göz kırptı; tuzluk dolapta kaldı.</t>
        </is>
      </c>
      <c r="H1838" s="6" t="inlineStr"/>
      <c r="I1838" s="6" t="inlineStr"/>
      <c r="J1838" s="6" t="inlineStr"/>
      <c r="K1838" s="6" t="inlineStr"/>
      <c r="L1838" s="6" t="inlineStr"/>
      <c r="M1838" s="5" t="inlineStr"/>
      <c r="N1838" s="5" t="inlineStr"/>
      <c r="O1838" s="6" t="inlineStr"/>
      <c r="P1838" s="6" t="inlineStr"/>
      <c r="Q1838" s="5" t="inlineStr"/>
      <c r="R1838" s="5" t="inlineStr"/>
      <c r="S1838" s="5" t="inlineStr"/>
      <c r="T1838" s="5" t="inlineStr"/>
      <c r="U1838" s="5" t="inlineStr"/>
      <c r="V1838" s="5" t="inlineStr"/>
      <c r="W1838" s="5" t="inlineStr"/>
      <c r="X1838" s="5" t="inlineStr"/>
      <c r="Y1838" s="5" t="inlineStr"/>
      <c r="Z1838" s="6" t="inlineStr"/>
      <c r="AA1838" s="5" t="inlineStr"/>
      <c r="AB1838" s="5" t="inlineStr"/>
      <c r="AC1838" s="5" t="inlineStr"/>
      <c r="AD1838" s="5" t="inlineStr"/>
      <c r="AE1838" s="5" t="inlineStr"/>
      <c r="AF1838" s="5" t="inlineStr"/>
      <c r="AG1838" s="5" t="inlineStr"/>
      <c r="AH1838" s="5" t="inlineStr"/>
      <c r="AI1838" s="5" t="inlineStr"/>
      <c r="AJ1838" s="5" t="inlineStr"/>
    </row>
    <row r="1839">
      <c r="A1839" s="5" t="inlineStr">
        <is>
          <t>b7-isteme-kahvesi</t>
        </is>
      </c>
      <c r="B1839" s="5" t="n">
        <v>2</v>
      </c>
      <c r="C1839" s="6" t="inlineStr">
        <is>
          <t>Damadın kahvesine iki kaşık tuz koy</t>
        </is>
      </c>
      <c r="D1839" s="5" t="inlineStr">
        <is>
          <t>Pişkinlik</t>
        </is>
      </c>
      <c r="E1839" s="5" t="inlineStr">
        <is>
          <t>Orta</t>
        </is>
      </c>
      <c r="F1839" s="5" t="inlineStr"/>
      <c r="G1839" s="6" t="inlineStr"/>
      <c r="H1839" s="6" t="inlineStr">
        <is>
          <t>Damat ilk yudumda durdu, sonra gülümseyip son yudumuna kadar içti. Baban kulağına eğildi: “Bu çocuk dayanır.” Tuzluğu önlüğünün cebine sakladın.</t>
        </is>
      </c>
      <c r="I1839" s="6" t="inlineStr">
        <is>
          <t>Damat kahveyi bitirdi, fincanı uzattı: “Bir tane daha olur mu?” Salon kahkahaya boğuldu; kayınvalide seninle ilk kez aynı anda güldü.</t>
        </is>
      </c>
      <c r="J1839" s="6" t="inlineStr">
        <is>
          <t>Tuz azdı; damat fark etmedi bile. Baban kendi fincanını kaldırıp hayal kırıklığıyla sordu: “Bunun neresi tuzlu?”</t>
        </is>
      </c>
      <c r="K1839" s="6" t="inlineStr">
        <is>
          <t>Fincanları karıştırdın; tuzlu kahve kayınpedere gitti. Bir yudum aldı, gözleri doldu, bıyığını sildi: “Kızım, beni mi istiyorsun?” Salon on dakika kendine gelemedi.</t>
        </is>
      </c>
      <c r="L1839" s="6" t="inlineStr"/>
      <c r="M1839" s="5" t="inlineStr"/>
      <c r="N1839" s="5" t="inlineStr"/>
      <c r="O1839" s="6" t="inlineStr"/>
      <c r="P1839" s="6" t="inlineStr"/>
      <c r="Q1839" s="5" t="inlineStr"/>
      <c r="R1839" s="5" t="inlineStr"/>
      <c r="S1839" s="5" t="inlineStr"/>
      <c r="T1839" s="5" t="inlineStr"/>
      <c r="U1839" s="5" t="inlineStr"/>
      <c r="V1839" s="5" t="inlineStr"/>
      <c r="W1839" s="5" t="inlineStr"/>
      <c r="X1839" s="5" t="inlineStr"/>
      <c r="Y1839" s="5" t="inlineStr"/>
      <c r="Z1839" s="6" t="inlineStr"/>
      <c r="AA1839" s="5" t="inlineStr"/>
      <c r="AB1839" s="5" t="inlineStr"/>
      <c r="AC1839" s="5" t="inlineStr"/>
      <c r="AD1839" s="5" t="inlineStr"/>
      <c r="AE1839" s="5" t="inlineStr"/>
      <c r="AF1839" s="5" t="inlineStr"/>
      <c r="AG1839" s="5" t="inlineStr"/>
      <c r="AH1839" s="5" t="inlineStr"/>
      <c r="AI1839" s="5" t="inlineStr"/>
      <c r="AJ1839" s="5" t="inlineStr"/>
    </row>
    <row r="1840">
      <c r="A1840" s="5" t="inlineStr">
        <is>
          <t>b7-isteme-kahvesi</t>
        </is>
      </c>
      <c r="B1840" s="5" t="n">
        <v>3</v>
      </c>
      <c r="C1840" s="6" t="inlineStr">
        <is>
          <t>Konuşmayı sen yap, babanı kurtar</t>
        </is>
      </c>
      <c r="D1840" s="5" t="inlineStr">
        <is>
          <t>Çene</t>
        </is>
      </c>
      <c r="E1840" s="5" t="inlineStr">
        <is>
          <t>Orta</t>
        </is>
      </c>
      <c r="F1840" s="5" t="inlineStr"/>
      <c r="G1840" s="6" t="inlineStr"/>
      <c r="H1840" s="6" t="inlineStr">
        <is>
          <t>Baban cümleye başlarken tıkandı; tepsiyi bırakıp sen tamamladın. “Verdik” dendi; baban “Ben de onu diyecektim” dedi.</t>
        </is>
      </c>
      <c r="I1840" s="6" t="inlineStr">
        <is>
          <t>Öyle konuştun ki söz kesme oracıkta yapıldı. Yüzükler kayınvalidenin çantasındaymış; kurdeleyi annen dişiyle kesti.</t>
        </is>
      </c>
      <c r="J1840" s="6" t="inlineStr">
        <is>
          <t>Sen konuşmaya başladın, baban da başladı; ikiniz aynı anda sustunuz. Kayınpeder “Biz bir çay daha içelim, siz karar verin” dedi.</t>
        </is>
      </c>
      <c r="K1840" s="6" t="inlineStr">
        <is>
          <t>Heyecandan konuşmayı iş görüşmesine çevirdin: “Beş yıl sonra kendimi bu ailenin içinde görüyorum.” Damat “Ben de!” dedi. Annen tepsiyi mutfağa kaçırdı.</t>
        </is>
      </c>
      <c r="L1840" s="6" t="inlineStr"/>
      <c r="M1840" s="5" t="inlineStr"/>
      <c r="N1840" s="5" t="inlineStr"/>
      <c r="O1840" s="6" t="inlineStr"/>
      <c r="P1840" s="6" t="inlineStr"/>
      <c r="Q1840" s="5" t="inlineStr"/>
      <c r="R1840" s="5" t="inlineStr"/>
      <c r="S1840" s="5" t="inlineStr"/>
      <c r="T1840" s="5" t="inlineStr"/>
      <c r="U1840" s="5" t="inlineStr"/>
      <c r="V1840" s="5" t="inlineStr"/>
      <c r="W1840" s="5" t="inlineStr"/>
      <c r="X1840" s="5" t="inlineStr"/>
      <c r="Y1840" s="5" t="inlineStr"/>
      <c r="Z1840" s="6" t="inlineStr"/>
      <c r="AA1840" s="5" t="inlineStr"/>
      <c r="AB1840" s="5" t="inlineStr"/>
      <c r="AC1840" s="5" t="inlineStr"/>
      <c r="AD1840" s="5" t="inlineStr"/>
      <c r="AE1840" s="5" t="inlineStr"/>
      <c r="AF1840" s="5" t="inlineStr"/>
      <c r="AG1840" s="5" t="inlineStr"/>
      <c r="AH1840" s="5" t="inlineStr"/>
      <c r="AI1840" s="5" t="inlineStr"/>
      <c r="AJ1840" s="5" t="inlineStr"/>
    </row>
    <row r="1841">
      <c r="A1841" t="inlineStr">
        <is>
          <t>b6-meslek-secimi</t>
        </is>
      </c>
      <c r="B1841" t="n">
        <v>9</v>
      </c>
      <c r="C1841" t="inlineStr">
        <is>
          <t>Avukatlık stajına başla: bir büroya gir</t>
        </is>
      </c>
      <c r="D1841" t="inlineStr">
        <is>
          <t>Çene</t>
        </is>
      </c>
      <c r="E1841" t="inlineStr">
        <is>
          <t>Orta</t>
        </is>
      </c>
      <c r="H1841" t="inlineStr">
        <is>
          <t>Bir büro seni stajyer aldı. İlk görevin dosya taşımak, ikincisi taşıdığın dosyayı okumak. Üçüncüsü hâlâ gelmedi.</t>
        </is>
      </c>
      <c r="I1841" t="inlineStr">
        <is>
          <t>Kıdemli ortak seni duruşmaya götürdü. Kürsüye tek kelime etmedin ama dosyaları doğru sırayla taşıdın. Ortak “Bu çocuk yürür” dedi.</t>
        </is>
      </c>
      <c r="J1841" t="inlineStr">
        <is>
          <t>Bürolardan “kadro yok” cevabı geldi. Bir şirketin hukuk birimi seni sözleşme yazmaya aldı: avukatsın, duruşman yok.</t>
        </is>
      </c>
      <c r="K1841" t="inlineStr">
        <is>
          <t>Mülakatta “En büyük zaafın?” sorusuna müvekkil sırlarını anlattın. Büro etik sormuştu, sen iyi niyetliydin. Bir plaza seni aldı; orada sır yok.</t>
        </is>
      </c>
      <c r="R1841" t="inlineStr">
        <is>
          <t>bolum-hukuk</t>
        </is>
      </c>
      <c r="V1841" t="inlineStr">
        <is>
          <t>meslek-beyazyaka, avukat</t>
        </is>
      </c>
      <c r="AB1841" t="inlineStr">
        <is>
          <t>meslek-beyazyaka</t>
        </is>
      </c>
      <c r="AD1841" t="inlineStr">
        <is>
          <t>Orta</t>
        </is>
      </c>
    </row>
    <row r="1842">
      <c r="A1842" t="inlineStr">
        <is>
          <t>b6-meslek-secimi</t>
        </is>
      </c>
      <c r="B1842" t="n">
        <v>10</v>
      </c>
      <c r="C1842" t="inlineStr">
        <is>
          <t>Şantiyeye ya da fabrikaya mühendis olarak başla</t>
        </is>
      </c>
      <c r="D1842" t="inlineStr">
        <is>
          <t>Akıl</t>
        </is>
      </c>
      <c r="E1842" t="inlineStr">
        <is>
          <t>Orta</t>
        </is>
      </c>
      <c r="H1842" t="inlineStr">
        <is>
          <t>Bir firma seni saha mühendisi aldı. İlk gün baret verdiler, ikinci gün baretin kimin olduğunu sordular.</t>
        </is>
      </c>
      <c r="I1842" t="inlineStr">
        <is>
          <t>Projenin hesabındaki hatayı sen buldun. Şantiye şefi çay ısmarladı; çayı kendi içmeyip sana uzattı.</t>
        </is>
      </c>
      <c r="J1842" t="inlineStr">
        <is>
          <t>Firmalar “deneyim” istedi; deneyim için de işe girmek gerekiyormuş. Bir ofiste çizim yapmaya başladın; baretin yok.</t>
        </is>
      </c>
      <c r="K1842" t="inlineStr">
        <is>
          <t>Mülakatta “En büyük zaafın?” sorusuna “Tolerans” dedin. İnşaat müdürü güldü. Dönüşte baret yerine bir ofis masası aldın.</t>
        </is>
      </c>
      <c r="R1842" t="inlineStr">
        <is>
          <t>bolum-muhendislik</t>
        </is>
      </c>
      <c r="V1842" t="inlineStr">
        <is>
          <t>meslek-beyazyaka, muhendis</t>
        </is>
      </c>
      <c r="AB1842" t="inlineStr">
        <is>
          <t>meslek-beyazyaka</t>
        </is>
      </c>
      <c r="AD1842" t="inlineStr">
        <is>
          <t>Orta</t>
        </is>
      </c>
    </row>
    <row r="1843">
      <c r="A1843" t="inlineStr">
        <is>
          <t>b6-degisim-programi</t>
        </is>
      </c>
      <c r="B1843" t="n">
        <v>4</v>
      </c>
      <c r="C1843" t="inlineStr">
        <is>
          <t>Eski niyet mektubunu çıkar</t>
        </is>
      </c>
      <c r="D1843" t="inlineStr">
        <is>
          <t>Akıl</t>
        </is>
      </c>
      <c r="E1843" t="inlineStr">
        <is>
          <t>Kolay</t>
        </is>
      </c>
      <c r="H1843" t="inlineStr">
        <is>
          <t>Mektup aylardır hazırdı; formun yarısı o gece doldu. Programa kabul edildin, mektubun ikinci hayatı başladı.</t>
        </is>
      </c>
      <c r="I1843" t="inlineStr">
        <is>
          <t>Mektubu okuyan komisyon üyesi başını salladı: “Bunu yıllardır bekliyorduk.” Kabul geldi, burs da yanında.</t>
        </is>
      </c>
      <c r="J1843" t="inlineStr">
        <is>
          <t>Mektup eskiydi: yazdığın okul programdan çıkmış. Formu baştan doldurmaya vaktin kalmadı.</t>
        </is>
      </c>
      <c r="K1843" t="inlineStr">
        <is>
          <t>Mektubu yanlış dosyaya eklemişsin: komisyon, başka bir öğrencinin Öte Diyar hayalini okudu. Hayali güzeldi, o öğrenci kabul edildi.</t>
        </is>
      </c>
      <c r="R1843" t="inlineStr">
        <is>
          <t>yurt-disi-hayali</t>
        </is>
      </c>
      <c r="V1843" t="inlineStr">
        <is>
          <t>yurtdisi-gordu</t>
        </is>
      </c>
    </row>
    <row r="1844">
      <c r="A1844" t="inlineStr">
        <is>
          <t>b6-staj-hukuk</t>
        </is>
      </c>
      <c r="B1844" t="n">
        <v>1</v>
      </c>
      <c r="C1844" t="inlineStr">
        <is>
          <t>Dosya dolabını tarihe göre sırala</t>
        </is>
      </c>
      <c r="F1844" t="inlineStr">
        <is>
          <t>Dayanıklılık +1, Akıl +1</t>
        </is>
      </c>
      <c r="G1844" t="inlineStr">
        <is>
          <t>Yirmi yıllık dosyayı tarihe dizdin. Ortak, kayıp bir davayı bulduğunu söyledi; dava zaten kapanmıştı ama dosya artık yerinde.</t>
        </is>
      </c>
    </row>
    <row r="1845">
      <c r="A1845" t="inlineStr">
        <is>
          <t>b6-staj-hukuk</t>
        </is>
      </c>
      <c r="B1845" t="n">
        <v>2</v>
      </c>
      <c r="C1845" t="inlineStr">
        <is>
          <t>Duruşma kâtibiyle sohbet et</t>
        </is>
      </c>
      <c r="D1845" t="inlineStr">
        <is>
          <t>Sosyal Radar</t>
        </is>
      </c>
      <c r="E1845" t="inlineStr">
        <is>
          <t>Zor</t>
        </is>
      </c>
      <c r="H1845" t="inlineStr">
        <is>
          <t>Kâtip seni bir sonraki duruşmanın salonuna aldı. Notları sen tuttun, salon senden sorulur oldu.</t>
        </is>
      </c>
      <c r="I1845" t="inlineStr">
        <is>
          <t>Kâtip, hâkimin sevdiği çayın markasını söyledi. Ertesi duruşmaya o çayla girdin; ortak neden güldüğünü anlamadı.</t>
        </is>
      </c>
      <c r="J1845" t="inlineStr">
        <is>
          <t>Kâtip emekliliğine dört ay kaldığını anlattı. Dört ay boyunca.</t>
        </is>
      </c>
      <c r="K1845" t="inlineStr">
        <is>
          <t>Kâtibe hâkimin kararlarını yorumladın. Kâtip sustu, hâkim kapıda duruyordu.</t>
        </is>
      </c>
      <c r="T1845" t="inlineStr">
        <is>
          <t>Selamı Var</t>
        </is>
      </c>
    </row>
    <row r="1846">
      <c r="A1846" t="inlineStr">
        <is>
          <t>b6-staj-hukuk</t>
        </is>
      </c>
      <c r="B1846" t="n">
        <v>3</v>
      </c>
      <c r="C1846" t="inlineStr">
        <is>
          <t>Büronun en eski dosyasını çöz</t>
        </is>
      </c>
      <c r="D1846" t="inlineStr">
        <is>
          <t>Akıl</t>
        </is>
      </c>
      <c r="E1846" t="inlineStr">
        <is>
          <t>Orta</t>
        </is>
      </c>
      <c r="H1846" t="inlineStr">
        <is>
          <t>Dosyanın arkasındaki bir imzayı fark ettin. Dava on yıl sonra yeniden açılıyor; sen sadece okumuştun.</t>
        </is>
      </c>
      <c r="I1846" t="inlineStr">
        <is>
          <t>Sen bulduğun tutanakla müvekkil davayı kazandı. Ortak sana “Bu tutanak nereden çıktı?” diye sordu; dolabın arkasından.</t>
        </is>
      </c>
      <c r="J1846" t="inlineStr">
        <is>
          <t>Dosya çözüldü ama özet yazman gerekti. Özeti kimse okumadı, dosya yine dolaba girdi.</t>
        </is>
      </c>
      <c r="K1846" t="inlineStr">
        <is>
          <t>Dosyayı çözerken sayfaların sırasını bozdun. Ortak üç gece sıralayacak; sen çay getirdin.</t>
        </is>
      </c>
    </row>
    <row r="1847">
      <c r="A1847" t="inlineStr">
        <is>
          <t>b6-staj-hukuk</t>
        </is>
      </c>
      <c r="B1847" t="n">
        <v>4</v>
      </c>
      <c r="C1847" t="inlineStr">
        <is>
          <t>Müvekkil görüşmesinde söz iste</t>
        </is>
      </c>
      <c r="D1847" t="inlineStr">
        <is>
          <t>Pişkinlik</t>
        </is>
      </c>
      <c r="E1847" t="inlineStr">
        <is>
          <t>Zor</t>
        </is>
      </c>
      <c r="H1847" t="inlineStr">
        <is>
          <t>Bir soru sordun; müvekkil “İyi soru” dedi. Ortak “Bunu ben sormayı düşünüyordum” dedi, notu sen aldın.</t>
        </is>
      </c>
      <c r="I1847" t="inlineStr">
        <is>
          <t>Sorun görüşmenin yönünü değiştirdi. Müvekkil seni özel olarak aradı; ortak telefonu duydu.</t>
        </is>
      </c>
      <c r="J1847" t="inlineStr">
        <is>
          <t>Söz istedin, görüşme bitti. Elin havada kaldı, müvekkil el sallıyor sandı.</t>
        </is>
      </c>
      <c r="K1847" t="inlineStr">
        <is>
          <t>Müvekkile “Dava sizin lehinize” dedin. Ortak odada değildi; sonradan bir saat toparladı.</t>
        </is>
      </c>
    </row>
    <row r="1848">
      <c r="A1848" t="inlineStr">
        <is>
          <t>b7-faiz-ay-donumu</t>
        </is>
      </c>
      <c r="B1848" t="n">
        <v>1</v>
      </c>
      <c r="C1848" t="inlineStr">
        <is>
          <t>Hepsini kapat</t>
        </is>
      </c>
      <c r="F1848" t="inlineStr">
        <is>
          <t>İtibar +1, Akıl +1</t>
        </is>
      </c>
      <c r="G1848" t="inlineStr">
        <is>
          <t>Ekstrenin tamamını ödedin. Banka seni “Sevgili müşterimiz” yerine “Müşterimiz” diye anmaya başladı; sevgi de faizle birlikte bitti.</t>
        </is>
      </c>
      <c r="X1848" t="inlineStr">
        <is>
          <t>kart-borclu, borclu</t>
        </is>
      </c>
      <c r="AC1848" t="inlineStr">
        <is>
          <t>Orta</t>
        </is>
      </c>
      <c r="AF1848" t="n">
        <v>1</v>
      </c>
    </row>
    <row r="1849">
      <c r="A1849" t="inlineStr">
        <is>
          <t>b7-faiz-ay-donumu</t>
        </is>
      </c>
      <c r="B1849" t="n">
        <v>2</v>
      </c>
      <c r="C1849" t="inlineStr">
        <is>
          <t>Bankayla yeniden yapılandır</t>
        </is>
      </c>
      <c r="D1849" t="inlineStr">
        <is>
          <t>Çene</t>
        </is>
      </c>
      <c r="E1849" t="inlineStr">
        <is>
          <t>Orta</t>
        </is>
      </c>
      <c r="H1849" t="inlineStr">
        <is>
          <t>Banka taksit planı çıkardı. Faiz yarıya indi; sen imzayı atarken temsilci kalemi ucuza vermiş gibi bakıyordu.</t>
        </is>
      </c>
      <c r="I1849" t="inlineStr">
        <is>
          <t>Temsilci “Sizin için bir istisna” dedi. Borç taksitlendi, faiz silindi. İstisna kelimesini bankada ilk kez duydun.</t>
        </is>
      </c>
      <c r="J1849" t="inlineStr">
        <is>
          <t>Temsilci “Sistem izin vermiyor” dedi. Sistem hep izin vermiyor; sen de her seferinde ilk kez duyuyormuş gibi dinliyorsun.</t>
        </is>
      </c>
      <c r="K1849" t="inlineStr">
        <is>
          <t>Görüşmeyi telefonda kaydettiğini söyledin. Temsilci “Kayıt altındasınız” dedi, ikiniz de kaydın nereye gittiğini bilmiyordunuz.</t>
        </is>
      </c>
      <c r="V1849" t="inlineStr">
        <is>
          <t>-kart-borclu</t>
        </is>
      </c>
      <c r="AB1849" t="inlineStr">
        <is>
          <t>borclu</t>
        </is>
      </c>
      <c r="AK1849" t="inlineStr">
        <is>
          <t>-borclu</t>
        </is>
      </c>
      <c r="AL1849" t="n">
        <v>1</v>
      </c>
    </row>
    <row r="1850">
      <c r="A1850" t="inlineStr">
        <is>
          <t>b7-faiz-ay-donumu</t>
        </is>
      </c>
      <c r="B1850" t="n">
        <v>3</v>
      </c>
      <c r="C1850" t="inlineStr">
        <is>
          <t>Yeni karta geç</t>
        </is>
      </c>
      <c r="D1850" t="inlineStr">
        <is>
          <t>Kurnazlık</t>
        </is>
      </c>
      <c r="E1850" t="inlineStr">
        <is>
          <t>Zor</t>
        </is>
      </c>
      <c r="H1850" t="inlineStr">
        <is>
          <t>Borcu yeni kartın limitine kaydırdın. Bu ay rahat, gelecek ay ağlak.</t>
        </is>
      </c>
      <c r="I1850" t="inlineStr">
        <is>
          <t>Yeni kart sıfır faizle borcu devraldı. Ay sonunda telefona gelen mesaj bile bir an sana güldü.</t>
        </is>
      </c>
      <c r="J1850" t="inlineStr">
        <is>
          <t>Yeni kart başvurun reddedildi, eskisine bir faiz zammı geldi. Borç artık iki kapıda duruyor.</t>
        </is>
      </c>
      <c r="K1850" t="inlineStr">
        <is>
          <t>Başvuruda iki kartı da yazdın; banka ikisini birleştirdi ve icraya havale etti. Adın artık bir dosya numarası.</t>
        </is>
      </c>
      <c r="V1850" t="inlineStr">
        <is>
          <t>kart-borclu</t>
        </is>
      </c>
      <c r="W1850" t="inlineStr">
        <is>
          <t>icra-dosyasi</t>
        </is>
      </c>
      <c r="AB1850" t="inlineStr">
        <is>
          <t>borclu, kart-borclu</t>
        </is>
      </c>
      <c r="AL1850" t="n">
        <v>1</v>
      </c>
    </row>
    <row r="1851">
      <c r="A1851" t="inlineStr">
        <is>
          <t>b8-kefil-mektubu</t>
        </is>
      </c>
      <c r="B1851" t="n">
        <v>1</v>
      </c>
      <c r="C1851" t="inlineStr">
        <is>
          <t>Kefil olduğun kişiyi bul</t>
        </is>
      </c>
      <c r="F1851" t="inlineStr">
        <is>
          <t>Sosyal Radar +1, İtibar +1</t>
        </is>
      </c>
      <c r="G1851" t="inlineStr">
        <is>
          <t>Adamı üç mahalle ötede buldun. Borcu kendi ödedi; “Unutmuştum” dedi. Sen unutmamıştın, ama bunu söylemedin.</t>
        </is>
      </c>
      <c r="X1851" t="inlineStr">
        <is>
          <t>kefil-borclu</t>
        </is>
      </c>
    </row>
    <row r="1852">
      <c r="A1852" t="inlineStr">
        <is>
          <t>b8-kefil-mektubu</t>
        </is>
      </c>
      <c r="B1852" t="n">
        <v>2</v>
      </c>
      <c r="C1852" t="inlineStr">
        <is>
          <t>Borcu üstlen</t>
        </is>
      </c>
      <c r="F1852" t="inlineStr">
        <is>
          <t>Gönül +1, Dayanıklılık +1</t>
        </is>
      </c>
      <c r="G1852" t="inlineStr">
        <is>
          <t>Borcu kendi cebinden kapattın. Bankanın yazısı “Teşekkür ederiz” diye bitiyordu; sen de içinden aynısını söyledin, başka bir tonda.</t>
        </is>
      </c>
      <c r="X1852" t="inlineStr">
        <is>
          <t>kefil-borclu</t>
        </is>
      </c>
      <c r="AF1852" t="n">
        <v>1</v>
      </c>
    </row>
    <row r="1853">
      <c r="A1853" t="inlineStr">
        <is>
          <t>b8-kefil-mektubu</t>
        </is>
      </c>
      <c r="B1853" t="n">
        <v>3</v>
      </c>
      <c r="C1853" t="inlineStr">
        <is>
          <t>Zamana oyna</t>
        </is>
      </c>
      <c r="D1853" t="inlineStr">
        <is>
          <t>Kurnazlık</t>
        </is>
      </c>
      <c r="E1853" t="inlineStr">
        <is>
          <t>Zor</t>
        </is>
      </c>
      <c r="H1853" t="inlineStr">
        <is>
          <t>Banka tebligatı yanlış adrese göndermiş. Dosya bir yıl sonra yeniden açıldı; kefil bu arada kendi borcunu kapatmış.</t>
        </is>
      </c>
      <c r="I1853" t="inlineStr">
        <is>
          <t>Tebligat bir apartman yöneticisinin çekmecesinde kaldı. Kefil ortaya çıktı, borç ödendi; yönetici hâlâ çekmeceyi açmıyor.</t>
        </is>
      </c>
      <c r="J1853" t="inlineStr">
        <is>
          <t>Banka bu sefer elden teslim ettirdi. Zarfı alırken komşular perde arkasındaydı; çay o akşam yarım kaldı.</t>
        </is>
      </c>
      <c r="K1853" t="inlineStr">
        <is>
          <t>Tebligat gelince evde olmadığını söyledin. Memur “Kapıyı açan sizdiniz” dedi. Dosya icraya gitti.</t>
        </is>
      </c>
      <c r="V1853" t="inlineStr">
        <is>
          <t>-kefil-borclu</t>
        </is>
      </c>
      <c r="W1853" t="inlineStr">
        <is>
          <t>icra-dosyasi</t>
        </is>
      </c>
      <c r="AB1853" t="inlineStr">
        <is>
          <t>borclu</t>
        </is>
      </c>
      <c r="AL1853" t="n">
        <v>1</v>
      </c>
    </row>
    <row r="1854">
      <c r="A1854" t="inlineStr">
        <is>
          <t>b8-icra-zarfi</t>
        </is>
      </c>
      <c r="B1854" t="n">
        <v>1</v>
      </c>
      <c r="C1854" t="inlineStr">
        <is>
          <t>Ödeme planı iste</t>
        </is>
      </c>
      <c r="D1854" t="inlineStr">
        <is>
          <t>Çene</t>
        </is>
      </c>
      <c r="E1854" t="inlineStr">
        <is>
          <t>Orta</t>
        </is>
      </c>
      <c r="H1854" t="inlineStr">
        <is>
          <t>Memur plan yaptı: ayda bir, yıllarca. Borç küçüldü, sen büyüdün; yıllık ayrılık yazısı da hâlâ geliyor.</t>
        </is>
      </c>
      <c r="I1854" t="inlineStr">
        <is>
          <t>Alacaklı faizi sildi, plan kısaldı. Memur “Bunu ilk kez görüyorum” dedi; sen de ilk kez çaylı bir icra dairesi gördün.</t>
        </is>
      </c>
      <c r="J1854" t="inlineStr">
        <is>
          <t>Plan reddedildi. Maaşın üzerine haciz kondu; çay bile artık kendi bardağında içiliyor.</t>
        </is>
      </c>
      <c r="K1854" t="inlineStr">
        <is>
          <t>Planı yazarken mal varlığını fazla gösterdin. Memur “O halde haciz” dedi, evdeki halıyı bile tarttı.</t>
        </is>
      </c>
      <c r="V1854" t="inlineStr">
        <is>
          <t>-borclu</t>
        </is>
      </c>
      <c r="AB1854" t="inlineStr">
        <is>
          <t>icra-dosyasi</t>
        </is>
      </c>
      <c r="AL1854" t="n">
        <v>1</v>
      </c>
    </row>
    <row r="1855">
      <c r="A1855" t="inlineStr">
        <is>
          <t>b8-icra-zarfi</t>
        </is>
      </c>
      <c r="B1855" t="n">
        <v>2</v>
      </c>
      <c r="C1855" t="inlineStr">
        <is>
          <t>Aileye git, durumu anlat</t>
        </is>
      </c>
      <c r="D1855" t="inlineStr">
        <is>
          <t>Gönül</t>
        </is>
      </c>
      <c r="E1855" t="inlineStr">
        <is>
          <t>Kolay</t>
        </is>
      </c>
      <c r="H1855" t="inlineStr">
        <is>
          <t>Aile sofraya oturdu, tabloyu masaya koydular. Bir kısmını onlar kapattı; kalanını bir yıl çayda anlatacaklar.</t>
        </is>
      </c>
      <c r="I1855" t="inlineStr">
        <is>
          <t>Baban zarfı alıp “Ben bakarım” dedi. Borç kapandı, utanç kapanmadı; ama o artık ortak.</t>
        </is>
      </c>
      <c r="J1855" t="inlineStr">
        <is>
          <t>Aile durumu duydu, sofra sustu. Yardım gelmedi, nasihat geldi; nasihat bedava.</t>
        </is>
      </c>
      <c r="K1855" t="inlineStr">
        <is>
          <t>Aile toplantısında borcun tutarını yanlış söyledin; gerçek rakam duyulunca annen bardağı bıraktı.</t>
        </is>
      </c>
      <c r="V1855" t="inlineStr">
        <is>
          <t>-borclu</t>
        </is>
      </c>
      <c r="AB1855" t="inlineStr">
        <is>
          <t>icra-dosyasi</t>
        </is>
      </c>
      <c r="AE1855" t="inlineStr">
        <is>
          <t>Mesafeli</t>
        </is>
      </c>
    </row>
    <row r="1856">
      <c r="A1856" t="inlineStr">
        <is>
          <t>b8-icra-zarfi</t>
        </is>
      </c>
      <c r="B1856" t="n">
        <v>3</v>
      </c>
      <c r="C1856" t="inlineStr">
        <is>
          <t>Mahalleden iste</t>
        </is>
      </c>
      <c r="D1856" t="inlineStr">
        <is>
          <t>İtibar</t>
        </is>
      </c>
      <c r="E1856" t="inlineStr">
        <is>
          <t>Orta</t>
        </is>
      </c>
      <c r="H1856" t="inlineStr">
        <is>
          <t>Mahalle bir torba para topladı; bakkal da bir defter açtı. Borç kapandı, defter hâlâ açık.</t>
        </is>
      </c>
      <c r="I1856" t="inlineStr">
        <is>
          <t>Berber, bakkal ve muhtar üç farklı zarfla geldi. Borç kapandı; kimse kimin kimden fazla verdiğini sormadı, herkes biliyordu.</t>
        </is>
      </c>
      <c r="J1856" t="inlineStr">
        <is>
          <t>Mahalle yarısını topladı, yarısını söyledi. Söylenenler daha uzun sürdü.</t>
        </is>
      </c>
      <c r="K1856" t="inlineStr">
        <is>
          <t>Para isterken dedikoduyu başlatan senin ağzından çıktı. Mahalle sustu; susmak da bir cevaptır.</t>
        </is>
      </c>
      <c r="V1856" t="inlineStr">
        <is>
          <t>-borclu</t>
        </is>
      </c>
      <c r="AB1856" t="inlineStr">
        <is>
          <t>icra-dosyasi</t>
        </is>
      </c>
      <c r="AH1856" t="inlineStr">
        <is>
          <t>İtibar 30</t>
        </is>
      </c>
    </row>
  </sheetData>
  <autoFilter ref="A1:AJ1840"/>
  <dataValidations count="4">
    <dataValidation sqref="D2:D2239" showDropDown="0" showInputMessage="0" showErrorMessage="1" allowBlank="1" errorTitle="Geçersiz değer" error="Listeden bir değer seçin." type="list">
      <formula1>"Akıl,Çene,Kurnazlık,Cesaret,Pişkinlik,İtibar,Gönül,Dayanıklılık,Sosyal Radar"</formula1>
    </dataValidation>
    <dataValidation sqref="E2:E2239" showDropDown="0" showInputMessage="0" showErrorMessage="1" allowBlank="1" errorTitle="Geçersiz değer" error="Listeden bir değer seçin." type="list">
      <formula1>"Çok Kolay,Kolay,Orta,Zor,Çok Zor"</formula1>
    </dataValidation>
    <dataValidation sqref="M2:M2239" showDropDown="0" showInputMessage="0" showErrorMessage="1" allowBlank="1" errorTitle="Geçersiz değer" error="Listeden bir değer seçin." type="list">
      <formula1>"timing,hold,collect,race,memory,cups,doors,rhythm,lanes,simon,poker,trace,bargain,swipe,breath,balance"</formula1>
    </dataValidation>
    <dataValidation sqref="S2:S2239"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1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numara.</t>
        </is>
      </c>
      <c r="E3" s="6" t="inlineStr"/>
      <c r="F3" s="5" t="inlineStr"/>
    </row>
    <row r="4">
      <c r="A4" s="5" t="inlineStr">
        <is>
          <t>yasak-nesne</t>
        </is>
      </c>
      <c r="B4" s="5" t="inlineStr">
        <is>
          <t>Kurnazlık</t>
        </is>
      </c>
      <c r="C4" s="5" t="inlineStr">
        <is>
          <t>Kolay</t>
        </is>
      </c>
      <c r="D4" s="6" t="inlineStr">
        <is>
          <t>Parlak şeyler pahalıdır. Pahalı şeyler yüksekte durur. Bu sehpada bir hesap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bozukluklar tek başına bir şey değil. Ama dedenin cebi her bayram dolu. Bayram çok.</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Annen sana hâlâ “benim akıllım” diyor. Bu cümlenin bugün bir sınavı var.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Teyzenin ağzı “Ne tatlı” diyor. Gözleri “Ama bizimki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Asker gibi otur, tepsiyi sıkı tut, gözünü kapama. Annen balkonda değilken, marş!</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Söylese seçilmezdi.</t>
        </is>
      </c>
      <c r="E25" s="6" t="inlineStr"/>
      <c r="F25" s="5" t="inlineStr"/>
    </row>
    <row r="26">
      <c r="A26" s="5" t="inlineStr">
        <is>
          <t>balkondaki-ucurtma</t>
        </is>
      </c>
      <c r="B26" s="5" t="inlineStr">
        <is>
          <t>Cesaret</t>
        </is>
      </c>
      <c r="C26" s="5" t="inlineStr">
        <is>
          <t>Kolay</t>
        </is>
      </c>
      <c r="D26" s="6" t="inlineStr">
        <is>
          <t>Dut dalı sağlamdır evladım, biz de çıkardık. Bir kere ben de düştüm, bayram ziyaretine alçıyla gittim. Güzel günlerdi.</t>
        </is>
      </c>
      <c r="E26" s="6" t="inlineStr"/>
      <c r="F26" s="5" t="inlineStr"/>
    </row>
    <row r="27">
      <c r="A27" s="5" t="inlineStr">
        <is>
          <t>balkondaki-ucurtma</t>
        </is>
      </c>
      <c r="B27" s="5" t="inlineStr">
        <is>
          <t>İtibar</t>
        </is>
      </c>
      <c r="C27" s="5" t="inlineStr">
        <is>
          <t>Orta</t>
        </is>
      </c>
      <c r="D27" s="6" t="inlineStr">
        <is>
          <t>Bu uçurtmayı sana deden aldı. Pazar günü gelip “Uçurtma nerede?” diye soracak.</t>
        </is>
      </c>
      <c r="E27" s="6" t="inlineStr">
        <is>
          <t>…İtibarın sesini rüzgâra kaptırdı.</t>
        </is>
      </c>
      <c r="F27" s="5" t="inlineStr"/>
    </row>
    <row r="28">
      <c r="A28" s="5" t="inlineStr">
        <is>
          <t>veli-toplantisi</t>
        </is>
      </c>
      <c r="B28" s="5" t="inlineStr">
        <is>
          <t>Sosyal Radar</t>
        </is>
      </c>
      <c r="C28" s="5" t="inlineStr">
        <is>
          <t>Zor</t>
        </is>
      </c>
      <c r="D28" s="6" t="inlineStr">
        <is>
          <t>Öğretmenin önündeki defter kalın. İnce defter iyi haberdir. Kalın defterin sonunda annen “Eve gidince konuşuruz” der.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Hata değil bu, canlı yayın. Sofrada gülümse, tabağı bitir, bir tabak daha iste.</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kararı kâğıda daha kimse gelmeden yazmış. Sekiz komşu boşuna çay içiyor.</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Bu lafı ilk duyduğumda ben de senin yaşındaydım. Bisikletimi hâlâ geri alamadım.</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yanına oturduğun kişi dört yıl sıra arkadaşın olur. Sıra arkadaşı kardeşten sonra gelir; benden söylemesi.</t>
        </is>
      </c>
      <c r="E95" s="6" t="inlineStr"/>
      <c r="F95" s="5" t="inlineStr">
        <is>
          <t>E</t>
        </is>
      </c>
    </row>
    <row r="96">
      <c r="A96" s="5" t="inlineStr">
        <is>
          <t>b5-lise-ilk-gun</t>
        </is>
      </c>
      <c r="B96" s="5" t="inlineStr">
        <is>
          <t>Akıl</t>
        </is>
      </c>
      <c r="C96" s="5" t="inlineStr">
        <is>
          <t>Kolay</t>
        </is>
      </c>
      <c r="D96" s="6" t="inlineStr">
        <is>
          <t>Bu binada seni kimse tanımıyor. İlkokuldaki bütün rezaletlerin geride kaldı. Şimdilik.</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Evde sözü kesilenlerin kulübü.</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Baban bu ödevi ansiklopediden, el yazısıyla kopyalardı. O da kopyaydı ama en azından eli ağrırdı.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Bu zarf her gün biraz inceliyor. Bekleyen kaybeder; dayına sor, o hep bekledi.</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kalpler ondan da önce gitmişti. Ben söylemiştim.</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Önce anneni al, sonra babaanneni. Pazarda da en zor müşteriye en son gidilir.</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İlk çıkan ya efsane olur ya fotoğraf.</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İlk görüşeceğiniz yer birinin düğünü olacak; yarısının adını hatırlamayacaksın.</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Annesi kargoyla yenisini yollamadan değiştirmeyecek.</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Akşam annen “Otur biraz” diyecek. Oturursan kalkamazsın.</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Bu sırayla. Panik bu listede yok.</t>
        </is>
      </c>
      <c r="E168" s="6" t="inlineStr"/>
      <c r="F168" s="5" t="inlineStr"/>
    </row>
    <row r="169">
      <c r="A169" s="5" t="inlineStr">
        <is>
          <t>b6-ilk-maas</t>
        </is>
      </c>
      <c r="B169" s="5" t="inlineStr">
        <is>
          <t>Kurnazlık</t>
        </is>
      </c>
      <c r="C169" s="5" t="inlineStr">
        <is>
          <t>Kolay</t>
        </is>
      </c>
      <c r="D169" s="6" t="inlineStr">
        <is>
          <t>Üçte biri eve, üçte biri telefon taksitine,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Komşulara gösterecek kadar büyük.</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Annen de babana yıllarca böyle yıkadı.</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kiranın yarısı. Öbür yarısı ya babandan çıkacak ya mutfaktan. Babandan çıkarsa nasihatli gelir.</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Teyzen görse “Öbür yanağını niye göstermiyor?” derdi.</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Arka masadaki üç teyze sana bakıp fısıldaşıyor. Üçünün de telefonunda “tam sana göre” bir yeğen fotoğrafı var.</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dedi. Bu cümlenin arkasından en az yedi imza, iki fotokopi ve bir amir çıkar. Benden duymuş olma.</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Öte Diyar'dan dönüyor. Bu ev, onun evi.</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e-posta. Yüzü “Bilgilerinize”, yüzü “Hatırlatma”, geri kalanı da ikisinin hatırlatması. Sırayla.</t>
        </is>
      </c>
      <c r="E259" s="6" t="inlineStr"/>
      <c r="F259" s="5" t="inlineStr"/>
    </row>
    <row r="260">
      <c r="A260" s="5" t="inlineStr">
        <is>
          <t>me-kira-artisi</t>
        </is>
      </c>
      <c r="B260" s="5" t="inlineStr">
        <is>
          <t>Sosyal Radar</t>
        </is>
      </c>
      <c r="C260" s="5" t="inlineStr">
        <is>
          <t>Orta</t>
        </is>
      </c>
      <c r="D260" s="6" t="inlineStr">
        <is>
          <t>Dükkân sahibinin oğlu Öte Diyar'a yerleşmiş, babasını yanına çağırıyor. Bu adam kira artırmaya değil, alıcı yoklamaya gelmiş.</t>
        </is>
      </c>
      <c r="E260" s="6" t="inlineStr"/>
      <c r="F260" s="5" t="inlineStr">
        <is>
          <t>E</t>
        </is>
      </c>
    </row>
    <row r="261">
      <c r="A261" s="5" t="inlineStr">
        <is>
          <t>me-kira-artisi</t>
        </is>
      </c>
      <c r="B261" s="5" t="inlineStr">
        <is>
          <t>Dayanıklılık</t>
        </is>
      </c>
      <c r="C261" s="5" t="inlineStr">
        <is>
          <t>Kolay</t>
        </is>
      </c>
      <c r="D261" s="6" t="inlineStr">
        <is>
          <t>Ben her sabah bu çarşının önünden koşarım. Kepenk değişir, tabela değişir; yerinde kalanlar hep aynı adamlar.</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Yarın ya sana “cesur” derler ya da tayin listesinde adını okursun.</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Otuz yıldır koşarım, evladım. Hiçbir yarış bir ödeme onayından uzun sürmedi.</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Komşu olarak söylüyorum: ben eşimi otobüs durağında buldum, kırk dakikalık rötar sayesinde. Sen de bekle, evladım. Uygulama değil, durak.</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oğlunun düğününde ona yarım taktığınız hâlde çeyrek getirmiş. Annen fark etti.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kazançtır. Bugün biraz sıkıcı ol; teyzen bir yıl rahat bırakır.</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 parayı verip hiç gelmeyen üyeler sayesinde ayakta durur. Sınıfın en çalışkanı olmayacaksan, bari en cömerdi olma.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Kimse hazır olmaz. Ama eşinin gözüne bak; o çoktan hazır.</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Dört gün, iki şehir, iki anne. Hesap basit: hangisinde az kalırsan o hatırlar. Kazanan tek taraf yol üstündeki köfteci.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Şu küçük yumruğa bak. Hayatında ilk kez birine bu kadar uykusuz âşıksın.</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minderini de. Ben bu toplantılardan on beş tane gördüm; üçüncü saatte kimse oturmaz, herkes ayakta bağırır.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Biri “anneanne”, öbürü “babaanne” bekliyor. Kazanan bunu bayrama kadar anlatacak, kaybeden de.</t>
        </is>
      </c>
      <c r="E316" s="6" t="inlineStr"/>
      <c r="F316" s="5" t="inlineStr"/>
    </row>
    <row r="317">
      <c r="A317" s="5" t="inlineStr">
        <is>
          <t>b7-ilk-kelime</t>
        </is>
      </c>
      <c r="B317" s="5" t="inlineStr">
        <is>
          <t>Pişkinlik</t>
        </is>
      </c>
      <c r="C317" s="5" t="inlineStr">
        <is>
          <t>Orta</t>
        </is>
      </c>
      <c r="D317" s="6" t="inlineStr">
        <is>
          <t>İlk kelime ne olursa olsun, videoda en çok sen görüneceksin. Saçını düzelt.</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odası bankanın. Hangi oda olduğunu söylemiyorlar.</t>
        </is>
      </c>
      <c r="E326" s="6" t="inlineStr"/>
      <c r="F326" s="5" t="inlineStr"/>
    </row>
    <row r="327">
      <c r="A327" s="5" t="inlineStr">
        <is>
          <t>b7-kres-kaydi</t>
        </is>
      </c>
      <c r="B327" s="5" t="inlineStr">
        <is>
          <t>Sosyal Radar</t>
        </is>
      </c>
      <c r="C327" s="5" t="inlineStr">
        <is>
          <t>Orta</t>
        </is>
      </c>
      <c r="D327" s="6" t="inlineStr">
        <is>
          <t>Müdür her velinin ayakkabısına bakıyor. Bu kreşte çocuktan önce veli seçiliyor.</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 ateşi çabuk çıkar, çabuk iner. Seninki sabaha iner.</t>
        </is>
      </c>
      <c r="E335" s="6" t="inlineStr"/>
      <c r="F335" s="5" t="inlineStr"/>
    </row>
    <row r="336">
      <c r="A336" s="5" t="inlineStr">
        <is>
          <t>b7-hastane-gecesi</t>
        </is>
      </c>
      <c r="B336" s="5" t="inlineStr">
        <is>
          <t>Dayanıklılık</t>
        </is>
      </c>
      <c r="C336" s="5" t="inlineStr">
        <is>
          <t>Orta</t>
        </is>
      </c>
      <c r="D336" s="6" t="inlineStr">
        <is>
          <t>Sabah işe gideceksin, biliyorum. Bu gece uyku yok; nefesini ona göre ayarla, komşu.</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çiçek at, yeter. Hem “buradayım” der, hem “bana iş verme.”</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Bugünü unuttun, olur. Bu akşamı unutturma.</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Merdivende dizlerin selam verdi, duydum. Yarın sabah altıda parkta ol, ısınırız.</t>
        </is>
      </c>
      <c r="E355" s="6" t="inlineStr"/>
      <c r="F355" s="5" t="inlineStr"/>
    </row>
    <row r="356">
      <c r="A356" s="5" t="inlineStr">
        <is>
          <t>b8-kirk-yas</t>
        </is>
      </c>
      <c r="B356" s="5" t="inlineStr">
        <is>
          <t>Akıl</t>
        </is>
      </c>
      <c r="C356" s="5" t="inlineStr">
        <is>
          <t>Zor</t>
        </is>
      </c>
      <c r="D356" s="6" t="inlineStr">
        <is>
          <t>Hesapladım: ortalama ömür seksen bir, kırk tam ortası. Bundan sonrası iniş; ama inişte manzara daha güzel olur.</t>
        </is>
      </c>
      <c r="E356" s="6" t="inlineStr"/>
      <c r="F356" s="5" t="inlineStr">
        <is>
          <t>E</t>
        </is>
      </c>
    </row>
    <row r="357">
      <c r="A357" s="5" t="inlineStr">
        <is>
          <t>b8-motosiklet</t>
        </is>
      </c>
      <c r="B357" s="5" t="inlineStr">
        <is>
          <t>Cesaret</t>
        </is>
      </c>
      <c r="C357" s="5" t="inlineStr">
        <is>
          <t>Kolay</t>
        </is>
      </c>
      <c r="D357" s="6" t="inlineStr">
        <is>
          <t>İki teker, bir kask! Biz gençken bundan azıyla dağ aştık. Bin, gerisini yolda düşünürsün.</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Kuaför üç kez “Hiç önemli değil” dedi. Önemli olmasa bir kez derdi. Arkadaki koltuktaki teyze de gördü; akşama apartman bilir.</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de onun yaşındayken vardı.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lahmacun bir gecede yanardı. Şimdi bir lahmacun,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Evladım, buzdolabını kendin açarsan buna bağımsızlık derler. Annen açarsa adı yalnızlık oluyor.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Bunca yıllık evlilikte en romantik cümle: “Senin için de koydum.”</t>
        </is>
      </c>
      <c r="E396" s="6" t="inlineStr"/>
      <c r="F396" s="5" t="inlineStr"/>
    </row>
    <row r="397">
      <c r="A397" s="5" t="inlineStr">
        <is>
          <t>b8-evli-rutin</t>
        </is>
      </c>
      <c r="B397" s="5" t="inlineStr">
        <is>
          <t>Gönül</t>
        </is>
      </c>
      <c r="C397" s="5" t="inlineStr">
        <is>
          <t>Orta</t>
        </is>
      </c>
      <c r="D397" s="6" t="inlineStr">
        <is>
          <t>Eşin dün gün içinde bir şey anlattı. Başını salladın. Neyi onayladığını ikiniz de bilmiyorsunuz.</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Öte Diyar'a giden, bir de hâlâ aynı sevgiliyle olan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para verip yorulduğun iştir. Malzeme peşin, keyif taksitle.</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ama finişten iki dakika uzakta.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en önemlisi: baban “Ben onu bıraktım” dediğinde inanma.</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yazmış: “Bu bizim evdekinin aynısı.” Altında dört bin beğeni.</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yirmi yıldır bir asistanın asistanısın. Sonunda altına biri geldi.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güllerini paylaşıp gülüyorlar. En çok beğenilen: geçen salı yanlışlıkla iki kez attığın.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Kimin oğlu boşanıyor, kimin gelini hamile, hepsi bu turda konuşuluyor. Geç katılırsan konu sen olursun.</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gençliğinde 'fenomen' yeni bir meslekti. Onun gençliğinde 'emeklilik' eski bir kelime olabilir. Beraberesiniz.</t>
        </is>
      </c>
      <c r="E461" s="6" t="inlineStr"/>
      <c r="F461" s="5" t="inlineStr"/>
    </row>
    <row r="462">
      <c r="A462" s="5" t="inlineStr">
        <is>
          <t>b9-lise-bulusmasi</t>
        </is>
      </c>
      <c r="B462" s="5" t="inlineStr">
        <is>
          <t>Sosyal Radar</t>
        </is>
      </c>
      <c r="C462" s="5" t="inlineStr">
        <is>
          <t>Orta</t>
        </is>
      </c>
      <c r="D462" s="6" t="inlineStr">
        <is>
          <t>Sınıfın en popüleri bu akşam kimseyle konuşmadı. En sessizi üç şirket kurmuş; hesabı da o ödedi.</t>
        </is>
      </c>
      <c r="E462" s="6" t="inlineStr"/>
      <c r="F462" s="5" t="inlineStr"/>
    </row>
    <row r="463">
      <c r="A463" s="5" t="inlineStr">
        <is>
          <t>b9-eski-ask</t>
        </is>
      </c>
      <c r="B463" s="5" t="inlineStr">
        <is>
          <t>Gönül</t>
        </is>
      </c>
      <c r="C463" s="5" t="inlineStr">
        <is>
          <t>Orta</t>
        </is>
      </c>
      <c r="D463" s="6" t="inlineStr">
        <is>
          <t>Kırk yıl önce bir mektubu yarıda bıraktın. Son cümlesini hâlâ ezbere biliyorsun.</t>
        </is>
      </c>
      <c r="E463" s="6" t="inlineStr"/>
      <c r="F463" s="5" t="inlineStr">
        <is>
          <t>E</t>
        </is>
      </c>
    </row>
    <row r="464">
      <c r="A464" s="5" t="inlineStr">
        <is>
          <t>b9-eski-ask</t>
        </is>
      </c>
      <c r="B464" s="5" t="inlineStr">
        <is>
          <t>Pişkinlik</t>
        </is>
      </c>
      <c r="C464" s="5" t="inlineStr">
        <is>
          <t>Kolay</t>
        </is>
      </c>
      <c r="D464" s="6" t="inlineStr">
        <is>
          <t>Saçlarına bak. O da sana bakıyor. İkinizin de saçı ağarmış; birazdan ikiniz de 'Hiç değişmemişsin' diyeceksiniz.</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Saksıyı biraz sarkıtsan güneş de senin olur. Alt kat öğlene kadar uyuyor.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'Güle güle harca' demedi; herkesin bir taksiti var.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Çalar saati yine de kurdun.</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raflar ayrı, müşteri ayrı. Müdavimi de listeye yaz; her sabah 08.10'da kapıda olan biri bu dükkânın en kıymetli demirbaşı.</t>
        </is>
      </c>
      <c r="E494" s="6" t="inlineStr"/>
      <c r="F494" s="5" t="inlineStr"/>
    </row>
    <row r="495">
      <c r="A495" s="5" t="inlineStr">
        <is>
          <t>me-dukkani-devret</t>
        </is>
      </c>
      <c r="B495" s="5" t="inlineStr">
        <is>
          <t>İtibar</t>
        </is>
      </c>
      <c r="C495" s="5" t="inlineStr">
        <is>
          <t>Zor</t>
        </is>
      </c>
      <c r="D495" s="6" t="inlineStr">
        <is>
          <t>Otuz yıllık dükkânın anahtarı üç tane: biri sende, biri çekmecede, biri kapının üstündeki pervazda. Pervazdakini herkes biliyor.</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kavgası kışın unutulur, mayısta kaldığı yerden başlar; sanki kimse şehre dönmemiş.</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'Danışman' dedi ama maaşı söylemedi. Unvan büyüdükçe maaş küçülür; bunu sen de bilirsin.</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Evet. Cama parmakla dokunuyordun; parmak yağlıysa mesaj yanlış kişiye gidiyordu. Bu bilgi torunu korkutabilir.</t>
        </is>
      </c>
      <c r="E522" s="6" t="inlineStr"/>
      <c r="F522" s="5" t="inlineStr"/>
    </row>
    <row r="523">
      <c r="A523" s="5" t="inlineStr">
        <is>
          <t>b9-torunun-sorusu</t>
        </is>
      </c>
      <c r="B523" s="5" t="inlineStr">
        <is>
          <t>Pişkinlik</t>
        </is>
      </c>
      <c r="C523" s="5" t="inlineStr">
        <is>
          <t>Orta</t>
        </is>
      </c>
      <c r="D523" s="6" t="inlineStr">
        <is>
          <t>Biraz abart. Şarj bitince mesajı yürüyerek götürdüğünü söyle. Karda. Yokuş yukarı.</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Slaytlarda en çok senin gençlik fotoğrafın alkış aldı. Arkadan biri 'Bu sen misin?' diye sordu, ikinci kez.</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Unuttuğun akraba bayramda en erken gelir, en geç gider.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Bu sofrayı ben kurdum. İlk kalkan da ben olmayacağım.</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Pazar arabasını yokuş yukarı kırk yıl çektin; bunu da çekersin.</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yüz seksen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Fiyatı sorma. 'Ben buraya uzun süre kalacağım' de. İndirim gelir.</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Hikâyeyi en uzun anlatan, hastaneye en az gelendi. Not et.</t>
        </is>
      </c>
      <c r="E548" s="6" t="inlineStr"/>
      <c r="F548" s="5" t="inlineStr">
        <is>
          <t>E</t>
        </is>
      </c>
    </row>
    <row r="549">
      <c r="A549" s="5" t="inlineStr">
        <is>
          <t>b10-eski-dost-cenazesi</t>
        </is>
      </c>
      <c r="B549" s="5" t="inlineStr">
        <is>
          <t>İtibar</t>
        </is>
      </c>
      <c r="C549" s="5" t="inlineStr">
        <is>
          <t>Kolay</t>
        </is>
      </c>
      <c r="D549" s="6" t="inlineStr">
        <is>
          <t>Bir şey söyleme evladım. Helvayı karıştıranın elinden kepçeyi al. O yeter.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dizi finali. Son sayfaya 'Devam edecek…' yaz.</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Mumdan korkulmaz! Derin nefes, tek atış, seksenini birden indir.</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Dünür tarafından bir teyze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Döndür bakalım! Bel ağrısını yarın konuşuruz.</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seksen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Yokuşu say: yüz adım, bir nefes. Yüz adım, bir nefes. Bacaklar gelir.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Yetmiş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Buradayım! Diz gitti, ses yarım; ama duvardan komşu hâlâ vuruyor. Demek ki duyuluyorum.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eline geçenin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row r="592">
      <c r="A592" s="5" t="inlineStr">
        <is>
          <t>b1-misafir-geldi</t>
        </is>
      </c>
      <c r="B592" s="5" t="inlineStr">
        <is>
          <t>Sosyal Radar</t>
        </is>
      </c>
      <c r="C592" s="5" t="inlineStr">
        <is>
          <t>Kolay</t>
        </is>
      </c>
      <c r="D592" s="6" t="inlineStr">
        <is>
          <t>Teyze annene bakıyor, annen vitrine, vitrin sana. Üçgen tamam.</t>
        </is>
      </c>
      <c r="E592" s="6" t="inlineStr"/>
      <c r="F592" s="5" t="inlineStr"/>
    </row>
    <row r="593">
      <c r="A593" s="5" t="inlineStr">
        <is>
          <t>b1-misafir-geldi</t>
        </is>
      </c>
      <c r="B593" s="5" t="inlineStr">
        <is>
          <t>Kurnazlık</t>
        </is>
      </c>
      <c r="C593" s="5" t="inlineStr">
        <is>
          <t>Orta</t>
        </is>
      </c>
      <c r="D593" s="6" t="inlineStr">
        <is>
          <t>Misafir varken ceza yok. Bu bilgi bir saat geçerli.</t>
        </is>
      </c>
      <c r="E593" s="6" t="inlineStr"/>
      <c r="F593" s="5" t="inlineStr"/>
    </row>
    <row r="594">
      <c r="A594" s="5" t="inlineStr">
        <is>
          <t>b2-kardes-geldi</t>
        </is>
      </c>
      <c r="B594" s="5" t="inlineStr">
        <is>
          <t>Gönül</t>
        </is>
      </c>
      <c r="C594" s="5" t="inlineStr">
        <is>
          <t>Orta</t>
        </is>
      </c>
      <c r="D594" s="6" t="inlineStr">
        <is>
          <t>Bak, parmağını tuttu. Elinin yarısı kadar. Sevmemek için çok geç.</t>
        </is>
      </c>
      <c r="E594" s="6" t="inlineStr"/>
      <c r="F594" s="5" t="inlineStr"/>
    </row>
    <row r="595">
      <c r="A595" s="5" t="inlineStr">
        <is>
          <t>b2-kardes-geldi</t>
        </is>
      </c>
      <c r="B595" s="5" t="inlineStr">
        <is>
          <t>Kurnazlık</t>
        </is>
      </c>
      <c r="C595" s="5" t="inlineStr">
        <is>
          <t>Kolay</t>
        </is>
      </c>
      <c r="D595" s="6" t="inlineStr">
        <is>
          <t>Misafirler bebeğe hediye getiriyor. Bebek hediyeden anlamıyor. Hediyelerin bir sahibi lazım.</t>
        </is>
      </c>
      <c r="E595" s="6" t="inlineStr"/>
      <c r="F595" s="5" t="inlineStr"/>
    </row>
    <row r="596">
      <c r="A596" s="5" t="inlineStr">
        <is>
          <t>b2-bayram-sabahi</t>
        </is>
      </c>
      <c r="B596" s="5" t="inlineStr">
        <is>
          <t>Kurnazlık</t>
        </is>
      </c>
      <c r="C596" s="5" t="inlineStr">
        <is>
          <t>Kolay</t>
        </is>
      </c>
      <c r="D596" s="6" t="inlineStr">
        <is>
          <t>Deden sağ cebinden veriyor, halan çantasından. Sırayı ona göre kur.</t>
        </is>
      </c>
      <c r="E596" s="6" t="inlineStr"/>
      <c r="F596" s="5" t="inlineStr"/>
    </row>
    <row r="597">
      <c r="A597" s="5" t="inlineStr">
        <is>
          <t>b2-bayram-sabahi</t>
        </is>
      </c>
      <c r="B597" s="5" t="inlineStr">
        <is>
          <t>Sosyal Radar</t>
        </is>
      </c>
      <c r="C597" s="5" t="inlineStr">
        <is>
          <t>Orta</t>
        </is>
      </c>
      <c r="D597" s="6" t="inlineStr">
        <is>
          <t>Köşedeki amca üç yıldır aynı bozukluğu veriyor. Ona en son git.</t>
        </is>
      </c>
      <c r="E597" s="6" t="inlineStr"/>
      <c r="F597" s="5" t="inlineStr"/>
    </row>
    <row r="598">
      <c r="A598" s="5" t="inlineStr">
        <is>
          <t>b3-okuma-bayrami</t>
        </is>
      </c>
      <c r="B598" s="5" t="inlineStr">
        <is>
          <t>Cesaret</t>
        </is>
      </c>
      <c r="C598" s="5" t="inlineStr">
        <is>
          <t>Kolay</t>
        </is>
      </c>
      <c r="D598" s="6" t="inlineStr">
        <is>
          <t>Bir cümle, evladım. Göğsünü çıkar, mikrofona eğil, oku. Gerisi alkış.</t>
        </is>
      </c>
      <c r="E598" s="6" t="inlineStr"/>
      <c r="F598" s="5" t="inlineStr"/>
    </row>
    <row r="599">
      <c r="A599" s="5" t="inlineStr">
        <is>
          <t>b3-okuma-bayrami</t>
        </is>
      </c>
      <c r="B599" s="5" t="inlineStr">
        <is>
          <t>Sosyal Radar</t>
        </is>
      </c>
      <c r="C599" s="5" t="inlineStr">
        <is>
          <t>Orta</t>
        </is>
      </c>
      <c r="D599" s="6" t="inlineStr">
        <is>
          <t>Ön sıradaki teyzeler kimin çocuğunun hecelediğini sayıyor. Babaannen de sayıyor.</t>
        </is>
      </c>
      <c r="E599" s="6" t="inlineStr"/>
      <c r="F599" s="5" t="inlineStr"/>
    </row>
    <row r="600">
      <c r="A600" s="5" t="inlineStr">
        <is>
          <t>b5-kuzenin-dugunu</t>
        </is>
      </c>
      <c r="B600" s="5" t="inlineStr">
        <is>
          <t>Sosyal Radar</t>
        </is>
      </c>
      <c r="C600" s="5" t="inlineStr">
        <is>
          <t>Kolay</t>
        </is>
      </c>
      <c r="D600" s="6" t="inlineStr">
        <is>
          <t>Takı töreninde kimin ne taktığı anons edilecek kuzum. Yarın bütün mahalle rakamları konuşur.</t>
        </is>
      </c>
      <c r="E600" s="6" t="inlineStr"/>
      <c r="F600" s="5" t="inlineStr"/>
    </row>
    <row r="601">
      <c r="A601" s="5" t="inlineStr">
        <is>
          <t>b5-kuzenin-dugunu</t>
        </is>
      </c>
      <c r="B601" s="5" t="inlineStr">
        <is>
          <t>Pişkinlik</t>
        </is>
      </c>
      <c r="C601" s="5" t="inlineStr">
        <is>
          <t>Orta</t>
        </is>
      </c>
      <c r="D601" s="6" t="inlineStr">
        <is>
          <t>Halay başında mendil boşta. Sahne seni bekliyor.</t>
        </is>
      </c>
      <c r="E601" s="6" t="inlineStr"/>
      <c r="F601" s="5" t="inlineStr"/>
    </row>
    <row r="602">
      <c r="A602" s="5" t="inlineStr">
        <is>
          <t>b6-anneannenin-sandalyesi</t>
        </is>
      </c>
      <c r="B602" s="5" t="inlineStr">
        <is>
          <t>Gönül</t>
        </is>
      </c>
      <c r="C602" s="5" t="inlineStr">
        <is>
          <t>Orta</t>
        </is>
      </c>
      <c r="D602" s="6" t="inlineStr">
        <is>
          <t>Herkes teyzeni teselli ediyor. Annene bakan yok.</t>
        </is>
      </c>
      <c r="E602" s="6" t="inlineStr"/>
      <c r="F602" s="5" t="inlineStr"/>
    </row>
    <row r="603">
      <c r="A603" s="5" t="inlineStr">
        <is>
          <t>b6-anneannenin-sandalyesi</t>
        </is>
      </c>
      <c r="B603" s="5" t="inlineStr">
        <is>
          <t>Sosyal Radar</t>
        </is>
      </c>
      <c r="C603" s="5" t="inlineStr">
        <is>
          <t>Kolay</t>
        </is>
      </c>
      <c r="D603" s="6" t="inlineStr">
        <is>
          <t>Dayınla teyzen mutfakta fısıldaşıyor. “Ev” kelimesi üçüncü kez geçti.</t>
        </is>
      </c>
      <c r="E603" s="6" t="inlineStr"/>
      <c r="F603" s="5" t="inlineStr"/>
    </row>
    <row r="604">
      <c r="A604" s="5" t="inlineStr">
        <is>
          <t>b7-bebegin-adi</t>
        </is>
      </c>
      <c r="B604" s="5" t="inlineStr">
        <is>
          <t>Gönül</t>
        </is>
      </c>
      <c r="C604" s="5" t="inlineStr">
        <is>
          <t>Kolay</t>
        </is>
      </c>
      <c r="D604" s="6" t="inlineStr">
        <is>
          <t>Bak, avucunu sıkıyor; parmağını bırakmıyor. Ad sonra gelir.</t>
        </is>
      </c>
      <c r="E604" s="6" t="inlineStr"/>
      <c r="F604" s="5" t="inlineStr"/>
    </row>
    <row r="605">
      <c r="A605" s="5" t="inlineStr">
        <is>
          <t>b7-bebegin-adi</t>
        </is>
      </c>
      <c r="B605" s="5" t="inlineStr">
        <is>
          <t>Sosyal Radar</t>
        </is>
      </c>
      <c r="C605" s="5" t="inlineStr">
        <is>
          <t>Orta</t>
        </is>
      </c>
      <c r="D605" s="6" t="inlineStr">
        <is>
          <t>Babaanne çantasına altını çoktan koymuş. Ad onun dediği olmazsa altın biraz küçülecek.</t>
        </is>
      </c>
      <c r="E605" s="6" t="inlineStr"/>
      <c r="F605" s="5" t="inlineStr"/>
    </row>
    <row r="606">
      <c r="A606" s="5" t="inlineStr">
        <is>
          <t>b7-okulun-ilk-gunu</t>
        </is>
      </c>
      <c r="B606" s="5" t="inlineStr">
        <is>
          <t>Gönül</t>
        </is>
      </c>
      <c r="C606" s="5" t="inlineStr">
        <is>
          <t>Orta</t>
        </is>
      </c>
      <c r="D606" s="6" t="inlineStr">
        <is>
          <t>Sen de bir bahçede birinin elini bırakamamıştın. Şimdi bırakma sırası sende.</t>
        </is>
      </c>
      <c r="E606" s="6" t="inlineStr"/>
      <c r="F606" s="5" t="inlineStr"/>
    </row>
    <row r="607">
      <c r="A607" s="5" t="inlineStr">
        <is>
          <t>b7-okulun-ilk-gunu</t>
        </is>
      </c>
      <c r="B607" s="5" t="inlineStr">
        <is>
          <t>Sosyal Radar</t>
        </is>
      </c>
      <c r="C607" s="5" t="inlineStr">
        <is>
          <t>Kolay</t>
        </is>
      </c>
      <c r="D607" s="6" t="inlineStr">
        <is>
          <t>Öğretmen ağlayan çocukları değil, ağlayan velileri sayıyor.</t>
        </is>
      </c>
      <c r="E607" s="6" t="inlineStr"/>
      <c r="F607" s="5" t="inlineStr"/>
    </row>
    <row r="608">
      <c r="A608" s="5" t="inlineStr">
        <is>
          <t>b8-taki-sirasi</t>
        </is>
      </c>
      <c r="B608" s="5" t="inlineStr">
        <is>
          <t>Sosyal Radar</t>
        </is>
      </c>
      <c r="C608" s="5" t="inlineStr">
        <is>
          <t>Kolay</t>
        </is>
      </c>
      <c r="D608" s="6" t="inlineStr">
        <is>
          <t>Mikrofondaki amca her zarfı önce eliyle tartıyor. Anonsun sesi zarfın kalınlığıyla yükseliyor.</t>
        </is>
      </c>
      <c r="E608" s="6" t="inlineStr"/>
      <c r="F608" s="5" t="inlineStr"/>
    </row>
    <row r="609">
      <c r="A609" s="5" t="inlineStr">
        <is>
          <t>b8-taki-sirasi</t>
        </is>
      </c>
      <c r="B609" s="5" t="inlineStr">
        <is>
          <t>İtibar</t>
        </is>
      </c>
      <c r="C609" s="5" t="inlineStr">
        <is>
          <t>Orta</t>
        </is>
      </c>
      <c r="D609" s="6" t="inlineStr">
        <is>
          <t>Bu salonda ne taktığın, otuz yıl sonra başka bir düğünde yeniden anlatılacak. Ona göre.</t>
        </is>
      </c>
      <c r="E609" s="6" t="inlineStr"/>
      <c r="F609" s="5" t="inlineStr"/>
    </row>
    <row r="610">
      <c r="A610" s="5" t="inlineStr">
        <is>
          <t>b8-babanin-evi</t>
        </is>
      </c>
      <c r="B610" s="5" t="inlineStr">
        <is>
          <t>Gönül</t>
        </is>
      </c>
      <c r="C610" s="5" t="inlineStr">
        <is>
          <t>Orta</t>
        </is>
      </c>
      <c r="D610" s="6" t="inlineStr">
        <is>
          <t>Karneyi neden sakladığını hiç sormadın. Artık soramazsın. Cebine koy.</t>
        </is>
      </c>
      <c r="E610" s="6" t="inlineStr"/>
      <c r="F610" s="5" t="inlineStr"/>
    </row>
    <row r="611">
      <c r="A611" s="5" t="inlineStr">
        <is>
          <t>b8-babanin-evi</t>
        </is>
      </c>
      <c r="B611" s="5" t="inlineStr">
        <is>
          <t>Sosyal Radar</t>
        </is>
      </c>
      <c r="C611" s="5" t="inlineStr">
        <is>
          <t>Kolay</t>
        </is>
      </c>
      <c r="D611" s="6" t="inlineStr">
        <is>
          <t>Annen salonda oturuyor ama kulağı bu odada. Her çekmece açılınca iç çekiyor.</t>
        </is>
      </c>
      <c r="E611" s="6" t="inlineStr"/>
      <c r="F611" s="5" t="inlineStr"/>
    </row>
    <row r="612">
      <c r="A612" s="5" t="inlineStr">
        <is>
          <t>b9-dunurler</t>
        </is>
      </c>
      <c r="B612" s="5" t="inlineStr">
        <is>
          <t>Sosyal Radar</t>
        </is>
      </c>
      <c r="C612" s="5" t="inlineStr">
        <is>
          <t>Orta</t>
        </is>
      </c>
      <c r="D612" s="6" t="inlineStr">
        <is>
          <t>Dünür hanım çantasını iki eliyle tutuyor. Ya çok heyecanlı ya bir şartı var.</t>
        </is>
      </c>
      <c r="E612" s="6" t="inlineStr"/>
      <c r="F612" s="5" t="inlineStr"/>
    </row>
    <row r="613">
      <c r="A613" s="5" t="inlineStr">
        <is>
          <t>b9-dunurler</t>
        </is>
      </c>
      <c r="B613" s="5" t="inlineStr">
        <is>
          <t>Çene</t>
        </is>
      </c>
      <c r="C613" s="5" t="inlineStr">
        <is>
          <t>Kolay</t>
        </is>
      </c>
      <c r="D613" s="6" t="inlineStr">
        <is>
          <t>İlk cümleyi kim kurarsa düğün salonunu da o seçer.</t>
        </is>
      </c>
      <c r="E613" s="6" t="inlineStr"/>
      <c r="F613" s="5" t="inlineStr"/>
    </row>
    <row r="614">
      <c r="A614" s="5" t="inlineStr">
        <is>
          <t>b10-tek-fincan</t>
        </is>
      </c>
      <c r="B614" s="5" t="inlineStr">
        <is>
          <t>Gönül</t>
        </is>
      </c>
      <c r="C614" s="5" t="inlineStr">
        <is>
          <t>Orta</t>
        </is>
      </c>
      <c r="D614" s="6" t="inlineStr">
        <is>
          <t>Yastığını değiştirme daha. Kokusu bir hafta daha kalır.</t>
        </is>
      </c>
      <c r="E614" s="6" t="inlineStr"/>
      <c r="F614" s="5" t="inlineStr"/>
    </row>
    <row r="615">
      <c r="A615" s="5" t="inlineStr">
        <is>
          <t>b10-tek-fincan</t>
        </is>
      </c>
      <c r="B615" s="5" t="inlineStr">
        <is>
          <t>Sosyal Radar</t>
        </is>
      </c>
      <c r="C615" s="5" t="inlineStr">
        <is>
          <t>Kolay</t>
        </is>
      </c>
      <c r="D615" s="6" t="inlineStr">
        <is>
          <t>Karşı komşu üç gündür kapına yemek bırakıyor. Tabakları geri vermedin; o da sormuyor.</t>
        </is>
      </c>
      <c r="E615" s="6" t="inlineStr"/>
      <c r="F615" s="5" t="inlineStr"/>
    </row>
    <row r="616">
      <c r="A616" s="5" t="inlineStr">
        <is>
          <t>b10-tek-fincan</t>
        </is>
      </c>
      <c r="B616" s="5" t="inlineStr">
        <is>
          <t>Dayanıklılık</t>
        </is>
      </c>
      <c r="C616" s="5" t="inlineStr">
        <is>
          <t>Kolay</t>
        </is>
      </c>
      <c r="D616" s="6" t="inlineStr">
        <is>
          <t>Bugün sadece kalk. Yarın kapıyı aç. Uzun yol böyle yürünür.</t>
        </is>
      </c>
      <c r="E616" s="6" t="inlineStr"/>
      <c r="F616" s="5" t="inlineStr"/>
    </row>
  </sheetData>
  <autoFilter ref="A1:F616"/>
  <dataValidations count="3">
    <dataValidation sqref="B2:B1015" showDropDown="0" showInputMessage="0" showErrorMessage="1" allowBlank="1" errorTitle="Geçersiz değer" error="Listeden bir değer seçin." type="list">
      <formula1>"Akıl,Çene,Kurnazlık,Cesaret,Pişkinlik,İtibar,Gönül,Dayanıklılık,Sosyal Radar"</formula1>
    </dataValidation>
    <dataValidation sqref="C2:C1015" showDropDown="0" showInputMessage="0" showErrorMessage="1" allowBlank="1" errorTitle="Geçersiz değer" error="Listeden bir değer seçin." type="list">
      <formula1>"Kolay,Orta,Zor,Çok Zor"</formula1>
    </dataValidation>
    <dataValidation sqref="F2:F1015"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25"/>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Annen bir an kediye baktı, sonra vazgeçti. Vazodan beri bu evde kediye kimse inanmıyor.</t>
        </is>
      </c>
    </row>
    <row r="5">
      <c r="A5" s="5" t="inlineStr">
        <is>
          <t>ilk-gercek-yalan</t>
        </is>
      </c>
      <c r="B5" s="5" t="inlineStr">
        <is>
          <t>yalanci</t>
        </is>
      </c>
      <c r="C5" s="6" t="inlineStr">
        <is>
          <t>Duvardaki güneşten beri bu evde “Kim yaptı?” sorulunca herkes önce senin ellerine bakıyor. Bugün ellerin temiz; dudağın değil.</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suç hep kediye atılır. Kedi bunu biliyor; bu sabah ödev defterinin yanına bile yaklaşmıyor.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olayından beri babaannen her sofrada aynı cümleyi kuruyor: “Kediye güven olmaz.”</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 söze “Çok yaratıcı bir çocuk” diye başladı. Annen bu cümlenin devamını biliyor.</t>
        </is>
      </c>
    </row>
    <row r="17">
      <c r="A17" s="5" t="inlineStr">
        <is>
          <t>veli-toplantisi</t>
        </is>
      </c>
      <c r="B17" s="5" t="inlineStr">
        <is>
          <t>camKirildi</t>
        </is>
      </c>
      <c r="C17" s="6" t="inlineStr">
        <is>
          <t>Konu bir ara komşunun camına geldi. Öğretmen de biliyor: camın sahibi alt kat amcası, öğretmenin eniştesiymiş.</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Ailen “Kim yaptı?” gününü unutmadı. Telefonun ilk ayarı ekran süresi oldu: günde bir saat.</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cümlesini daha duymadan biliyor. Babaannen “Bu çocuğun eşyası kaybolmaz, saklanır” diyor.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arkadaşının sırrını yaymıştın. Bu sefer sır senin; ve sınıfta hâlâ o kreşten üç kişi var.</t>
        </is>
      </c>
    </row>
    <row r="26">
      <c r="A26" s="5" t="inlineStr">
        <is>
          <t>b4-bilim-fuari</t>
        </is>
      </c>
      <c r="B26" s="5" t="inlineStr">
        <is>
          <t>camKirildi</t>
        </is>
      </c>
      <c r="C26" s="6" t="inlineStr">
        <is>
          <t>Jüri projenin adını okudu: “Top Camı Kırar mı?” Kanıt olarak komşunun camının fotoğrafı vardı. Komşu da fuardaydı.</t>
        </is>
      </c>
    </row>
    <row r="27">
      <c r="A27" s="5" t="inlineStr">
        <is>
          <t>b4-kotu-not</t>
        </is>
      </c>
      <c r="B27" s="5" t="inlineStr">
        <is>
          <t>yalanci</t>
        </is>
      </c>
      <c r="C27" s="6" t="inlineStr">
        <is>
          <t>“Kim yaptı?” gününden beri ailen her “İyi” cevabının arkasına bakıyor. Bu akşam da bakacak.</t>
        </is>
      </c>
    </row>
    <row r="28">
      <c r="A28" s="5" t="inlineStr">
        <is>
          <t>b4-kedinin-hesabi</t>
        </is>
      </c>
      <c r="B28" s="5" t="inlineStr">
        <is>
          <t>kediSuclu</t>
        </is>
      </c>
      <c r="C28" s="6" t="inlineStr">
        <is>
          <t>Hesabın yıldızı yavru ama en çok yorumu, arkada peteğin üstünde yatan yaşlı kedi alıyor. Vazo gününden beri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kol” yazdın. Öğretmen devamını sormadı; sen yine de anlattın.</t>
        </is>
      </c>
    </row>
    <row r="33">
      <c r="A33" s="5" t="inlineStr">
        <is>
          <t>b4-lise-sinavi</t>
        </is>
      </c>
      <c r="B33" s="5" t="inlineStr">
        <is>
          <t>dershaneli</t>
        </is>
      </c>
      <c r="C33" s="6" t="inlineStr">
        <is>
          <t>Bir buçuk yılın dershane cumartesileri bu sabah içindi. Annen kapıda termosu uzatırken “Hepsini biliyorsun” dedi.</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 sınıf başkanıydın. Bunu ilk teneffüste iki kişiye anlattın. İkisi de “Hangi okulda?” dedi.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 sınıfa akvaryum sözü vermiştin. Akvaryum hiç gelmedi. O sınıftan biri bu lisede; seçim afişinin altına bir balık çizmiş.</t>
        </is>
      </c>
    </row>
    <row r="39">
      <c r="A39" s="5" t="inlineStr">
        <is>
          <t>b5-yapay-zeka-odev</t>
        </is>
      </c>
      <c r="B39" s="5" t="inlineStr">
        <is>
          <t>yalanci</t>
        </is>
      </c>
      <c r="C39" s="6" t="inlineStr">
        <is>
          <t>Küçükken “Kim yaptı?” sorusuna yalan söylemiştin. “Bunu sen mi yazdın?” aynı sorunun büyümüş hâli;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bütün kayak tepsileri sendeydi. Şimdi tepsi yine elinde; bu kez üstünde on iki çay var.</t>
        </is>
      </c>
    </row>
    <row r="43">
      <c r="A43" s="5" t="inlineStr">
        <is>
          <t>b5-ilk-maas</t>
        </is>
      </c>
      <c r="B43" s="5" t="inlineStr">
        <is>
          <t>ilkKelimePara</t>
        </is>
      </c>
      <c r="C43" s="6" t="inlineStr">
        <is>
          <t>İlk kelimen “Para” idi. On altı yıl sonra ilk paranı kendin kazandın. Babaannen “Bu çocuk o gün belli etmişti” dedi.</t>
        </is>
      </c>
    </row>
    <row r="44">
      <c r="A44" s="5" t="inlineStr">
        <is>
          <t>b5-beden-dersi</t>
        </is>
      </c>
      <c r="B44" s="5" t="inlineStr">
        <is>
          <t>alcili-kol</t>
        </is>
      </c>
      <c r="C44" s="6" t="inlineStr">
        <is>
          <t>Dut ağacı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Annen telefonda sesinden anlıyor: “Yine mi içtin?”</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Teyzen nefes almadan ekledi: “Ondan sonra da torun.”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Küçükken “Kim yaptı?” diye sorulunca gözünü kırpmadan yalan söylemiştin. Şimdi aynı soruyu bir fotoğraf soruyor.</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Annen bunu otuz yıldır her bayram anlatıyor. Şimdi gözünü torununun ağzına dikmiş: “Bu da mı?”</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Çocukken getirdiğin kedinin torunu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dikmedi; bir “4” bir “0” aldı. “Kırkını koysam pasta görünmüyordu” dedi.</t>
        </is>
      </c>
    </row>
    <row r="107">
      <c r="A107" s="5" t="inlineStr">
        <is>
          <t>b8-kirk-yas</t>
        </is>
      </c>
      <c r="B107" s="5" t="inlineStr">
        <is>
          <t>cocuklu</t>
        </is>
      </c>
      <c r="C107" s="6" t="inlineStr">
        <is>
          <t>Çocuğun doğum günü kartına kocaman harflerle “Yaşlı ama iyi” yazmış. Kartı buzdolabına astın; “yaşlı” kısmını mıknatısla kapattın.</t>
        </is>
      </c>
    </row>
    <row r="108">
      <c r="A108" s="5" t="inlineStr">
        <is>
          <t>b8-kirk-yas</t>
        </is>
      </c>
      <c r="B108" s="5" t="inlineStr">
        <is>
          <t>borclu</t>
        </is>
      </c>
      <c r="C108" s="6" t="inlineStr">
        <is>
          <t>Bankadan doğum günü mesajı geldi: “Nice yıllara!” Altında asgari ödeme tutarı vardı.</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otuz beş yıldır anlatıyorsun. Çocuk artık sen başlamadan sonunu söylüyor.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“Sınıfa akvaryum sözü vermiştin, ne oldu?” Otuz yıldır bekliyorlar.</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çıkardın. Biri “Ha, sen miydin?” dedi ve tabağına döndü.</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Güvenlik görevlisi “Veli misiniz?” diye sordu. “Öğrenciyim” dedin; sesin titredi, gururdan.</t>
        </is>
      </c>
    </row>
    <row r="131">
      <c r="A131" s="5" t="inlineStr">
        <is>
          <t>b8-yeniden-egitim</t>
        </is>
      </c>
      <c r="B131" s="5" t="inlineStr">
        <is>
          <t>universiteli</t>
        </is>
      </c>
      <c r="C131" s="6" t="inlineStr">
        <is>
          <t>Kampüs değişmemiş, tost fiyatı değişmiş. Kantinde eski kantincinin oğlu duruyor; seni hoca sanıp tostu indirimli verdi. Düzeltmedin.</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evrakını imzaladığın kalem hâlâ çekmecede. O günden beri hiçbir şey imzalamadı; sen de kimseye “evet” demedin.</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Yıllardır evlisin. Sepette eşinin 'Unutma' dediği kırmızı mercimek var. Elin bir an sepetin sapında kaldı.</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 yaşını sordu. Refleksle beş yıl kestin. Asistan itiraz etmedi; doğum tarihin zaten onda kayıtlı.</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 artık başkasının cebinde. Sabahları elin yine de cebine gidiyor.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tebrik cümlesini yarıda kesti.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O günden beri evde bir kedi olsun istedin; şimdi vakit de var, koltuk da.</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'Sanal Para Topla' diye bir oyun var; rekor torunda. Senin ilk kelimen 'para'ydı. Kan çekiyor.</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kırk yıllık kâğıdın köşeleri yumuşamış. Katip ona dokunurken bile özen gösterdi.</t>
        </is>
      </c>
    </row>
    <row r="190">
      <c r="A190" s="5" t="inlineStr">
        <is>
          <t>b10-noter-vasiyet</t>
        </is>
      </c>
      <c r="B190" s="5" t="inlineStr">
        <is>
          <t>borclu</t>
        </is>
      </c>
      <c r="C190" s="6" t="inlineStr">
        <is>
          <t>Katip mal listesini okurken kart ekstresine geldi, gözlüğünün üstünden baktı: 'Bunu da paylaştıracak mıyız?'</t>
        </is>
      </c>
    </row>
    <row r="191">
      <c r="A191" s="5" t="inlineStr">
        <is>
          <t>b10-noter-vasiyet</t>
        </is>
      </c>
      <c r="B191" s="5" t="inlineStr">
        <is>
          <t>ilkKelimePara</t>
        </is>
      </c>
      <c r="C191" s="6" t="inlineStr">
        <is>
          <t>İlk kelimen 'Para' idi. Katip mal varlığı listesini okurken dudakların aynı kelimeyi kıpırdattı.</t>
        </is>
      </c>
    </row>
    <row r="192">
      <c r="A192" s="5" t="inlineStr">
        <is>
          <t>b10-miras-provasi</t>
        </is>
      </c>
      <c r="B192" s="5" t="inlineStr">
        <is>
          <t>kediSuclu</t>
        </is>
      </c>
      <c r="C192" s="6" t="inlineStr">
        <is>
          <t>Vitrin annenden kaldı. Vazonun eşini yetmiş yıl önce sen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kursta 'eski internet' örneği olarak senin videonu gösteriyorlar. Sınıf bir anlığına sana döndü.</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Altmış yedi yıldır kimse seçim yapmamış.</t>
        </is>
      </c>
    </row>
    <row r="200">
      <c r="A200" s="5" t="inlineStr">
        <is>
          <t>b10-sinif-bulusmasi</t>
        </is>
      </c>
      <c r="B200" s="5" t="inlineStr">
        <is>
          <t>tepsiTekeli</t>
        </is>
      </c>
      <c r="C200" s="6" t="inlineStr">
        <is>
          <t>Biri o kışı hatırladı. Tepsi tekelinin hesabı altmış beş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öğretmene de çok hikâye anlatırdın' dedi. Bu sefer hikâye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İlk kelimen 'Para' idi. Bugün kapıdaki her çocuk sana aynı kelimeyle bakıyor.</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 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Eski çırağın da aradı; dükkân artık onun. 'Usta, veresiye defteri nerede dururdu?' dedi. Sesi hâlâ çırak sesi.</t>
        </is>
      </c>
    </row>
    <row r="216">
      <c r="A216" s="5" t="inlineStr">
        <is>
          <t>b10-danismanlik</t>
        </is>
      </c>
      <c r="B216" s="5" t="inlineStr">
        <is>
          <t>meslek-beyazyaka</t>
        </is>
      </c>
      <c r="C216" s="6" t="inlineStr">
        <is>
          <t>Ofiste açık alan kaldırılmış, bölmeler geri gelmiş. Senin masanın yerinde şimdi çay ocağı var.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Tarihleri düzelten,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on iki yaşındaki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edecek; en küçüğünün parmağı çoktan kremada.</t>
        </is>
      </c>
    </row>
    <row r="228">
      <c r="A228" s="5" t="inlineStr">
        <is>
          <t>b10-seksen-yas-partisi</t>
        </is>
      </c>
      <c r="B228" s="5" t="inlineStr">
        <is>
          <t>sigara</t>
        </is>
      </c>
      <c r="C228" s="6" t="inlineStr">
        <is>
          <t>Sigarayı yıllar önce bıraktın. Bugün ciğerlerin seksen mumu tek nefeste üflemeye hazır.</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Okey masasında eski eşinin kuzenini gördün. Dünya küçük, huzurevi daha küçük.</t>
        </is>
      </c>
    </row>
    <row r="232">
      <c r="A232" s="5" t="inlineStr">
        <is>
          <t>b10-torunun-dugunu</t>
        </is>
      </c>
      <c r="B232" s="5" t="inlineStr">
        <is>
          <t>evli</t>
        </is>
      </c>
      <c r="C232" s="6" t="inlineStr">
        <is>
          <t>Elli yıl önce bu şarkıyla sen evlenmiştin. Eşin masanın altından elini buldu.</t>
        </is>
      </c>
    </row>
    <row r="233">
      <c r="A233" s="5" t="inlineStr">
        <is>
          <t>b10-torunun-dugunu</t>
        </is>
      </c>
      <c r="B233" s="5" t="inlineStr">
        <is>
          <t>askerlik-yapti</t>
        </is>
      </c>
      <c r="C233" s="6" t="inlineStr">
        <is>
          <t>Masadaki eski bir arkadaş askerlik hatırasını anlatmaya başladı. Orkestra iki şarkı çaldı; hatıra hâlâ ilk nöbet gecesindeydi.</t>
        </is>
      </c>
    </row>
    <row r="234">
      <c r="A234" s="5" t="inlineStr">
        <is>
          <t>b10-torunun-dugunu</t>
        </is>
      </c>
      <c r="B234" s="5" t="inlineStr">
        <is>
          <t>ev-sahibi</t>
        </is>
      </c>
      <c r="C234" s="6" t="inlineStr">
        <is>
          <t>Takı sırasında cebinden bir zarf çıkardın: evin yedek anahtarı ve bir not, 'Benden sonra sizin.' Herkes ağladı, iki kişi hesapladı.</t>
        </is>
      </c>
    </row>
    <row r="235">
      <c r="A235" s="5" t="inlineStr">
        <is>
          <t>b10-yapay-zeka-kitap</t>
        </is>
      </c>
      <c r="B235" s="5" t="inlineStr">
        <is>
          <t>fenomen</t>
        </is>
      </c>
      <c r="C235" s="6" t="inlineStr">
        <is>
          <t>Yapay zekâ on iki yaşındaki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 komşunun camı hâlâ yerinde. Ya da onun yenisi. Topu kimin attığını o cam da unutmadı.</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Eski haraççıların durduğu köşede şimdi bir simitçi var. Ona da selam vermeden geçilmiyor.</t>
        </is>
      </c>
    </row>
    <row r="242">
      <c r="A242" s="5" t="inlineStr">
        <is>
          <t>b10-eski-ev</t>
        </is>
      </c>
      <c r="B242" s="5" t="inlineStr">
        <is>
          <t>tepsiTekeli</t>
        </is>
      </c>
      <c r="C242" s="6" t="inlineStr">
        <is>
          <t>Bu yokuştan tepsiyle kaydığın kışı hatırladın. Aynı yokuşu şimdi duvara tutunarak iniyorsun.</t>
        </is>
      </c>
    </row>
    <row r="243">
      <c r="A243" s="5" t="inlineStr">
        <is>
          <t>b10-son-dans</t>
        </is>
      </c>
      <c r="B243" s="5" t="inlineStr">
        <is>
          <t>cocuklu</t>
        </is>
      </c>
      <c r="C243" s="6" t="inlineStr">
        <is>
          <t>Kapı aralığından altmışlık çocuğunun sizi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salonda kırk yılda halı değişti, perde değişti. Siz değişmediniz; aynı köşede, aynı şarkıda.</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Huzurevindeki odan tek kişilik. Kumanda senin; çay saati herkesin.</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Yıllarca çekmecede biriken ekstreleri bir poşete doldurup kapıcıya verdin: 'Kâğıt toplayana ver.' Kapıcı poşetin ağırlığına baktı, sonra sana; bir şey demedi.</t>
        </is>
      </c>
    </row>
    <row r="256">
      <c r="A256" s="5" t="inlineStr">
        <is>
          <t>b10-son-taksit</t>
        </is>
      </c>
      <c r="B256" s="5" t="inlineStr">
        <is>
          <t>ev-sahibi</t>
        </is>
      </c>
      <c r="C256" s="6" t="inlineStr">
        <is>
          <t>Evin borcu otuz yıl önce bitmişti. Bugün kartın da bitti. Artık hiçbir şeyin taksidi yok.</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işe başladığı ilk gün evrakını sen düzeltmişsin. Onun da emekliliğine iki yıl kalmış.</t>
        </is>
      </c>
    </row>
    <row r="260">
      <c r="A260" s="5" t="inlineStr">
        <is>
          <t>b10-ehliyet-yenileme</t>
        </is>
      </c>
      <c r="B260" s="5" t="inlineStr">
        <is>
          <t>fenomen</t>
        </is>
      </c>
      <c r="C260" s="6" t="inlineStr">
        <is>
          <t>Bekleme salonundaki tek yaşıtın seni tanıdı: 'O kedi videosundaki sen misin?' Salonun geri kalanı hangi kedi olduğunu telefondan aradı.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altmışlık çocukların var. Biri çekim yapıyor, ikisi gözlüğünü arıyor; alkışlayan yok.</t>
        </is>
      </c>
    </row>
    <row r="264">
      <c r="A264" s="5" t="inlineStr">
        <is>
          <t>b10-mezar-tasi-fotografi</t>
        </is>
      </c>
      <c r="B264" s="5" t="inlineStr">
        <is>
          <t>fenomen</t>
        </is>
      </c>
      <c r="C264" s="6" t="inlineStr">
        <is>
          <t>Fotoğrafçı adını duyunca durdu: 'Kedi videosundaki çocuk siz misiniz? Babam anlatırdı.' Rötuşu bedava yaptı.</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Kimin neyi alacağı yazılı; kimin kime küseceği yazılı değil.</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son-soz</t>
        </is>
      </c>
      <c r="B271" s="5" t="inlineStr">
        <is>
          <t>dul</t>
        </is>
      </c>
      <c r="C271" s="6" t="inlineStr">
        <is>
          <t>Komodinin üstünde eşinin fotoğrafı. Biri onu yatağa doğru çevirmiş.</t>
        </is>
      </c>
    </row>
    <row r="272">
      <c r="A272" s="5" t="inlineStr">
        <is>
          <t>b6-askerlik-mezun</t>
        </is>
      </c>
      <c r="B272" s="5" t="inlineStr">
        <is>
          <t>bolum-emniyet</t>
        </is>
      </c>
      <c r="C272" s="6" t="inlineStr">
        <is>
          <t>Polis okulunda öğrendiğin içtima düzeni burada da geçerli. Bölük komutanı seni ilk günden fark etti.</t>
        </is>
      </c>
    </row>
    <row r="273">
      <c r="A273" s="5" t="inlineStr">
        <is>
          <t>b6-tezkere</t>
        </is>
      </c>
      <c r="B273" s="5" t="inlineStr">
        <is>
          <t>kisla-kankasi</t>
        </is>
      </c>
      <c r="C273" s="6" t="inlineStr">
        <is>
          <t>Telefonda bir mesaj: “Plan geçerli mi?” Kışladaki üç arkadaşın hâlâ bekliyor.</t>
        </is>
      </c>
    </row>
    <row r="274">
      <c r="A274" s="5" t="inlineStr">
        <is>
          <t>b6-ikinci-sinav</t>
        </is>
      </c>
      <c r="B274" s="5" t="inlineStr">
        <is>
          <t>dershaneli</t>
        </is>
      </c>
      <c r="C274" s="6" t="inlineStr">
        <is>
          <t>Cumartesileri dershanede geçen ergenliğin bugün için yapılmış bir provaydı.</t>
        </is>
      </c>
    </row>
    <row r="275">
      <c r="A275" s="5" t="inlineStr">
        <is>
          <t>b6-abinin-cantasi</t>
        </is>
      </c>
      <c r="B275" s="5" t="inlineStr">
        <is>
          <t>karaborsaci</t>
        </is>
      </c>
      <c r="C275" s="6" t="inlineStr">
        <is>
          <t>Stat önünde bilet satarken öğrendin: abinin işlerinde soru sorulmaz, fiyat sorulur.</t>
        </is>
      </c>
    </row>
    <row r="276">
      <c r="A276" s="5" t="inlineStr">
        <is>
          <t>b6-donus-bileti</t>
        </is>
      </c>
      <c r="B276" s="5" t="inlineStr">
        <is>
          <t>yabanci-dil</t>
        </is>
      </c>
      <c r="C276" s="6" t="inlineStr">
        <is>
          <t>Buradaki arkadaşların seni bir iş görüşmesine önerdi. Rüyalarını artık iki dilde görüyorsun.</t>
        </is>
      </c>
    </row>
    <row r="277">
      <c r="A277" s="5" t="inlineStr">
        <is>
          <t>b6-evden-cikis</t>
        </is>
      </c>
      <c r="B277" s="5" t="inlineStr">
        <is>
          <t>baska-sehir</t>
        </is>
      </c>
      <c r="C277" s="6" t="inlineStr">
        <is>
          <t>Dört yıldır yurttasın. Ranza, ortak banyo ve priz nöbeti. Artık bir kapı istiyorsun; kilitli olan.</t>
        </is>
      </c>
    </row>
    <row r="278">
      <c r="A278" s="5" t="inlineStr">
        <is>
          <t>b6-evden-cikis</t>
        </is>
      </c>
      <c r="B278" s="5" t="inlineStr">
        <is>
          <t>kendi-odasi</t>
        </is>
      </c>
      <c r="C278" s="6" t="inlineStr">
        <is>
          <t>On üç yaşında kendi odanı resmî başvuruyla almıştın. Şimdi başvuru daha büyük.</t>
        </is>
      </c>
    </row>
    <row r="279">
      <c r="A279" s="5" t="inlineStr">
        <is>
          <t>b6-hayat-yolu</t>
        </is>
      </c>
      <c r="B279" s="5" t="inlineStr">
        <is>
          <t>tezgah</t>
        </is>
      </c>
      <c r="C279" s="6" t="inlineStr">
        <is>
          <t>Kuzeninin tezgâhında öğrendiklerin: fiyat söylenir, pazarlık edilir, veresiye yazılmaz. Yazılır aslında.</t>
        </is>
      </c>
    </row>
    <row r="280">
      <c r="A280" s="5" t="inlineStr">
        <is>
          <t>b6-hayat-yolu</t>
        </is>
      </c>
      <c r="B280" s="5" t="inlineStr">
        <is>
          <t>kisla-kankasi</t>
        </is>
      </c>
      <c r="C280" s="6" t="inlineStr">
        <is>
          <t>Kışladan üç arkadaşın hâlâ “Plan geçerli mi?” diye soruyor.</t>
        </is>
      </c>
    </row>
    <row r="281">
      <c r="A281" s="5" t="inlineStr">
        <is>
          <t>b6-hayat-yolu</t>
        </is>
      </c>
      <c r="B281" s="5" t="inlineStr">
        <is>
          <t>acik-lise</t>
        </is>
      </c>
      <c r="C281" s="6" t="inlineStr">
        <is>
          <t>Akşam lisesinin diploması çekmecede. Devlet kapısı için bir kâğıt daha var elinde.</t>
        </is>
      </c>
    </row>
    <row r="282">
      <c r="A282" s="5" t="inlineStr">
        <is>
          <t>b7-polis-asayis</t>
        </is>
      </c>
      <c r="B282" s="5" t="inlineStr">
        <is>
          <t>komiser-tanidik</t>
        </is>
      </c>
      <c r="C282" s="6" t="inlineStr">
        <is>
          <t>Gençken tanıdığın komiser şimdi büro amirin. “Seni hatırlıyorum” dedi; iyi mi kötü mü, söylemedi.</t>
        </is>
      </c>
    </row>
    <row r="283">
      <c r="A283" s="5" t="inlineStr">
        <is>
          <t>b7-polis-asayis</t>
        </is>
      </c>
      <c r="B283" s="5" t="inlineStr">
        <is>
          <t>haracci-dusmani</t>
        </is>
      </c>
      <c r="C283" s="6" t="inlineStr">
        <is>
          <t>Çocukken haraççılara kafa tuttuğun hâlâ anlatılıyor. Simitçi de biliyor; sana biraz daha susamlı veriyor.</t>
        </is>
      </c>
    </row>
    <row r="284">
      <c r="A284" s="5" t="inlineStr">
        <is>
          <t>b7-polis-komiserlik</t>
        </is>
      </c>
      <c r="B284" s="5" t="inlineStr">
        <is>
          <t>evli</t>
        </is>
      </c>
      <c r="C284" s="6" t="inlineStr">
        <is>
          <t>Evlisin; sorgu odasında düğün pastası konuşulunca kendi düğününü hatırladın. Sizinkini kimse çalmamıştı. Kimse istememişti.</t>
        </is>
      </c>
    </row>
    <row r="285">
      <c r="A285" s="5" t="inlineStr">
        <is>
          <t>b7-polis-ekip</t>
        </is>
      </c>
      <c r="B285" s="5" t="inlineStr">
        <is>
          <t>zarf-aldi</t>
        </is>
      </c>
      <c r="C285" s="6" t="inlineStr">
        <is>
          <t>Otuz beşindeki zarf hâlâ aklında. Kimse bilmiyor; ama çaycı sana hep biraz uzun bakıyor.</t>
        </is>
      </c>
    </row>
    <row r="286">
      <c r="A286" s="5" t="inlineStr">
        <is>
          <t>b7-polis-ekip</t>
        </is>
      </c>
      <c r="B286" s="5" t="inlineStr">
        <is>
          <t>polis-surgun</t>
        </is>
      </c>
      <c r="C286" s="6" t="inlineStr">
        <is>
          <t>Sürgün geldiğin bu uzak ilçede ekip küçük, kedi büyük. Yine de ekip ekip.</t>
        </is>
      </c>
    </row>
    <row r="287">
      <c r="A287" s="5" t="inlineStr">
        <is>
          <t>b7-polis-ekip</t>
        </is>
      </c>
      <c r="B287" s="5" t="inlineStr">
        <is>
          <t>polis-gozetim</t>
        </is>
      </c>
      <c r="C287" s="6" t="inlineStr">
        <is>
          <t>Yazdığın her rapor bir üst makamda ikinci kez okunuyor. Ekip de bunu biliyor.</t>
        </is>
      </c>
    </row>
    <row r="288">
      <c r="A288" s="5" t="inlineStr">
        <is>
          <t>b8-polis-mudurluk</t>
        </is>
      </c>
      <c r="B288" s="5" t="inlineStr">
        <is>
          <t>polis-muhbir</t>
        </is>
      </c>
      <c r="C288" s="6" t="inlineStr">
        <is>
          <t>Asayişten kalan simitçin hâlâ köşede. Mülakat sabahı sana bedava simit verdi: “Uğur getirsin.”</t>
        </is>
      </c>
    </row>
    <row r="289">
      <c r="A289" s="5" t="inlineStr">
        <is>
          <t>b8-polis-mudurluk</t>
        </is>
      </c>
      <c r="B289" s="5" t="inlineStr">
        <is>
          <t>zarf-aldi</t>
        </is>
      </c>
      <c r="C289" s="6" t="inlineStr">
        <is>
          <t>Kurul dosyanı karıştırırken bir sayfada uzun durdu. O sayfa otuz beş yaşına denk geliyor. Sonra geçti.</t>
        </is>
      </c>
    </row>
    <row r="290">
      <c r="A290" s="5" t="inlineStr">
        <is>
          <t>b8-polis-teftis</t>
        </is>
      </c>
      <c r="B290" s="5" t="inlineStr">
        <is>
          <t>zarf-aldi</t>
        </is>
      </c>
      <c r="C290" s="6" t="inlineStr">
        <is>
          <t>Müfettiş otuz beş yaşının dosyalarını istedi. Midende bir zarf ağırlığı var.</t>
        </is>
      </c>
    </row>
    <row r="291">
      <c r="A291" s="5" t="inlineStr">
        <is>
          <t>b8-polis-teftis</t>
        </is>
      </c>
      <c r="B291" s="5" t="inlineStr">
        <is>
          <t>polis-gozetim</t>
        </is>
      </c>
      <c r="C291" s="6" t="inlineStr">
        <is>
          <t>Yıllardır izleniyorsun; teftiş sana sürpriz değil. Müfettiş dosyanı senden iyi biliyor.</t>
        </is>
      </c>
    </row>
    <row r="292">
      <c r="A292" s="5" t="inlineStr">
        <is>
          <t>b9-polis-veda</t>
        </is>
      </c>
      <c r="B292" s="5" t="inlineStr">
        <is>
          <t>polis-mudur</t>
        </is>
      </c>
      <c r="C292" s="6" t="inlineStr">
        <is>
          <t>Emniyet müdürüsün; plaketin boyu da ona göre. Çaycı taşırken iki kez dinlendi.</t>
        </is>
      </c>
    </row>
    <row r="293">
      <c r="A293" s="5" t="inlineStr">
        <is>
          <t>b9-polis-veda</t>
        </is>
      </c>
      <c r="B293" s="5" t="inlineStr">
        <is>
          <t>polis-muhbir</t>
        </is>
      </c>
      <c r="C293" s="6" t="inlineStr">
        <is>
          <t>Tören kapısında eski simitçin. Yaşlanmış, sen de. Bir simit uzattı: “Son ihbar: seni çok seviyorlar.”</t>
        </is>
      </c>
    </row>
    <row r="294">
      <c r="A294" s="5" t="inlineStr">
        <is>
          <t>b9-polis-veda</t>
        </is>
      </c>
      <c r="B294" s="5" t="inlineStr">
        <is>
          <t>polis-sadik-ekip</t>
        </is>
      </c>
      <c r="C294" s="6" t="inlineStr">
        <is>
          <t>Eski ekibinden dördü emekli, ikisi müdür; hepsi törene geldi. Karakol kedisinin torunu da.</t>
        </is>
      </c>
    </row>
    <row r="295">
      <c r="A295" s="5" t="inlineStr">
        <is>
          <t>b9-polis-veda</t>
        </is>
      </c>
      <c r="B295" s="5" t="inlineStr">
        <is>
          <t>polis-surgun</t>
        </is>
      </c>
      <c r="C295" s="6" t="inlineStr">
        <is>
          <t>Sürgün gittiğin uzak ilçeden bir otobüs dolusu insan geldi. Sürgün sandığın yer seni evlat saymış.</t>
        </is>
      </c>
    </row>
    <row r="296">
      <c r="A296" s="5" t="inlineStr">
        <is>
          <t>b7-yargi-aidat</t>
        </is>
      </c>
      <c r="B296" s="5" t="inlineStr">
        <is>
          <t>yargi-horoz-karari</t>
        </is>
      </c>
      <c r="C296" s="6" t="inlineStr">
        <is>
          <t>Horoz Kararı'nı adliyede herkes duymuş. Mübaşir seni sabah dörtte kalkan biri sanıyor.</t>
        </is>
      </c>
    </row>
    <row r="297">
      <c r="A297" s="5" t="inlineStr">
        <is>
          <t>b7-yargi-kedi</t>
        </is>
      </c>
      <c r="B297" s="5" t="inlineStr">
        <is>
          <t>yargi-leke</t>
        </is>
      </c>
      <c r="C297" s="6" t="inlineStr">
        <is>
          <t>Büyük dosyada eğildiğin gün hâlâ aklında. Bu dosyada kimse baskı yapmıyor; kedi bile. Garip bir rahatlık.</t>
        </is>
      </c>
    </row>
    <row r="298">
      <c r="A298" s="5" t="inlineStr">
        <is>
          <t>b8-yargi-yuksek</t>
        </is>
      </c>
      <c r="B298" s="5" t="inlineStr">
        <is>
          <t>yargi-kedi-karari</t>
        </is>
      </c>
      <c r="C298" s="6" t="inlineStr">
        <is>
          <t>Kurul üyelerinden birinin iki kedisi var. Kedi kararını okumuş; seni gülümseyerek selamladı.</t>
        </is>
      </c>
    </row>
    <row r="299">
      <c r="A299" s="5" t="inlineStr">
        <is>
          <t>b8-yargi-yuksek</t>
        </is>
      </c>
      <c r="B299" s="5" t="inlineStr">
        <is>
          <t>yargi-leke</t>
        </is>
      </c>
      <c r="C299" s="6" t="inlineStr">
        <is>
          <t>Kurul dosyanda bir kararda duraksadı. O büyük dosya. Sonra sayfayı çevirdi, yavaşça.</t>
        </is>
      </c>
    </row>
    <row r="300">
      <c r="A300" s="5" t="inlineStr">
        <is>
          <t>b8-yargi-denetim</t>
        </is>
      </c>
      <c r="B300" s="5" t="inlineStr">
        <is>
          <t>yargi-leke</t>
        </is>
      </c>
      <c r="C300" s="6" t="inlineStr">
        <is>
          <t>Kalın dosya o büyük dosya. Müfettiş kapağına iki kez dokundu.</t>
        </is>
      </c>
    </row>
    <row r="301">
      <c r="A301" s="5" t="inlineStr">
        <is>
          <t>b9-yargi-ceviz</t>
        </is>
      </c>
      <c r="B301" s="5" t="inlineStr">
        <is>
          <t>yargi-yuksek</t>
        </is>
      </c>
      <c r="C301" s="6" t="inlineStr">
        <is>
          <t>Yüksek mahkemedesin; dosya temyizle önüne geldi. Otuz beş yıl sonra aynı ağaç, bu sefer en üst kata çıktı.</t>
        </is>
      </c>
    </row>
    <row r="302">
      <c r="A302" s="5" t="inlineStr">
        <is>
          <t>b9-yargi-ceviz</t>
        </is>
      </c>
      <c r="B302" s="5" t="inlineStr">
        <is>
          <t>yargi-kedi-karari</t>
        </is>
      </c>
      <c r="C302" s="6" t="inlineStr">
        <is>
          <t>Her yıl Pamuk-Paşa'nın bir fotoğrafı gelirdi. Bu yılkinde bir yavru var; adını “Hâkim” koymuşlar.</t>
        </is>
      </c>
    </row>
    <row r="303">
      <c r="A303" s="5" t="inlineStr">
        <is>
          <t>b9-yargi-ceviz</t>
        </is>
      </c>
      <c r="B303" s="5" t="inlineStr">
        <is>
          <t>yargi-horoz-karari</t>
        </is>
      </c>
      <c r="C303" s="6" t="inlineStr">
        <is>
          <t>Kasabadan bu bayram da kart geldi: “Horoz emekli oldu, torunu ötüyor. Siz de emekli olun artık.”</t>
        </is>
      </c>
    </row>
    <row r="304">
      <c r="A304" s="5" t="inlineStr">
        <is>
          <t>b7-hekim-uzmanlik</t>
        </is>
      </c>
      <c r="B304" s="5" t="inlineStr">
        <is>
          <t>hekim-ilce-sevgisi</t>
        </is>
      </c>
      <c r="C304" s="6" t="inlineStr">
        <is>
          <t>İlçeden hâlâ reçel geliyor. Asistan odasında en sevilen sensin; reçel yüzünden.</t>
        </is>
      </c>
    </row>
    <row r="305">
      <c r="A305" s="5" t="inlineStr">
        <is>
          <t>b7-hekim-hasta-yakini</t>
        </is>
      </c>
      <c r="B305" s="5" t="inlineStr">
        <is>
          <t>klinik-sefi</t>
        </is>
      </c>
      <c r="C305" s="6" t="inlineStr">
        <is>
          <t>Klinik şefisin; on bir kişi bunu duydu ve on birinin de doğrudan şefle konuşması gerekiyor.</t>
        </is>
      </c>
    </row>
    <row r="306">
      <c r="A306" s="5" t="inlineStr">
        <is>
          <t>b8-hekim-profesorluk</t>
        </is>
      </c>
      <c r="B306" s="5" t="inlineStr">
        <is>
          <t>klinik-sefi</t>
        </is>
      </c>
      <c r="C306" s="6" t="inlineStr">
        <is>
          <t>Klinik şefliğinin yükü hâlâ omuzlarında; dosyanın en ağır sayfaları da oradan geliyor.</t>
        </is>
      </c>
    </row>
    <row r="307">
      <c r="A307" s="5" t="inlineStr">
        <is>
          <t>b8-hekim-aile-grubu</t>
        </is>
      </c>
      <c r="B307" s="5" t="inlineStr">
        <is>
          <t>hekim-ilce-sevgisi</t>
        </is>
      </c>
      <c r="C307" s="6" t="inlineStr">
        <is>
          <t>İlçedeki eski hastaların da artık bu grupta. Nasıl girdiklerini kimse bilmiyor.</t>
        </is>
      </c>
    </row>
    <row r="308">
      <c r="A308" s="5" t="inlineStr">
        <is>
          <t>b9-hekim-son-vizit</t>
        </is>
      </c>
      <c r="B308" s="5" t="inlineStr">
        <is>
          <t>hekim-profesor</t>
        </is>
      </c>
      <c r="C308" s="6" t="inlineStr">
        <is>
          <t>Profesörsün; asistanların yarısı senin kitabından çalışmış. Kapaktaki fotoğrafın genç; tanımadılar.</t>
        </is>
      </c>
    </row>
    <row r="309">
      <c r="A309" s="5" t="inlineStr">
        <is>
          <t>b9-hekim-son-vizit</t>
        </is>
      </c>
      <c r="B309" s="5" t="inlineStr">
        <is>
          <t>hekim-ilce-sevgisi</t>
        </is>
      </c>
      <c r="C309" s="6" t="inlineStr">
        <is>
          <t>İlçeden eski bir hastan torunuyla gelmiş. Elinde bir kavanoz reçel: “Son vizite.”</t>
        </is>
      </c>
    </row>
    <row r="310">
      <c r="A310" s="5" t="inlineStr">
        <is>
          <t>b9-hekim-son-vizit</t>
        </is>
      </c>
      <c r="B310" s="5" t="inlineStr">
        <is>
          <t>hekim-sozcu-usulu</t>
        </is>
      </c>
      <c r="C310" s="6" t="inlineStr">
        <is>
          <t>Koridorda bir hasta ailesi sözcüsünü seçmiş, sırayla bekliyor. Senin usulün; artık hastanenin kuralı.</t>
        </is>
      </c>
    </row>
    <row r="311">
      <c r="A311" s="5" t="inlineStr">
        <is>
          <t>b9-hekim-son-vizit</t>
        </is>
      </c>
      <c r="B311" s="5" t="inlineStr">
        <is>
          <t>klinik-sefi</t>
        </is>
      </c>
      <c r="C311" s="6" t="inlineStr">
        <is>
          <t>Klinik şefliğinden kalan dolabın hâlâ senin adınla. Kimse açmaya cesaret edemiyor; içinde sadece çay var.</t>
        </is>
      </c>
    </row>
    <row r="312">
      <c r="A312" s="5" t="inlineStr">
        <is>
          <t>b7-cete-tahsilat</t>
        </is>
      </c>
      <c r="B312" s="5" t="inlineStr">
        <is>
          <t>abiden-koptu</t>
        </is>
      </c>
      <c r="C312" s="6" t="inlineStr">
        <is>
          <t>Abinin gölgesinden çıkmıştın. Gölge seni hâlâ kâğıtla arıyor.</t>
        </is>
      </c>
    </row>
    <row r="313">
      <c r="A313" s="5" t="inlineStr">
        <is>
          <t>b7-cete-rakip</t>
        </is>
      </c>
      <c r="B313" s="5" t="inlineStr">
        <is>
          <t>mahalle-babasi</t>
        </is>
      </c>
      <c r="C313" s="6" t="inlineStr">
        <is>
          <t>Büyük işten sonra mahallede sözün geçiyor. Karşı kaldırım bunu henüz duymamış.</t>
        </is>
      </c>
    </row>
    <row r="314">
      <c r="A314" s="5" t="inlineStr">
        <is>
          <t>b7-cete-rakip</t>
        </is>
      </c>
      <c r="B314" s="5" t="inlineStr">
        <is>
          <t>tefeci-defteri</t>
        </is>
      </c>
      <c r="C314" s="6" t="inlineStr">
        <is>
          <t>Yeğenin babası da defterinde yazılı. Üçüncü sayfada.</t>
        </is>
      </c>
    </row>
    <row r="315">
      <c r="A315" s="5" t="inlineStr">
        <is>
          <t>b8-cete-hatir-masasi</t>
        </is>
      </c>
      <c r="B315" s="5" t="inlineStr">
        <is>
          <t>mahalle-babasi</t>
        </is>
      </c>
      <c r="C315" s="6" t="inlineStr">
        <is>
          <t>Mahallenin büyüğü oldun; kavgaları sen bitiriyorsun, düğün tarihlerini de artık sen veriyorsun.</t>
        </is>
      </c>
    </row>
    <row r="316">
      <c r="A316" s="5" t="inlineStr">
        <is>
          <t>b8-cete-abinin-emekliligi</t>
        </is>
      </c>
      <c r="B316" s="5" t="inlineStr">
        <is>
          <t>abiye-borclu</t>
        </is>
      </c>
      <c r="C316" s="6" t="inlineStr">
        <is>
          <t>Abiye bir iyilik borcun vardı. Abi bugün onu hatırlatmadı; bu daha kötü.</t>
        </is>
      </c>
    </row>
    <row r="317">
      <c r="A317" s="5" t="inlineStr">
        <is>
          <t>b9-cete-kahvehane</t>
        </is>
      </c>
      <c r="B317" s="5" t="inlineStr">
        <is>
          <t>eski-hukumlu</t>
        </is>
      </c>
      <c r="C317" s="6" t="inlineStr">
        <is>
          <t>Hikâyelerinin bir kısmı koğuşta geçiyor. Gençler en çok onları seviyor.</t>
        </is>
      </c>
    </row>
    <row r="318">
      <c r="A318" s="5" t="inlineStr">
        <is>
          <t>b9-cete-kahvehane</t>
        </is>
      </c>
      <c r="B318" s="5" t="inlineStr">
        <is>
          <t>mahalle-babasi</t>
        </is>
      </c>
      <c r="C318" s="6" t="inlineStr">
        <is>
          <t>Mahalle babalığını bıraktın; mahalle seni bırakmadı.</t>
        </is>
      </c>
    </row>
    <row r="319">
      <c r="A319" s="5" t="inlineStr">
        <is>
          <t>b9-cete-kahvehane</t>
        </is>
      </c>
      <c r="B319" s="5" t="inlineStr">
        <is>
          <t>tefeci-defteri</t>
        </is>
      </c>
      <c r="C319" s="6" t="inlineStr">
        <is>
          <t>Eski defter hâlâ evde. Borçlular artık torunlarını gönderiyor; selam vermeye.</t>
        </is>
      </c>
    </row>
    <row r="320">
      <c r="A320" s="5" t="inlineStr">
        <is>
          <t>b7-dolandirici-ilan</t>
        </is>
      </c>
      <c r="B320" s="5" t="inlineStr">
        <is>
          <t>ilkKelimePara</t>
        </is>
      </c>
      <c r="C320" s="6" t="inlineStr">
        <is>
          <t>İlk kelimen “Para”ydı. Bu ilan o kelimenin devamı.</t>
        </is>
      </c>
    </row>
    <row r="321">
      <c r="A321" s="5" t="inlineStr">
        <is>
          <t>b7-dolandirici-ilan</t>
        </is>
      </c>
      <c r="B321" s="5" t="inlineStr">
        <is>
          <t>kediSuclu</t>
        </is>
      </c>
      <c r="C321" s="6" t="inlineStr">
        <is>
          <t>Vazoyu kediye yıkmıştın. Manzarayı yıkacak bir kedi henüz bulamadın.</t>
        </is>
      </c>
    </row>
    <row r="322">
      <c r="A322" s="5" t="inlineStr">
        <is>
          <t>b7-dolandirici-kurs</t>
        </is>
      </c>
      <c r="B322" s="5" t="inlineStr">
        <is>
          <t>yalanci</t>
        </is>
      </c>
      <c r="C322" s="6" t="inlineStr">
        <is>
          <t>Yaratıcı açıklamalar dosyan kabarık. Bu salon onun ciltli hâli.</t>
        </is>
      </c>
    </row>
    <row r="323">
      <c r="A323" s="5" t="inlineStr">
        <is>
          <t>b7-dolandirici-kulup</t>
        </is>
      </c>
      <c r="B323" s="5" t="inlineStr">
        <is>
          <t>ifsa-oldu</t>
        </is>
      </c>
      <c r="C323" s="6" t="inlineStr">
        <is>
          <t>Sesin bir zamanlar haber sitesindeydi. Üyelerden biri sesini bir yerden hatırlıyor gibi bakıyor.</t>
        </is>
      </c>
    </row>
    <row r="324">
      <c r="A324" s="5" t="inlineStr">
        <is>
          <t>b7-dolandirici-kulup</t>
        </is>
      </c>
      <c r="B324" s="5" t="inlineStr">
        <is>
          <t>kolay-para-gurusu</t>
        </is>
      </c>
      <c r="C324" s="6" t="inlineStr">
        <is>
          <t>Kulübün yarısı akademi mezunu. Hepsi sana “Hocam” diyor; hepsi soru soruyor.</t>
        </is>
      </c>
    </row>
    <row r="325">
      <c r="A325" s="5" t="inlineStr">
        <is>
          <t>b8-dolandirici-kitap</t>
        </is>
      </c>
      <c r="B325" s="5" t="inlineStr">
        <is>
          <t>kolay-para-gurusu</t>
        </is>
      </c>
      <c r="C325" s="6" t="inlineStr">
        <is>
          <t>Bir zamanlar düğün salonunda “kolay para” anlattığın kalabalık, kitabın ilk okurları oldu. Hepsi aynı soruyla sırada: “Yedinci bölümde ne var?”</t>
        </is>
      </c>
    </row>
    <row r="326">
      <c r="A326" s="5" t="inlineStr">
        <is>
          <t>b8-dolandirici-mektup</t>
        </is>
      </c>
      <c r="B326" s="5" t="inlineStr">
        <is>
          <t>vicdan-sesi</t>
        </is>
      </c>
      <c r="C326" s="6" t="inlineStr">
        <is>
          <t>O gün telefonu kapatmıştın. Öğretmen bunu unutmamış.</t>
        </is>
      </c>
    </row>
    <row r="327">
      <c r="A327" s="5" t="inlineStr">
        <is>
          <t>b8-dolandirici-mektup</t>
        </is>
      </c>
      <c r="B327" s="5" t="inlineStr">
        <is>
          <t>paralari-iade</t>
        </is>
      </c>
      <c r="C327" s="6" t="inlineStr">
        <is>
          <t>Bir zamanlar paraları geri ödemiştin. Öğretmen bunu da duymuş.</t>
        </is>
      </c>
    </row>
    <row r="328">
      <c r="A328" s="5" t="inlineStr">
        <is>
          <t>b9-dolandirici-son-numara</t>
        </is>
      </c>
      <c r="B328" s="5" t="inlineStr">
        <is>
          <t>paralari-iade</t>
        </is>
      </c>
      <c r="C328" s="6" t="inlineStr">
        <is>
          <t>Yıllar önce paraları geri ödemiştin. Banktakilerden biri o paralardan birini çerçevede saklıyor.</t>
        </is>
      </c>
    </row>
    <row r="329">
      <c r="A329" s="5" t="inlineStr">
        <is>
          <t>b9-dolandirici-son-numara</t>
        </is>
      </c>
      <c r="B329" s="5" t="inlineStr">
        <is>
          <t>eski-hukumlu</t>
        </is>
      </c>
      <c r="C329" s="6" t="inlineStr">
        <is>
          <t>Emekliler koğuş hikâyeni biliyor; sana “Hocam” değil, “Üstat” diyorlar.</t>
        </is>
      </c>
    </row>
    <row r="330">
      <c r="A330" s="5" t="inlineStr">
        <is>
          <t>b9-dolandirici-son-numara</t>
        </is>
      </c>
      <c r="B330" s="5" t="inlineStr">
        <is>
          <t>kolay-para-gurusu</t>
        </is>
      </c>
      <c r="C330" s="6" t="inlineStr">
        <is>
          <t>Kremi satan, akademinin eski öğrencilerinden. Tanıdın; sen öğretmiştin.</t>
        </is>
      </c>
    </row>
    <row r="331">
      <c r="A331" s="5" t="inlineStr">
        <is>
          <t>k10-cete</t>
        </is>
      </c>
      <c r="B331" s="5" t="inlineStr">
        <is>
          <t>abiye-karsi-sigorta</t>
        </is>
      </c>
      <c r="C331" s="6" t="inlineStr">
        <is>
          <t>Kasadaki fotokopi hâlâ duruyor. Hangi yolu seçersen seç, cebinde bir koz var.</t>
        </is>
      </c>
    </row>
    <row r="332">
      <c r="A332" s="5" t="inlineStr">
        <is>
          <t>k10-cete</t>
        </is>
      </c>
      <c r="B332" s="5" t="inlineStr">
        <is>
          <t>komiser-tanidik</t>
        </is>
      </c>
      <c r="C332" s="6" t="inlineStr">
        <is>
          <t>Cüzdanındaki kartvizit hâlâ orada. Numara değişmemiş.</t>
        </is>
      </c>
    </row>
    <row r="333">
      <c r="A333" s="5" t="inlineStr">
        <is>
          <t>k10-dolandirici</t>
        </is>
      </c>
      <c r="B333" s="5" t="inlineStr">
        <is>
          <t>vicdan-sesi</t>
        </is>
      </c>
      <c r="C333" s="6" t="inlineStr">
        <is>
          <t>Bir telefonu kapatmayı bir kez bildin. Kapılardan biri hâlâ açık.</t>
        </is>
      </c>
    </row>
    <row r="334">
      <c r="A334" s="5" t="inlineStr">
        <is>
          <t>k10-dolandirici</t>
        </is>
      </c>
      <c r="B334" s="5" t="inlineStr">
        <is>
          <t>ifsa-oldu</t>
        </is>
      </c>
      <c r="C334" s="6" t="inlineStr">
        <is>
          <t>Sesin bir haber sitesinde duruyor. Havalimanındaki anonsu okuyan ses de ona benziyor.</t>
        </is>
      </c>
    </row>
    <row r="335">
      <c r="A335" s="5" t="inlineStr">
        <is>
          <t>b7-hapis-gorus-gunu</t>
        </is>
      </c>
      <c r="B335" s="5" t="inlineStr">
        <is>
          <t>evli</t>
        </is>
      </c>
      <c r="C335" s="6" t="inlineStr">
        <is>
          <t>Eşin de gelmiş; kumandanın pilinin nerede olduğunu soruyor. Evde bunu yalnızca sen biliyordun.</t>
        </is>
      </c>
    </row>
    <row r="336">
      <c r="A336" s="5" t="inlineStr">
        <is>
          <t>b7-hapis-gorus-gunu</t>
        </is>
      </c>
      <c r="B336" s="5" t="inlineStr">
        <is>
          <t>cocuklu</t>
        </is>
      </c>
      <c r="C336" s="6" t="inlineStr">
        <is>
          <t>Çocuğun bir resim yapmış: sen, bir çay bardağı ve bir pencere. Pencerede parmaklık yok; çizmeyi unutmuş.</t>
        </is>
      </c>
    </row>
    <row r="337">
      <c r="A337" s="5" t="inlineStr">
        <is>
          <t>b7-hapis-islah-kursu</t>
        </is>
      </c>
      <c r="B337" s="5" t="inlineStr">
        <is>
          <t>kolay-para-gurusu</t>
        </is>
      </c>
      <c r="C337" s="6" t="inlineStr">
        <is>
          <t>Kişisel gelişim hocası senin akademinin eski öğrencisi çıktı. Seni görünce kürsüden indi.</t>
        </is>
      </c>
    </row>
    <row r="338">
      <c r="A338" s="5" t="inlineStr">
        <is>
          <t>b7-cezaevi-kapisi</t>
        </is>
      </c>
      <c r="B338" s="5" t="inlineStr">
        <is>
          <t>islah-sertifikasi</t>
        </is>
      </c>
      <c r="C338" s="6" t="inlineStr">
        <is>
          <t>Islah kursundan bir sertifikan var. Çerçevelemeye değer mi, henüz bilmiyorsun.</t>
        </is>
      </c>
    </row>
    <row r="339">
      <c r="A339" s="5" t="inlineStr">
        <is>
          <t>b7-cezaevi-kapisi</t>
        </is>
      </c>
      <c r="B339" s="5" t="inlineStr">
        <is>
          <t>kogus-dostu</t>
        </is>
      </c>
      <c r="C339" s="6" t="inlineStr">
        <is>
          <t>Koğuştan tavla rakibin kapıya kadar geçirdi: “Dışarıda da oynarız.”</t>
        </is>
      </c>
    </row>
    <row r="340">
      <c r="A340" s="5" t="inlineStr">
        <is>
          <t>b8-hapis-gorus-gunu</t>
        </is>
      </c>
      <c r="B340" s="5" t="inlineStr">
        <is>
          <t>evli</t>
        </is>
      </c>
      <c r="C340" s="6" t="inlineStr">
        <is>
          <t>Eşin yine gelmiş. Kumandanın pili hâlâ bulunamadı; artık bir aile efsanesi.</t>
        </is>
      </c>
    </row>
    <row r="341">
      <c r="A341" s="5" t="inlineStr">
        <is>
          <t>b8-hapis-gorus-gunu</t>
        </is>
      </c>
      <c r="B341" s="5" t="inlineStr">
        <is>
          <t>cocuklu</t>
        </is>
      </c>
      <c r="C341" s="6" t="inlineStr">
        <is>
          <t>Çocuğun büyümüş; artık o sana nasihat ediyor. Dinliyorsun; ahize tek, başka seçenek yok.</t>
        </is>
      </c>
    </row>
    <row r="342">
      <c r="A342" s="5" t="inlineStr">
        <is>
          <t>b8-cezaevi-kapisi</t>
        </is>
      </c>
      <c r="B342" s="5" t="inlineStr">
        <is>
          <t>islah-sertifikasi</t>
        </is>
      </c>
      <c r="C342" s="6" t="inlineStr">
        <is>
          <t>Islah kursunun sertifikası poşetin en üstünde. Kapıdaki gardiyan göz ucuyla baktı: “Çerçevelet, dışarıda işe yarar.”</t>
        </is>
      </c>
    </row>
    <row r="343">
      <c r="A343" s="5" t="inlineStr">
        <is>
          <t>b8-cezaevi-kapisi</t>
        </is>
      </c>
      <c r="B343" s="5" t="inlineStr">
        <is>
          <t>kogus-dostu</t>
        </is>
      </c>
      <c r="C343" s="6" t="inlineStr">
        <is>
          <t>Tavla rakibin pencereden bağırdı: “Pulların biri sende! Rövanş dışarıda.” Poşetteki zar da onun.</t>
        </is>
      </c>
    </row>
    <row r="344">
      <c r="A344" s="5" t="inlineStr">
        <is>
          <t>b9-cezaevi-kapisi</t>
        </is>
      </c>
      <c r="B344" s="5" t="inlineStr">
        <is>
          <t>kogus-dostu</t>
        </is>
      </c>
      <c r="C344" s="6" t="inlineStr">
        <is>
          <t>Koğuştaki tavla rakibin senden önce çıkmış. Kapıda bekliyor; elinde iki çay.</t>
        </is>
      </c>
    </row>
    <row r="345">
      <c r="A345" s="5" t="inlineStr">
        <is>
          <t>b7-sohret-taninma</t>
        </is>
      </c>
      <c r="B345" s="5" t="inlineStr">
        <is>
          <t>sohret-donus</t>
        </is>
      </c>
      <c r="C345" s="6" t="inlineStr">
        <is>
          <t>Skandaldan sonra sessizce geri dönmüştün; teyzeler de dönmüş.</t>
        </is>
      </c>
    </row>
    <row r="346">
      <c r="A346" s="5" t="inlineStr">
        <is>
          <t>b7-sohret-taninma</t>
        </is>
      </c>
      <c r="B346" s="5" t="inlineStr">
        <is>
          <t>sohret-dizi-rolu</t>
        </is>
      </c>
      <c r="C346" s="6" t="inlineStr">
        <is>
          <t>Akşam kuşağındaki ilk rolün hâlâ tekrarlarda oynuyor.</t>
        </is>
      </c>
    </row>
    <row r="347">
      <c r="A347" s="5" t="inlineStr">
        <is>
          <t>b8-sohret-kapak</t>
        </is>
      </c>
      <c r="B347" s="5" t="inlineStr">
        <is>
          <t>sohret-reklam-yuzu</t>
        </is>
      </c>
      <c r="C347" s="6" t="inlineStr">
        <is>
          <t>Deterjan reklamından tanıyanlar kapakta da leke arıyor.</t>
        </is>
      </c>
    </row>
    <row r="348">
      <c r="A348" s="5" t="inlineStr">
        <is>
          <t>b8-sohret-kapak</t>
        </is>
      </c>
      <c r="B348" s="5" t="inlineStr">
        <is>
          <t>evli</t>
        </is>
      </c>
      <c r="C348" s="6" t="inlineStr">
        <is>
          <t>Eşinin tek şartı var: “Beni ‘sürpriz aşk’ diye yazmasınlar.”</t>
        </is>
      </c>
    </row>
    <row r="349">
      <c r="A349" s="5" t="inlineStr">
        <is>
          <t>b8-sohret-kapak</t>
        </is>
      </c>
      <c r="B349" s="5" t="inlineStr">
        <is>
          <t>cocuklu</t>
        </is>
      </c>
      <c r="C349" s="6" t="inlineStr">
        <is>
          <t>Çocuğun okulda göstermek için imzalı bir kapak istedi.</t>
        </is>
      </c>
    </row>
    <row r="350">
      <c r="A350" s="5" t="inlineStr">
        <is>
          <t>b8-sohret-program</t>
        </is>
      </c>
      <c r="B350" s="5" t="inlineStr">
        <is>
          <t>eski-hukumlu</t>
        </is>
      </c>
      <c r="C350" s="6" t="inlineStr">
        <is>
          <t>Hapishane anıların kitap olmuştu; kanal o kitap yüzünden aradı.</t>
        </is>
      </c>
    </row>
    <row r="351">
      <c r="A351" s="5" t="inlineStr">
        <is>
          <t>b8-sohret-program</t>
        </is>
      </c>
      <c r="B351" s="5" t="inlineStr">
        <is>
          <t>sohret-kapak-oldu</t>
        </is>
      </c>
      <c r="C351" s="6" t="inlineStr">
        <is>
          <t>Magazin kapağındaki fotoğrafın programın afişine de kondu.</t>
        </is>
      </c>
    </row>
    <row r="352">
      <c r="A352" s="5" t="inlineStr">
        <is>
          <t>b7-girisim-garaj</t>
        </is>
      </c>
      <c r="B352" s="5" t="inlineStr">
        <is>
          <t>bolum-muhendislik</t>
        </is>
      </c>
      <c r="C352" s="6" t="inlineStr">
        <is>
          <t>Mühendislik diplomanı garajın duvarına astın; nemden kıvrıldı.</t>
        </is>
      </c>
    </row>
    <row r="353">
      <c r="A353" s="5" t="inlineStr">
        <is>
          <t>b7-girisim-garaj</t>
        </is>
      </c>
      <c r="B353" s="5" t="inlineStr">
        <is>
          <t>bolum-isletme</t>
        </is>
      </c>
      <c r="C353" s="6" t="inlineStr">
        <is>
          <t>İşletme bölümünde iş planı dersini pekiyiyle geçmiştin; plan garajı öngörmüyordu.</t>
        </is>
      </c>
    </row>
    <row r="354">
      <c r="A354" s="5" t="inlineStr">
        <is>
          <t>b7-girisim-garaj</t>
        </is>
      </c>
      <c r="B354" s="5" t="inlineStr">
        <is>
          <t>teneffus-tuccari</t>
        </is>
      </c>
      <c r="C354" s="6" t="inlineStr">
        <is>
          <t>Teneffüste de ilk sermayen bir sırt çantasıydı. Şimdi bir garaj; büyüme var.</t>
        </is>
      </c>
    </row>
    <row r="355">
      <c r="A355" s="5" t="inlineStr">
        <is>
          <t>b7-girisim-pivot</t>
        </is>
      </c>
      <c r="B355" s="5" t="inlineStr">
        <is>
          <t>girisim-ilk-musteri</t>
        </is>
      </c>
      <c r="C355" s="6" t="inlineStr">
        <is>
          <t>İlk müşterin kırtasiyeci hâlâ seninle; kalemle ödemeye devam ediyor.</t>
        </is>
      </c>
    </row>
    <row r="356">
      <c r="A356" s="5" t="inlineStr">
        <is>
          <t>b7-girisim-ekosistem</t>
        </is>
      </c>
      <c r="B356" s="5" t="inlineStr">
        <is>
          <t>holding</t>
        </is>
      </c>
      <c r="C356" s="6" t="inlineStr">
        <is>
          <t>Yatırım turunda büyümeyi seçmiştin; şirketin artık bir grup.</t>
        </is>
      </c>
    </row>
    <row r="357">
      <c r="A357" s="5" t="inlineStr">
        <is>
          <t>b7-girisim-ekosistem</t>
        </is>
      </c>
      <c r="B357" s="5" t="inlineStr">
        <is>
          <t>sirketi-satti</t>
        </is>
      </c>
      <c r="C357" s="6" t="inlineStr">
        <is>
          <t>Şirketini satmıştın; kartvizitinde “seri girişimci” yazıyor, seri şimdilik bir.</t>
        </is>
      </c>
    </row>
    <row r="358">
      <c r="A358" s="5" t="inlineStr">
        <is>
          <t>b7-girisim-ekosistem</t>
        </is>
      </c>
      <c r="B358" s="5" t="inlineStr">
        <is>
          <t>borclu</t>
        </is>
      </c>
      <c r="C358" s="6" t="inlineStr">
        <is>
          <t>Ön sırada bankadaki kredi temsilcin oturuyor. Seni görünce el salladı, sonra defterini açtı.</t>
        </is>
      </c>
    </row>
    <row r="359">
      <c r="A359" s="5" t="inlineStr">
        <is>
          <t>b8-girisim-kurul</t>
        </is>
      </c>
      <c r="B359" s="5" t="inlineStr">
        <is>
          <t>girisim-pivotcu</t>
        </is>
      </c>
      <c r="C359" s="6" t="inlineStr">
        <is>
          <t>Yıllar önce şirketi bir gecede yapay zekâ şirketine çevirmiştin; kurul hâlâ her sabah “Bu gece ne olacak?” diye uyanıyor.</t>
        </is>
      </c>
    </row>
    <row r="360">
      <c r="A360" s="5" t="inlineStr">
        <is>
          <t>b8-girisim-kurul</t>
        </is>
      </c>
      <c r="B360" s="5" t="inlineStr">
        <is>
          <t>holding</t>
        </is>
      </c>
      <c r="C360" s="6" t="inlineStr">
        <is>
          <t>Şirketin artık bir holding; kurul toplantısı üç gün sürüyor. İkinci gün öğle yemeğinde kimin nereye oturacağı ayrıca oylanıyor.</t>
        </is>
      </c>
    </row>
    <row r="361">
      <c r="A361" s="5" t="inlineStr">
        <is>
          <t>b8-girisim-kader</t>
        </is>
      </c>
      <c r="B361" s="5" t="inlineStr">
        <is>
          <t>borclu</t>
        </is>
      </c>
      <c r="C361" s="6" t="inlineStr">
        <is>
          <t>Borçların bu bankada senden önce tanınıyor.</t>
        </is>
      </c>
    </row>
    <row r="362">
      <c r="A362" s="5" t="inlineStr">
        <is>
          <t>b9-girisim-nasihat</t>
        </is>
      </c>
      <c r="B362" s="5" t="inlineStr">
        <is>
          <t>sirketi-satti</t>
        </is>
      </c>
      <c r="C362" s="6" t="inlineStr">
        <is>
          <t>Şirketini satalı yıllar oldu; kapıdaki adın hâlâ sökülmüş yerinden belli.</t>
        </is>
      </c>
    </row>
    <row r="363">
      <c r="A363" s="5" t="inlineStr">
        <is>
          <t>b9-girisim-nasihat</t>
        </is>
      </c>
      <c r="B363" s="5" t="inlineStr">
        <is>
          <t>girisim-ilk-musteri</t>
        </is>
      </c>
      <c r="C363" s="6" t="inlineStr">
        <is>
          <t>İlk müşterin kırtasiyeci salonda; kalemle alkışlıyor.</t>
        </is>
      </c>
    </row>
    <row r="364">
      <c r="A364" s="5" t="inlineStr">
        <is>
          <t>b7-politika-cay</t>
        </is>
      </c>
      <c r="B364" s="5" t="inlineStr">
        <is>
          <t>baskan</t>
        </is>
      </c>
      <c r="C364" s="6" t="inlineStr">
        <is>
          <t>Sınıf başkanlığında vaat ettiğin kantin indirimini hâlâ yapamadın; siyaset kaldığı yerden.</t>
        </is>
      </c>
    </row>
    <row r="365">
      <c r="A365" s="5" t="inlineStr">
        <is>
          <t>b7-politika-cay</t>
        </is>
      </c>
      <c r="B365" s="5" t="inlineStr">
        <is>
          <t>okul-temsilcisi</t>
        </is>
      </c>
      <c r="C365" s="6" t="inlineStr">
        <is>
          <t>Okul temsilciliğinden kalma bir alışkanlık: her toplantıda ilk sen el kaldırıyorsun.</t>
        </is>
      </c>
    </row>
    <row r="366">
      <c r="A366" s="5" t="inlineStr">
        <is>
          <t>b7-politika-cay</t>
        </is>
      </c>
      <c r="B366" s="5" t="inlineStr">
        <is>
          <t>polis-surgun</t>
        </is>
      </c>
      <c r="C366" s="6" t="inlineStr">
        <is>
          <t>Emniyetteki sürgün dosyan, parti dosyanda “saha tecrübesi” diye geçiyor.</t>
        </is>
      </c>
    </row>
    <row r="367">
      <c r="A367" s="5" t="inlineStr">
        <is>
          <t>b7-politika-kaldirim</t>
        </is>
      </c>
      <c r="B367" s="5" t="inlineStr">
        <is>
          <t>parti-il-yoneticisi</t>
        </is>
      </c>
      <c r="C367" s="6" t="inlineStr">
        <is>
          <t>Semaver günlerinden kalan il yöneticiliğin adaylıkta işine yarıyor.</t>
        </is>
      </c>
    </row>
    <row r="368">
      <c r="A368" s="5" t="inlineStr">
        <is>
          <t>b7-politika-kaldirim</t>
        </is>
      </c>
      <c r="B368" s="5" t="inlineStr">
        <is>
          <t>komiser-tanidik</t>
        </is>
      </c>
      <c r="C368" s="6" t="inlineStr">
        <is>
          <t>Tanıdık komiser, kaldırımın kırk yıllık hikâyesini senden iyi biliyor.</t>
        </is>
      </c>
    </row>
    <row r="369">
      <c r="A369" s="5" t="inlineStr">
        <is>
          <t>b8-politika-otobus</t>
        </is>
      </c>
      <c r="B369" s="5" t="inlineStr">
        <is>
          <t>eski-hukumlu</t>
        </is>
      </c>
      <c r="C369" s="6" t="inlineStr">
        <is>
          <t>Hapisten çıkıp siyasete girmiştin; afişteki o hafif gülümseme oradan kalma.</t>
        </is>
      </c>
    </row>
    <row r="370">
      <c r="A370" s="5" t="inlineStr">
        <is>
          <t>b8-politika-otobus</t>
        </is>
      </c>
      <c r="B370" s="5" t="inlineStr">
        <is>
          <t>meclis-uyesi</t>
        </is>
      </c>
      <c r="C370" s="6" t="inlineStr">
        <is>
          <t>Meclis üyeliğinden kalan o kaldırım, rotanın ilk durağı.</t>
        </is>
      </c>
    </row>
    <row r="371">
      <c r="A371" s="5" t="inlineStr">
        <is>
          <t>b8-politika-tartisma</t>
        </is>
      </c>
      <c r="B371" s="5" t="inlineStr">
        <is>
          <t>belediye-baskani</t>
        </is>
      </c>
      <c r="C371" s="6" t="inlineStr">
        <is>
          <t>Başkanken yaptırdığın ilk kavşak, bu gecenin ta kendisi.</t>
        </is>
      </c>
    </row>
    <row r="372">
      <c r="A372" s="5" t="inlineStr">
        <is>
          <t>b8-politika-kurdele</t>
        </is>
      </c>
      <c r="B372" s="5" t="inlineStr">
        <is>
          <t>ihaleci</t>
        </is>
      </c>
      <c r="C372" s="6" t="inlineStr">
        <is>
          <t>Çeşmeyi yapan firmayı seçim gecesinden tanıyorsun; biraz fazla iyi.</t>
        </is>
      </c>
    </row>
    <row r="373">
      <c r="A373" s="5" t="inlineStr">
        <is>
          <t>b8-politika-kurdele</t>
        </is>
      </c>
      <c r="B373" s="5" t="inlineStr">
        <is>
          <t>secim-kazandi</t>
        </is>
      </c>
      <c r="C373" s="6" t="inlineStr">
        <is>
          <t>Yakanda Meclis iğnesi var. Kalabalıktan biri bağırdı: “Vekilim, bizim sokağın lambası!” Makas hâlâ elinde.</t>
        </is>
      </c>
    </row>
    <row r="374">
      <c r="A374" s="5" t="inlineStr">
        <is>
          <t>b9-politika-ani</t>
        </is>
      </c>
      <c r="B374" s="5" t="inlineStr">
        <is>
          <t>belediye-baskani</t>
        </is>
      </c>
      <c r="C374" s="6" t="inlineStr">
        <is>
          <t>Belediye başkanlığı dönemin kitabın en kalın bölümü.</t>
        </is>
      </c>
    </row>
    <row r="375">
      <c r="A375" s="5" t="inlineStr">
        <is>
          <t>b9-politika-ani</t>
        </is>
      </c>
      <c r="B375" s="5" t="inlineStr">
        <is>
          <t>tv-tartismaci</t>
        </is>
      </c>
      <c r="C375" s="6" t="inlineStr">
        <is>
          <t>Gece yarısı tartışmalarından kalan bir cümle kitabın arka kapağına kondu.</t>
        </is>
      </c>
    </row>
    <row r="376">
      <c r="A376" s="5" t="inlineStr">
        <is>
          <t>b9-politika-ani</t>
        </is>
      </c>
      <c r="B376" s="5" t="inlineStr">
        <is>
          <t>ihaleci</t>
        </is>
      </c>
      <c r="C376" s="6" t="inlineStr">
        <is>
          <t>Seçim gecesindeki ihale bölümünü yayınevinin avukatı üç kez okudu, sonra çıkardı.</t>
        </is>
      </c>
    </row>
    <row r="377">
      <c r="A377" s="5" t="inlineStr">
        <is>
          <t>b9-politika-kahve</t>
        </is>
      </c>
      <c r="B377" s="5" t="inlineStr">
        <is>
          <t>meclis-uyesi</t>
        </is>
      </c>
      <c r="C377" s="6" t="inlineStr">
        <is>
          <t>Yıllar önce vaat ettiğin kaldırım hâlâ gündemde; artık başkası vaat ediyor.</t>
        </is>
      </c>
    </row>
    <row r="378">
      <c r="A378" s="5" t="inlineStr">
        <is>
          <t>b7-goc-oturma-izni</t>
        </is>
      </c>
      <c r="B378" s="5" t="inlineStr">
        <is>
          <t>hat-hekim</t>
        </is>
      </c>
      <c r="C378" s="6" t="inlineStr">
        <is>
          <t>Diploma denklik dosyan da aynı masada. Memur iki dosyayı tarttı; hekiminki ağır geldi, önce onu aldı.</t>
        </is>
      </c>
    </row>
    <row r="379">
      <c r="A379" s="5" t="inlineStr">
        <is>
          <t>b7-goc-oturma-izni</t>
        </is>
      </c>
      <c r="B379" s="5" t="inlineStr">
        <is>
          <t>yabanci-dil</t>
        </is>
      </c>
      <c r="C379" s="6" t="inlineStr">
        <is>
          <t>Dili iyi konuştuğunu fark eden memur daha hızlı konuşmaya başladı.</t>
        </is>
      </c>
    </row>
    <row r="380">
      <c r="A380" s="5" t="inlineStr">
        <is>
          <t>b7-goc-akrabalar</t>
        </is>
      </c>
      <c r="B380" s="5" t="inlineStr">
        <is>
          <t>hat-hekim</t>
        </is>
      </c>
      <c r="C380" s="6" t="inlineStr">
        <is>
          <t>Sofraya oturur oturmaz teyzen dizini gösterdi. Doktor olduğun için tatil fiilen bitti.</t>
        </is>
      </c>
    </row>
    <row r="381">
      <c r="A381" s="5" t="inlineStr">
        <is>
          <t>b7-goc-bayram-sofrasi</t>
        </is>
      </c>
      <c r="B381" s="5" t="inlineStr">
        <is>
          <t>cocuklu</t>
        </is>
      </c>
      <c r="C381" s="6" t="inlineStr">
        <is>
          <t>Çocuğun dedesine sesli bayram mesajı yolladı; yarısı Öte Diyar dilinde. Baban ekrandan seslendi: “Bunu bir çevir.”</t>
        </is>
      </c>
    </row>
    <row r="382">
      <c r="A382" s="5" t="inlineStr">
        <is>
          <t>b7-goc-bayram-sofrasi</t>
        </is>
      </c>
      <c r="B382" s="5" t="inlineStr">
        <is>
          <t>ote-diyar-vatandasi</t>
        </is>
      </c>
      <c r="C382" s="6" t="inlineStr">
        <is>
          <t>Yeni pasaportun çekmecede. Bayramda ilk kez iki ülkede birden ev sahibisin.</t>
        </is>
      </c>
    </row>
    <row r="383">
      <c r="A383" s="5" t="inlineStr">
        <is>
          <t>k10-goc</t>
        </is>
      </c>
      <c r="B383" s="5" t="inlineStr">
        <is>
          <t>hat-hekim</t>
        </is>
      </c>
      <c r="C383" s="6" t="inlineStr">
        <is>
          <t>Başhekim, vatandaş olursan kadroya alınabileceğini söyledi. Nöbet listende adın zaten kalıcı.</t>
        </is>
      </c>
    </row>
    <row r="384">
      <c r="A384" s="5" t="inlineStr">
        <is>
          <t>k10-goc</t>
        </is>
      </c>
      <c r="B384" s="5" t="inlineStr">
        <is>
          <t>memlekette-ev</t>
        </is>
      </c>
      <c r="C384" s="6" t="inlineStr">
        <is>
          <t>Memleketteki evin anahtarı annende. Annen “Perdeler hazır” diye mesaj attı.</t>
        </is>
      </c>
    </row>
    <row r="385">
      <c r="A385" s="5" t="inlineStr">
        <is>
          <t>b8-goc-dil-okulu</t>
        </is>
      </c>
      <c r="B385" s="5" t="inlineStr">
        <is>
          <t>cocuklu</t>
        </is>
      </c>
      <c r="C385" s="6" t="inlineStr">
        <is>
          <t>Sınıftaki çocuklardan biri senin. Ödevini Öte Diyar dilinde yazıp “Evde çevirtirim” dedi. Çevirecek kişi sensin.</t>
        </is>
      </c>
    </row>
    <row r="386">
      <c r="A386" s="5" t="inlineStr">
        <is>
          <t>b8-goc-donsem-mi</t>
        </is>
      </c>
      <c r="B386" s="5" t="inlineStr">
        <is>
          <t>evli</t>
        </is>
      </c>
      <c r="C386" s="6" t="inlineStr">
        <is>
          <t>Eşin bu soruya artık cevap vermiyor; sadece çayını tazeliyor.</t>
        </is>
      </c>
    </row>
    <row r="387">
      <c r="A387" s="5" t="inlineStr">
        <is>
          <t>b8-goc-donsem-mi</t>
        </is>
      </c>
      <c r="B387" s="5" t="inlineStr">
        <is>
          <t>hat-hekim</t>
        </is>
      </c>
      <c r="C387" s="6" t="inlineStr">
        <is>
          <t>Memleketteki bir hastane seni başhekim yardımcılığına çağırdı. Mektubun altında el yazısıyla bir not var: “Annenizin selamı var.”</t>
        </is>
      </c>
    </row>
    <row r="388">
      <c r="A388" s="5" t="inlineStr">
        <is>
          <t>b9-goc-iki-dilde-emeklilik</t>
        </is>
      </c>
      <c r="B388" s="5" t="inlineStr">
        <is>
          <t>gurbet-ogretmeni</t>
        </is>
      </c>
      <c r="C388" s="6" t="inlineStr">
        <is>
          <t>Hafta sonu okulundaki çocuklardan biri bu kurumda memur. Dosyanı görünce “Hocam!” dedi, memleket dilinde.</t>
        </is>
      </c>
    </row>
    <row r="389">
      <c r="A389" s="5" t="inlineStr">
        <is>
          <t>b9-goc-iki-dilde-emeklilik</t>
        </is>
      </c>
      <c r="B389" s="5" t="inlineStr">
        <is>
          <t>donuse-hazir</t>
        </is>
      </c>
      <c r="C389" s="6" t="inlineStr">
        <is>
          <t>Memleketteki ev boyalı, erik ağacı budanmış. Bekleyen bir tek sensin.</t>
        </is>
      </c>
    </row>
    <row r="390">
      <c r="A390" s="5" t="inlineStr">
        <is>
          <t>b9-goc-iki-dilde-emeklilik</t>
        </is>
      </c>
      <c r="B390" s="5" t="inlineStr">
        <is>
          <t>ote-diyar-vatandasi</t>
        </is>
      </c>
      <c r="C390" s="6" t="inlineStr">
        <is>
          <t>İki pasaportun var; ikisi aynı çekmecede, ikisinin de süresi bitmek üzere.</t>
        </is>
      </c>
    </row>
    <row r="391">
      <c r="A391" s="5" t="inlineStr">
        <is>
          <t>b7-koy-sehirliler</t>
        </is>
      </c>
      <c r="B391" s="5" t="inlineStr">
        <is>
          <t>koy-fenomeni</t>
        </is>
      </c>
      <c r="C391" s="6" t="inlineStr">
        <is>
          <t>Takipçilerin horozu tanıyor. Biri horoza hayran mektubu yazdı; şehirlilerin tabelasından daha kibar.</t>
        </is>
      </c>
    </row>
    <row r="392">
      <c r="A392" s="5" t="inlineStr">
        <is>
          <t>k10-koy</t>
        </is>
      </c>
      <c r="B392" s="5" t="inlineStr">
        <is>
          <t>kahvede-sozu-var</t>
        </is>
      </c>
      <c r="C392" s="6" t="inlineStr">
        <is>
          <t>Barıştırdığın iki üye kahvede senin masana oturuyor. Masan köyün en kalabalık masası.</t>
        </is>
      </c>
    </row>
    <row r="393">
      <c r="A393" s="5" t="inlineStr">
        <is>
          <t>k10-koy</t>
        </is>
      </c>
      <c r="B393" s="5" t="inlineStr">
        <is>
          <t>kooperatif-defteri</t>
        </is>
      </c>
      <c r="C393" s="6" t="inlineStr">
        <is>
          <t>Kooperatifin defteri hâlâ sende. Kimin ne kadar süt verdiğini köyde en iyi sen biliyorsun.</t>
        </is>
      </c>
    </row>
    <row r="394">
      <c r="A394" s="5" t="inlineStr">
        <is>
          <t>b8-koy-muhtarlik-secimi</t>
        </is>
      </c>
      <c r="B394" s="5" t="inlineStr">
        <is>
          <t>muhtar</t>
        </is>
      </c>
      <c r="C394" s="6" t="inlineStr">
        <is>
          <t>Yıllardır muhtarsın. Mührün kenarı aşındı; köy bunu bir icraat sayıyor.</t>
        </is>
      </c>
    </row>
    <row r="395">
      <c r="A395" s="5" t="inlineStr">
        <is>
          <t>b8-koy-muhtarlik-secimi</t>
        </is>
      </c>
      <c r="B395" s="5" t="inlineStr">
        <is>
          <t>kahvede-sozu-var</t>
        </is>
      </c>
      <c r="C395" s="6" t="inlineStr">
        <is>
          <t>Barıştırdığın iki üye seçim masanın başında; biri çay taşıyor, öbürü oy sayıyor.</t>
        </is>
      </c>
    </row>
    <row r="396">
      <c r="A396" s="5" t="inlineStr">
        <is>
          <t>b8-koy-unlu-koylu</t>
        </is>
      </c>
      <c r="B396" s="5" t="inlineStr">
        <is>
          <t>koy-fenomeni</t>
        </is>
      </c>
      <c r="C396" s="6" t="inlineStr">
        <is>
          <t>Yönetmen seni görür görmez bağırdı: “Keçi videolarındaki!” Ekip önce seninle fotoğraf çektirdi.</t>
        </is>
      </c>
    </row>
    <row r="397">
      <c r="A397" s="5" t="inlineStr">
        <is>
          <t>b8-koy-unlu-koylu</t>
        </is>
      </c>
      <c r="B397" s="5" t="inlineStr">
        <is>
          <t>keci-dostu</t>
        </is>
      </c>
      <c r="C397" s="6" t="inlineStr">
        <is>
          <t>Lider keçi kameranın önüne senden önce yürüdü. Kurdelesini de kendisi seçmiş gibi duruyor.</t>
        </is>
      </c>
    </row>
    <row r="398">
      <c r="A398" s="5" t="inlineStr">
        <is>
          <t>b9-koy-cinarin-alti</t>
        </is>
      </c>
      <c r="B398" s="5" t="inlineStr">
        <is>
          <t>muhtar</t>
        </is>
      </c>
      <c r="C398" s="6" t="inlineStr">
        <is>
          <t>Eski mühür vitrinde duruyor. Yeni muhtar her kararından önce sana uğruyor; bazen de sonra.</t>
        </is>
      </c>
    </row>
    <row r="399">
      <c r="A399" s="5" t="inlineStr">
        <is>
          <t>b9-koy-cinarin-alti</t>
        </is>
      </c>
      <c r="B399" s="5" t="inlineStr">
        <is>
          <t>unlu-koylu</t>
        </is>
      </c>
      <c r="C399" s="6" t="inlineStr">
        <is>
          <t>Belgesel her yıl tekrar yayınlanıyor. Her yayından sonra bir otobüs şehirli çınarın altında seninle fotoğraf çektiriyor.</t>
        </is>
      </c>
    </row>
    <row r="400">
      <c r="A400" s="5" t="inlineStr">
        <is>
          <t>b7-usta-ilk-cirak</t>
        </is>
      </c>
      <c r="B400" s="5" t="inlineStr">
        <is>
          <t>esnaf-cirak</t>
        </is>
      </c>
      <c r="C400" s="6" t="inlineStr">
        <is>
          <t>Dükkânda bir çırak yetiştirmiştin; sana telefonun yazı boyutunu büyütmeyi o öğretmişti. Bu çırak gelir gelmez küçülttü.</t>
        </is>
      </c>
    </row>
    <row r="401">
      <c r="A401" s="5" t="inlineStr">
        <is>
          <t>b7-usta-ilk-cirak</t>
        </is>
      </c>
      <c r="B401" s="5" t="inlineStr">
        <is>
          <t>usta-eli</t>
        </is>
      </c>
      <c r="C401" s="6" t="inlineStr">
        <is>
          <t>Sen de çıraktın. Ustanın ilk sözü “Önce süpür” olmuştu. Köşede aynı süpürgeyi buldun; sapı hâlâ senin elinin şeklinde.</t>
        </is>
      </c>
    </row>
    <row r="402">
      <c r="A402" s="5" t="inlineStr">
        <is>
          <t>b7-usta-karsi-dukkan</t>
        </is>
      </c>
      <c r="B402" s="5" t="inlineStr">
        <is>
          <t>usta-eli</t>
        </is>
      </c>
      <c r="C402" s="6" t="inlineStr">
        <is>
          <t>Ellerin cihazdan önce tanınıyor. Sanayide “Onun eli değsin” diyenler var.</t>
        </is>
      </c>
    </row>
    <row r="403">
      <c r="A403" s="5" t="inlineStr">
        <is>
          <t>b7-usta-sanayi-hakemi</t>
        </is>
      </c>
      <c r="B403" s="5" t="inlineStr">
        <is>
          <t>usta-buyudu</t>
        </is>
      </c>
      <c r="C403" s="6" t="inlineStr">
        <is>
          <t>Yeni sitedeki büyük dükkânın ikisinin de gözünde. Sözün artık metrekareyle ölçülüyor.</t>
        </is>
      </c>
    </row>
    <row r="404">
      <c r="A404" s="5" t="inlineStr">
        <is>
          <t>b7-usta-sanayi-hakemi</t>
        </is>
      </c>
      <c r="B404" s="5" t="inlineStr">
        <is>
          <t>usta-ciragi-var</t>
        </is>
      </c>
      <c r="C404" s="6" t="inlineStr">
        <is>
          <t>Çırağın ikisinin yanında da çalışmıştı. İkisinin de sırrını biliyor; sana söylemiyor.</t>
        </is>
      </c>
    </row>
    <row r="405">
      <c r="A405" s="5" t="inlineStr">
        <is>
          <t>k10-usta</t>
        </is>
      </c>
      <c r="B405" s="5" t="inlineStr">
        <is>
          <t>usta-ciragi-var</t>
        </is>
      </c>
      <c r="C405" s="6" t="inlineStr">
        <is>
          <t>Çırağın da kolileri topluyor. Hangi dükkâna gideceğini sana soruyor; sen de kendine.</t>
        </is>
      </c>
    </row>
    <row r="406">
      <c r="A406" s="5" t="inlineStr">
        <is>
          <t>k10-usta</t>
        </is>
      </c>
      <c r="B406" s="5" t="inlineStr">
        <is>
          <t>usta-eli</t>
        </is>
      </c>
      <c r="C406" s="6" t="inlineStr">
        <is>
          <t>Fabrikanın müdürü seni eski bir müşterisinden duymuş: “Eli değince araba susuyormuş.”</t>
        </is>
      </c>
    </row>
    <row r="407">
      <c r="A407" s="5" t="inlineStr">
        <is>
          <t>b8-usta-sessiz-motor</t>
        </is>
      </c>
      <c r="B407" s="5" t="inlineStr">
        <is>
          <t>usta-buyudu</t>
        </is>
      </c>
      <c r="C407" s="6" t="inlineStr">
        <is>
          <t>Yeni sitedeki dükkânın iki katlı, üç liftli. Ama bu arabanın hiçbir yerine anahtar uymuyor; tornavida takımın ilk kez çekmecede bekliyor.</t>
        </is>
      </c>
    </row>
    <row r="408">
      <c r="A408" s="5" t="inlineStr">
        <is>
          <t>b8-usta-ustalarin-ustasi</t>
        </is>
      </c>
      <c r="B408" s="5" t="inlineStr">
        <is>
          <t>usta-ciragi-var</t>
        </is>
      </c>
      <c r="C408" s="6" t="inlineStr">
        <is>
          <t>Bu, ilk çırağın. O zaman telefon elinden düşmüyordu; şimdi onun da bir çırağı var, telefonu elinden düşmüyor.</t>
        </is>
      </c>
    </row>
    <row r="409">
      <c r="A409" s="5" t="inlineStr">
        <is>
          <t>b8-usta-ustalarin-ustasi</t>
        </is>
      </c>
      <c r="B409" s="5" t="inlineStr">
        <is>
          <t>sanayi-hakemi</t>
        </is>
      </c>
      <c r="C409" s="6" t="inlineStr">
        <is>
          <t>Açılışa sitenin bütün ustaları geldi; park yerini kimse tartışmadı. Senin sayende.</t>
        </is>
      </c>
    </row>
    <row r="410">
      <c r="A410" s="5" t="inlineStr">
        <is>
          <t>b9-usta-son-kepenk</t>
        </is>
      </c>
      <c r="B410" s="5" t="inlineStr">
        <is>
          <t>ustalarin-ustasi</t>
        </is>
      </c>
      <c r="C410" s="6" t="inlineStr">
        <is>
          <t>Sanayideki ustaların yarısı senin elinden geçti. Arayanların bir kısmı müşteri değil; eski çırakların.</t>
        </is>
      </c>
    </row>
    <row r="411">
      <c r="A411" s="5" t="inlineStr">
        <is>
          <t>b9-usta-son-kepenk</t>
        </is>
      </c>
      <c r="B411" s="5" t="inlineStr">
        <is>
          <t>yeni-motor-ustasi</t>
        </is>
      </c>
      <c r="C411" s="6" t="inlineStr">
        <is>
          <t>Sessiz arabaların sesini de biliyorsun. Telefondaki en zor teşhisler onlar.</t>
        </is>
      </c>
    </row>
    <row r="412">
      <c r="A412" s="5" t="inlineStr">
        <is>
          <t>b7-erken-tahliye</t>
        </is>
      </c>
      <c r="B412" s="5" t="inlineStr">
        <is>
          <t>islah-sertifikasi</t>
        </is>
      </c>
      <c r="C412" s="6" t="inlineStr">
        <is>
          <t>Islah kursundan bir sertifikan var. Çerçevelemeye değer mi, henüz bilmiyorsun.</t>
        </is>
      </c>
    </row>
    <row r="413">
      <c r="A413" s="5" t="inlineStr">
        <is>
          <t>b7-erken-tahliye</t>
        </is>
      </c>
      <c r="B413" s="5" t="inlineStr">
        <is>
          <t>kogus-dostu</t>
        </is>
      </c>
      <c r="C413" s="6" t="inlineStr">
        <is>
          <t>Koğuştan tavla rakibin kapıya kadar geçirdi: “Dışarıda da oynarız.”</t>
        </is>
      </c>
    </row>
    <row r="414">
      <c r="A414" s="5" t="inlineStr">
        <is>
          <t>b8-erken-tahliye</t>
        </is>
      </c>
      <c r="B414" s="5" t="inlineStr">
        <is>
          <t>islah-sertifikasi</t>
        </is>
      </c>
      <c r="C414" s="6" t="inlineStr">
        <is>
          <t>Islah kursunun sertifikası poşetin en üstünde. Yıllar içinde biraz sararmış.</t>
        </is>
      </c>
    </row>
    <row r="415">
      <c r="A415" s="5" t="inlineStr">
        <is>
          <t>b8-erken-tahliye</t>
        </is>
      </c>
      <c r="B415" s="5" t="inlineStr">
        <is>
          <t>kogus-dostu</t>
        </is>
      </c>
      <c r="C415" s="6" t="inlineStr">
        <is>
          <t>Tavla rakibin kapıda seni uğurladı, koğuşun tavlasını eline tutuşturdu: “Nuriye'ye iyi bak.” Nuriye, tavlanın adı.</t>
        </is>
      </c>
    </row>
    <row r="416">
      <c r="A416" s="5" t="inlineStr">
        <is>
          <t>b7-okulun-ilk-gunu</t>
        </is>
      </c>
      <c r="B416" s="5" t="inlineStr">
        <is>
          <t>yapiskan</t>
        </is>
      </c>
      <c r="C416" s="6" t="inlineStr">
        <is>
          <t>Kapıda bir çocuk annesinin bacağına sarılmış. Otuz beş yıl önce o bacak senin annenindi.</t>
        </is>
      </c>
    </row>
    <row r="417">
      <c r="A417" s="5" t="inlineStr">
        <is>
          <t>b8-taki-sirasi</t>
        </is>
      </c>
      <c r="B417" s="5" t="inlineStr">
        <is>
          <t>evli</t>
        </is>
      </c>
      <c r="C417" s="6" t="inlineStr">
        <is>
          <t>Senin düğününde bu kuzen ne takmıştı? Eşin “Çeyrek” diyor, annen “Bilezik”. İkisi de emin.</t>
        </is>
      </c>
    </row>
    <row r="418">
      <c r="A418" s="5" t="inlineStr">
        <is>
          <t>b8-babanin-evi</t>
        </is>
      </c>
      <c r="B418" s="5" t="inlineStr">
        <is>
          <t>cocuklu</t>
        </is>
      </c>
      <c r="C418" s="6" t="inlineStr">
        <is>
          <t>Çocuğun dedesinin saatini koluna taktı. Kayış bol geldi; çıkarmadı.</t>
        </is>
      </c>
    </row>
    <row r="419">
      <c r="A419" s="5" t="inlineStr">
        <is>
          <t>b9-dunurler</t>
        </is>
      </c>
      <c r="B419" s="5" t="inlineStr">
        <is>
          <t>ask-evliligi</t>
        </is>
      </c>
      <c r="C419" s="6" t="inlineStr">
        <is>
          <t>Otuz yıl önce bu koltuklardan birinde sen oturuyordun, elinde tuzlu bir kahve. Şimdi kahveler gelirken gözün mutfakta: bu kez tuz kimin fincanına?</t>
        </is>
      </c>
    </row>
    <row r="420">
      <c r="A420" s="5" t="inlineStr">
        <is>
          <t>b9-dunurler</t>
        </is>
      </c>
      <c r="B420" s="5" t="inlineStr">
        <is>
          <t>gorucu</t>
        </is>
      </c>
      <c r="C420" s="6" t="inlineStr">
        <is>
          <t>Seninki bir yıl sürmüştü, ilk kahveden söze kadar. Bu gençlerin bir akşamı var; bir de senin sabrın.</t>
        </is>
      </c>
    </row>
    <row r="421">
      <c r="A421" s="5" t="inlineStr">
        <is>
          <t>b10-tek-fincan</t>
        </is>
      </c>
      <c r="B421" s="5" t="inlineStr">
        <is>
          <t>ask-evliligi</t>
        </is>
      </c>
      <c r="C421" s="6" t="inlineStr">
        <is>
          <t>Elli yıl önce sana tuzlu bir kahve getirmişti. Bu sabah kahveni kendin tuzladın; içemedin.</t>
        </is>
      </c>
    </row>
    <row r="422">
      <c r="A422" t="inlineStr">
        <is>
          <t>b5-tercih-listesi</t>
        </is>
      </c>
      <c r="B422" t="inlineStr">
        <is>
          <t>sinav-iyi</t>
        </is>
      </c>
      <c r="C422" t="inlineStr">
        <is>
          <t>Sınavda derece yaptın; tercih listesinde hiçbir satır sana kapalı değil.</t>
        </is>
      </c>
    </row>
    <row r="423">
      <c r="A423" t="inlineStr">
        <is>
          <t>b5-tercih-listesi</t>
        </is>
      </c>
      <c r="B423" t="inlineStr">
        <is>
          <t>sinav-orta</t>
        </is>
      </c>
      <c r="C423" t="inlineStr">
        <is>
          <t>Sınavı geçtin ama puanın ortalarda; listedeki bazı satırlar bu puanla açılmıyor.</t>
        </is>
      </c>
    </row>
    <row r="424">
      <c r="A424" t="inlineStr">
        <is>
          <t>b6-ikinci-tercih</t>
        </is>
      </c>
      <c r="B424" t="inlineStr">
        <is>
          <t>sinav-iyi</t>
        </is>
      </c>
      <c r="C424" t="inlineStr">
        <is>
          <t>Bu sefer derece yaptın; liste baştan sona açık.</t>
        </is>
      </c>
    </row>
    <row r="425">
      <c r="A425" t="inlineStr">
        <is>
          <t>b6-ikinci-tercih</t>
        </is>
      </c>
      <c r="B425" t="inlineStr">
        <is>
          <t>sinav-orta</t>
        </is>
      </c>
      <c r="C425" t="inlineStr">
        <is>
          <t>Bu sefer geçtin ama puanın ortalarda; listedeki bazı satırlar bu puanla açılmıyor.</t>
        </is>
      </c>
    </row>
  </sheetData>
  <autoFilter ref="A1:C4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Selamı Var</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Gözüne Uyku Girmez</t>
        </is>
      </c>
      <c r="B15" s="6" t="inlineStr">
        <is>
          <t>Üç saat uykuyla bütün gün ayaktasın.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Sesin yükselince kapılar açılır; bunu doğumhanede öğrendin.</t>
        </is>
      </c>
      <c r="C32" s="5" t="inlineStr">
        <is>
          <t>Çene +2</t>
        </is>
      </c>
      <c r="D32" s="5" t="inlineStr"/>
    </row>
    <row r="33">
      <c r="A33" s="5" t="inlineStr">
        <is>
          <t>Kumbara Çocuğu</t>
        </is>
      </c>
      <c r="B33" s="6" t="inlineStr">
        <is>
          <t>Bozukluğun sesini odanın öbür ucundan tanırsın.</t>
        </is>
      </c>
      <c r="C33" s="5" t="inlineStr">
        <is>
          <t>Kurnazlık +2</t>
        </is>
      </c>
      <c r="D33" s="5" t="inlineStr"/>
    </row>
    <row r="34">
      <c r="A34" s="5" t="inlineStr">
        <is>
          <t>Şifreyi Bilen</t>
        </is>
      </c>
      <c r="B34" s="6" t="inlineStr">
        <is>
          <t>Telefon nerede, şifre ne, sen bilirsin. Annen bilmez.</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Kantin daha açılmadan ticarete başladın.</t>
        </is>
      </c>
      <c r="C36" s="5" t="inlineStr">
        <is>
          <t>Çene +1, Kurnazlık +1</t>
        </is>
      </c>
      <c r="D36" s="5" t="inlineStr"/>
    </row>
    <row r="37">
      <c r="A37" s="5" t="inlineStr">
        <is>
          <t>Sahne Sever</t>
        </is>
      </c>
      <c r="B37" s="6" t="inlineStr">
        <is>
          <t>Bayramda şiir okuyacak çocuk hep sendin. Kimse sormamıştı.</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Kuralı Koyan</t>
        </is>
      </c>
      <c r="B40" s="6" t="inlineStr">
        <is>
          <t>Oyuna katılmazsın; oyunun kurallarını sen koyarsın.</t>
        </is>
      </c>
      <c r="C40" s="5" t="inlineStr">
        <is>
          <t>Çene +1, Sosyal Radar +1</t>
        </is>
      </c>
      <c r="D40" s="5" t="inlineStr"/>
    </row>
    <row r="41">
      <c r="A41" s="5" t="inlineStr">
        <is>
          <t>Sofra Müteahhidi</t>
        </is>
      </c>
      <c r="B41" s="6" t="inlineStr">
        <is>
          <t>Sofrayı kurarsın, ücretini bulaşıkta konuşursun.</t>
        </is>
      </c>
      <c r="C41" s="5" t="inlineStr">
        <is>
          <t>Kurnazlık +1, Akıl +1</t>
        </is>
      </c>
      <c r="D41" s="5" t="inlineStr"/>
    </row>
    <row r="42">
      <c r="A42" s="5" t="inlineStr">
        <is>
          <t>Teneffüs Başkanı</t>
        </is>
      </c>
      <c r="B42" s="6" t="inlineStr">
        <is>
          <t>Kalabalığı arkana alırsın; kantin sırasında bile.</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Çekirdek Baronu</t>
        </is>
      </c>
      <c r="B44" s="6" t="inlineStr">
        <is>
          <t>Küçük sermayeyle, külah külah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Ukala Ama Haklı</t>
        </is>
      </c>
      <c r="B46" s="6" t="inlineStr">
        <is>
          <t>Sorunu parçalarına ayırırsın; parçaları da herkese tek tek anlatırsın.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2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60" customWidth="1" min="2" max="2"/>
    <col width="70" customWidth="1" min="3" max="3"/>
    <col width="60" customWidth="1" min="4" max="4"/>
  </cols>
  <sheetData>
    <row r="1" ht="32" customHeight="1">
      <c r="A1" s="4" t="inlineStr">
        <is>
          <t>Hafıza</t>
        </is>
      </c>
      <c r="B1" s="4" t="inlineStr">
        <is>
          <t>Final kartı etiketi</t>
        </is>
      </c>
      <c r="C1" s="4" t="inlineStr">
        <is>
          <t>Sonraki bölümde</t>
        </is>
      </c>
      <c r="D1" s="4" t="inlineStr">
        <is>
          <t>Bölüm sonu cümlesi</t>
        </is>
      </c>
    </row>
    <row r="2">
      <c r="A2" s="5" t="inlineStr">
        <is>
          <t>kediSuclu</t>
        </is>
      </c>
      <c r="B2" s="6" t="inlineStr">
        <is>
          <t>Vazo davasında kediyi suçladı.</t>
        </is>
      </c>
      <c r="C2" s="6" t="inlineStr"/>
      <c r="D2" s="6" t="inlineStr">
        <is>
          <t>“İki yaşında kediyi mahkûm ettirdi.”</t>
        </is>
      </c>
    </row>
    <row r="3">
      <c r="A3" s="5" t="inlineStr">
        <is>
          <t>ilkKelimePara</t>
        </is>
      </c>
      <c r="B3" s="6" t="inlineStr">
        <is>
          <t>İlk kelimesi 'Para' oldu.</t>
        </is>
      </c>
      <c r="C3" s="6" t="inlineStr"/>
      <c r="D3" s="6" t="inlineStr">
        <is>
          <t>“İlk kelimesi ‘para’ oldu; deden cüzdanını o gün çıkardı.”</t>
        </is>
      </c>
    </row>
    <row r="4">
      <c r="A4" s="5" t="inlineStr">
        <is>
          <t>yalanci</t>
        </is>
      </c>
      <c r="B4" s="6" t="inlineStr">
        <is>
          <t>Küçükken “Kim yaptı?” sorusuna yalan söyledi.</t>
        </is>
      </c>
      <c r="C4" s="6" t="inlineStr"/>
      <c r="D4" s="6" t="inlineStr">
        <is>
          <t>“Ne kırılsa, ne eksilse ‘Ben değilim’ derdi; dudağının kenarında çikolata olsa bile.”</t>
        </is>
      </c>
    </row>
    <row r="5">
      <c r="A5" s="5" t="inlineStr">
        <is>
          <t>sirVerdi</t>
        </is>
      </c>
      <c r="B5" s="6" t="inlineStr">
        <is>
          <t>Kreşte bir arkadaşının sırrını yaydı.</t>
        </is>
      </c>
      <c r="C5" s="6" t="inlineStr"/>
      <c r="D5" s="6" t="inlineStr">
        <is>
          <t>“Arkadaşının dedesinin dişleri bardakta uyuyormuş; akşama bütün kreş biliyordu.”</t>
        </is>
      </c>
    </row>
    <row r="6">
      <c r="A6" s="5" t="inlineStr">
        <is>
          <t>cesurPark</t>
        </is>
      </c>
      <c r="B6" s="6" t="inlineStr">
        <is>
          <t>Parktaki büyük çocuğa kafa tuttu.</t>
        </is>
      </c>
      <c r="C6" s="6" t="inlineStr"/>
      <c r="D6" s="6" t="inlineStr">
        <is>
          <t>“Üç buçuk yaşında parktaki koca çocuğa ‘Burası herkesin!’ dedi; titreyerek ama dedi.”</t>
        </is>
      </c>
    </row>
    <row r="7">
      <c r="A7" s="5" t="inlineStr">
        <is>
          <t>yapiskan</t>
        </is>
      </c>
      <c r="B7" s="6" t="inlineStr">
        <is>
          <t>Kreş kapısında bacağa sarıldı.</t>
        </is>
      </c>
      <c r="C7" s="6" t="inlineStr"/>
      <c r="D7" s="6" t="inlineStr">
        <is>
          <t>“Kreş kapısında bacak bırakmadı; bizde de öyleydi.”</t>
        </is>
      </c>
    </row>
    <row r="8">
      <c r="A8" s="5" t="inlineStr">
        <is>
          <t>baskan</t>
        </is>
      </c>
      <c r="B8" s="6" t="inlineStr">
        <is>
          <t>Sınıf başkanı seçildi.</t>
        </is>
      </c>
      <c r="C8" s="6" t="inlineStr"/>
      <c r="D8" s="6" t="inlineStr">
        <is>
          <t>“Sınıf başkanı oldu; evde de seçim yaptırdı.”</t>
        </is>
      </c>
    </row>
    <row r="9">
      <c r="A9" s="5" t="inlineStr">
        <is>
          <t>kediGeldi</t>
        </is>
      </c>
      <c r="B9" s="6" t="inlineStr">
        <is>
          <t>Eve bir de yavru kedi getirtti.</t>
        </is>
      </c>
      <c r="C9" s="6" t="inlineStr"/>
      <c r="D9" s="6" t="inlineStr">
        <is>
          <t>“Bir kedi yetmedi, yavrusunu da getirtti; ikisine de ben bakıyorum.”</t>
        </is>
      </c>
    </row>
    <row r="10">
      <c r="A10" s="5" t="inlineStr">
        <is>
          <t>camKirildi</t>
        </is>
      </c>
      <c r="B10" s="6" t="inlineStr">
        <is>
          <t>Komşunun camıyla tanıştı.</t>
        </is>
      </c>
      <c r="C10" s="6" t="inlineStr"/>
      <c r="D10" s="6" t="inlineStr">
        <is>
          <t>“Komşunun camını kırdı; cam değişti, komşu değişmedi.”</t>
        </is>
      </c>
    </row>
    <row r="11">
      <c r="A11" s="5" t="inlineStr">
        <is>
          <t>tepsiTekeli</t>
        </is>
      </c>
      <c r="B11" s="6" t="inlineStr">
        <is>
          <t>Bir kış boyunca mahallenin bütün kayak tepsileri onun balkonunda toplandı.</t>
        </is>
      </c>
      <c r="C11" s="6" t="inlineStr"/>
      <c r="D11" s="6" t="inlineStr">
        <is>
          <t>“Bir kış mahallenin bütün tepsileri onun balkonundaydı; annesi çayı tabakla taşıdı.”</t>
        </is>
      </c>
    </row>
    <row r="12">
      <c r="A12" s="5" t="inlineStr">
        <is>
          <t>alcili-kol</t>
        </is>
      </c>
      <c r="B12" s="6" t="inlineStr">
        <is>
          <t>Çocukluğunda bir kolu alçıda geçti.</t>
        </is>
      </c>
      <c r="C12" s="6" t="inlineStr"/>
      <c r="D12" s="6" t="inlineStr">
        <is>
          <t>“Kolu alçıya girdi; alçıyı bütün mahalle imzaladı, ben de.”</t>
        </is>
      </c>
    </row>
    <row r="13">
      <c r="A13" s="5" t="inlineStr">
        <is>
          <t>vasiyet-yazildi</t>
        </is>
      </c>
      <c r="B13" s="6" t="inlineStr">
        <is>
          <t>Vasiyetini noterde, iki şahit önünde imzaladı.</t>
        </is>
      </c>
      <c r="C13" s="6" t="inlineStr"/>
      <c r="D13" s="6" t="inlineStr">
        <is>
          <t>“Vasiyeti noterde, üç nüsha; kimin neyi alacağı belli, kimin kime küseceği değil.”</t>
        </is>
      </c>
    </row>
    <row r="14">
      <c r="A14" s="5" t="inlineStr">
        <is>
          <t>manzarali-parsel</t>
        </is>
      </c>
      <c r="B14" s="6" t="inlineStr">
        <is>
          <t>Mezarlıkta manzaralı parseli erkenden kapattı.</t>
        </is>
      </c>
      <c r="C14" s="6" t="inlineStr"/>
      <c r="D14" s="6" t="inlineStr">
        <is>
          <t>“Yerini manzaralı taraftan seçti; ziyarete gelen önce manzaraya bakıyor, sonra ona.”</t>
        </is>
      </c>
    </row>
    <row r="15">
      <c r="A15" s="5" t="inlineStr">
        <is>
          <t>ani-defteri</t>
        </is>
      </c>
      <c r="B15" s="6" t="inlineStr">
        <is>
          <t>Anı defterini bitirdi. Bazı bölümler hâlâ tartışmalı.</t>
        </is>
      </c>
      <c r="C15" s="6" t="inlineStr"/>
      <c r="D15" s="6" t="inlineStr">
        <is>
          <t>“Anılarını yazdı; yarısı doğru, yarısı daha güzel.”</t>
        </is>
      </c>
    </row>
    <row r="16">
      <c r="A16" s="5" t="inlineStr">
        <is>
          <t>huzurevi-sakini</t>
        </is>
      </c>
      <c r="B16" s="6" t="inlineStr">
        <is>
          <t>Huzurevine yerleşti; günleri okey masasıyla çay saati arasında geçiyor.</t>
        </is>
      </c>
      <c r="C16" s="6" t="inlineStr"/>
      <c r="D16" s="6" t="inlineStr">
        <is>
          <t>“Huzurevine kendi ayağıyla gitti; üç günde herkesin hikâyesini öğrendi.”</t>
        </is>
      </c>
    </row>
    <row r="17">
      <c r="A17" s="5" t="inlineStr">
        <is>
          <t>kitaplasti</t>
        </is>
      </c>
      <c r="B17" s="6" t="inlineStr">
        <is>
          <t>Hayat hikâyesi bir torun ve bir yapay zekâ tarafından kitaplaştırıldı.</t>
        </is>
      </c>
      <c r="C17" s="6" t="inlineStr"/>
      <c r="D17" s="6" t="inlineStr">
        <is>
          <t>“Hayatı kitap oldu; bayramda bütün akrabaya birer tane dağıttık.”</t>
        </is>
      </c>
    </row>
    <row r="18">
      <c r="A18" s="5" t="inlineStr">
        <is>
          <t>iyi-lise</t>
        </is>
      </c>
      <c r="B18" s="6" t="inlineStr">
        <is>
          <t>Lise sınavından iyi bir liseye yerleşti.</t>
        </is>
      </c>
      <c r="C18" s="6" t="inlineStr">
        <is>
          <t>İyi bir lisede dört yıl: yüksek beklentiler, erken başlayan dershane ve Büyük Sınav'da bir adım önde başlamak.</t>
        </is>
      </c>
      <c r="D18" s="6" t="inlineStr">
        <is>
          <t>“Sınavı kazandı; mahallede üç gün baklava dağıttık.”</t>
        </is>
      </c>
    </row>
    <row r="19">
      <c r="A19" s="5" t="inlineStr">
        <is>
          <t>lakapli</t>
        </is>
      </c>
      <c r="B19" s="6" t="inlineStr">
        <is>
          <t>Ortaokulda takılan lakap, lise mezuniyetine kadar görevde kaldı.</t>
        </is>
      </c>
      <c r="C19" s="6" t="inlineStr"/>
      <c r="D19" s="6" t="inlineStr">
        <is>
          <t>“Ortaokulda taktıkları ad liseye kadar gitti.”</t>
        </is>
      </c>
    </row>
    <row r="20">
      <c r="A20" s="5" t="inlineStr">
        <is>
          <t>sokak-yasagi</t>
        </is>
      </c>
      <c r="B20" s="6" t="inlineStr">
        <is>
          <t>Mahallede bir sokaktan bir daha hiç geçemedi; okul yolu ömür boyu dört dakika uzun kaldı.</t>
        </is>
      </c>
      <c r="C20" s="6" t="inlineStr"/>
      <c r="D20" s="6" t="inlineStr">
        <is>
          <t>“O sokaktan bir daha geçmedi; okul yolu dört dakika uzadı, hâlâ da nedenini anlatmaz.”</t>
        </is>
      </c>
    </row>
    <row r="21">
      <c r="A21" s="5" t="inlineStr">
        <is>
          <t>ilk-mesaj</t>
        </is>
      </c>
      <c r="B21" s="6" t="inlineStr">
        <is>
          <t>İlk hoşlantısına ilk mesajı gönderdi. 'Selam.'</t>
        </is>
      </c>
      <c r="C21" s="6" t="inlineStr"/>
      <c r="D21" s="6" t="inlineStr"/>
    </row>
    <row r="22">
      <c r="A22" s="5" t="inlineStr">
        <is>
          <t>oyun-faturasi</t>
        </is>
      </c>
      <c r="B22" s="6" t="inlineStr">
        <is>
          <t>Oyun içi alışverişle ailenin kart ekstresini tarihe geçirdi.</t>
        </is>
      </c>
      <c r="C22" s="6" t="inlineStr"/>
      <c r="D22" s="6" t="inlineStr">
        <is>
          <t>“Annesinin parmağıyla ejderha aldı; o ay sofrada et görmedik.”</t>
        </is>
      </c>
    </row>
    <row r="23">
      <c r="A23" s="5" t="inlineStr">
        <is>
          <t>dershaneli</t>
        </is>
      </c>
      <c r="B23" s="6" t="inlineStr">
        <is>
          <t>Ergenliğinin cumartesilerini dershanede geçirdi.</t>
        </is>
      </c>
      <c r="C23" s="6" t="inlineStr"/>
      <c r="D23" s="6" t="inlineStr">
        <is>
          <t>“Her cumartesi dershaneye gitti; çantasına böreği ben koydum.”</t>
        </is>
      </c>
    </row>
    <row r="24">
      <c r="A24" s="5" t="inlineStr">
        <is>
          <t>yz-odevci</t>
        </is>
      </c>
      <c r="B24" s="6" t="inlineStr">
        <is>
          <t>Ödevlerini yapay zekâya yaptırmayı denedi; öğretmen 'ayrıca'ları saydı.</t>
        </is>
      </c>
      <c r="C24" s="6" t="inlineStr"/>
      <c r="D24" s="6" t="inlineStr"/>
    </row>
    <row r="25">
      <c r="A25" s="5" t="inlineStr">
        <is>
          <t>kendi-odasi</t>
        </is>
      </c>
      <c r="B25" s="6" t="inlineStr">
        <is>
          <t>On üç yaşında kendi odasını resmî başvuruyla aldı.</t>
        </is>
      </c>
      <c r="C25" s="6" t="inlineStr"/>
      <c r="D25" s="6" t="inlineStr"/>
    </row>
    <row r="26">
      <c r="A26" s="5" t="inlineStr">
        <is>
          <t>fuar-birincisi</t>
        </is>
      </c>
      <c r="B26" s="6" t="inlineStr">
        <is>
          <t>Okul bilim fuarında yanardağ yapmadan birinci oldu.</t>
        </is>
      </c>
      <c r="C26" s="6" t="inlineStr"/>
      <c r="D26" s="6" t="inlineStr">
        <is>
          <t>“Yanardağ yapmadan birinci oldu; jüri hâlâ nasıl olduğunu soruyor.”</t>
        </is>
      </c>
    </row>
    <row r="27">
      <c r="A27" s="5" t="inlineStr">
        <is>
          <t>takim-oyuncusu</t>
        </is>
      </c>
      <c r="B27" s="6" t="inlineStr">
        <is>
          <t>Okul takımının seçmelerini geçti; forma büyük geldi.</t>
        </is>
      </c>
      <c r="C27" s="6" t="inlineStr"/>
      <c r="D27" s="6" t="inlineStr">
        <is>
          <t>“Forma ona büyük geldi; sonra forma küçüldü, o büyüdü.”</t>
        </is>
      </c>
    </row>
    <row r="28">
      <c r="A28" s="5" t="inlineStr">
        <is>
          <t>yanlis-grup</t>
        </is>
      </c>
      <c r="B28" s="6" t="inlineStr">
        <is>
          <t>Aile grubuna yanlış mesaj gönderdi; evin yemek listesi o günden beri tartışmalı.</t>
        </is>
      </c>
      <c r="C28" s="6" t="inlineStr"/>
      <c r="D28" s="6" t="inlineStr">
        <is>
          <t>“Annesinin yemeğini yanlışlıkla aile grubuna şikâyet etti; o yemek bir daha pişmedi.”</t>
        </is>
      </c>
    </row>
    <row r="29">
      <c r="A29" s="5" t="inlineStr">
        <is>
          <t>universiteli</t>
        </is>
      </c>
      <c r="B29" s="6" t="inlineStr">
        <is>
          <t>Büyük Makarya Sınavı'nı geçip üniversiteye girdi.</t>
        </is>
      </c>
      <c r="C29" s="6" t="inlineStr"/>
      <c r="D29" s="6" t="inlineStr">
        <is>
          <t>“Sınavı kazandı; aile grubunda üç gün tebrik bitmedi, ben herkese ayrı ayrı teşekkür ettim.”</t>
        </is>
      </c>
    </row>
    <row r="30">
      <c r="A30" s="5" t="inlineStr">
        <is>
          <t>ilk-sevgili</t>
        </is>
      </c>
      <c r="B30" s="6" t="inlineStr">
        <is>
          <t>Lisede bir parkta, bir bankta, bir karış mesafeyi kapattı.</t>
        </is>
      </c>
      <c r="C30" s="6" t="inlineStr">
        <is>
          <t>Bir sevgilin var. Yetişkinliğe ilk kez iki kişi giriyorsun.</t>
        </is>
      </c>
      <c r="D30" s="6" t="inlineStr">
        <is>
          <t>“Parkta bir bankta el ele tutuşmuşlar; karşı apartmandaki komşu bana herkesten önce haber verdi.”</t>
        </is>
      </c>
    </row>
    <row r="31">
      <c r="A31" s="5" t="inlineStr">
        <is>
          <t>ilk-ayrilik</t>
        </is>
      </c>
      <c r="B31" s="6" t="inlineStr">
        <is>
          <t>İlk ayrılığını bir mesajlaşma uygulamasında, üç noktanın gölgesinde yaşadı.</t>
        </is>
      </c>
      <c r="C31" s="6" t="inlineStr"/>
      <c r="D31" s="6" t="inlineStr">
        <is>
          <t>“İlk ayrılığında odasına kapandı, üç gün aynı şarkıyı dinledi; ben kapının önüne çay bıraktım.”</t>
        </is>
      </c>
    </row>
    <row r="32">
      <c r="A32" s="5" t="inlineStr">
        <is>
          <t>ai-kopyaci</t>
        </is>
      </c>
      <c r="B32" s="6" t="inlineStr">
        <is>
          <t>Tarih ödevini bir yapay zekâya emanet etti.</t>
        </is>
      </c>
      <c r="C32" s="6" t="inlineStr"/>
      <c r="D32" s="6" t="inlineStr"/>
    </row>
    <row r="33">
      <c r="A33" s="5" t="inlineStr">
        <is>
          <t>okul-temsilcisi</t>
        </is>
      </c>
      <c r="B33" s="6" t="inlineStr">
        <is>
          <t>Okul temsilcisi seçildi; ikinci tost makinesi vaadiyle.</t>
        </is>
      </c>
      <c r="C33" s="6" t="inlineStr"/>
      <c r="D33" s="6" t="inlineStr"/>
    </row>
    <row r="34">
      <c r="A34" s="5" t="inlineStr">
        <is>
          <t>doktor-sozu</t>
        </is>
      </c>
      <c r="B34" s="6" t="inlineStr">
        <is>
          <t>Bir akşam yemeğinde aileye doktor olacağına söz verdi.</t>
        </is>
      </c>
      <c r="C34" s="6" t="inlineStr"/>
      <c r="D34" s="6" t="inlineStr">
        <is>
          <t>“Bir akşam yemeğinde doktor olacağına söz verdi; babaannesi ertesi sabah bütün mahalleye duyurdu.”</t>
        </is>
      </c>
    </row>
    <row r="35">
      <c r="A35" s="5" t="inlineStr">
        <is>
          <t>yurt-disi-hayali</t>
        </is>
      </c>
      <c r="B35" s="6" t="inlineStr">
        <is>
          <t>Öte Diyar'daki bir okuldan cevap alacak kadar ileri gitti.</t>
        </is>
      </c>
      <c r="C35" s="6" t="inlineStr"/>
      <c r="D35" s="6" t="inlineStr"/>
    </row>
    <row r="36">
      <c r="A36" s="5" t="inlineStr">
        <is>
          <t>ehliyetli</t>
        </is>
      </c>
      <c r="B36" s="6" t="inlineStr">
        <is>
          <t>Ehliyetini aldı; arabanın anahtarını almak ayrı bir hikâyeydi.</t>
        </is>
      </c>
      <c r="C36" s="6" t="inlineStr"/>
      <c r="D36" s="6" t="inlineStr"/>
    </row>
    <row r="37">
      <c r="A37" s="5" t="inlineStr">
        <is>
          <t>yurtdisi-gordu</t>
        </is>
      </c>
      <c r="B37" s="6" t="inlineStr">
        <is>
          <t>Bir dönem Öte Diyar'da düzgün peynir aradı.</t>
        </is>
      </c>
      <c r="C37" s="6" t="inlineStr"/>
      <c r="D37" s="6" t="inlineStr"/>
    </row>
    <row r="38">
      <c r="A38" s="5" t="inlineStr">
        <is>
          <t>usta-eli</t>
        </is>
      </c>
      <c r="B38" s="6" t="inlineStr">
        <is>
          <t>Bir ustanın elinden meslek kaptı.</t>
        </is>
      </c>
      <c r="C38" s="6" t="inlineStr"/>
      <c r="D38" s="6" t="inlineStr"/>
    </row>
    <row r="39">
      <c r="A39" s="5" t="inlineStr">
        <is>
          <t>depozito-yandi</t>
        </is>
      </c>
      <c r="B39" s="6" t="inlineStr">
        <is>
          <t>Bir kiralık evden depozitosunu hiç geri alamadı.</t>
        </is>
      </c>
      <c r="C39" s="6" t="inlineStr"/>
      <c r="D39" s="6" t="inlineStr"/>
    </row>
    <row r="40">
      <c r="A40" s="5" t="inlineStr">
        <is>
          <t>universitesiz</t>
        </is>
      </c>
      <c r="B40" s="6" t="inlineStr">
        <is>
          <t>Üniversite yerine doğrudan hayata atıldı.</t>
        </is>
      </c>
      <c r="C40" s="6" t="inlineStr"/>
      <c r="D40" s="6" t="inlineStr"/>
    </row>
    <row r="41">
      <c r="A41" s="5" t="inlineStr">
        <is>
          <t>taki-defteri</t>
        </is>
      </c>
      <c r="B41" s="6" t="inlineStr">
        <is>
          <t>Düğün takılarını kuruşu kuruşuna deftere geçirdi; defter hâlâ güncelleniyor.</t>
        </is>
      </c>
      <c r="C41" s="6" t="inlineStr"/>
      <c r="D41" s="6" t="inlineStr"/>
    </row>
    <row r="42">
      <c r="A42" s="5" t="inlineStr">
        <is>
          <t>arabali</t>
        </is>
      </c>
      <c r="B42" s="6" t="inlineStr">
        <is>
          <t>Araba sahibi oldu; muayene tarihini doğum gününden iyi bilir.</t>
        </is>
      </c>
      <c r="C42" s="6" t="inlineStr"/>
      <c r="D42" s="6" t="inlineStr"/>
    </row>
    <row r="43">
      <c r="A43" s="5" t="inlineStr">
        <is>
          <t>site-yoneticisi</t>
        </is>
      </c>
      <c r="B43" s="6" t="inlineStr">
        <is>
          <t>Site toplantısında itiraz ederken yönetici seçildi.</t>
        </is>
      </c>
      <c r="C43" s="6" t="inlineStr"/>
      <c r="D43" s="6" t="inlineStr">
        <is>
          <t>“Apartmana yönetici oldu; gece üçte kapısı çalınıyor, o yine de seviniyor.”</t>
        </is>
      </c>
    </row>
    <row r="44">
      <c r="A44" s="5" t="inlineStr">
        <is>
          <t>yalniz-gezgin</t>
        </is>
      </c>
      <c r="B44" s="6" t="inlineStr">
        <is>
          <t>Tek kişilik tatile çıktı ve garsona 'bir kişi' demeyi öğrendi.</t>
        </is>
      </c>
      <c r="C44" s="6" t="inlineStr"/>
      <c r="D44" s="6" t="inlineStr"/>
    </row>
    <row r="45">
      <c r="A45" s="5" t="inlineStr">
        <is>
          <t>flort-emeklisi</t>
        </is>
      </c>
      <c r="B45" s="6" t="inlineStr">
        <is>
          <t>Flört uygulamasını son kez sildi. Gerçekten son kez.</t>
        </is>
      </c>
      <c r="C45" s="6" t="inlineStr"/>
      <c r="D45" s="6" t="inlineStr"/>
    </row>
    <row r="46">
      <c r="A46" s="5" t="inlineStr">
        <is>
          <t>gozluklu</t>
        </is>
      </c>
      <c r="B46" s="6" t="inlineStr">
        <is>
          <t>Okuma gözlüğünü yıllarca başının üstünde aradı.</t>
        </is>
      </c>
      <c r="C46" s="6" t="inlineStr"/>
      <c r="D46" s="6" t="inlineStr">
        <is>
          <t>“Okuma gözlüğü taktı; gazeteyi artık bize o okuyor, gözlüğü de hep başının üstünde.”</t>
        </is>
      </c>
    </row>
    <row r="47">
      <c r="A47" s="5" t="inlineStr">
        <is>
          <t>motosikletli</t>
        </is>
      </c>
      <c r="B47" s="6" t="inlineStr">
        <is>
          <t>Bir gün motosiklet aldı; mahalle onu sesinden tanıdı.</t>
        </is>
      </c>
      <c r="C47" s="6" t="inlineStr"/>
      <c r="D47" s="6" t="inlineStr">
        <is>
          <t>“Motosiklet aldı; sokağa girdiği an sesinden tanır, çayını koyardık.”</t>
        </is>
      </c>
    </row>
    <row r="48">
      <c r="A48" s="5" t="inlineStr">
        <is>
          <t>maratoncu</t>
        </is>
      </c>
      <c r="B48" s="6" t="inlineStr">
        <is>
          <t>Bir maratonu başından sonuna kadar koştu; çoğunu.</t>
        </is>
      </c>
      <c r="C48" s="6" t="inlineStr"/>
      <c r="D48" s="6" t="inlineStr">
        <is>
          <t>“Maratonu bitirdi; madalyasını vitrine, kristal şekerliğin yanına koyduk.”</t>
        </is>
      </c>
    </row>
    <row r="49">
      <c r="A49" s="5" t="inlineStr">
        <is>
          <t>kariyer-degisti</t>
        </is>
      </c>
      <c r="B49" s="6" t="inlineStr">
        <is>
          <t>Kırkından sonra mesleğini değiştirdi ve geri dönmedi.</t>
        </is>
      </c>
      <c r="C49" s="6" t="inlineStr"/>
      <c r="D49" s="6" t="inlineStr">
        <is>
          <t>“Kırkından sonra mesleğini değiştirdi, bir daha dönüp bakmadı.”</t>
        </is>
      </c>
    </row>
    <row r="50">
      <c r="A50" s="5" t="inlineStr">
        <is>
          <t>yazlikci</t>
        </is>
      </c>
      <c r="B50" s="6" t="inlineStr">
        <is>
          <t>Denize 'yürüme mesafesinde' bir yazlık sahibi oldu.</t>
        </is>
      </c>
      <c r="C50" s="6" t="inlineStr"/>
      <c r="D50" s="6" t="inlineStr">
        <is>
          <t>“İkramiyeyle yazlık aldı; denize yürüme mesafesinde, iki kilometre fazlasıyla.”</t>
        </is>
      </c>
    </row>
    <row r="51">
      <c r="A51" s="5" t="inlineStr">
        <is>
          <t>ikinci-bahar</t>
        </is>
      </c>
      <c r="B51" s="6" t="inlineStr">
        <is>
          <t>Boşandıktan sonra bir kafede ikinci bahara merhaba dedi.</t>
        </is>
      </c>
      <c r="C51" s="6" t="inlineStr"/>
      <c r="D51" s="6" t="inlineStr">
        <is>
          <t>“Elli ikisinde yeniden âşık oldu; telefonu çalınca odadan çıkıyor, biz de duymazdan geliyoruz.”</t>
        </is>
      </c>
    </row>
    <row r="52">
      <c r="A52" s="5" t="inlineStr">
        <is>
          <t>dijital-paraci</t>
        </is>
      </c>
      <c r="B52" s="6" t="inlineStr">
        <is>
          <t>Dijital paradan kazandığını her sofrada anlattı; kaybettiğini hiçbirinde.</t>
        </is>
      </c>
      <c r="C52" s="6" t="inlineStr"/>
      <c r="D52" s="6" t="inlineStr">
        <is>
          <t>“Kazandığını her sofrada anlattı, kaybettiğini hiçbirinde.”</t>
        </is>
      </c>
    </row>
    <row r="53">
      <c r="A53" s="5" t="inlineStr">
        <is>
          <t>torunlu</t>
        </is>
      </c>
      <c r="B53" s="6" t="inlineStr">
        <is>
          <t>Torun sahibi oldu; telefonun ana ekranı o günden beri bebek fotoğrafı.</t>
        </is>
      </c>
      <c r="C53" s="6" t="inlineStr"/>
      <c r="D53" s="6" t="inlineStr">
        <is>
          <t>“Torunu doğdu; o günden beri cebinden fotoğraf eksik olmuyor.”</t>
        </is>
      </c>
    </row>
    <row r="54">
      <c r="A54" s="5" t="inlineStr">
        <is>
          <t>emekli</t>
        </is>
      </c>
      <c r="B54" s="6" t="inlineStr">
        <is>
          <t>Resmî olarak emekli oldu. Gayriresmî olarak hâlâ herkesin işini yaptı.</t>
        </is>
      </c>
      <c r="C54" s="6" t="inlineStr">
        <is>
          <t>Emeklilik: tavla, sabah yürüyüşleri ve torun bakımı nöbetleri.</t>
        </is>
      </c>
      <c r="D54" s="6" t="inlineStr">
        <is>
          <t>“Emekli oldu ama sabah yedide yine ayakkabılarını giyiyor; nereye gittiğini kimse bilmiyor.”</t>
        </is>
      </c>
    </row>
    <row r="55">
      <c r="A55" s="5" t="inlineStr">
        <is>
          <t>tavla-sampiyonu</t>
        </is>
      </c>
      <c r="B55" s="6" t="inlineStr">
        <is>
          <t>Kahvehane tavla liginin tartışmalı şampiyonu.</t>
        </is>
      </c>
      <c r="C55" s="6" t="inlineStr"/>
      <c r="D55" s="6" t="inlineStr">
        <is>
          <t>“Kahvehanenin duvarında adı yazılı; tebeşirle ama bantlı.”</t>
        </is>
      </c>
    </row>
    <row r="56">
      <c r="A56" s="5" t="inlineStr">
        <is>
          <t>yuruyus-grubu</t>
        </is>
      </c>
      <c r="B56" s="6" t="inlineStr">
        <is>
          <t>Sabah yürüyüş grubunun daimi üyesi ve gayriresmî tempo sorumlusu.</t>
        </is>
      </c>
      <c r="C56" s="6" t="inlineStr"/>
      <c r="D56" s="6" t="inlineStr">
        <is>
          <t>“Sabah yürüyüşünün tempo sorumlusu; kimse görevlendirmedi, kimse itiraz etmedi.”</t>
        </is>
      </c>
    </row>
    <row r="57">
      <c r="A57" s="5" t="inlineStr">
        <is>
          <t>beyazyaka-terfi-aldi</t>
        </is>
      </c>
      <c r="B57" s="6" t="inlineStr">
        <is>
          <t>Unvanının başına 'kıdemli' kelimesini ekletti.</t>
        </is>
      </c>
      <c r="C57" s="6" t="inlineStr"/>
      <c r="D57" s="6" t="inlineStr"/>
    </row>
    <row r="58">
      <c r="A58" s="5" t="inlineStr">
        <is>
          <t>beyazyaka-sag-kaldi</t>
        </is>
      </c>
      <c r="B58" s="6" t="inlineStr">
        <is>
          <t>Bir yeniden yapılanma dalgasından masasıyla birlikte sağ çıktı.</t>
        </is>
      </c>
      <c r="C58" s="6" t="inlineStr"/>
      <c r="D58" s="6" t="inlineStr">
        <is>
          <t>“Şirkette yarısını çıkardılar, o kaldı; masasının fotoğrafını bize yolladı.”</t>
        </is>
      </c>
    </row>
    <row r="59">
      <c r="A59" s="5" t="inlineStr">
        <is>
          <t>beyazyaka-gm-tanidik</t>
        </is>
      </c>
      <c r="B59" s="6" t="inlineStr">
        <is>
          <t>Arızalı bir asansörde genel müdürle kırk dakika geçirdi ve adı hatırlandı.</t>
        </is>
      </c>
      <c r="C59" s="6" t="inlineStr"/>
      <c r="D59" s="6" t="inlineStr"/>
    </row>
    <row r="60">
      <c r="A60" s="5" t="inlineStr">
        <is>
          <t>serbest-viral-oldu</t>
        </is>
      </c>
      <c r="B60" s="6" t="inlineStr">
        <is>
          <t>Bir performansı kısa video uygulamasında iki milyon kez izlendi. Ödemesi görünürlük olarak yapıldı.</t>
        </is>
      </c>
      <c r="C60" s="6" t="inlineStr"/>
      <c r="D60" s="6" t="inlineStr"/>
    </row>
    <row r="61">
      <c r="A61" s="5" t="inlineStr">
        <is>
          <t>serbest-alacakli</t>
        </is>
      </c>
      <c r="B61" s="6" t="inlineStr">
        <is>
          <t>Bir faturası hâlâ 'onay bekliyor'.</t>
        </is>
      </c>
      <c r="C61" s="6" t="inlineStr"/>
      <c r="D61" s="6" t="inlineStr"/>
    </row>
    <row r="62">
      <c r="A62" s="5" t="inlineStr">
        <is>
          <t>serbest-fon-aldi</t>
        </is>
      </c>
      <c r="B62" s="6" t="inlineStr">
        <is>
          <t>Otuz sekiz sayfalık bir fon başvurusunu kabul ettirdi.</t>
        </is>
      </c>
      <c r="C62" s="6" t="inlineStr"/>
      <c r="D62" s="6" t="inlineStr">
        <is>
          <t>“O upuzun fon formunu doldurup parayı aldı; bize ilk kez kendi kazandığı parayla baklava getirdi.”</t>
        </is>
      </c>
    </row>
    <row r="63">
      <c r="A63" s="5" t="inlineStr">
        <is>
          <t>esnaf-veresiye-batagi</t>
        </is>
      </c>
      <c r="B63" s="6" t="inlineStr">
        <is>
          <t>Veresiye defteri bir tuğla kalınlığına ulaştı; tahsilat oranı gizli tutuldu.</t>
        </is>
      </c>
      <c r="C63" s="6" t="inlineStr"/>
      <c r="D63" s="6" t="inlineStr"/>
    </row>
    <row r="64">
      <c r="A64" s="5" t="inlineStr">
        <is>
          <t>esnaf-komsu-rakip</t>
        </is>
      </c>
      <c r="B64" s="6" t="inlineStr">
        <is>
          <t>Karşı dükkânla bitmeyen bir etiket savaşına girdi.</t>
        </is>
      </c>
      <c r="C64" s="6" t="inlineStr"/>
      <c r="D64" s="6" t="inlineStr"/>
    </row>
    <row r="65">
      <c r="A65" s="5" t="inlineStr">
        <is>
          <t>esnaf-cirak</t>
        </is>
      </c>
      <c r="B65" s="6" t="inlineStr">
        <is>
          <t>Bir çırak yetiştirdi; çırak da ona telefon ayarlarını öğretti.</t>
        </is>
      </c>
      <c r="C65" s="6" t="inlineStr"/>
      <c r="D65" s="6" t="inlineStr">
        <is>
          <t>“Bir çırak yetiştirdi; çocuk bayramda bizim de elimizi öpmeye geliyor.”</t>
        </is>
      </c>
    </row>
    <row r="66">
      <c r="A66" s="5" t="inlineStr">
        <is>
          <t>esnaf-dernek-baskani</t>
        </is>
      </c>
      <c r="B66" s="6" t="inlineStr">
        <is>
          <t>Çarşının esnaf derneğine başkan seçildi; ilk icraatı ortak çöp kutusu oldu.</t>
        </is>
      </c>
      <c r="C66" s="6" t="inlineStr"/>
      <c r="D66" s="6" t="inlineStr">
        <is>
          <t>“Çarşıya başkan oldu; ilk işi ortak çöp kutusuydu, yeri hâlâ tartışılıyor.”</t>
        </is>
      </c>
    </row>
    <row r="67">
      <c r="A67" s="5" t="inlineStr">
        <is>
          <t>memur-mudur-dusmani</t>
        </is>
      </c>
      <c r="B67" s="6" t="inlineStr">
        <is>
          <t>Bir müdürle arası hiç düzelmedi; kırmızı kalem hep hazırdı.</t>
        </is>
      </c>
      <c r="C67" s="6" t="inlineStr"/>
      <c r="D67" s="6" t="inlineStr"/>
    </row>
    <row r="68">
      <c r="A68" s="5" t="inlineStr">
        <is>
          <t>memur-kayip-dosya</t>
        </is>
      </c>
      <c r="B68" s="6" t="inlineStr">
        <is>
          <t>Zimmetindeki bir dosya kayboldu; takibi yıllarca sürdü.</t>
        </is>
      </c>
      <c r="C68" s="6" t="inlineStr"/>
      <c r="D68" s="6" t="inlineStr"/>
    </row>
    <row r="69">
      <c r="A69" s="5" t="inlineStr">
        <is>
          <t>memur-ikinci-is</t>
        </is>
      </c>
      <c r="B69" s="6" t="inlineStr">
        <is>
          <t>Emekliliğe bir kafe hayaliyle hazırlandı; menüsü çekmecede bekledi.</t>
        </is>
      </c>
      <c r="C69" s="6" t="inlineStr"/>
      <c r="D69" s="6" t="inlineStr"/>
    </row>
    <row r="70">
      <c r="A70" s="5" t="inlineStr">
        <is>
          <t>haracci-dusmani</t>
        </is>
      </c>
      <c r="B70" s="6" t="inlineStr">
        <is>
          <t>Köşedeki üç büyük çocukla arası hiç düzelmedi.</t>
        </is>
      </c>
      <c r="C70" s="6" t="inlineStr"/>
      <c r="D70" s="6" t="inlineStr"/>
    </row>
    <row r="71">
      <c r="A71" s="5" t="inlineStr">
        <is>
          <t>fenomen</t>
        </is>
      </c>
      <c r="B71" s="6" t="inlineStr">
        <is>
          <t>Kedisinin hesabı fenomen oldu.</t>
        </is>
      </c>
      <c r="C71" s="6" t="inlineStr"/>
      <c r="D71" s="6" t="inlineStr"/>
    </row>
    <row r="72">
      <c r="A72" s="5" t="inlineStr">
        <is>
          <t>borclu</t>
        </is>
      </c>
      <c r="B72" s="6" t="inlineStr">
        <is>
          <t>Kredi kartı borcuyla tanıştı.</t>
        </is>
      </c>
      <c r="C72" s="6" t="inlineStr">
        <is>
          <t>Borç seni takip ediyor: asgari ödeme hayatının ritmi, bankanın müşteri temsilcisi de en düzenli arayanın.</t>
        </is>
      </c>
      <c r="D72" s="6" t="inlineStr"/>
    </row>
    <row r="73">
      <c r="A73" s="5" t="inlineStr">
        <is>
          <t>evli</t>
        </is>
      </c>
      <c r="B73" s="6" t="inlineStr">
        <is>
          <t>Evlendi.</t>
        </is>
      </c>
      <c r="C73" s="6" t="inlineStr">
        <is>
          <t>Evli hayat: ortak hesap, iki aile ve “Çocuk ne zaman?” sorusu.</t>
        </is>
      </c>
      <c r="D73" s="6" t="inlineStr">
        <is>
          <t>“Evlendi; takı defterini ben tuttum.”</t>
        </is>
      </c>
    </row>
    <row r="74">
      <c r="A74" s="5" t="inlineStr">
        <is>
          <t>cocuklu</t>
        </is>
      </c>
      <c r="B74" s="6" t="inlineStr">
        <is>
          <t>Çocuk sahibi oldu.</t>
        </is>
      </c>
      <c r="C74" s="6" t="inlineStr">
        <is>
          <t>Çocuklu hayat: uykusuz geceler, okul servisi ve veli toplantıları; bu kez kapının öbür tarafında sen varsın.</t>
        </is>
      </c>
      <c r="D74" s="6" t="inlineStr">
        <is>
          <t>“Torunumuz oldu; ilk gece annesiyle babası ondan çok ağladı.”</t>
        </is>
      </c>
    </row>
    <row r="75">
      <c r="A75" s="5" t="inlineStr">
        <is>
          <t>meslek-memur</t>
        </is>
      </c>
      <c r="B75" s="6" t="inlineStr">
        <is>
          <t>Memur oldu.</t>
        </is>
      </c>
      <c r="C75" s="6" t="inlineStr">
        <is>
          <t>Memurluk: tayinler, müdürler ve ıslak imza.</t>
        </is>
      </c>
      <c r="D75" s="6" t="inlineStr"/>
    </row>
    <row r="76">
      <c r="A76" s="5" t="inlineStr">
        <is>
          <t>ev-sahibi</t>
        </is>
      </c>
      <c r="B76" s="6" t="inlineStr">
        <is>
          <t>Ev sahibi oldu.</t>
        </is>
      </c>
      <c r="C76" s="6" t="inlineStr">
        <is>
          <t>Ev sahibisin: kredi taksitleri ve site yönetimi toplantıları. Aidatı artık sen ödüyorsun.</t>
        </is>
      </c>
      <c r="D76" s="6" t="inlineStr">
        <is>
          <t>“Tapuyu aldı; fotoğrafını aile grubuna ben attım, yanına bir de nazar boncuğu.”</t>
        </is>
      </c>
    </row>
    <row r="77">
      <c r="A77" s="5" t="inlineStr">
        <is>
          <t>askerlik-yapti</t>
        </is>
      </c>
      <c r="B77" s="6" t="inlineStr">
        <is>
          <t>Askerliğini yaptı.</t>
        </is>
      </c>
      <c r="C77" s="6" t="inlineStr">
        <is>
          <t>Askerlik bitti. Artık iş görüşmelerinde “Yaptın mı?” sorusuna gülümseyerek cevap verebilirsin.</t>
        </is>
      </c>
      <c r="D77" s="6" t="inlineStr">
        <is>
          <t>“Askerliğini yaptı; giderken kapıda halay çekildi, dönünce annesi kapıyı iki kez açtı.”</t>
        </is>
      </c>
    </row>
    <row r="78">
      <c r="A78" s="5" t="inlineStr">
        <is>
          <t>meslek-esnaf</t>
        </is>
      </c>
      <c r="B78" s="6" t="inlineStr">
        <is>
          <t>Esnaf oldu.</t>
        </is>
      </c>
      <c r="C78" s="6" t="inlineStr">
        <is>
          <t>Esnaf hayatı: kira artışları, karşı dükkân ve veresiye defteri.</t>
        </is>
      </c>
      <c r="D78" s="6" t="inlineStr"/>
    </row>
    <row r="79">
      <c r="A79" s="5" t="inlineStr">
        <is>
          <t>meslek-beyazyaka</t>
        </is>
      </c>
      <c r="B79" s="6" t="inlineStr">
        <is>
          <t>Beyaz yakalı oldu.</t>
        </is>
      </c>
      <c r="C79" s="6" t="inlineStr">
        <is>
          <t>Plaza hayatı: toplantılar, terfi yarışları ve açık ofis.</t>
        </is>
      </c>
      <c r="D79" s="6" t="inlineStr"/>
    </row>
    <row r="80">
      <c r="A80" s="5" t="inlineStr">
        <is>
          <t>meslek-serbest</t>
        </is>
      </c>
      <c r="B80" s="6" t="inlineStr">
        <is>
          <t>Serbest çalışmaya başladı.</t>
        </is>
      </c>
      <c r="C80" s="6" t="inlineStr">
        <is>
          <t>Serbest çalışma: fatura kovalamaca ve bir gün viral olma ihtimali.</t>
        </is>
      </c>
      <c r="D80" s="6" t="inlineStr"/>
    </row>
    <row r="81">
      <c r="A81" s="5" t="inlineStr">
        <is>
          <t>mahalle-cocugu</t>
        </is>
      </c>
      <c r="B81" s="6" t="inlineStr">
        <is>
          <t>Çocukluğu sokakta, mahallede geçti.</t>
        </is>
      </c>
      <c r="C81" s="6" t="inlineStr"/>
      <c r="D81" s="6" t="inlineStr">
        <is>
          <t>“Sokaktan eve girmedi.”</t>
        </is>
      </c>
    </row>
    <row r="82">
      <c r="A82" s="5" t="inlineStr">
        <is>
          <t>ekran-cocugu</t>
        </is>
      </c>
      <c r="B82" s="6" t="inlineStr">
        <is>
          <t>Çocukluğu ekran başında geçti.</t>
        </is>
      </c>
      <c r="C82" s="6" t="inlineStr"/>
      <c r="D82" s="6" t="inlineStr">
        <is>
          <t>“Tableti benden iyi kullanır.”</t>
        </is>
      </c>
    </row>
    <row r="83">
      <c r="A83" s="5" t="inlineStr">
        <is>
          <t>teneffus-tuccari</t>
        </is>
      </c>
      <c r="B83" s="6" t="inlineStr">
        <is>
          <t>Teneffüste ticaret yaptı.</t>
        </is>
      </c>
      <c r="C83" s="6" t="inlineStr"/>
      <c r="D83" s="6" t="inlineStr">
        <is>
          <t>“Okumayı sökmeden sınıfta sakız satmaya başladı.”</t>
        </is>
      </c>
    </row>
    <row r="84">
      <c r="A84" s="5" t="inlineStr">
        <is>
          <t>mahalle-abileri</t>
        </is>
      </c>
      <c r="B84" s="6" t="inlineStr">
        <is>
          <t>Mahalle abileriyle takıldı.</t>
        </is>
      </c>
      <c r="C84" s="6" t="inlineStr">
        <is>
          <t>Mahalle abileri seni unutmadı. Çarşıda bir iş, bir borç ve bir lakap hazır.</t>
        </is>
      </c>
      <c r="D84" s="6" t="inlineStr"/>
    </row>
    <row r="85">
      <c r="A85" s="5" t="inlineStr">
        <is>
          <t>meslek-lisesi</t>
        </is>
      </c>
      <c r="B85" s="6" t="inlineStr">
        <is>
          <t>Meslek lisesine yazıldı.</t>
        </is>
      </c>
      <c r="C85" s="6" t="inlineStr">
        <is>
          <t>Meslek lisesi: atölyede staj, erken para ve Büyük Sınav'da yarısı tanıdık, yarısı yabancı sorular.</t>
        </is>
      </c>
      <c r="D85" s="6" t="inlineStr">
        <is>
          <t>“Meslek lisesini yazdı; evde bozulan her şey artık ona sorulur.”</t>
        </is>
      </c>
    </row>
    <row r="86">
      <c r="A86" s="5" t="inlineStr">
        <is>
          <t>okulu-birakti</t>
        </is>
      </c>
      <c r="B86" s="6" t="inlineStr">
        <is>
          <t>Okulu bıraktı.</t>
        </is>
      </c>
      <c r="C86" s="6" t="inlineStr">
        <is>
          <t>Okul yok. Çay ocağı, sanayi ve abilerin işleri seni bekliyor; okula dönmenin bir yolu hâlâ var.</t>
        </is>
      </c>
      <c r="D86" s="6" t="inlineStr">
        <is>
          <t>“Sınav sabahı çay ocağına gitti; annesi o akşam yine de tabağını koydu.”</t>
        </is>
      </c>
    </row>
    <row r="87">
      <c r="A87" s="5" t="inlineStr">
        <is>
          <t>acik-lise</t>
        </is>
      </c>
      <c r="B87" s="6" t="inlineStr">
        <is>
          <t>Liseyi akşamları bitirdi.</t>
        </is>
      </c>
      <c r="C87" s="6" t="inlineStr"/>
      <c r="D87" s="6" t="inlineStr">
        <is>
          <t>“Okulu bırakmıştı ama gündüz çalışıp akşam okudu; o broşür hâlâ buzdolabımızda.”</t>
        </is>
      </c>
    </row>
    <row r="88">
      <c r="A88" s="5" t="inlineStr">
        <is>
          <t>abinin-adami</t>
        </is>
      </c>
      <c r="B88" s="6" t="inlineStr">
        <is>
          <t>Mahalle abisinin adamı oldu.</t>
        </is>
      </c>
      <c r="C88" s="6" t="inlineStr">
        <is>
          <t>Abinin yanında: çarşıda yükselmek kolay, oradan çıkmak zor.</t>
        </is>
      </c>
      <c r="D88" s="6" t="inlineStr">
        <is>
          <t>“Çarşıdaki abilerin yanında iş tuttu; telefonunu açmadım ama her akşam yemeğini ısıttım.”</t>
        </is>
      </c>
    </row>
    <row r="89">
      <c r="A89" s="5" t="inlineStr">
        <is>
          <t>karaborsaci</t>
        </is>
      </c>
      <c r="B89" s="6" t="inlineStr">
        <is>
          <t>Stat önünde karaborsa bilet sattı.</t>
        </is>
      </c>
      <c r="C89" s="6" t="inlineStr"/>
      <c r="D89" s="6" t="inlineStr"/>
    </row>
    <row r="90">
      <c r="A90" s="5" t="inlineStr">
        <is>
          <t>mezuna-kaldi</t>
        </is>
      </c>
      <c r="B90" s="6" t="inlineStr">
        <is>
          <t>Mezuna kaldı.</t>
        </is>
      </c>
      <c r="C90" s="6" t="inlineStr">
        <is>
          <t>Bir yıl daha dershane ve ikinci bir Büyük Sınav şansı.</t>
        </is>
      </c>
      <c r="D90" s="6" t="inlineStr">
        <is>
          <t>“Bir yıl daha dershaneye gitti; her sabah çantasına bir elma koydum, hiçbir şey sormadım.”</t>
        </is>
      </c>
    </row>
    <row r="91">
      <c r="A91" s="5" t="inlineStr">
        <is>
          <t>tezgah</t>
        </is>
      </c>
      <c r="B91" s="6" t="inlineStr">
        <is>
          <t>Kuzeninin tezgâhına geçti.</t>
        </is>
      </c>
      <c r="C91" s="6" t="inlineStr">
        <is>
          <t>Tezgâhın arkasında hayat: pazarlık, veresiye defteri ve akranlarından önce kazanılan ilk para.</t>
        </is>
      </c>
      <c r="D91" s="6" t="inlineStr"/>
    </row>
    <row r="92">
      <c r="A92" s="5" t="inlineStr">
        <is>
          <t>erken-askerlik</t>
        </is>
      </c>
      <c r="B92" s="6" t="inlineStr">
        <is>
          <t>Askere erken gitti.</t>
        </is>
      </c>
      <c r="C92" s="6" t="inlineStr">
        <is>
          <t>Önce askerlik: kışla, nöbet ve dönüşte nereden başlayacağına dair uzun düşünceler.</t>
        </is>
      </c>
      <c r="D92" s="6" t="inlineStr"/>
    </row>
    <row r="93">
      <c r="A93" s="5" t="inlineStr">
        <is>
          <t>sinava-girmedi</t>
        </is>
      </c>
      <c r="B93" s="6" t="inlineStr">
        <is>
          <t>Büyük Makarya Sınavı'na girmedi; ertesi sabah işe başladı.</t>
        </is>
      </c>
      <c r="C93" s="6" t="inlineStr">
        <is>
          <t>Sınavsız bir hayat: erken iş, erken para, erken sorumluluk.</t>
        </is>
      </c>
      <c r="D93" s="6" t="inlineStr"/>
    </row>
    <row r="94">
      <c r="A94" s="5" t="inlineStr">
        <is>
          <t>bolum-hukuk</t>
        </is>
      </c>
      <c r="B94" s="6" t="inlineStr">
        <is>
          <t>Hukuk okudu.</t>
        </is>
      </c>
      <c r="C94" s="6" t="inlineStr">
        <is>
          <t>Hukuk fakültesi: ezber, stajlar ve kürsüye giden yolun ilk basamağı.</t>
        </is>
      </c>
      <c r="D94" s="6" t="inlineStr"/>
    </row>
    <row r="95">
      <c r="A95" s="5" t="inlineStr">
        <is>
          <t>bolum-emniyet</t>
        </is>
      </c>
      <c r="B95" s="6" t="inlineStr">
        <is>
          <t>Polis okuluna girdi.</t>
        </is>
      </c>
      <c r="C95" s="6" t="inlineStr">
        <is>
          <t>Polis okulu: disiplin, üniforma ve polisliğe giden yol.</t>
        </is>
      </c>
      <c r="D95" s="6" t="inlineStr"/>
    </row>
    <row r="96">
      <c r="A96" s="5" t="inlineStr">
        <is>
          <t>bolum-muhendislik</t>
        </is>
      </c>
      <c r="B96" s="6" t="inlineStr">
        <is>
          <t>Mühendislik okudu.</t>
        </is>
      </c>
      <c r="C96" s="6" t="inlineStr">
        <is>
          <t>Mühendislik: formüller, stajlar ve evde bozulan her şeyin senden sorulduğu yıllar.</t>
        </is>
      </c>
      <c r="D96" s="6" t="inlineStr"/>
    </row>
    <row r="97">
      <c r="A97" s="5" t="inlineStr">
        <is>
          <t>bolum-iletisim</t>
        </is>
      </c>
      <c r="B97" s="6" t="inlineStr">
        <is>
          <t>İletişim ya da konservatuvar okudu.</t>
        </is>
      </c>
      <c r="C97" s="6" t="inlineStr">
        <is>
          <t>Konservatuvar: seçmeler, küçük sahneler ve “İyi de ne iş yapacak?” soruları.</t>
        </is>
      </c>
      <c r="D97" s="6" t="inlineStr"/>
    </row>
    <row r="98">
      <c r="A98" s="5" t="inlineStr">
        <is>
          <t>bolum-isletme</t>
        </is>
      </c>
      <c r="B98" s="6" t="inlineStr">
        <is>
          <t>İşletme okudu.</t>
        </is>
      </c>
      <c r="C98" s="6" t="inlineStr">
        <is>
          <t>İşletme: sunumlar, stajlar ve ilk iş fikirleri.</t>
        </is>
      </c>
      <c r="D98" s="6" t="inlineStr"/>
    </row>
    <row r="99">
      <c r="A99" s="5" t="inlineStr">
        <is>
          <t>bolum-tip</t>
        </is>
      </c>
      <c r="B99" s="6" t="inlineStr">
        <is>
          <t>Tıp okudu.</t>
        </is>
      </c>
      <c r="C99" s="6" t="inlineStr">
        <is>
          <t>Tıp: altı yıl, bitmeyen nöbetler ve aile grubunda her gün artan semptom soruları.</t>
        </is>
      </c>
      <c r="D99" s="6" t="inlineStr"/>
    </row>
    <row r="100">
      <c r="A100" s="5" t="inlineStr">
        <is>
          <t>baska-sehir</t>
        </is>
      </c>
      <c r="B100" s="6" t="inlineStr">
        <is>
          <t>Başka şehirde okudu.</t>
        </is>
      </c>
      <c r="C100" s="6" t="inlineStr">
        <is>
          <t>Başka şehirde üniversite: yurt odası, ilk kez tek başına alınan kararlar ve annenin haftada iki telefonu.</t>
        </is>
      </c>
      <c r="D100" s="6" t="inlineStr"/>
    </row>
    <row r="101">
      <c r="A101" s="5" t="inlineStr">
        <is>
          <t>ayni-sehir</t>
        </is>
      </c>
      <c r="B101" s="6" t="inlineStr">
        <is>
          <t>Üniversiteye evden gitti.</t>
        </is>
      </c>
      <c r="C101" s="6" t="inlineStr">
        <is>
          <t>Evden üniversite: sokağa çıkma saati, buzdolabı bursu ve bitmeyen “Nereye?” soruları.</t>
        </is>
      </c>
      <c r="D101" s="6" t="inlineStr"/>
    </row>
    <row r="102">
      <c r="A102" s="5" t="inlineStr">
        <is>
          <t>yurtdisi-universite</t>
        </is>
      </c>
      <c r="B102" s="6" t="inlineStr">
        <is>
          <t>Öte Diyar'da üniversite okudu.</t>
        </is>
      </c>
      <c r="C102" s="6" t="inlineStr">
        <is>
          <t>Öte Diyar'da öğrencilik: yeni bir dil, yalnızlık ve her bayram atlanan uçak bileti.</t>
        </is>
      </c>
      <c r="D102" s="6" t="inlineStr">
        <is>
          <t>“Öte Diyar'a okumaya gitti; havalimanına on iki kişi uğurlamaya gittik, biri sadece havalimanını görmek için.”</t>
        </is>
      </c>
    </row>
    <row r="103">
      <c r="A103" s="5" t="inlineStr">
        <is>
          <t>utangac</t>
        </is>
      </c>
      <c r="B103" s="6" t="inlineStr">
        <is>
          <t>İlk buluşmada reddedildi.</t>
        </is>
      </c>
      <c r="C103" s="6" t="inlineStr">
        <is>
          <t>Kalbin biraz kırık. Bir sonraki buluşmaya daha temkinli gideceksin.</t>
        </is>
      </c>
      <c r="D103" s="6" t="inlineStr"/>
    </row>
    <row r="104">
      <c r="A104" s="5" t="inlineStr">
        <is>
          <t>duz-lise</t>
        </is>
      </c>
      <c r="B104" s="6" t="inlineStr">
        <is>
          <t>Mahallenin lisesine gitti.</t>
        </is>
      </c>
      <c r="C104" s="6" t="inlineStr">
        <is>
          <t>Mahallenin lisesi: kalabalık sınıflar, kantinde tost ve kimsenin senden pek bir şey beklemediği dört yıl.</t>
        </is>
      </c>
      <c r="D104" s="6" t="inlineStr"/>
    </row>
    <row r="105">
      <c r="A105" s="5" t="inlineStr">
        <is>
          <t>kiraci</t>
        </is>
      </c>
      <c r="B105" s="6" t="inlineStr">
        <is>
          <t>Tek başına kiraya çıktı.</t>
        </is>
      </c>
      <c r="C105" s="6" t="inlineStr">
        <is>
          <t>Kiracı hayatı: her yıl gelen “Kirayı güncelleyelim” telefonu ve depozitonun geri dönüp dönmeyeceği sorusu.</t>
        </is>
      </c>
      <c r="D105" s="6" t="inlineStr">
        <is>
          <t>“Yirmi bir yaşında anahtarını aldı, evden çıktı; annesi odasını bir ay toplamadı.”</t>
        </is>
      </c>
    </row>
    <row r="106">
      <c r="A106" s="5" t="inlineStr">
        <is>
          <t>ev-arkadasli</t>
        </is>
      </c>
      <c r="B106" s="6" t="inlineStr">
        <is>
          <t>Bir ev arkadaşıyla eve çıktı.</t>
        </is>
      </c>
      <c r="C106" s="6" t="inlineStr">
        <is>
          <t>Ev arkadaşlı hayat: bulaşık nöbeti, ortak fatura ve birinin mutlaka taşınacağı o gün.</t>
        </is>
      </c>
      <c r="D106" s="6" t="inlineStr"/>
    </row>
    <row r="107">
      <c r="A107" s="5" t="inlineStr">
        <is>
          <t>evde-kaldi</t>
        </is>
      </c>
      <c r="B107" s="6" t="inlineStr">
        <is>
          <t>Ailesinin evinde kaldı.</t>
        </is>
      </c>
      <c r="C107" s="6" t="inlineStr">
        <is>
          <t>Aile evinde yetişkinlik: kira yok, “Nereye?” sorusu var; evlenene kadar ya da evlenmeyi düşünene kadar.</t>
        </is>
      </c>
      <c r="D107" s="6" t="inlineStr">
        <is>
          <t>“Evden çıkmadı; kira vermedi ama akşam dokuzda ‘Nereye?’ sorusunu her gün cevapladı.”</t>
        </is>
      </c>
    </row>
    <row r="108">
      <c r="A108" s="5" t="inlineStr">
        <is>
          <t>aile-dairesi</t>
        </is>
      </c>
      <c r="B108" s="6" t="inlineStr">
        <is>
          <t>Ailesinin aldığı daireye yerleşti.</t>
        </is>
      </c>
      <c r="C108" s="6" t="inlineStr">
        <is>
          <t>Ailenin dairesinde hayat: kira yok, habersiz pazar ziyaretleri var.</t>
        </is>
      </c>
      <c r="D108" s="6" t="inlineStr"/>
    </row>
    <row r="109">
      <c r="A109" s="5" t="inlineStr">
        <is>
          <t>abiye-borclu</t>
        </is>
      </c>
      <c r="B109" s="6" t="inlineStr">
        <is>
          <t>Abiye bir iyilik borcu var. Abi unutmaz.</t>
        </is>
      </c>
      <c r="C109" s="6" t="inlineStr">
        <is>
          <t>Abinin bir iyiliği var sende. Günü gelince isteyecek.</t>
        </is>
      </c>
      <c r="D109" s="6" t="inlineStr">
        <is>
          <t>“Mahallenin abisine bir iyilik borçlandı; o borç yıllarca kapısını çaldı.”</t>
        </is>
      </c>
    </row>
    <row r="110">
      <c r="A110" s="5" t="inlineStr">
        <is>
          <t>bedelli</t>
        </is>
      </c>
      <c r="B110" s="6" t="inlineStr">
        <is>
          <t>Askerliği bedelli yaptı; tek nöbeti banka kuyruğundaydı.</t>
        </is>
      </c>
      <c r="C110" s="6" t="inlineStr">
        <is>
          <t>Askerlik bitti sayılır. İş görüşmelerinde “Yaptın mı?” sorusuna kısa bir cevabın var.</t>
        </is>
      </c>
      <c r="D110" s="6" t="inlineStr">
        <is>
          <t>“Askerliği bedelliyle hallettik; tek nöbetini banka kuyruğunda tuttu.”</t>
        </is>
      </c>
    </row>
    <row r="111">
      <c r="A111" s="5" t="inlineStr">
        <is>
          <t>curuk-rapor</t>
        </is>
      </c>
      <c r="B111" s="6" t="inlineStr">
        <is>
          <t>Heyetten “elverişsiz” raporu aldı; düztabanlığı efsane oldu.</t>
        </is>
      </c>
      <c r="C111" s="6" t="inlineStr">
        <is>
          <t>Raporun cebinde. Düztabanlığın da artık hayat boyu seninle.</t>
        </is>
      </c>
      <c r="D111" s="6" t="inlineStr">
        <is>
          <t>“Heyete bir düztaban hikâyesi anlattı; rapor çıktı, ayakları o günden beri hiç ağrımadı.”</t>
        </is>
      </c>
    </row>
    <row r="112">
      <c r="A112" s="5" t="inlineStr">
        <is>
          <t>kisla-kankasi</t>
        </is>
      </c>
      <c r="B112" s="6" t="inlineStr">
        <is>
          <t>Kışladan ömürlük üç arkadaşla döndü.</t>
        </is>
      </c>
      <c r="C112" s="6" t="inlineStr"/>
      <c r="D112" s="6" t="inlineStr"/>
    </row>
    <row r="113">
      <c r="A113" s="5" t="inlineStr">
        <is>
          <t>komiser-tanidik</t>
        </is>
      </c>
      <c r="B113" s="6" t="inlineStr">
        <is>
          <t>Cüzdanında bir komiserin kartviziti var.</t>
        </is>
      </c>
      <c r="C113" s="6" t="inlineStr"/>
      <c r="D113" s="6" t="inlineStr"/>
    </row>
    <row r="114">
      <c r="A114" s="5" t="inlineStr">
        <is>
          <t>yabanci-dil</t>
        </is>
      </c>
      <c r="B114" s="6" t="inlineStr">
        <is>
          <t>Öte Diyar'da yerli dostlar edindi; rüyalarını iki dilde gördü.</t>
        </is>
      </c>
      <c r="C114" s="6" t="inlineStr"/>
      <c r="D114" s="6" t="inlineStr"/>
    </row>
    <row r="115">
      <c r="A115" s="5" t="inlineStr">
        <is>
          <t>yurtdan-dondu</t>
        </is>
      </c>
      <c r="B115" s="6" t="inlineStr">
        <is>
          <t>Öte Diyar'dan diplomasıyla döndü.</t>
        </is>
      </c>
      <c r="C115" s="6" t="inlineStr">
        <is>
          <t>Dönüşün hikâyesi: “Neden döndün?” sorusu, ondan sonra da “Keşke kalsaydın.”</t>
        </is>
      </c>
      <c r="D115" s="6" t="inlineStr"/>
    </row>
    <row r="116">
      <c r="A116" s="5" t="inlineStr">
        <is>
          <t>abiden-koptu</t>
        </is>
      </c>
      <c r="B116" s="6" t="inlineStr">
        <is>
          <t>Abinin gölgesinden çıkıp kendi işini kurdu.</t>
        </is>
      </c>
      <c r="C116" s="6" t="inlineStr"/>
      <c r="D116" s="6" t="inlineStr"/>
    </row>
    <row r="117">
      <c r="A117" s="5" t="inlineStr">
        <is>
          <t>abiye-karsi-sigorta</t>
        </is>
      </c>
      <c r="B117" s="6" t="inlineStr">
        <is>
          <t>Abinin defterinin bir fotokopisi bir kasada duruyor.</t>
        </is>
      </c>
      <c r="C117" s="6" t="inlineStr"/>
      <c r="D117" s="6" t="inlineStr"/>
    </row>
    <row r="118">
      <c r="A118" s="5" t="inlineStr">
        <is>
          <t>vicdan-sesi</t>
        </is>
      </c>
      <c r="B118" s="6" t="inlineStr">
        <is>
          <t>Bir telefonu kapatmayı bildi.</t>
        </is>
      </c>
      <c r="C118" s="6" t="inlineStr"/>
      <c r="D118" s="6" t="inlineStr">
        <is>
          <t>“Emekli bir öğretmenin telefonunu kapattı; o akşam annesini sebepsiz aradı.”</t>
        </is>
      </c>
    </row>
    <row r="119">
      <c r="A119" s="5" t="inlineStr">
        <is>
          <t>ifsa-oldu</t>
        </is>
      </c>
      <c r="B119" s="6" t="inlineStr">
        <is>
          <t>Sesi bir haber sitesinde yayınlandı; adı değil.</t>
        </is>
      </c>
      <c r="C119" s="6" t="inlineStr"/>
      <c r="D119" s="6" t="inlineStr"/>
    </row>
    <row r="120">
      <c r="A120" s="5" t="inlineStr">
        <is>
          <t>hat-polis</t>
        </is>
      </c>
      <c r="B120" s="6" t="inlineStr">
        <is>
          <t>Polis oldu.</t>
        </is>
      </c>
      <c r="C120" s="6" t="inlineStr">
        <is>
          <t>Karakol hayatı: nöbetler, tayin kâğıtları ve her amirin kendine göre bir “usulü.”</t>
        </is>
      </c>
      <c r="D120" s="6" t="inlineStr"/>
    </row>
    <row r="121">
      <c r="A121" s="5" t="inlineStr">
        <is>
          <t>hat-yargi</t>
        </is>
      </c>
      <c r="B121" s="6" t="inlineStr">
        <is>
          <t>Hâkim oldu.</t>
        </is>
      </c>
      <c r="C121" s="6" t="inlineStr">
        <is>
          <t>Adliye koridorları: tayinler, dosya yığınları ve kürsüye giden uzun yol.</t>
        </is>
      </c>
      <c r="D121" s="6" t="inlineStr"/>
    </row>
    <row r="122">
      <c r="A122" s="5" t="inlineStr">
        <is>
          <t>hat-hekim</t>
        </is>
      </c>
      <c r="B122" s="6" t="inlineStr">
        <is>
          <t>Hekim oldu.</t>
        </is>
      </c>
      <c r="C122" s="6" t="inlineStr">
        <is>
          <t>Hekimlik: nöbetler, bitmeyen dosyalar ve aile grubunda her gün yeni bir semptom sorusu.</t>
        </is>
      </c>
      <c r="D122" s="6" t="inlineStr">
        <is>
          <t>“Doktor oldu; teyzesi o günden beri bütün röntgenlerini ona atıyor.”</t>
        </is>
      </c>
    </row>
    <row r="123">
      <c r="A123" s="5" t="inlineStr">
        <is>
          <t>hat-cete</t>
        </is>
      </c>
      <c r="B123" s="6" t="inlineStr">
        <is>
          <t>Abinin işine girdi.</t>
        </is>
      </c>
      <c r="C123" s="6" t="inlineStr">
        <is>
          <t>Abinin paravan dükkânı: kira, rakipler ve deftere yazılmayan hesaplar.</t>
        </is>
      </c>
      <c r="D123" s="6" t="inlineStr"/>
    </row>
    <row r="124">
      <c r="A124" s="5" t="inlineStr">
        <is>
          <t>hat-sohret</t>
        </is>
      </c>
      <c r="B124" s="6" t="inlineStr">
        <is>
          <t>Şöhretin peşine düştü.</t>
        </is>
      </c>
      <c r="C124" s="6" t="inlineStr">
        <is>
          <t>Sahne hayatı: fatura kovalamaca, görünürlük teklifleri ve bir gün gerçekten tanınma ihtimali.</t>
        </is>
      </c>
      <c r="D124" s="6" t="inlineStr"/>
    </row>
    <row r="125">
      <c r="A125" s="5" t="inlineStr">
        <is>
          <t>hat-koy</t>
        </is>
      </c>
      <c r="B125" s="6" t="inlineStr">
        <is>
          <t>Köye döndü, toprağı işledi.</t>
        </is>
      </c>
      <c r="C125" s="6" t="inlineStr">
        <is>
          <t>Toprakla hayat: pazar tezgâhı, kira yerine hava durumu ve şehre gidip gelen kamyonlar.</t>
        </is>
      </c>
      <c r="D125" s="6" t="inlineStr"/>
    </row>
    <row r="126">
      <c r="A126" s="5" t="inlineStr">
        <is>
          <t>hat-usta</t>
        </is>
      </c>
      <c r="B126" s="6" t="inlineStr">
        <is>
          <t>Sanayide kendi ustalığını ilan etti.</t>
        </is>
      </c>
      <c r="C126" s="6" t="inlineStr">
        <is>
          <t>Kendi tezgâhında ustalık: kira artışları, karşı dükkân ve yanına alacağın ilk çırak.</t>
        </is>
      </c>
      <c r="D126" s="6" t="inlineStr"/>
    </row>
    <row r="127">
      <c r="A127" s="5" t="inlineStr">
        <is>
          <t>hat-dolandirici</t>
        </is>
      </c>
      <c r="B127" s="6" t="inlineStr">
        <is>
          <t>Telefonda “size özel fırsat” sattı.</t>
        </is>
      </c>
      <c r="C127" s="6" t="inlineStr">
        <is>
          <t>“Size özel fırsat” işi: kolay para, zor faturalar ve her telefon çaldığında gelen küçük bir ürperti.</t>
        </is>
      </c>
      <c r="D127" s="6" t="inlineStr"/>
    </row>
    <row r="128">
      <c r="A128" s="5" t="inlineStr">
        <is>
          <t>hat-girisimci</t>
        </is>
      </c>
      <c r="B128" s="6" t="inlineStr">
        <is>
          <t>Kendi şirketini kurdu.</t>
        </is>
      </c>
      <c r="C128" s="6" t="inlineStr">
        <is>
          <t>Kendi şirketin: fatura kovalamaca, yapay zekâ rakipler ve “Bir gün büyüyeceğiz” inancı.</t>
        </is>
      </c>
      <c r="D128" s="6" t="inlineStr"/>
    </row>
    <row r="129">
      <c r="A129" s="5" t="inlineStr">
        <is>
          <t>hat-goc</t>
        </is>
      </c>
      <c r="B129" s="6" t="inlineStr">
        <is>
          <t>Öte Diyar'da kaldı.</t>
        </is>
      </c>
      <c r="C129" s="6" t="inlineStr">
        <is>
          <t>Gurbette hayat: plaza koridorları, bayramda ekran ve her yıl biraz daha yabancılaşan memleket.</t>
        </is>
      </c>
      <c r="D129" s="6" t="inlineStr"/>
    </row>
    <row r="130">
      <c r="A130" s="5" t="inlineStr">
        <is>
          <t>zarf-aldi</t>
        </is>
      </c>
      <c r="B130" s="6" t="inlineStr">
        <is>
          <t>Rüşvet zarfını aldı; kimse fark etmedi.</t>
        </is>
      </c>
      <c r="C130" s="6" t="inlineStr">
        <is>
          <t>Zarf unutulmadı; ileride bir teftiş eski dosyaları açabilir.</t>
        </is>
      </c>
      <c r="D130" s="6" t="inlineStr"/>
    </row>
    <row r="131">
      <c r="A131" s="5" t="inlineStr">
        <is>
          <t>polis-gozetim</t>
        </is>
      </c>
      <c r="B131" s="6" t="inlineStr">
        <is>
          <t>Karşı tarafa geçemedi; kalan yıllarını gözetim altında bir polis olarak geçirdi.</t>
        </is>
      </c>
      <c r="C131" s="6" t="inlineStr">
        <is>
          <t>Her raporu bir üst makamda ikinci kez okunacak.</t>
        </is>
      </c>
      <c r="D131" s="6" t="inlineStr"/>
    </row>
    <row r="132">
      <c r="A132" s="5" t="inlineStr">
        <is>
          <t>polis-surgun</t>
        </is>
      </c>
      <c r="B132" s="6" t="inlineStr">
        <is>
          <t>Rüşveti ihbar etti, uzak bir ilçeye sürüldü.</t>
        </is>
      </c>
      <c r="C132" s="6" t="inlineStr">
        <is>
          <t>Uzak bir ilçede, küçük bir karakolda devam edecek.</t>
        </is>
      </c>
      <c r="D132" s="6" t="inlineStr">
        <is>
          <t>“Rüşveti ihbar etti, dağ başına sürüldü; biz komşulara ‘Doğru adam’ dedik, başka bir şey demedik.”</t>
        </is>
      </c>
    </row>
    <row r="133">
      <c r="A133" s="5" t="inlineStr">
        <is>
          <t>yargi-leke</t>
        </is>
      </c>
      <c r="B133" s="6" t="inlineStr">
        <is>
          <t>Büyük dosyada baskıya boyun eğdi; kimse ispatlayamadı.</t>
        </is>
      </c>
      <c r="C133" s="6" t="inlineStr">
        <is>
          <t>O dosya bir gün yeniden önüne gelebilir.</t>
        </is>
      </c>
      <c r="D133" s="6" t="inlineStr"/>
    </row>
    <row r="134">
      <c r="A134" s="5" t="inlineStr">
        <is>
          <t>klinik-sefi</t>
        </is>
      </c>
      <c r="B134" s="6" t="inlineStr">
        <is>
          <t>Otuz beşinde klinik şefi oldu.</t>
        </is>
      </c>
      <c r="C134" s="6" t="inlineStr">
        <is>
          <t>Şeflik yükü ve imkânıyla devam edecek.</t>
        </is>
      </c>
      <c r="D134" s="6" t="inlineStr">
        <is>
          <t>“Klinik şefi oldu; akrabalar artık randevuyu bizim üzerimizden istiyor.”</t>
        </is>
      </c>
    </row>
    <row r="135">
      <c r="A135" s="5" t="inlineStr">
        <is>
          <t>memur-terfi</t>
        </is>
      </c>
      <c r="B135" s="6" t="inlineStr">
        <is>
          <t>Tayini değil, terfiyi seçti; şube müdürü oldu.</t>
        </is>
      </c>
      <c r="C135" s="6" t="inlineStr"/>
      <c r="D135" s="6" t="inlineStr"/>
    </row>
    <row r="136">
      <c r="A136" s="5" t="inlineStr">
        <is>
          <t>kriz-isten-cikti</t>
        </is>
      </c>
      <c r="B136" s="6" t="inlineStr">
        <is>
          <t>Küçülme dalgasında işten çıkarıldı.</t>
        </is>
      </c>
      <c r="C136" s="6" t="inlineStr">
        <is>
          <t>İşsiz ve tazminatlı yeni bir döneme giriyor.</t>
        </is>
      </c>
      <c r="D136" s="6" t="inlineStr"/>
    </row>
    <row r="137">
      <c r="A137" s="5" t="inlineStr">
        <is>
          <t>polis-muhbir</t>
        </is>
      </c>
      <c r="B137" s="6" t="inlineStr">
        <is>
          <t>Bir simitçiyi muhbir yaptı; simitçi ömür boyu onun adamı kaldı.</t>
        </is>
      </c>
      <c r="C137" s="6" t="inlineStr"/>
      <c r="D137" s="6" t="inlineStr"/>
    </row>
    <row r="138">
      <c r="A138" s="5" t="inlineStr">
        <is>
          <t>polis-yuz-okur</t>
        </is>
      </c>
      <c r="B138" s="6" t="inlineStr">
        <is>
          <t>Blöfle üç şüpheliyi birden konuşturdu; “yüz okuyan komiser” diye anıldı.</t>
        </is>
      </c>
      <c r="C138" s="6" t="inlineStr"/>
      <c r="D138" s="6" t="inlineStr"/>
    </row>
    <row r="139">
      <c r="A139" s="5" t="inlineStr">
        <is>
          <t>polis-sadik-ekip</t>
        </is>
      </c>
      <c r="B139" s="6" t="inlineStr">
        <is>
          <t>Ekibini tek tek dinledi; ekip de onu nereye giderse izledi.</t>
        </is>
      </c>
      <c r="C139" s="6" t="inlineStr"/>
      <c r="D139" s="6" t="inlineStr"/>
    </row>
    <row r="140">
      <c r="A140" s="5" t="inlineStr">
        <is>
          <t>polis-mudur</t>
        </is>
      </c>
      <c r="B140" s="6" t="inlineStr">
        <is>
          <t>Emniyet müdürü oldu.</t>
        </is>
      </c>
      <c r="C140" s="6" t="inlineStr"/>
      <c r="D140" s="6" t="inlineStr">
        <is>
          <t>“Emniyet müdürü oldu; mahallenin bekçisi bizi görünce selam vermeye başladı.”</t>
        </is>
      </c>
    </row>
    <row r="141">
      <c r="A141" s="5" t="inlineStr">
        <is>
          <t>yargi-horoz-karari</t>
        </is>
      </c>
      <c r="B141" s="6" t="inlineStr">
        <is>
          <t>Kasabada verdiği “Horoz Kararı” fakültede ders oldu.</t>
        </is>
      </c>
      <c r="C141" s="6" t="inlineStr"/>
      <c r="D141" s="6" t="inlineStr">
        <is>
          <t>“Kasabada bir horoz davasına baktı; verdiği karar fakültede ders oldu.”</t>
        </is>
      </c>
    </row>
    <row r="142">
      <c r="A142" s="5" t="inlineStr">
        <is>
          <t>yargi-kedi-karari</t>
        </is>
      </c>
      <c r="B142" s="6" t="inlineStr">
        <is>
          <t>Bir kedinin ortak velayetine gerekçeli karar yazdı.</t>
        </is>
      </c>
      <c r="C142" s="6" t="inlineStr"/>
      <c r="D142" s="6" t="inlineStr"/>
    </row>
    <row r="143">
      <c r="A143" s="5" t="inlineStr">
        <is>
          <t>yargi-yuksek</t>
        </is>
      </c>
      <c r="B143" s="6" t="inlineStr">
        <is>
          <t>Yüksek mahkeme üyesi oldu.</t>
        </is>
      </c>
      <c r="C143" s="6" t="inlineStr"/>
      <c r="D143" s="6" t="inlineStr">
        <is>
          <t>“Yüksek mahkemeye seçildi; cübbeyi ilk giydiği gün terzi de ağladı, biz de.”</t>
        </is>
      </c>
    </row>
    <row r="144">
      <c r="A144" s="5" t="inlineStr">
        <is>
          <t>hekim-ilce-sevgisi</t>
        </is>
      </c>
      <c r="B144" s="6" t="inlineStr">
        <is>
          <t>Mecburi hizmette ilçenin evladı oldu; reçeller yıllarca geldi.</t>
        </is>
      </c>
      <c r="C144" s="6" t="inlineStr"/>
      <c r="D144" s="6" t="inlineStr">
        <is>
          <t>“İlçenin tek doktoruydu; reçeller yıllarca bizim kapıya geldi.”</t>
        </is>
      </c>
    </row>
    <row r="145">
      <c r="A145" s="5" t="inlineStr">
        <is>
          <t>hekim-sozcu-usulu</t>
        </is>
      </c>
      <c r="B145" s="6" t="inlineStr">
        <is>
          <t>Hasta yakınlarına sözcü usulünü getirdi; koridorlar sustu.</t>
        </is>
      </c>
      <c r="C145" s="6" t="inlineStr"/>
      <c r="D145" s="6" t="inlineStr"/>
    </row>
    <row r="146">
      <c r="A146" s="5" t="inlineStr">
        <is>
          <t>hekim-profesor</t>
        </is>
      </c>
      <c r="B146" s="6" t="inlineStr">
        <is>
          <t>Profesör oldu.</t>
        </is>
      </c>
      <c r="C146" s="6" t="inlineStr"/>
      <c r="D146" s="6" t="inlineStr">
        <is>
          <t>“Profesör oldu; akrabalar hastalıklarını artık önce bana anlatıyor, sırayla.”</t>
        </is>
      </c>
    </row>
    <row r="147">
      <c r="A147" s="5" t="inlineStr">
        <is>
          <t>hapis</t>
        </is>
      </c>
      <c r="B147" s="6" t="inlineStr">
        <is>
          <t>Bir süre devletin misafiri oldu.</t>
        </is>
      </c>
      <c r="C147" s="6" t="inlineStr">
        <is>
          <t>Koğuş hayatı: tavla hiyerarşisi, görüş günleri ve af söylentileri.</t>
        </is>
      </c>
      <c r="D147" s="6" t="inlineStr">
        <is>
          <t>“Bir süre uzaktaydı. Sormayın.”</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c r="D148" s="6" t="inlineStr">
        <is>
          <t>“Kapıdan çıktığında saçı ağarmıştı; mahalle bir şey sormadı, çay koydu.”</t>
        </is>
      </c>
    </row>
    <row r="149">
      <c r="A149" s="5" t="inlineStr">
        <is>
          <t>mahalle-babasi</t>
        </is>
      </c>
      <c r="B149" s="6" t="inlineStr">
        <is>
          <t>Mahallede kavgaları o bitirir, düğün tarihlerini o belirler.</t>
        </is>
      </c>
      <c r="C149" s="6" t="inlineStr">
        <is>
          <t>Mahalle babalığı: hatır masası, eski defterler ve kapıda bekleyen veliahtlar.</t>
        </is>
      </c>
      <c r="D149" s="6" t="inlineStr"/>
    </row>
    <row r="150">
      <c r="A150" s="5" t="inlineStr">
        <is>
          <t>esnaf-direndi</t>
        </is>
      </c>
      <c r="B150" s="6" t="inlineStr">
        <is>
          <t>Karşıya açılan zincir markete rağmen kepenk kapatmadı.</t>
        </is>
      </c>
      <c r="C150" s="6" t="inlineStr">
        <is>
          <t>Direnen esnaf: veresiye defteri, sadık müşteriler ve karşıdaki marketin ışıkları.</t>
        </is>
      </c>
      <c r="D150" s="6" t="inlineStr"/>
    </row>
    <row r="151">
      <c r="A151" s="5" t="inlineStr">
        <is>
          <t>tefeci-defteri</t>
        </is>
      </c>
      <c r="B151" s="6" t="inlineStr">
        <is>
          <t>Mahallenin yarısı onun defterinde yazılı.</t>
        </is>
      </c>
      <c r="C151" s="6" t="inlineStr"/>
      <c r="D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c r="D152" s="6" t="inlineStr"/>
    </row>
    <row r="153">
      <c r="A153" s="5" t="inlineStr">
        <is>
          <t>paralari-iade</t>
        </is>
      </c>
      <c r="B153" s="6" t="inlineStr">
        <is>
          <t>Bir gün paraları geri ödedi. Neredeyse hepsini.</t>
        </is>
      </c>
      <c r="C153" s="6" t="inlineStr"/>
      <c r="D153" s="6" t="inlineStr">
        <is>
          <t>“Bir gün herkesin parasını geri verdi; kapımızı ilk kez teşekküre gelen çaldı.”</t>
        </is>
      </c>
    </row>
    <row r="154">
      <c r="A154" s="5" t="inlineStr">
        <is>
          <t>kogus-dostu</t>
        </is>
      </c>
      <c r="B154" s="6" t="inlineStr">
        <is>
          <t>Koğuştan ömürlük bir tavla rakibiyle çıktı.</t>
        </is>
      </c>
      <c r="C154" s="6" t="inlineStr"/>
      <c r="D154" s="6" t="inlineStr">
        <is>
          <t>“İçeride tavlada herkesi yenmiş; mektubunda pulları bile tek tek anlattı.”</t>
        </is>
      </c>
    </row>
    <row r="155">
      <c r="A155" s="5" t="inlineStr">
        <is>
          <t>islah-sertifikasi</t>
        </is>
      </c>
      <c r="B155" s="6" t="inlineStr">
        <is>
          <t>Islah kursundan sertifikayla çıktı.</t>
        </is>
      </c>
      <c r="C155" s="6" t="inlineStr"/>
      <c r="D155" s="6" t="inlineStr"/>
    </row>
    <row r="156">
      <c r="A156" s="5" t="inlineStr">
        <is>
          <t>sohret-dizi-rolu</t>
        </is>
      </c>
      <c r="B156" s="6" t="inlineStr">
        <is>
          <t>Akşam kuşağı dizisinde rol kaptı.</t>
        </is>
      </c>
      <c r="C156" s="6" t="inlineStr"/>
      <c r="D156" s="6" t="inlineStr"/>
    </row>
    <row r="157">
      <c r="A157" s="5" t="inlineStr">
        <is>
          <t>sohret-reklam-yuzu</t>
        </is>
      </c>
      <c r="B157" s="6" t="inlineStr">
        <is>
          <t>Bir deterjan reklamının yüzü oldu.</t>
        </is>
      </c>
      <c r="C157" s="6" t="inlineStr"/>
      <c r="D157" s="6" t="inlineStr"/>
    </row>
    <row r="158">
      <c r="A158" s="5" t="inlineStr">
        <is>
          <t>sohret-donus</t>
        </is>
      </c>
      <c r="B158" s="6" t="inlineStr">
        <is>
          <t>Skandaldan sonra sessiz kaldı, geri döndü.</t>
        </is>
      </c>
      <c r="C158" s="6" t="inlineStr"/>
      <c r="D158" s="6" t="inlineStr"/>
    </row>
    <row r="159">
      <c r="A159" s="5" t="inlineStr">
        <is>
          <t>sohret-kapak-oldu</t>
        </is>
      </c>
      <c r="B159" s="6" t="inlineStr">
        <is>
          <t>Magazin kapağına çıktı.</t>
        </is>
      </c>
      <c r="C159" s="6" t="inlineStr"/>
      <c r="D159" s="6" t="inlineStr">
        <is>
          <t>“Dergi kapağına çıktı; bakkaldaki bütün nüshaları biz aldık, komşulara dağıttık.”</t>
        </is>
      </c>
    </row>
    <row r="160">
      <c r="A160" s="5" t="inlineStr">
        <is>
          <t>girisim-ilk-musteri</t>
        </is>
      </c>
      <c r="B160" s="6" t="inlineStr">
        <is>
          <t>İlk müşterisini kapı kapı dolaşıp buldu.</t>
        </is>
      </c>
      <c r="C160" s="6" t="inlineStr"/>
      <c r="D160" s="6" t="inlineStr"/>
    </row>
    <row r="161">
      <c r="A161" s="5" t="inlineStr">
        <is>
          <t>girisim-pivotcu</t>
        </is>
      </c>
      <c r="B161" s="6" t="inlineStr">
        <is>
          <t>Şirketini bir gecede yapay zekâ şirketi yaptı.</t>
        </is>
      </c>
      <c r="C161" s="6" t="inlineStr"/>
      <c r="D161" s="6" t="inlineStr"/>
    </row>
    <row r="162">
      <c r="A162" s="5" t="inlineStr">
        <is>
          <t>holding</t>
        </is>
      </c>
      <c r="B162" s="6" t="inlineStr">
        <is>
          <t>Şirketini holdinge dönüştürdü.</t>
        </is>
      </c>
      <c r="C162" s="6" t="inlineStr">
        <is>
          <t>Sonraki bölümde holding seni toplantıdan toplantıya taşıyacak.</t>
        </is>
      </c>
      <c r="D162" s="6" t="inlineStr">
        <is>
          <t>“Şirketini holding yaptı; bayram sofrasının yarısı artık onun çalışanları.”</t>
        </is>
      </c>
    </row>
    <row r="163">
      <c r="A163" s="5" t="inlineStr">
        <is>
          <t>sirketi-satti</t>
        </is>
      </c>
      <c r="B163" s="6" t="inlineStr">
        <is>
          <t>Şirketini sattı; adı kapıdan söküldü.</t>
        </is>
      </c>
      <c r="C163" s="6" t="inlineStr">
        <is>
          <t>Sonraki bölümde “seri girişimci” unvanıyla dolaşacaksın.</t>
        </is>
      </c>
      <c r="D163" s="6" t="inlineStr"/>
    </row>
    <row r="164">
      <c r="A164" s="5" t="inlineStr">
        <is>
          <t>parti-il-yoneticisi</t>
        </is>
      </c>
      <c r="B164" s="6" t="inlineStr">
        <is>
          <t>Partinin il yöneticisi oldu; çayla başladı.</t>
        </is>
      </c>
      <c r="C164" s="6" t="inlineStr"/>
      <c r="D164" s="6" t="inlineStr"/>
    </row>
    <row r="165">
      <c r="A165" s="5" t="inlineStr">
        <is>
          <t>meclis-uyesi</t>
        </is>
      </c>
      <c r="B165" s="6" t="inlineStr">
        <is>
          <t>Belediye meclis üyesi seçildi.</t>
        </is>
      </c>
      <c r="C165" s="6" t="inlineStr"/>
      <c r="D165" s="6" t="inlineStr">
        <is>
          <t>“Meclis üyesi seçildi; kaldırımdan geçerken herkes bize selam veriyor.”</t>
        </is>
      </c>
    </row>
    <row r="166">
      <c r="A166" s="5" t="inlineStr">
        <is>
          <t>belediye-baskani</t>
        </is>
      </c>
      <c r="B166" s="6" t="inlineStr">
        <is>
          <t>Belediye başkanı seçildi.</t>
        </is>
      </c>
      <c r="C166" s="6" t="inlineStr">
        <is>
          <t>Sonraki bölümde anı kitabın bu dönemle dolacak.</t>
        </is>
      </c>
      <c r="D166" s="6" t="inlineStr">
        <is>
          <t>“Belediye başkanı oldu; bizim sokağın çukuru ilk hafta kapandı, komşular bize teşekkür etti.”</t>
        </is>
      </c>
    </row>
    <row r="167">
      <c r="A167" s="5" t="inlineStr">
        <is>
          <t>tv-tartismaci</t>
        </is>
      </c>
      <c r="B167" s="6" t="inlineStr">
        <is>
          <t>Gece yarısı tartışmalarının aranan konuğu oldu.</t>
        </is>
      </c>
      <c r="C167" s="6" t="inlineStr"/>
      <c r="D167" s="6" t="inlineStr">
        <is>
          <t>“Gece yarısı programlarına çıkar oldu; biz uyumadan izliyoruz, sabah komşulara anlatıyoruz.”</t>
        </is>
      </c>
    </row>
    <row r="168">
      <c r="A168" s="5" t="inlineStr">
        <is>
          <t>secim-kazandi</t>
        </is>
      </c>
      <c r="B168" s="6" t="inlineStr">
        <is>
          <t>Makarya Meclisi'ne seçildi.</t>
        </is>
      </c>
      <c r="C168" s="6" t="inlineStr">
        <is>
          <t>Sonraki bölümde herkes sana “Başkanım” diyecek, nedenini sormadan.</t>
        </is>
      </c>
      <c r="D168" s="6" t="inlineStr">
        <is>
          <t>“Meclis'e girdi; televizyonda konuşurken bütün mahalle bizim salonda izledi.”</t>
        </is>
      </c>
    </row>
    <row r="169">
      <c r="A169" s="5" t="inlineStr">
        <is>
          <t>ihaleci</t>
        </is>
      </c>
      <c r="B169" s="6" t="inlineStr">
        <is>
          <t>Seçim gecesi bir ihale teklifini kabul etti.</t>
        </is>
      </c>
      <c r="C169" s="6" t="inlineStr">
        <is>
          <t>Sonraki bölümde o ihale anılarından çıkmayacak.</t>
        </is>
      </c>
      <c r="D169" s="6" t="inlineStr"/>
    </row>
    <row r="170">
      <c r="A170" s="5" t="inlineStr">
        <is>
          <t>memlekette-ev</t>
        </is>
      </c>
      <c r="B170" s="6" t="inlineStr">
        <is>
          <t>Gurbetteyken memlekette küçük bir ev aldı; anahtarı annesindeydi.</t>
        </is>
      </c>
      <c r="C170" s="6" t="inlineStr"/>
      <c r="D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c r="D171" s="6" t="inlineStr">
        <is>
          <t>“Öte Diyar pasaportunu aldı; fotoğrafta gülüyor, biz de baktıkça gülüyoruz.”</t>
        </is>
      </c>
    </row>
    <row r="172">
      <c r="A172" s="5" t="inlineStr">
        <is>
          <t>ote-diyar-dukkani</t>
        </is>
      </c>
      <c r="B172" s="6" t="inlineStr">
        <is>
          <t>Öte Diyar'da iki dilli tabelalı bir dükkân açtı.</t>
        </is>
      </c>
      <c r="C172" s="6" t="inlineStr">
        <is>
          <t>Gurbette dükkân: kira iki dilde artar, müşteriler iki dilde pazarlık eder.</t>
        </is>
      </c>
      <c r="D172" s="6" t="inlineStr"/>
    </row>
    <row r="173">
      <c r="A173" s="5" t="inlineStr">
        <is>
          <t>gurbet-ogretmeni</t>
        </is>
      </c>
      <c r="B173" s="6" t="inlineStr">
        <is>
          <t>Gurbette çocuklara memleket dilini öğretti.</t>
        </is>
      </c>
      <c r="C173" s="6" t="inlineStr"/>
      <c r="D173" s="6" t="inlineStr">
        <is>
          <t>“Gurbette çocuklara bizim dili öğretti; dokuz çocuk telefonda bana ‘teyze’ dedi, ağladım.”</t>
        </is>
      </c>
    </row>
    <row r="174">
      <c r="A174" s="5" t="inlineStr">
        <is>
          <t>donuse-hazir</t>
        </is>
      </c>
      <c r="B174" s="6" t="inlineStr">
        <is>
          <t>Memleketteki evi dönüş için onarttı; kendisi hep yarı hazırdı.</t>
        </is>
      </c>
      <c r="C174" s="6" t="inlineStr"/>
      <c r="D174" s="6" t="inlineStr"/>
    </row>
    <row r="175">
      <c r="A175" s="5" t="inlineStr">
        <is>
          <t>yazliga-dondu</t>
        </is>
      </c>
      <c r="B175" s="6" t="inlineStr">
        <is>
          <t>Emekliliğinde memleketteki evine döndü; balkonda mangal yaktı.</t>
        </is>
      </c>
      <c r="C175" s="6" t="inlineStr"/>
      <c r="D175" s="6" t="inlineStr">
        <is>
          <t>“Memlekete döndü; balkondan mangal dumanı hâlâ görünüyor.”</t>
        </is>
      </c>
    </row>
    <row r="176">
      <c r="A176" s="5" t="inlineStr">
        <is>
          <t>iki-memleketli</t>
        </is>
      </c>
      <c r="B176" s="6" t="inlineStr">
        <is>
          <t>Kışları Öte Diyar'da, yazları memlekette geçirdi; iki mahallede de beklendi.</t>
        </is>
      </c>
      <c r="C176" s="6" t="inlineStr"/>
      <c r="D176" s="6" t="inlineStr">
        <is>
          <t>“Kışı burada, yazı orada geçirdi; iki mahalle de onu bekledi.”</t>
        </is>
      </c>
    </row>
    <row r="177">
      <c r="A177" s="5" t="inlineStr">
        <is>
          <t>keci-dostu</t>
        </is>
      </c>
      <c r="B177" s="6" t="inlineStr">
        <is>
          <t>Sürünün lider keçisiyle anlaştı.</t>
        </is>
      </c>
      <c r="C177" s="6" t="inlineStr"/>
      <c r="D177" s="6" t="inlineStr"/>
    </row>
    <row r="178">
      <c r="A178" s="5" t="inlineStr">
        <is>
          <t>kooperatif-defteri</t>
        </is>
      </c>
      <c r="B178" s="6" t="inlineStr">
        <is>
          <t>Kooperatifin hesap defterini tuttu.</t>
        </is>
      </c>
      <c r="C178" s="6" t="inlineStr"/>
      <c r="D178" s="6" t="inlineStr"/>
    </row>
    <row r="179">
      <c r="A179" s="5" t="inlineStr">
        <is>
          <t>kahvede-sozu-var</t>
        </is>
      </c>
      <c r="B179" s="6" t="inlineStr">
        <is>
          <t>Köy kahvesinde iki küs üyeyi barıştırdı; sözü dinlendi.</t>
        </is>
      </c>
      <c r="C179" s="6" t="inlineStr"/>
      <c r="D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c r="D180" s="6" t="inlineStr">
        <is>
          <t>“Köyün muhtarı oldu; kahveye ikinci sobayı o kurdurdu, ilk çayı biz içtik.”</t>
        </is>
      </c>
    </row>
    <row r="181">
      <c r="A181" s="5" t="inlineStr">
        <is>
          <t>kooperatif</t>
        </is>
      </c>
      <c r="B181" s="6" t="inlineStr">
        <is>
          <t>Köyde kooperatif kurdu; peynirleri şehre gitti.</t>
        </is>
      </c>
      <c r="C181" s="6" t="inlineStr">
        <is>
          <t>Kooperatif hayatı: uzun toplantılar, süt tankı hesapları ve peynirin şehirdeki fiyatı.</t>
        </is>
      </c>
      <c r="D181" s="6" t="inlineStr"/>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c r="D182" s="6" t="inlineStr"/>
    </row>
    <row r="183">
      <c r="A183" s="5" t="inlineStr">
        <is>
          <t>unlu-koylu</t>
        </is>
      </c>
      <c r="B183" s="6" t="inlineStr">
        <is>
          <t>Bir belgesel sayesinde “Belgeselde konuşan” olarak tanındı.</t>
        </is>
      </c>
      <c r="C183" s="6" t="inlineStr"/>
      <c r="D183" s="6" t="inlineStr"/>
    </row>
    <row r="184">
      <c r="A184" s="5" t="inlineStr">
        <is>
          <t>koy-hafizasi</t>
        </is>
      </c>
      <c r="B184" s="6" t="inlineStr">
        <is>
          <t>Köyün hikâyesini bir deftere yazdı.</t>
        </is>
      </c>
      <c r="C184" s="6" t="inlineStr"/>
      <c r="D184" s="6" t="inlineStr">
        <is>
          <t>“Köyün hikâyesini deftere yazdı; defter köyden büyük çıktı.”</t>
        </is>
      </c>
    </row>
    <row r="185">
      <c r="A185" s="5" t="inlineStr">
        <is>
          <t>usta-ciragi-var</t>
        </is>
      </c>
      <c r="B185" s="6" t="inlineStr">
        <is>
          <t>İlk çırağını yetiştirdi.</t>
        </is>
      </c>
      <c r="C185" s="6" t="inlineStr"/>
      <c r="D185" s="6" t="inlineStr"/>
    </row>
    <row r="186">
      <c r="A186" s="5" t="inlineStr">
        <is>
          <t>sanayi-hakemi</t>
        </is>
      </c>
      <c r="B186" s="6" t="inlineStr">
        <is>
          <t>Sanayide ustaların kavgasını çözen kişi oldu.</t>
        </is>
      </c>
      <c r="C186" s="6" t="inlineStr"/>
      <c r="D186" s="6" t="inlineStr"/>
    </row>
    <row r="187">
      <c r="A187" s="5" t="inlineStr">
        <is>
          <t>usta-buyudu</t>
        </is>
      </c>
      <c r="B187" s="6" t="inlineStr">
        <is>
          <t>Yeni sanayi sitesinde iki katlı dükkânıyla büyüdü.</t>
        </is>
      </c>
      <c r="C187" s="6" t="inlineStr">
        <is>
          <t>Büyük dükkân: kalfalar, lift taksitleri ve sitenin en kalabalık kapısı.</t>
        </is>
      </c>
      <c r="D187" s="6" t="inlineStr"/>
    </row>
    <row r="188">
      <c r="A188" s="5" t="inlineStr">
        <is>
          <t>yeni-motor-ustasi</t>
        </is>
      </c>
      <c r="B188" s="6" t="inlineStr">
        <is>
          <t>Sessiz motorların da sesini öğrendi.</t>
        </is>
      </c>
      <c r="C188" s="6" t="inlineStr"/>
      <c r="D188" s="6" t="inlineStr">
        <is>
          <t>“Sessiz arabaların arızasını da bulur oldu; kalfası ‘Usta kulağını yeniletmiş’ diyor.”</t>
        </is>
      </c>
    </row>
    <row r="189">
      <c r="A189" s="5" t="inlineStr">
        <is>
          <t>ustalarin-ustasi</t>
        </is>
      </c>
      <c r="B189" s="6" t="inlineStr">
        <is>
          <t>Sanayide “ustaların ustası” diye anıldı.</t>
        </is>
      </c>
      <c r="C189" s="6" t="inlineStr"/>
      <c r="D189" s="6" t="inlineStr">
        <is>
          <t>“Sanayide ona ‘ustaların ustası’ diyorlar; çırağı bayramda önce onun elini öpüyor.”</t>
        </is>
      </c>
    </row>
    <row r="190">
      <c r="A190" s="5" t="inlineStr">
        <is>
          <t>son-motor</t>
        </is>
      </c>
      <c r="B190" s="6" t="inlineStr">
        <is>
          <t>Son motorunu kendi elleriyle toplayıp sanayinin girişine bıraktı.</t>
        </is>
      </c>
      <c r="C190" s="6" t="inlineStr"/>
      <c r="D190" s="6" t="inlineStr">
        <is>
          <t>“Son motorunu kendi elleriyle sanayinin girişine bıraktı.”</t>
        </is>
      </c>
    </row>
    <row r="191">
      <c r="A191" s="5" t="inlineStr">
        <is>
          <t>ikiz</t>
        </is>
      </c>
      <c r="B191" s="6" t="inlineStr">
        <is>
          <t>İkiz ebeveyni oldu; bebek arabası pazarlığı iki kez yapıldı.</t>
        </is>
      </c>
      <c r="C191" s="6" t="inlineStr"/>
      <c r="D191" s="6" t="inlineStr">
        <is>
          <t>“Bir beşik aldık, iki bebek geldi; hangisi kime benziyor, hâlâ karar veremedik.”</t>
        </is>
      </c>
    </row>
    <row r="192">
      <c r="A192" s="5" t="inlineStr">
        <is>
          <t>kiraci-kaldi</t>
        </is>
      </c>
      <c r="B192" s="6" t="inlineStr">
        <is>
          <t>Ev almak yerine kirada kalmayı seçti.</t>
        </is>
      </c>
      <c r="C192" s="6" t="inlineStr"/>
      <c r="D192" s="6" t="inlineStr">
        <is>
          <t>“Ev almadı, kirada kaldı; ev sahibi bayramda onu arar.”</t>
        </is>
      </c>
    </row>
    <row r="193">
      <c r="A193" s="5" t="inlineStr">
        <is>
          <t>aile-yardimi-ev</t>
        </is>
      </c>
      <c r="B193" s="6" t="inlineStr">
        <is>
          <t>Ailesinin yardımıyla ev sahibi oldu; anahtarın yedeği annesinde.</t>
        </is>
      </c>
      <c r="C193" s="6" t="inlineStr"/>
      <c r="D193" s="6" t="inlineStr">
        <is>
          <t>“Ev onun, anahtarın yedeği bende.”</t>
        </is>
      </c>
    </row>
    <row r="194">
      <c r="A194" s="5" t="inlineStr">
        <is>
          <t>evin-oglu</t>
        </is>
      </c>
      <c r="B194" s="6" t="inlineStr">
        <is>
          <t>Otuzlarında hâlâ annesinin evinde, eski odasında yaşadı.</t>
        </is>
      </c>
      <c r="C194" s="6" t="inlineStr">
        <is>
          <t>Evin Oğlu: annenin tencere takvimi, sabit bir oda ve her bayram aynı soru.</t>
        </is>
      </c>
      <c r="D194" s="6" t="inlineStr"/>
    </row>
    <row r="195">
      <c r="A195" s="5" t="inlineStr">
        <is>
          <t>zirve</t>
        </is>
      </c>
      <c r="B195" s="6" t="inlineStr">
        <is>
          <t>Hattının zirvesine çıktı.</t>
        </is>
      </c>
      <c r="C195" s="6" t="inlineStr">
        <is>
          <t>Zirvedesin: artık herkes senden bir şey istiyor; en çok da zaman.</t>
        </is>
      </c>
      <c r="D195" s="6" t="inlineStr">
        <is>
          <t>“Mesleğinin en tepesine çıktı; komşulara ben söylemedim, kendileri sordu.”</t>
        </is>
      </c>
    </row>
    <row r="196">
      <c r="A196" s="5" t="inlineStr">
        <is>
          <t>emekliligi-reddetti</t>
        </is>
      </c>
      <c r="B196" s="6" t="inlineStr">
        <is>
          <t>Emekli olmayı reddetti; masası bir müze parçasına dönüştü.</t>
        </is>
      </c>
      <c r="C196" s="6" t="inlineStr"/>
      <c r="D196" s="6" t="inlineStr">
        <is>
          <t>“Pastayı yedi, plaketi aldı, ertesi sabah yine işe gitti. Kimse durduramadı.”</t>
        </is>
      </c>
    </row>
    <row r="197">
      <c r="A197" s="5" t="inlineStr">
        <is>
          <t>ask-evliligi</t>
        </is>
      </c>
      <c r="B197" s="6" t="inlineStr">
        <is>
          <t>Aşk evliliği yaptı; kahvesi tuzluydu.</t>
        </is>
      </c>
      <c r="C197" s="6" t="inlineStr"/>
      <c r="D197" s="6" t="inlineStr">
        <is>
          <t>“Tuzlu kahveyi son yudumuna kadar içti; o gün anladık ki bu iş olacak.”</t>
        </is>
      </c>
    </row>
    <row r="198">
      <c r="A198" s="5" t="inlineStr">
        <is>
          <t>gorucu</t>
        </is>
      </c>
      <c r="B198" s="6" t="inlineStr">
        <is>
          <t>Görücü usulüyle evlendi; ilk kahve bir yıl sürdü.</t>
        </is>
      </c>
      <c r="C198" s="6" t="inlineStr"/>
      <c r="D198" s="6" t="inlineStr">
        <is>
          <t>“‘Sadece bir kahve’ dedi; bir yıl sonra o kahveyi düğün salonunda içtik.”</t>
        </is>
      </c>
    </row>
    <row r="199">
      <c r="A199" s="5" t="inlineStr">
        <is>
          <t>bekar</t>
        </is>
      </c>
      <c r="B199" s="6" t="inlineStr">
        <is>
          <t>Bekâr kaldı; her bayram “Sen bilirsin” dinledi.</t>
        </is>
      </c>
      <c r="C199" s="6" t="inlineStr">
        <is>
          <t>Bekâr hayat: bayram sofralarında aynı soru, tek kişilik tatiller ve kimseye hesap vermeyen akşamlar.</t>
        </is>
      </c>
      <c r="D199" s="6" t="inlineStr">
        <is>
          <t>“Bayram sofrasında ‘Evlenmeyeceğim’ dedi; teyzesi dolmayı tabağından geri aldı.”</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c r="D200" s="6" t="inlineStr">
        <is>
          <t>“Aynı restoranda üç akşam, üç ayrı isim; garson ondan iyi biliyordu.”</t>
        </is>
      </c>
    </row>
    <row r="201">
      <c r="A201" s="5" t="inlineStr">
        <is>
          <t>capkin-ifsa</t>
        </is>
      </c>
      <c r="B201" s="6" t="inlineStr">
        <is>
          <t>Çapkınlığı bir aile grubunda ifşa oldu.</t>
        </is>
      </c>
      <c r="C201" s="6" t="inlineStr"/>
      <c r="D201" s="6" t="inlineStr">
        <is>
          <t>“Aile grubunda ifşa oldu; grup bir hafta sessiz kaldı.”</t>
        </is>
      </c>
    </row>
    <row r="202">
      <c r="A202" s="5" t="inlineStr">
        <is>
          <t>hat-politika</t>
        </is>
      </c>
      <c r="B202" s="6" t="inlineStr">
        <is>
          <t>Siyasete atıldı.</t>
        </is>
      </c>
      <c r="C202" s="6" t="inlineStr">
        <is>
          <t>Siyaset: miting çayları, kaldırım vaatleri ve seçim gecesi.</t>
        </is>
      </c>
      <c r="D202" s="6" t="inlineStr"/>
    </row>
    <row r="203">
      <c r="A203" s="5" t="inlineStr">
        <is>
          <t>ceza-indirimi</t>
        </is>
      </c>
      <c r="B203" s="6" t="inlineStr">
        <is>
          <t>Mahallesi ona kefil oldu; cezası kısaldı.</t>
        </is>
      </c>
      <c r="C203" s="6" t="inlineStr"/>
      <c r="D203" s="6" t="inlineStr"/>
    </row>
    <row r="204">
      <c r="A204" s="5" t="inlineStr">
        <is>
          <t>kardesli</t>
        </is>
      </c>
      <c r="B204" s="6" t="inlineStr">
        <is>
          <t>Bir kardeşi oldu.</t>
        </is>
      </c>
      <c r="C204" s="6" t="inlineStr"/>
      <c r="D204" s="6" t="inlineStr">
        <is>
          <t>“Kardeşi geldi; o günden beri bu evde iki bebek var, biri dört yaşında.”</t>
        </is>
      </c>
    </row>
    <row r="205">
      <c r="A205" s="5" t="inlineStr">
        <is>
          <t>sigara</t>
        </is>
      </c>
      <c r="B205" s="6" t="inlineStr">
        <is>
          <t>Sigaraya başladı.</t>
        </is>
      </c>
      <c r="C205" s="6" t="inlineStr"/>
      <c r="D205" s="6" t="inlineStr"/>
    </row>
    <row r="206">
      <c r="A206" s="5" t="inlineStr">
        <is>
          <t>anneanne-ugurladi</t>
        </is>
      </c>
      <c r="B206" s="6" t="inlineStr">
        <is>
          <t>Yirmili yaşlarında anneannesini uğurladı.</t>
        </is>
      </c>
      <c r="C206" s="6" t="inlineStr"/>
      <c r="D206" s="6" t="inlineStr">
        <is>
          <t>“Anneannesini erken uğurladı; sandalyesi hâlâ aynı yerde duruyor.”</t>
        </is>
      </c>
    </row>
    <row r="207">
      <c r="A207" s="5" t="inlineStr">
        <is>
          <t>bosandi</t>
        </is>
      </c>
      <c r="B207" s="6" t="inlineStr">
        <is>
          <t>Evliliği anlaşmalı bir boşanmayla bitti.</t>
        </is>
      </c>
      <c r="C207" s="6" t="inlineStr"/>
      <c r="D207" s="6" t="inlineStr">
        <is>
          <t>“Ayrıldılar; biz yine de bayramda iki tarafı da arıyoruz.”</t>
        </is>
      </c>
    </row>
    <row r="208">
      <c r="A208" s="5" t="inlineStr">
        <is>
          <t>sporcu</t>
        </is>
      </c>
      <c r="B208" s="6" t="inlineStr">
        <is>
          <t>Spor salonuna yıllık üyelik aldı ve gerçekten gitti.</t>
        </is>
      </c>
      <c r="C208" s="6" t="inlineStr"/>
      <c r="D208" s="6" t="inlineStr"/>
    </row>
    <row r="209">
      <c r="A209" s="5" t="inlineStr">
        <is>
          <t>babanin-ceketi</t>
        </is>
      </c>
      <c r="B209" s="6" t="inlineStr">
        <is>
          <t>Babasının ceketini giydi; kolları kısa, omuzları geniş geldi.</t>
        </is>
      </c>
      <c r="C209" s="6" t="inlineStr"/>
      <c r="D209" s="6" t="inlineStr">
        <is>
          <t>“Babasının ceketini giydi; kolları kısa geldi, kimse bir şey söylemedi.”</t>
        </is>
      </c>
    </row>
    <row r="210">
      <c r="A210" s="5" t="inlineStr">
        <is>
          <t>dul</t>
        </is>
      </c>
      <c r="B210" s="6" t="inlineStr">
        <is>
          <t>Eşini uğurladı; bir süre iki fincan çay koymayı bırakamadı.</t>
        </is>
      </c>
      <c r="C210" s="6" t="inlineStr"/>
      <c r="D210" s="6" t="inlineStr">
        <is>
          <t>“Eşinden sonra da iki fincan çıkarmayı bırakmadı; birini hep karşısına koydu.”</t>
        </is>
      </c>
    </row>
    <row r="211">
      <c r="A211" t="inlineStr">
        <is>
          <t>karne-iyi</t>
        </is>
      </c>
      <c r="B211" t="inlineStr">
        <is>
          <t>Karnesi iyiydi.</t>
        </is>
      </c>
      <c r="D211" t="inlineStr">
        <is>
          <t>“Karnesini kapıda gururla açtı; balkondan komşuya salladık.”</t>
        </is>
      </c>
    </row>
    <row r="212">
      <c r="A212" t="inlineStr">
        <is>
          <t>karne-orta</t>
        </is>
      </c>
      <c r="B212" t="inlineStr">
        <is>
          <t>Karnesi ortaydı.</t>
        </is>
      </c>
      <c r="D212" t="inlineStr">
        <is>
          <t>“Karnesi ne iyi ne kötüydü; imza sorunsuz geçti.”</t>
        </is>
      </c>
    </row>
    <row r="213">
      <c r="A213" t="inlineStr">
        <is>
          <t>karne-kotu</t>
        </is>
      </c>
      <c r="B213" t="inlineStr">
        <is>
          <t>Karnesi kötüydü.</t>
        </is>
      </c>
      <c r="D213" t="inlineStr">
        <is>
          <t>“Karnesini önce çantasında yaşattı, sonra babasına teslim etti.”</t>
        </is>
      </c>
    </row>
    <row r="214">
      <c r="A214" t="inlineStr">
        <is>
          <t>sinav-iyi</t>
        </is>
      </c>
      <c r="B214" t="inlineStr">
        <is>
          <t>Üniversite sınavında derece yaptı.</t>
        </is>
      </c>
    </row>
    <row r="215">
      <c r="A215" t="inlineStr">
        <is>
          <t>sinav-orta</t>
        </is>
      </c>
      <c r="B215" t="inlineStr">
        <is>
          <t>Üniversite sınavını geçti; puanı ortalardaydı.</t>
        </is>
      </c>
    </row>
    <row r="216">
      <c r="A216" t="inlineStr">
        <is>
          <t>sinav-kotu</t>
        </is>
      </c>
      <c r="B216" t="inlineStr">
        <is>
          <t>Üniversite sınavında puanı yetmedi.</t>
        </is>
      </c>
    </row>
    <row r="217">
      <c r="A217" t="inlineStr">
        <is>
          <t>yd-aile-ok</t>
        </is>
      </c>
      <c r="B217" t="inlineStr">
        <is>
          <t>Ailesi Öte Diyar'a “önce burada kazan” şartıyla evet dedi.</t>
        </is>
      </c>
    </row>
    <row r="218">
      <c r="A218" t="inlineStr">
        <is>
          <t>yd-reddedildi</t>
        </is>
      </c>
      <c r="B218" t="inlineStr">
        <is>
          <t>Öte Diyar'daki üniversiteden ret aldı.</t>
        </is>
      </c>
    </row>
    <row r="219">
      <c r="A219" t="inlineStr">
        <is>
          <t>avukat</t>
        </is>
      </c>
      <c r="B219" t="inlineStr">
        <is>
          <t>Hukuk bürosunda avukat olarak başladı.</t>
        </is>
      </c>
    </row>
    <row r="220">
      <c r="A220" t="inlineStr">
        <is>
          <t>muhendis</t>
        </is>
      </c>
      <c r="B220" t="inlineStr">
        <is>
          <t>Mühendis olarak sahaya çıktı.</t>
        </is>
      </c>
    </row>
    <row r="221">
      <c r="A221" t="inlineStr">
        <is>
          <t>kart-borclu</t>
        </is>
      </c>
      <c r="B221" t="inlineStr">
        <is>
          <t>Kredi kartının asgarisini ödedi; faiz işliyor.</t>
        </is>
      </c>
    </row>
    <row r="222">
      <c r="A222" t="inlineStr">
        <is>
          <t>kefil-borclu</t>
        </is>
      </c>
      <c r="B222" t="inlineStr">
        <is>
          <t>Birinin kredisine kefil oldu.</t>
        </is>
      </c>
    </row>
    <row r="223">
      <c r="A223" t="inlineStr">
        <is>
          <t>icra-dosyasi</t>
        </is>
      </c>
      <c r="B223" t="inlineStr">
        <is>
          <t>Hakkında icra dosyası açıldı.</t>
        </is>
      </c>
    </row>
  </sheetData>
  <autoFilter ref="A1:D21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8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0" customWidth="1" min="2" max="2"/>
    <col width="90" customWidth="1" min="3" max="3"/>
    <col width="18" customWidth="1" min="4" max="4"/>
    <col width="14" customWidth="1" min="5" max="5"/>
  </cols>
  <sheetData>
    <row r="1" ht="32" customHeight="1">
      <c r="A1" s="4" t="inlineStr">
        <is>
          <t>Asgari yaş</t>
        </is>
      </c>
      <c r="B1" s="4" t="inlineStr">
        <is>
          <t>Azami yaş</t>
        </is>
      </c>
      <c r="C1" s="4" t="inlineStr">
        <is>
          <t>Mezar taşı metni</t>
        </is>
      </c>
      <c r="D1" s="4" t="inlineStr">
        <is>
          <t>Gereken hafıza</t>
        </is>
      </c>
      <c r="E1" s="4" t="inlineStr">
        <is>
          <t>Mekân grubu</t>
        </is>
      </c>
    </row>
    <row r="2">
      <c r="A2" s="5" t="n">
        <v>18</v>
      </c>
      <c r="B2" s="5" t="n">
        <v>40</v>
      </c>
      <c r="C2" s="6" t="inlineStr">
        <is>
          <t>Kira sözleşmesinin ek maddelerini okurken. Madde 14 hâlâ açıklığa kavuşmadı.</t>
        </is>
      </c>
      <c r="D2" s="5" t="inlineStr"/>
      <c r="E2" s="5" t="inlineStr">
        <is>
          <t>ev</t>
        </is>
      </c>
    </row>
    <row r="3">
      <c r="A3" s="5" t="n">
        <v>18</v>
      </c>
      <c r="B3" s="5" t="n">
        <v>40</v>
      </c>
      <c r="C3" s="6" t="inlineStr">
        <is>
          <t>Kargo takip ekranında 'dağıtıma çıktı' yazısını beklerken. Kargo ertesi gün teslim edildi.</t>
        </is>
      </c>
      <c r="D3" s="5" t="inlineStr"/>
      <c r="E3" s="5" t="inlineStr">
        <is>
          <t>ev</t>
        </is>
      </c>
    </row>
    <row r="4">
      <c r="A4" s="5" t="n">
        <v>18</v>
      </c>
      <c r="B4" s="5" t="n">
        <v>40</v>
      </c>
      <c r="C4" s="6" t="inlineStr">
        <is>
          <t>Ev arkadaşıyla bulaşık nöbeti tartışmasının dördüncü turunda. Bulaşıklar hâlâ lavaboda.</t>
        </is>
      </c>
      <c r="D4" s="5" t="inlineStr"/>
      <c r="E4" s="5" t="inlineStr">
        <is>
          <t>ev</t>
        </is>
      </c>
    </row>
    <row r="5">
      <c r="A5" s="5" t="n">
        <v>18</v>
      </c>
      <c r="B5" s="5" t="n">
        <v>40</v>
      </c>
      <c r="C5" s="6" t="inlineStr">
        <is>
          <t>Staj başvurusunun on yedinci formunu doldururken. Başvuru alındı.</t>
        </is>
      </c>
      <c r="D5" s="5" t="inlineStr"/>
      <c r="E5" s="5" t="inlineStr">
        <is>
          <t>is</t>
        </is>
      </c>
    </row>
    <row r="6">
      <c r="A6" s="5" t="n">
        <v>18</v>
      </c>
      <c r="B6" s="5" t="n">
        <v>40</v>
      </c>
      <c r="C6" s="6" t="inlineStr">
        <is>
          <t>Yeni işinin ilk gününde, asansörde kimseyle göz teması kurmamaya çalışırken.</t>
        </is>
      </c>
      <c r="D6" s="5" t="inlineStr"/>
      <c r="E6" s="5" t="inlineStr">
        <is>
          <t>is</t>
        </is>
      </c>
    </row>
    <row r="7">
      <c r="A7" s="5" t="n">
        <v>18</v>
      </c>
      <c r="B7" s="5" t="n">
        <v>40</v>
      </c>
      <c r="C7" s="6" t="inlineStr">
        <is>
          <t>Kısa video uygulaması için aynı dansın kırk birinci çekiminde. Kırkıncısı zaten yüklenmişti.</t>
        </is>
      </c>
      <c r="D7" s="5" t="inlineStr">
        <is>
          <t>fenomen</t>
        </is>
      </c>
      <c r="E7" s="5" t="inlineStr">
        <is>
          <t>ev</t>
        </is>
      </c>
    </row>
    <row r="8">
      <c r="A8" s="5" t="n">
        <v>18</v>
      </c>
      <c r="B8" s="5" t="n">
        <v>40</v>
      </c>
      <c r="C8" s="6" t="inlineStr">
        <is>
          <t>Sabah koşusunun son turunda, saatin adım sayısını kontrol ederken. Hedef tamamlanmıştı.</t>
        </is>
      </c>
      <c r="D8" s="5" t="inlineStr">
        <is>
          <t>sporcu</t>
        </is>
      </c>
      <c r="E8" s="5" t="inlineStr">
        <is>
          <t>yol</t>
        </is>
      </c>
    </row>
    <row r="9">
      <c r="A9" s="5" t="n">
        <v>18</v>
      </c>
      <c r="B9" s="5" t="n">
        <v>40</v>
      </c>
      <c r="C9" s="6" t="inlineStr">
        <is>
          <t>Taksit planını yeniden yapılandırmak için bankayı ararken. Sıradaki müşteri temsilcisi hâlâ hatta.</t>
        </is>
      </c>
      <c r="D9" s="5" t="inlineStr">
        <is>
          <t>borclu</t>
        </is>
      </c>
      <c r="E9" s="5" t="inlineStr">
        <is>
          <t>ev</t>
        </is>
      </c>
    </row>
    <row r="10">
      <c r="A10" s="5" t="n">
        <v>40</v>
      </c>
      <c r="B10" s="5" t="n">
        <v>60</v>
      </c>
      <c r="C10" s="6" t="inlineStr">
        <is>
          <t>Site yönetimine itiraz dilekçesini teslim ederken. Dilekçe hâlâ değerlendiriliyor.</t>
        </is>
      </c>
      <c r="D10" s="5" t="inlineStr"/>
      <c r="E10" s="5" t="inlineStr">
        <is>
          <t>ev</t>
        </is>
      </c>
    </row>
    <row r="11">
      <c r="A11" s="5" t="n">
        <v>40</v>
      </c>
      <c r="B11" s="5" t="n">
        <v>60</v>
      </c>
      <c r="C11" s="6" t="inlineStr">
        <is>
          <t>Kombi tamircisini beklerken. Tamirci ertesi gün geldi.</t>
        </is>
      </c>
      <c r="D11" s="5" t="inlineStr"/>
      <c r="E11" s="5" t="inlineStr">
        <is>
          <t>ev</t>
        </is>
      </c>
    </row>
    <row r="12">
      <c r="A12" s="5" t="n">
        <v>40</v>
      </c>
      <c r="B12" s="5" t="n">
        <v>60</v>
      </c>
      <c r="C12" s="6" t="inlineStr">
        <is>
          <t>Performans değerlendirme toplantısında 'beklentileri karşılıyor' ifadesini duyduğu anda.</t>
        </is>
      </c>
      <c r="D12" s="5" t="inlineStr">
        <is>
          <t>meslek-beyazyaka</t>
        </is>
      </c>
      <c r="E12" s="5" t="inlineStr">
        <is>
          <t>is</t>
        </is>
      </c>
    </row>
    <row r="13">
      <c r="A13" s="5" t="n">
        <v>40</v>
      </c>
      <c r="B13" s="5" t="n">
        <v>60</v>
      </c>
      <c r="C13" s="6" t="inlineStr">
        <is>
          <t>Dükkânın kepengini indirirken, günün son müşterisinin 'Bir şey soracaktım' demesiyle.</t>
        </is>
      </c>
      <c r="D13" s="5" t="inlineStr">
        <is>
          <t>meslek-esnaf</t>
        </is>
      </c>
      <c r="E13" s="5" t="inlineStr">
        <is>
          <t>is</t>
        </is>
      </c>
    </row>
    <row r="14">
      <c r="A14" s="5" t="n">
        <v>40</v>
      </c>
      <c r="B14" s="5" t="n">
        <v>60</v>
      </c>
      <c r="C14" s="6" t="inlineStr">
        <is>
          <t>Mesai bitimine üç dakika kala gelen evrakı imzalarken. Evrak işleme alındı.</t>
        </is>
      </c>
      <c r="D14" s="5" t="inlineStr">
        <is>
          <t>meslek-memur</t>
        </is>
      </c>
      <c r="E14" s="5" t="inlineStr">
        <is>
          <t>is</t>
        </is>
      </c>
    </row>
    <row r="15">
      <c r="A15" s="5" t="n">
        <v>40</v>
      </c>
      <c r="B15" s="5" t="n">
        <v>60</v>
      </c>
      <c r="C15" s="6" t="inlineStr">
        <is>
          <t>Müşteriden gelen 'Ufak bir revizyon' mesajını açarken. Revizyon hâlâ sürüyor.</t>
        </is>
      </c>
      <c r="D15" s="5" t="inlineStr">
        <is>
          <t>meslek-serbest</t>
        </is>
      </c>
      <c r="E15" s="5" t="inlineStr">
        <is>
          <t>is</t>
        </is>
      </c>
    </row>
    <row r="16">
      <c r="A16" s="5" t="n">
        <v>40</v>
      </c>
      <c r="B16" s="5" t="n">
        <v>60</v>
      </c>
      <c r="C16" s="6" t="inlineStr">
        <is>
          <t>Veli toplantısında söz alma sırası kendisine geldiği anda.</t>
        </is>
      </c>
      <c r="D16" s="5" t="inlineStr">
        <is>
          <t>cocuklu</t>
        </is>
      </c>
      <c r="E16" s="5" t="inlineStr">
        <is>
          <t>kurum</t>
        </is>
      </c>
    </row>
    <row r="17">
      <c r="A17" s="5" t="n">
        <v>40</v>
      </c>
      <c r="B17" s="5" t="n">
        <v>60</v>
      </c>
      <c r="C17" s="6" t="inlineStr">
        <is>
          <t>Aile grubundaki uzun bir sesli mesajı ikinci kez dinlerken.</t>
        </is>
      </c>
      <c r="D17" s="5" t="inlineStr"/>
      <c r="E17" s="5" t="inlineStr">
        <is>
          <t>ev</t>
        </is>
      </c>
    </row>
    <row r="18">
      <c r="A18" s="5" t="n">
        <v>40</v>
      </c>
      <c r="B18" s="5" t="n">
        <v>60</v>
      </c>
      <c r="C18" s="6" t="inlineStr">
        <is>
          <t>Evlilik yıldönümü hediyesini son dakikada paketlerken. Kurdele bağlandı.</t>
        </is>
      </c>
      <c r="D18" s="5" t="inlineStr">
        <is>
          <t>evli</t>
        </is>
      </c>
      <c r="E18" s="5" t="inlineStr">
        <is>
          <t>ev</t>
        </is>
      </c>
    </row>
    <row r="19">
      <c r="A19" s="5" t="n">
        <v>40</v>
      </c>
      <c r="B19" s="5" t="n">
        <v>60</v>
      </c>
      <c r="C19" s="6" t="inlineStr">
        <is>
          <t>Bir sigarayı daha son sigara ilan ederken. Bu sefer gerçekten son oldu.</t>
        </is>
      </c>
      <c r="D19" s="5" t="inlineStr">
        <is>
          <t>sigara</t>
        </is>
      </c>
      <c r="E19" s="5" t="inlineStr">
        <is>
          <t>ev</t>
        </is>
      </c>
    </row>
    <row r="20">
      <c r="A20" s="5" t="n">
        <v>60</v>
      </c>
      <c r="B20" s="5" t="n">
        <v>75</v>
      </c>
      <c r="C20" s="6" t="inlineStr">
        <is>
          <t>Emeklilik dilekçesinin onayını beklerken. Onay ertesi hafta geldi.</t>
        </is>
      </c>
      <c r="D20" s="5" t="inlineStr"/>
      <c r="E20" s="5" t="inlineStr">
        <is>
          <t>kurum</t>
        </is>
      </c>
    </row>
    <row r="21">
      <c r="A21" s="5" t="n">
        <v>60</v>
      </c>
      <c r="B21" s="5" t="n">
        <v>75</v>
      </c>
      <c r="C21" s="6" t="inlineStr">
        <is>
          <t>Emekli ikramiyesiyle aldığı motosikletle ilk virajda. Viraj kazandı.</t>
        </is>
      </c>
      <c r="D21" s="5" t="inlineStr">
        <is>
          <t>emekli</t>
        </is>
      </c>
      <c r="E21" s="5" t="inlineStr">
        <is>
          <t>yol</t>
        </is>
      </c>
    </row>
    <row r="22">
      <c r="A22" s="5" t="n">
        <v>60</v>
      </c>
      <c r="B22" s="5" t="n">
        <v>75</v>
      </c>
      <c r="C22" s="6" t="inlineStr">
        <is>
          <t>Pazarın kapanışında son kasa domatesi pazarlık ederken. Domatesler yarı fiyatına alındı.</t>
        </is>
      </c>
      <c r="D22" s="5" t="inlineStr"/>
      <c r="E22" s="5" t="inlineStr">
        <is>
          <t>yol</t>
        </is>
      </c>
    </row>
    <row r="23">
      <c r="A23" s="5" t="n">
        <v>60</v>
      </c>
      <c r="B23" s="5" t="n">
        <v>75</v>
      </c>
      <c r="C23" s="6" t="inlineStr">
        <is>
          <t>Torunuyla saklambaç oynarken, en iyi saklanma yerini bulduğu anda. Oyunu kazandı.</t>
        </is>
      </c>
      <c r="D23" s="5" t="inlineStr">
        <is>
          <t>torunlu</t>
        </is>
      </c>
      <c r="E23" s="5" t="inlineStr">
        <is>
          <t>ev</t>
        </is>
      </c>
    </row>
    <row r="24">
      <c r="A24" s="5" t="n">
        <v>60</v>
      </c>
      <c r="B24" s="5" t="n">
        <v>75</v>
      </c>
      <c r="C24" s="6" t="inlineStr">
        <is>
          <t>Apartman toplantısında asansör bakım ücretinin paylaştırılmasını oylarken.</t>
        </is>
      </c>
      <c r="D24" s="5" t="inlineStr"/>
      <c r="E24" s="5" t="inlineStr">
        <is>
          <t>ev</t>
        </is>
      </c>
    </row>
    <row r="25">
      <c r="A25" s="5" t="n">
        <v>60</v>
      </c>
      <c r="B25" s="5" t="n">
        <v>75</v>
      </c>
      <c r="C25" s="6" t="inlineStr">
        <is>
          <t>Mahalle kahvesinde, bir tavla partisinin son zarında. Zar çift geldi.</t>
        </is>
      </c>
      <c r="D25" s="5" t="inlineStr"/>
      <c r="E25" s="5" t="inlineStr">
        <is>
          <t>sosyal</t>
        </is>
      </c>
    </row>
    <row r="26">
      <c r="A26" s="5" t="n">
        <v>60</v>
      </c>
      <c r="B26" s="5" t="n">
        <v>75</v>
      </c>
      <c r="C26" s="6" t="inlineStr">
        <is>
          <t>Bahçede domates fidesine konuşurken. Fide büyümeye devam etti.</t>
        </is>
      </c>
      <c r="D26" s="5" t="inlineStr"/>
      <c r="E26" s="5" t="inlineStr">
        <is>
          <t>ev</t>
        </is>
      </c>
    </row>
    <row r="27">
      <c r="A27" s="5" t="n">
        <v>60</v>
      </c>
      <c r="B27" s="5" t="n">
        <v>75</v>
      </c>
      <c r="C27" s="6" t="inlineStr">
        <is>
          <t>Kedisinin mamasını son indirimli paketten alırken. Kedi durumu kabullenmedi.</t>
        </is>
      </c>
      <c r="D27" s="5" t="inlineStr">
        <is>
          <t>kediGeldi</t>
        </is>
      </c>
      <c r="E27" s="5" t="inlineStr">
        <is>
          <t>yol</t>
        </is>
      </c>
    </row>
    <row r="28">
      <c r="A28" s="5" t="n">
        <v>60</v>
      </c>
      <c r="B28" s="5" t="n">
        <v>75</v>
      </c>
      <c r="C28" s="6" t="inlineStr">
        <is>
          <t>Eski takipçilerinden birinin 'Siz ölmediniz mi?' yorumuna cevap yazarken. Cevap gönderilmedi.</t>
        </is>
      </c>
      <c r="D28" s="5" t="inlineStr">
        <is>
          <t>fenomen</t>
        </is>
      </c>
      <c r="E28" s="5" t="inlineStr">
        <is>
          <t>ev</t>
        </is>
      </c>
    </row>
    <row r="29">
      <c r="A29" s="5" t="n">
        <v>60</v>
      </c>
      <c r="B29" s="5" t="n">
        <v>75</v>
      </c>
      <c r="C29" s="6" t="inlineStr">
        <is>
          <t>Sabah yürüyüşünde, ilk kez kimsenin geçemediği yokuşu geçtiği anda. Yokuş belediyeye bildirildi.</t>
        </is>
      </c>
      <c r="D29" s="5" t="inlineStr">
        <is>
          <t>sporcu</t>
        </is>
      </c>
      <c r="E29" s="5" t="inlineStr">
        <is>
          <t>yol</t>
        </is>
      </c>
    </row>
    <row r="30">
      <c r="A30" s="5" t="n">
        <v>75</v>
      </c>
      <c r="B30" s="5" t="n">
        <v>90</v>
      </c>
      <c r="C30" s="6" t="inlineStr">
        <is>
          <t>Uykusunda, huzur içinde. Alarmı kurmayı unutmamıştı.</t>
        </is>
      </c>
      <c r="D30" s="5" t="inlineStr"/>
      <c r="E30" s="5" t="inlineStr">
        <is>
          <t>ev</t>
        </is>
      </c>
    </row>
    <row r="31">
      <c r="A31" s="5" t="n">
        <v>75</v>
      </c>
      <c r="B31" s="5" t="n">
        <v>90</v>
      </c>
      <c r="C31" s="6" t="inlineStr">
        <is>
          <t>Öğleden sonra şekerlemesinde, huzur içinde. Şekerleme uzadı.</t>
        </is>
      </c>
      <c r="D31" s="5" t="inlineStr"/>
      <c r="E31" s="5" t="inlineStr">
        <is>
          <t>ev</t>
        </is>
      </c>
    </row>
    <row r="32">
      <c r="A32" s="5" t="n">
        <v>75</v>
      </c>
      <c r="B32" s="5" t="n">
        <v>90</v>
      </c>
      <c r="C32" s="6" t="inlineStr">
        <is>
          <t>Balkonda, sokağın akşam raporunu tamamladıktan sonra. Rapor eksiksizdi.</t>
        </is>
      </c>
      <c r="D32" s="5" t="inlineStr"/>
      <c r="E32" s="5" t="inlineStr">
        <is>
          <t>ev</t>
        </is>
      </c>
    </row>
    <row r="33">
      <c r="A33" s="5" t="n">
        <v>75</v>
      </c>
      <c r="B33" s="5" t="n">
        <v>90</v>
      </c>
      <c r="C33" s="6" t="inlineStr">
        <is>
          <t>Uykusunda, huzur içinde. Yanındaki kedi uyanmadı.</t>
        </is>
      </c>
      <c r="D33" s="5" t="inlineStr">
        <is>
          <t>kediGeldi</t>
        </is>
      </c>
      <c r="E33" s="5" t="inlineStr">
        <is>
          <t>ev</t>
        </is>
      </c>
    </row>
    <row r="34">
      <c r="A34" s="5" t="n">
        <v>75</v>
      </c>
      <c r="B34" s="5" t="n">
        <v>90</v>
      </c>
      <c r="C34" s="6" t="inlineStr">
        <is>
          <t>Emekli maaşını çekip bayram zarflarını hazırlarken. Zarflar dağıtıldı.</t>
        </is>
      </c>
      <c r="D34" s="5" t="inlineStr">
        <is>
          <t>emekli</t>
        </is>
      </c>
      <c r="E34" s="5" t="inlineStr">
        <is>
          <t>is</t>
        </is>
      </c>
    </row>
    <row r="35">
      <c r="A35" s="5" t="n">
        <v>75</v>
      </c>
      <c r="B35" s="5" t="n">
        <v>90</v>
      </c>
      <c r="C35" s="6" t="inlineStr">
        <is>
          <t>Torunlarına aynı hikâyeyi yedinci kez anlatırken. Sonunu bu sefer herkes birlikte söyledi.</t>
        </is>
      </c>
      <c r="D35" s="5" t="inlineStr">
        <is>
          <t>torunlu</t>
        </is>
      </c>
      <c r="E35" s="5" t="inlineStr">
        <is>
          <t>ev</t>
        </is>
      </c>
    </row>
    <row r="36">
      <c r="A36" s="5" t="n">
        <v>75</v>
      </c>
      <c r="B36" s="5" t="n">
        <v>90</v>
      </c>
      <c r="C36" s="6" t="inlineStr">
        <is>
          <t>Eşiyle akşam çayında, bardaklar tam tazelendiği anda. Çay soğumadı.</t>
        </is>
      </c>
      <c r="D36" s="5" t="inlineStr">
        <is>
          <t>evli</t>
        </is>
      </c>
      <c r="E36" s="5" t="inlineStr">
        <is>
          <t>ev</t>
        </is>
      </c>
    </row>
    <row r="37">
      <c r="A37" s="5" t="n">
        <v>75</v>
      </c>
      <c r="B37" s="5" t="n">
        <v>90</v>
      </c>
      <c r="C37" s="6" t="inlineStr">
        <is>
          <t>Koltukta, kumanda elinde, huzur içinde. Dizinin sonunu sonraki bölüm açıkladı.</t>
        </is>
      </c>
      <c r="D37" s="5" t="inlineStr"/>
      <c r="E37" s="5" t="inlineStr">
        <is>
          <t>ev</t>
        </is>
      </c>
    </row>
    <row r="38">
      <c r="A38" s="5" t="n">
        <v>75</v>
      </c>
      <c r="B38" s="5" t="n">
        <v>90</v>
      </c>
      <c r="C38" s="6" t="inlineStr">
        <is>
          <t>Eski iş arkadaşlarının yıllık buluşmasında, kendi eski masasına oturduğu anda.</t>
        </is>
      </c>
      <c r="D38" s="5" t="inlineStr">
        <is>
          <t>meslek-memur</t>
        </is>
      </c>
      <c r="E38" s="5" t="inlineStr">
        <is>
          <t>sosyal</t>
        </is>
      </c>
    </row>
    <row r="39">
      <c r="A39" s="5" t="n">
        <v>75</v>
      </c>
      <c r="B39" s="5" t="n">
        <v>90</v>
      </c>
      <c r="C39" s="6" t="inlineStr">
        <is>
          <t>Pazar kahvaltısında, bütün ailesi masadayken. Yumurta tam kıvamındaydı.</t>
        </is>
      </c>
      <c r="D39" s="5" t="inlineStr">
        <is>
          <t>cocuklu</t>
        </is>
      </c>
      <c r="E39" s="5" t="inlineStr">
        <is>
          <t>ev</t>
        </is>
      </c>
    </row>
    <row r="40">
      <c r="A40" s="5" t="n">
        <v>90</v>
      </c>
      <c r="B40" s="5" t="n">
        <v>110</v>
      </c>
      <c r="C40" s="6" t="inlineStr">
        <is>
          <t>Uykusunda, huzur içinde. Sabahın ilk çayı demlenmişti.</t>
        </is>
      </c>
      <c r="D40" s="5" t="inlineStr"/>
      <c r="E40" s="5" t="inlineStr">
        <is>
          <t>ev</t>
        </is>
      </c>
    </row>
    <row r="41">
      <c r="A41" s="5" t="n">
        <v>90</v>
      </c>
      <c r="B41" s="5" t="n">
        <v>110</v>
      </c>
      <c r="C41" s="6" t="inlineStr">
        <is>
          <t>Pencere kenarında, güneşin tam kendi sandalyesine vurduğu anda. Sandalye hâlâ orada.</t>
        </is>
      </c>
      <c r="D41" s="5" t="inlineStr"/>
      <c r="E41" s="5" t="inlineStr">
        <is>
          <t>ev</t>
        </is>
      </c>
    </row>
    <row r="42">
      <c r="A42" s="5" t="n">
        <v>90</v>
      </c>
      <c r="B42" s="5" t="n">
        <v>110</v>
      </c>
      <c r="C42" s="6" t="inlineStr">
        <is>
          <t>Uykusunda, huzur içinde. Rüyasında kiminle tartıştığı açıklanmadı.</t>
        </is>
      </c>
      <c r="D42" s="5" t="inlineStr"/>
      <c r="E42" s="5" t="inlineStr">
        <is>
          <t>ev</t>
        </is>
      </c>
    </row>
    <row r="43">
      <c r="A43" s="5" t="n">
        <v>90</v>
      </c>
      <c r="B43" s="5" t="n">
        <v>110</v>
      </c>
      <c r="C43" s="6" t="inlineStr">
        <is>
          <t>Mahallenin en yaşlı sakini unvanını bir yıl daha koruduktan sonra. Unvan boşta kaldı.</t>
        </is>
      </c>
      <c r="D43" s="5" t="inlineStr"/>
      <c r="E43" s="5" t="inlineStr">
        <is>
          <t>yol</t>
        </is>
      </c>
    </row>
    <row r="44">
      <c r="A44" s="5" t="n">
        <v>90</v>
      </c>
      <c r="B44" s="5" t="n">
        <v>110</v>
      </c>
      <c r="C44" s="6" t="inlineStr">
        <is>
          <t>Torununun torununa ilk kez adını söyletmeyi başardığı gün, huzur içinde.</t>
        </is>
      </c>
      <c r="D44" s="5" t="inlineStr">
        <is>
          <t>torunlu</t>
        </is>
      </c>
      <c r="E44" s="5" t="inlineStr">
        <is>
          <t>ev</t>
        </is>
      </c>
    </row>
    <row r="45">
      <c r="A45" s="5" t="n">
        <v>90</v>
      </c>
      <c r="B45" s="5" t="n">
        <v>110</v>
      </c>
      <c r="C45" s="6" t="inlineStr">
        <is>
          <t>Öğleden sonra şekerlemesinde, yanında açık bir fotoğraf albümüyle. Albüm doğru sayfadaydı.</t>
        </is>
      </c>
      <c r="D45" s="5" t="inlineStr"/>
      <c r="E45" s="5" t="inlineStr">
        <is>
          <t>ev</t>
        </is>
      </c>
    </row>
    <row r="46">
      <c r="A46" s="5" t="n">
        <v>90</v>
      </c>
      <c r="B46" s="5" t="n">
        <v>110</v>
      </c>
      <c r="C46" s="6" t="inlineStr">
        <is>
          <t>Uykusunda, huzur içinde. Dükkânın anahtarı hâlâ cebindeydi.</t>
        </is>
      </c>
      <c r="D46" s="5" t="inlineStr">
        <is>
          <t>meslek-esnaf</t>
        </is>
      </c>
      <c r="E46" s="5" t="inlineStr">
        <is>
          <t>ev</t>
        </is>
      </c>
    </row>
    <row r="47">
      <c r="A47" s="5" t="n">
        <v>18</v>
      </c>
      <c r="B47" s="5" t="n">
        <v>40</v>
      </c>
      <c r="C47" s="6" t="inlineStr">
        <is>
          <t>Yaya geçidinde, ışığın yeşile dönmesini beklerken. Kırmızıyı kaçıran kamyonet olayı sonradan “Görmedim” diye özetledi.</t>
        </is>
      </c>
      <c r="D47" s="5" t="inlineStr"/>
      <c r="E47" s="5" t="inlineStr">
        <is>
          <t>yol</t>
        </is>
      </c>
    </row>
    <row r="48">
      <c r="A48" s="5" t="n">
        <v>18</v>
      </c>
      <c r="B48" s="5" t="n">
        <v>40</v>
      </c>
      <c r="C48" s="6" t="inlineStr">
        <is>
          <t>Otobüse yetişmek için son sprintte, kaldırımın kenarına takılırken. Otobüs onu durakta beklemişti.</t>
        </is>
      </c>
      <c r="D48" s="5" t="inlineStr"/>
      <c r="E48" s="5" t="inlineStr">
        <is>
          <t>yol</t>
        </is>
      </c>
    </row>
    <row r="49">
      <c r="A49" s="5" t="n">
        <v>18</v>
      </c>
      <c r="B49" s="5" t="n">
        <v>40</v>
      </c>
      <c r="C49" s="6" t="inlineStr">
        <is>
          <t>Yolun karşısındaki arkadaşına el sallarken, yaklaşan aracı görmeden. Arkadaş el sallamaya devam etti.</t>
        </is>
      </c>
      <c r="D49" s="5" t="inlineStr"/>
      <c r="E49" s="5" t="inlineStr">
        <is>
          <t>yol</t>
        </is>
      </c>
    </row>
    <row r="50">
      <c r="A50" s="5" t="n">
        <v>40</v>
      </c>
      <c r="B50" s="5" t="n">
        <v>60</v>
      </c>
      <c r="C50" s="6" t="inlineStr">
        <is>
          <t>Karşıdan karşıya geçerken, telefona “Yoldayım” yazdığı anda. Mesaj iletildi.</t>
        </is>
      </c>
      <c r="D50" s="5" t="inlineStr"/>
      <c r="E50" s="5" t="inlineStr">
        <is>
          <t>yol</t>
        </is>
      </c>
    </row>
    <row r="51">
      <c r="A51" s="5" t="n">
        <v>40</v>
      </c>
      <c r="B51" s="5" t="n">
        <v>60</v>
      </c>
      <c r="C51" s="6" t="inlineStr">
        <is>
          <t>Sahil yolunda yürüyüşte, bisiklet yoluna girdiği anda. Bisikletli özür diledi; zili hâlâ çalıyor.</t>
        </is>
      </c>
      <c r="D51" s="5" t="inlineStr"/>
      <c r="E51" s="5" t="inlineStr">
        <is>
          <t>yol</t>
        </is>
      </c>
    </row>
    <row r="52">
      <c r="A52" s="5" t="n">
        <v>40</v>
      </c>
      <c r="B52" s="5" t="n">
        <v>60</v>
      </c>
      <c r="C52" s="6" t="inlineStr">
        <is>
          <t>Trafikte kornaya basan kişiye “Sakin ol” demek için araçtan inerken. Trafik o sırada açıldı.</t>
        </is>
      </c>
      <c r="D52" s="5" t="inlineStr"/>
      <c r="E52" s="5" t="inlineStr">
        <is>
          <t>yol</t>
        </is>
      </c>
    </row>
    <row r="53">
      <c r="A53" s="5" t="n">
        <v>60</v>
      </c>
      <c r="B53" s="5" t="n">
        <v>75</v>
      </c>
      <c r="C53" s="6" t="inlineStr">
        <is>
          <t>Yaya geçidinde, sürücünün “Siz geçin” işaretini yanlış anladığı anda. Sürücü işaretini düzeltmedi.</t>
        </is>
      </c>
      <c r="D53" s="5" t="inlineStr"/>
      <c r="E53" s="5" t="inlineStr">
        <is>
          <t>yol</t>
        </is>
      </c>
    </row>
    <row r="54">
      <c r="A54" s="5" t="n">
        <v>60</v>
      </c>
      <c r="B54" s="5" t="n">
        <v>75</v>
      </c>
      <c r="C54" s="6" t="inlineStr">
        <is>
          <t>Pazar yolunda, kaldırımdaki en son ‘kolay’ yokuşta. Yokuş belediyeye bildirildi.</t>
        </is>
      </c>
      <c r="D54" s="5" t="inlineStr"/>
      <c r="E54" s="5" t="inlineStr">
        <is>
          <t>yol</t>
        </is>
      </c>
    </row>
    <row r="55">
      <c r="A55" s="5" t="n">
        <v>75</v>
      </c>
      <c r="B55" s="5" t="n">
        <v>90</v>
      </c>
      <c r="C55" s="6" t="inlineStr">
        <is>
          <t>Parkta, bankta, güvercinlere simit ufalarken, huzur içinde. Güvercinler simidi bitirdi.</t>
        </is>
      </c>
      <c r="D55" s="5" t="inlineStr"/>
      <c r="E55" s="5" t="inlineStr">
        <is>
          <t>yol</t>
        </is>
      </c>
    </row>
    <row r="56">
      <c r="A56" s="5" t="n">
        <v>18</v>
      </c>
      <c r="B56" s="5" t="n">
        <v>40</v>
      </c>
      <c r="C56" s="6" t="inlineStr">
        <is>
          <t>İş görüşmesinde “Beş yıl sonra kendinizi nerede görüyorsunuz?” sorusunu yanıtlarken. Cevap değerlendirme formuna geçti.</t>
        </is>
      </c>
      <c r="D56" s="5" t="inlineStr"/>
      <c r="E56" s="5" t="inlineStr">
        <is>
          <t>is</t>
        </is>
      </c>
    </row>
    <row r="57">
      <c r="A57" s="5" t="n">
        <v>18</v>
      </c>
      <c r="B57" s="5" t="n">
        <v>40</v>
      </c>
      <c r="C57" s="6" t="inlineStr">
        <is>
          <t>Fotokopi makinesinin sıkışan kâğıdını çıkarmak için ‘sadece bir kez’ kapağı açarken. Makine servis çağırdı.</t>
        </is>
      </c>
      <c r="D57" s="5" t="inlineStr"/>
      <c r="E57" s="5" t="inlineStr">
        <is>
          <t>is</t>
        </is>
      </c>
    </row>
    <row r="58">
      <c r="A58" s="5" t="n">
        <v>18</v>
      </c>
      <c r="B58" s="5" t="n">
        <v>40</v>
      </c>
      <c r="C58" s="6" t="inlineStr">
        <is>
          <t>Mesai sonunda, son e-postayı “Gönder”e basmadan önce bir kez daha okurken. E-posta taslakta kaldı.</t>
        </is>
      </c>
      <c r="D58" s="5" t="inlineStr"/>
      <c r="E58" s="5" t="inlineStr">
        <is>
          <t>is</t>
        </is>
      </c>
    </row>
    <row r="59">
      <c r="A59" s="5" t="n">
        <v>40</v>
      </c>
      <c r="B59" s="5" t="n">
        <v>60</v>
      </c>
      <c r="C59" s="6" t="inlineStr">
        <is>
          <t>Yıllık toplantıda sunumun on dokuzuncu slaytında. Slayt hiç değişmedi.</t>
        </is>
      </c>
      <c r="D59" s="5" t="inlineStr"/>
      <c r="E59" s="5" t="inlineStr">
        <is>
          <t>is</t>
        </is>
      </c>
    </row>
    <row r="60">
      <c r="A60" s="5" t="n">
        <v>40</v>
      </c>
      <c r="B60" s="5" t="n">
        <v>60</v>
      </c>
      <c r="C60" s="6" t="inlineStr">
        <is>
          <t>Kasadaki fiyat etiketini düzeltmek için rafa uzanırken. Etiket doğruydu.</t>
        </is>
      </c>
      <c r="D60" s="5" t="inlineStr"/>
      <c r="E60" s="5" t="inlineStr">
        <is>
          <t>is</t>
        </is>
      </c>
    </row>
    <row r="61">
      <c r="A61" s="5" t="n">
        <v>40</v>
      </c>
      <c r="B61" s="5" t="n">
        <v>60</v>
      </c>
      <c r="C61" s="6" t="inlineStr">
        <is>
          <t>Dairede ‘fotokopisi eksik’ evrak için sıraya üçüncü kez girerken. Sıra numarası hâlâ geçerli.</t>
        </is>
      </c>
      <c r="D61" s="5" t="inlineStr"/>
      <c r="E61" s="5" t="inlineStr">
        <is>
          <t>is</t>
        </is>
      </c>
    </row>
    <row r="62">
      <c r="A62" s="5" t="n">
        <v>60</v>
      </c>
      <c r="B62" s="5" t="n">
        <v>75</v>
      </c>
      <c r="C62" s="6" t="inlineStr">
        <is>
          <t>Eski dükkânına son bir uğrayışta, kepengi kendi elleriyle indirirken. Kepenk son kez sorunsuz indi.</t>
        </is>
      </c>
      <c r="D62" s="5" t="inlineStr"/>
      <c r="E62" s="5" t="inlineStr">
        <is>
          <t>is</t>
        </is>
      </c>
    </row>
    <row r="63">
      <c r="A63" s="5" t="n">
        <v>60</v>
      </c>
      <c r="B63" s="5" t="n">
        <v>75</v>
      </c>
      <c r="C63" s="6" t="inlineStr">
        <is>
          <t>Bankada emekli maaşı sırasında, numaratörün ‘Sıra sizde’ dediği an. Memur ‘Öğle arası’ dedi.</t>
        </is>
      </c>
      <c r="D63" s="5" t="inlineStr"/>
      <c r="E63" s="5" t="inlineStr">
        <is>
          <t>is</t>
        </is>
      </c>
    </row>
    <row r="64">
      <c r="A64" s="5" t="n">
        <v>18</v>
      </c>
      <c r="B64" s="5" t="n">
        <v>40</v>
      </c>
      <c r="C64" s="6" t="inlineStr">
        <is>
          <t>Hastanede ‘rutin kontrol’ için bekleme salonunda, sıra numarasını okurken. Numara kendisine ulaşmadı.</t>
        </is>
      </c>
      <c r="D64" s="5" t="inlineStr"/>
      <c r="E64" s="5" t="inlineStr">
        <is>
          <t>saglik</t>
        </is>
      </c>
    </row>
    <row r="65">
      <c r="A65" s="5" t="n">
        <v>40</v>
      </c>
      <c r="B65" s="5" t="n">
        <v>60</v>
      </c>
      <c r="C65" s="6" t="inlineStr">
        <is>
          <t>Hastane otoparkında, boş yer kovalarken. Boş yer sonunda çıktı.</t>
        </is>
      </c>
      <c r="D65" s="5" t="inlineStr"/>
      <c r="E65" s="5" t="inlineStr">
        <is>
          <t>saglik</t>
        </is>
      </c>
    </row>
    <row r="66">
      <c r="A66" s="5" t="n">
        <v>40</v>
      </c>
      <c r="B66" s="5" t="n">
        <v>60</v>
      </c>
      <c r="C66" s="6" t="inlineStr">
        <is>
          <t>Doktorun ‘Biraz kilo vermelisiniz’ cümlesini ikinci kez duyduğu anda. Reçeteye çorba yazıldı.</t>
        </is>
      </c>
      <c r="D66" s="5" t="inlineStr"/>
      <c r="E66" s="5" t="inlineStr">
        <is>
          <t>saglik</t>
        </is>
      </c>
    </row>
    <row r="67">
      <c r="A67" s="5" t="n">
        <v>60</v>
      </c>
      <c r="B67" s="5" t="n">
        <v>75</v>
      </c>
      <c r="C67" s="6" t="inlineStr">
        <is>
          <t>Poliklinik koridorunda, randevusunu üç ay sonraya aldığı anda. Randevu hâlâ geçerli.</t>
        </is>
      </c>
      <c r="D67" s="5" t="inlineStr"/>
      <c r="E67" s="5" t="inlineStr">
        <is>
          <t>saglik</t>
        </is>
      </c>
    </row>
    <row r="68">
      <c r="A68" s="5" t="n">
        <v>75</v>
      </c>
      <c r="B68" s="5" t="n">
        <v>90</v>
      </c>
      <c r="C68" s="6" t="inlineStr">
        <is>
          <t>Hastane odasında, tüm ailesi etrafındayken, huzur içinde. Oda bir süre kalabalık kaldı.</t>
        </is>
      </c>
      <c r="D68" s="5" t="inlineStr"/>
      <c r="E68" s="5" t="inlineStr">
        <is>
          <t>saglik</t>
        </is>
      </c>
    </row>
    <row r="69">
      <c r="A69" s="5" t="n">
        <v>18</v>
      </c>
      <c r="B69" s="5" t="n">
        <v>40</v>
      </c>
      <c r="C69" s="6" t="inlineStr">
        <is>
          <t>Düğünde pastayı kesme sırasında, tam objektife dönerken. Pasta kesildi, fotoğraf çıktı.</t>
        </is>
      </c>
      <c r="D69" s="5" t="inlineStr"/>
      <c r="E69" s="5" t="inlineStr">
        <is>
          <t>sosyal</t>
        </is>
      </c>
    </row>
    <row r="70">
      <c r="A70" s="5" t="n">
        <v>18</v>
      </c>
      <c r="B70" s="5" t="n">
        <v>40</v>
      </c>
      <c r="C70" s="6" t="inlineStr">
        <is>
          <t>Kafede ‘Bir çay daha’ dediği anda. Çay geldi, kimse içmedi.</t>
        </is>
      </c>
      <c r="D70" s="5" t="inlineStr"/>
      <c r="E70" s="5" t="inlineStr">
        <is>
          <t>sosyal</t>
        </is>
      </c>
    </row>
    <row r="71">
      <c r="A71" s="5" t="n">
        <v>40</v>
      </c>
      <c r="B71" s="5" t="n">
        <v>60</v>
      </c>
      <c r="C71" s="6" t="inlineStr">
        <is>
          <t>Düğün salonunda, davul çalarken ‘Bir halay da ben’ diyerek ortaya çıktığı an. Halay devam etti.</t>
        </is>
      </c>
      <c r="D71" s="5" t="inlineStr"/>
      <c r="E71" s="5" t="inlineStr">
        <is>
          <t>sosyal</t>
        </is>
      </c>
    </row>
    <row r="72">
      <c r="A72" s="5" t="n">
        <v>40</v>
      </c>
      <c r="B72" s="5" t="n">
        <v>60</v>
      </c>
      <c r="C72" s="6" t="inlineStr">
        <is>
          <t>Mahalle maçında, ‘Ben kaleye geçeyim’ dediği anda. Maç berabere bitti.</t>
        </is>
      </c>
      <c r="D72" s="5" t="inlineStr"/>
      <c r="E72" s="5" t="inlineStr">
        <is>
          <t>sosyal</t>
        </is>
      </c>
    </row>
    <row r="73">
      <c r="A73" s="5" t="n">
        <v>60</v>
      </c>
      <c r="B73" s="5" t="n">
        <v>75</v>
      </c>
      <c r="C73" s="6" t="inlineStr">
        <is>
          <t>Kahvede, tavlada ‘şeş-beş’ attığı anda. Rakip itiraz etmedi.</t>
        </is>
      </c>
      <c r="D73" s="5" t="inlineStr"/>
      <c r="E73" s="5" t="inlineStr">
        <is>
          <t>sosyal</t>
        </is>
      </c>
    </row>
    <row r="74">
      <c r="A74" s="5" t="n">
        <v>75</v>
      </c>
      <c r="B74" s="5" t="n">
        <v>90</v>
      </c>
      <c r="C74" s="6" t="inlineStr">
        <is>
          <t>Düğün sofrasında, torununun ilk dansını izlerken, huzur içinde. Müzik durmadı.</t>
        </is>
      </c>
      <c r="D74" s="5" t="inlineStr"/>
      <c r="E74" s="5" t="inlineStr">
        <is>
          <t>sosyal</t>
        </is>
      </c>
    </row>
    <row r="75">
      <c r="A75" s="5" t="n">
        <v>18</v>
      </c>
      <c r="B75" s="5" t="n">
        <v>40</v>
      </c>
      <c r="C75" s="6" t="inlineStr">
        <is>
          <t>Sınav salonunda, son soruyu cevaplarken. Süre dolmuştu; cevap doğruydu.</t>
        </is>
      </c>
      <c r="D75" s="5" t="inlineStr"/>
      <c r="E75" s="5" t="inlineStr">
        <is>
          <t>kurum</t>
        </is>
      </c>
    </row>
    <row r="76">
      <c r="A76" s="5" t="n">
        <v>18</v>
      </c>
      <c r="B76" s="5" t="n">
        <v>40</v>
      </c>
      <c r="C76" s="6" t="inlineStr">
        <is>
          <t>Üniversitenin kantininde, uzun kuyruğun en önünde. Tost bitti.</t>
        </is>
      </c>
      <c r="D76" s="5" t="inlineStr"/>
      <c r="E76" s="5" t="inlineStr">
        <is>
          <t>kurum</t>
        </is>
      </c>
    </row>
    <row r="77">
      <c r="A77" s="5" t="n">
        <v>40</v>
      </c>
      <c r="B77" s="5" t="n">
        <v>60</v>
      </c>
      <c r="C77" s="6" t="inlineStr">
        <is>
          <t>Veli toplantısında, ‘Çocuğunuz çok yaratıcı’ cümlesini duyarken. Cümle devam etti.</t>
        </is>
      </c>
      <c r="D77" s="5" t="inlineStr"/>
      <c r="E77" s="5" t="inlineStr">
        <is>
          <t>kurum</t>
        </is>
      </c>
    </row>
    <row r="78">
      <c r="A78" s="5" t="n">
        <v>40</v>
      </c>
      <c r="B78" s="5" t="n">
        <v>60</v>
      </c>
      <c r="C78" s="6" t="inlineStr">
        <is>
          <t>Mahkeme koridorunda, ‘Dosyanız hazır’ cümlesini beklerken. Dosya başka koridordaydı.</t>
        </is>
      </c>
      <c r="D78" s="5" t="inlineStr"/>
      <c r="E78" s="5" t="inlineStr">
        <is>
          <t>kurum</t>
        </is>
      </c>
    </row>
    <row r="79">
      <c r="A79" s="5" t="n">
        <v>60</v>
      </c>
      <c r="B79" s="5" t="n">
        <v>75</v>
      </c>
      <c r="C79" s="6" t="inlineStr">
        <is>
          <t>Köy meydanında, muhtarın ‘Kimsenin itirazı yoksa’ dediği anda. İtiraz eden çıkmadı.</t>
        </is>
      </c>
      <c r="D79" s="5" t="inlineStr"/>
      <c r="E79" s="5" t="inlineStr">
        <is>
          <t>kurum</t>
        </is>
      </c>
    </row>
    <row r="80">
      <c r="A80" s="5" t="n">
        <v>75</v>
      </c>
      <c r="B80" s="5" t="n">
        <v>90</v>
      </c>
      <c r="C80" s="6" t="inlineStr">
        <is>
          <t>Huzurevinin bahçesinde, sabah güneşinde, huzur içinde. Güneş batana kadar kimse rahatsız etmedi.</t>
        </is>
      </c>
      <c r="D80" s="5" t="inlineStr"/>
      <c r="E80" s="5" t="inlineStr">
        <is>
          <t>kurum</t>
        </is>
      </c>
    </row>
  </sheetData>
  <autoFilter ref="A1:E80"/>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8" customWidth="1" min="2" max="2"/>
    <col width="10" customWidth="1" min="3" max="3"/>
    <col width="12"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özellik</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6</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7</v>
      </c>
      <c r="D5" s="5" t="n">
        <v>34</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8</v>
      </c>
      <c r="D6" s="5" t="n">
        <v>37</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8</v>
      </c>
      <c r="D7" s="5" t="n">
        <v>38</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8</v>
      </c>
      <c r="D8" s="5" t="n">
        <v>40</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6</v>
      </c>
      <c r="D9" s="5" t="n">
        <v>40</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6</v>
      </c>
      <c r="D10" s="5" t="n">
        <v>42</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5</v>
      </c>
      <c r="D11" s="5" t="n">
        <v>43</v>
      </c>
      <c r="E11" s="5" t="inlineStr">
        <is>
          <t>70 yaş ve sonrası</t>
        </is>
      </c>
      <c r="F11" s="5" t="inlineStr">
        <is>
          <t>son-soz</t>
        </is>
      </c>
      <c r="G11" s="5" t="inlineStr"/>
      <c r="H11" s="6" t="inlineStr"/>
      <c r="I11" s="5" t="inlineStr"/>
    </row>
  </sheetData>
  <autoFilter ref="A1:I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2026-10-09T10:45:35Z</dcterms:created>
  <dcterms:modified xmlns:dcterms="http://purl.org/dc/terms/" xmlns:xsi="http://www.w3.org/2001/XMLSchema-instance" xsi:type="dcterms:W3CDTF">2026-10-18T08:36:19Z</dcterms:modified>
</cp:coreProperties>
</file>